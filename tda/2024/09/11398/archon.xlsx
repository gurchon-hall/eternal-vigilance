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etru\Desktop\vtes\Decks German Nationals 2024-09-11 [text]\Decks 2024-09-11 [text]\"/>
    </mc:Choice>
  </mc:AlternateContent>
  <xr:revisionPtr revIDLastSave="0" documentId="13_ncr:1_{12D0FAE2-8755-4691-A1D7-7B9A124C139A}" xr6:coauthVersionLast="47" xr6:coauthVersionMax="47" xr10:uidLastSave="{00000000-0000-0000-0000-000000000000}"/>
  <bookViews>
    <workbookView xWindow="-120" yWindow="-120" windowWidth="29040" windowHeight="15840" tabRatio="500" firstSheet="1"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7" r:id="rId6"/>
    <sheet name="Round 3" sheetId="8" r:id="rId7"/>
    <sheet name="Final Round" sheetId="6" r:id="rId8"/>
    <sheet name="VEKN Report" sheetId="9" r:id="rId9"/>
    <sheet name="Override"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 i="13" l="1"/>
  <c r="A6" i="13" s="1"/>
  <c r="A1" i="11"/>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A1" i="10"/>
  <c r="A1" i="9"/>
  <c r="F206" i="8"/>
  <c r="T206" i="8" s="1"/>
  <c r="F205" i="8"/>
  <c r="T205" i="8" s="1"/>
  <c r="T204" i="8"/>
  <c r="F204" i="8"/>
  <c r="T203" i="8"/>
  <c r="F203" i="8"/>
  <c r="T202" i="8"/>
  <c r="F202" i="8"/>
  <c r="U201" i="8"/>
  <c r="F201" i="8"/>
  <c r="T201" i="8" s="1"/>
  <c r="F200" i="8"/>
  <c r="T200" i="8" s="1"/>
  <c r="F199" i="8"/>
  <c r="T199" i="8" s="1"/>
  <c r="F198" i="8"/>
  <c r="T198" i="8" s="1"/>
  <c r="F197" i="8"/>
  <c r="T197" i="8" s="1"/>
  <c r="T196" i="8"/>
  <c r="F196" i="8"/>
  <c r="T195" i="8"/>
  <c r="F195" i="8"/>
  <c r="T194" i="8"/>
  <c r="F194" i="8"/>
  <c r="U193" i="8"/>
  <c r="F193" i="8"/>
  <c r="T193" i="8" s="1"/>
  <c r="F192" i="8"/>
  <c r="T192" i="8" s="1"/>
  <c r="F191" i="8"/>
  <c r="T191" i="8" s="1"/>
  <c r="F190" i="8"/>
  <c r="T190" i="8" s="1"/>
  <c r="F189" i="8"/>
  <c r="T189" i="8" s="1"/>
  <c r="T188" i="8"/>
  <c r="F188" i="8"/>
  <c r="F187" i="8"/>
  <c r="T187" i="8" s="1"/>
  <c r="F186" i="8"/>
  <c r="T186" i="8" s="1"/>
  <c r="T185" i="8"/>
  <c r="F185" i="8"/>
  <c r="T184" i="8"/>
  <c r="F184" i="8"/>
  <c r="T183" i="8"/>
  <c r="F183" i="8"/>
  <c r="T182" i="8"/>
  <c r="F182" i="8"/>
  <c r="F181" i="8"/>
  <c r="T181" i="8" s="1"/>
  <c r="F180" i="8"/>
  <c r="T180" i="8" s="1"/>
  <c r="F179" i="8"/>
  <c r="T179" i="8" s="1"/>
  <c r="F178" i="8"/>
  <c r="T178" i="8" s="1"/>
  <c r="U181" i="8" s="1"/>
  <c r="T177" i="8"/>
  <c r="U180" i="8" s="1"/>
  <c r="F177" i="8"/>
  <c r="T176" i="8"/>
  <c r="F176" i="8"/>
  <c r="T175" i="8"/>
  <c r="U174" i="8" s="1"/>
  <c r="F175" i="8"/>
  <c r="T174" i="8"/>
  <c r="U173" i="8" s="1"/>
  <c r="F174" i="8"/>
  <c r="F173" i="8"/>
  <c r="T173" i="8" s="1"/>
  <c r="F172" i="8"/>
  <c r="T172" i="8" s="1"/>
  <c r="F171" i="8"/>
  <c r="T171" i="8" s="1"/>
  <c r="F170" i="8"/>
  <c r="T170" i="8" s="1"/>
  <c r="T169" i="8"/>
  <c r="F169" i="8"/>
  <c r="T168" i="8"/>
  <c r="F168" i="8"/>
  <c r="T167" i="8"/>
  <c r="F167" i="8"/>
  <c r="T166" i="8"/>
  <c r="F166" i="8"/>
  <c r="F165" i="8"/>
  <c r="T165" i="8" s="1"/>
  <c r="F164" i="8"/>
  <c r="T164" i="8" s="1"/>
  <c r="F163" i="8"/>
  <c r="T163" i="8" s="1"/>
  <c r="F162" i="8"/>
  <c r="T162" i="8" s="1"/>
  <c r="T161" i="8"/>
  <c r="F161" i="8"/>
  <c r="F160" i="8"/>
  <c r="T160" i="8" s="1"/>
  <c r="T159" i="8"/>
  <c r="F159" i="8"/>
  <c r="T158" i="8"/>
  <c r="F158" i="8"/>
  <c r="F157" i="8"/>
  <c r="T157" i="8" s="1"/>
  <c r="F156" i="8"/>
  <c r="T156" i="8" s="1"/>
  <c r="T155" i="8"/>
  <c r="F155" i="8"/>
  <c r="F154" i="8"/>
  <c r="T154" i="8" s="1"/>
  <c r="T153" i="8"/>
  <c r="F153" i="8"/>
  <c r="F152" i="8"/>
  <c r="T152" i="8" s="1"/>
  <c r="T151" i="8"/>
  <c r="F151" i="8"/>
  <c r="T150" i="8"/>
  <c r="F150" i="8"/>
  <c r="F149" i="8"/>
  <c r="T149" i="8" s="1"/>
  <c r="F148" i="8"/>
  <c r="T148" i="8" s="1"/>
  <c r="U150" i="8" s="1"/>
  <c r="T147" i="8"/>
  <c r="F147" i="8"/>
  <c r="F146" i="8"/>
  <c r="T146" i="8" s="1"/>
  <c r="T145" i="8"/>
  <c r="F145" i="8"/>
  <c r="U144" i="8"/>
  <c r="T144" i="8"/>
  <c r="F144" i="8"/>
  <c r="F143" i="8"/>
  <c r="T143" i="8" s="1"/>
  <c r="U142" i="8" s="1"/>
  <c r="T142" i="8"/>
  <c r="F142" i="8"/>
  <c r="U141" i="8"/>
  <c r="F141" i="8"/>
  <c r="T141" i="8" s="1"/>
  <c r="F140" i="8"/>
  <c r="T140" i="8" s="1"/>
  <c r="T139" i="8"/>
  <c r="F139" i="8"/>
  <c r="F138" i="8"/>
  <c r="T138" i="8" s="1"/>
  <c r="F137" i="8"/>
  <c r="T137" i="8" s="1"/>
  <c r="F136" i="8"/>
  <c r="T136" i="8" s="1"/>
  <c r="F135" i="8"/>
  <c r="T135" i="8" s="1"/>
  <c r="F134" i="8"/>
  <c r="T134" i="8" s="1"/>
  <c r="T133" i="8"/>
  <c r="F133" i="8"/>
  <c r="T132" i="8"/>
  <c r="F132" i="8"/>
  <c r="T131" i="8"/>
  <c r="F131" i="8"/>
  <c r="T130" i="8"/>
  <c r="F130" i="8"/>
  <c r="F129" i="8"/>
  <c r="T129" i="8" s="1"/>
  <c r="F128" i="8"/>
  <c r="T128" i="8" s="1"/>
  <c r="U130" i="8" s="1"/>
  <c r="F127" i="8"/>
  <c r="T127" i="8" s="1"/>
  <c r="F126" i="8"/>
  <c r="T126" i="8" s="1"/>
  <c r="T125" i="8"/>
  <c r="F125" i="8"/>
  <c r="T124" i="8"/>
  <c r="F124" i="8"/>
  <c r="T123" i="8"/>
  <c r="F123" i="8"/>
  <c r="U122" i="8"/>
  <c r="T122" i="8"/>
  <c r="F122" i="8"/>
  <c r="F121" i="8"/>
  <c r="T121" i="8" s="1"/>
  <c r="F120" i="8"/>
  <c r="T120" i="8" s="1"/>
  <c r="F119" i="8"/>
  <c r="T119" i="8" s="1"/>
  <c r="F118" i="8"/>
  <c r="T118" i="8" s="1"/>
  <c r="U119" i="8" s="1"/>
  <c r="T117" i="8"/>
  <c r="F117" i="8"/>
  <c r="T116" i="8"/>
  <c r="F116" i="8"/>
  <c r="T115" i="8"/>
  <c r="F115" i="8"/>
  <c r="T114" i="8"/>
  <c r="F114" i="8"/>
  <c r="F113" i="8"/>
  <c r="T113" i="8" s="1"/>
  <c r="F112" i="8"/>
  <c r="T112" i="8" s="1"/>
  <c r="F111" i="8"/>
  <c r="T111" i="8" s="1"/>
  <c r="F110" i="8"/>
  <c r="T110" i="8" s="1"/>
  <c r="T109" i="8"/>
  <c r="F109" i="8"/>
  <c r="F108" i="8"/>
  <c r="T108" i="8" s="1"/>
  <c r="F107" i="8"/>
  <c r="T107" i="8" s="1"/>
  <c r="T106" i="8"/>
  <c r="F106" i="8"/>
  <c r="F105" i="8"/>
  <c r="T105" i="8" s="1"/>
  <c r="F104" i="8"/>
  <c r="T104" i="8" s="1"/>
  <c r="F103" i="8"/>
  <c r="T103" i="8" s="1"/>
  <c r="T102" i="8"/>
  <c r="F102" i="8"/>
  <c r="T101" i="8"/>
  <c r="F101" i="8"/>
  <c r="U100" i="8"/>
  <c r="F100" i="8"/>
  <c r="T100" i="8" s="1"/>
  <c r="T99" i="8"/>
  <c r="F99" i="8"/>
  <c r="T98" i="8"/>
  <c r="F98" i="8"/>
  <c r="F97" i="8"/>
  <c r="T97" i="8" s="1"/>
  <c r="F96" i="8"/>
  <c r="T96" i="8" s="1"/>
  <c r="F95" i="8"/>
  <c r="T95" i="8" s="1"/>
  <c r="T94" i="8"/>
  <c r="F94" i="8"/>
  <c r="F93" i="8"/>
  <c r="T93" i="8" s="1"/>
  <c r="F92" i="8"/>
  <c r="T92" i="8" s="1"/>
  <c r="T91" i="8"/>
  <c r="F91" i="8"/>
  <c r="T90" i="8"/>
  <c r="F90" i="8"/>
  <c r="F89" i="8"/>
  <c r="T89" i="8" s="1"/>
  <c r="F88" i="8"/>
  <c r="T88" i="8" s="1"/>
  <c r="T87" i="8"/>
  <c r="F87" i="8"/>
  <c r="T86" i="8"/>
  <c r="F86" i="8"/>
  <c r="F85" i="8"/>
  <c r="T85" i="8" s="1"/>
  <c r="F84" i="8"/>
  <c r="T84" i="8" s="1"/>
  <c r="T83" i="8"/>
  <c r="F83" i="8"/>
  <c r="T82" i="8"/>
  <c r="F82" i="8"/>
  <c r="F81" i="8"/>
  <c r="T81" i="8" s="1"/>
  <c r="F80" i="8"/>
  <c r="T80" i="8" s="1"/>
  <c r="T79" i="8"/>
  <c r="U77" i="8" s="1"/>
  <c r="F79" i="8"/>
  <c r="U78" i="8"/>
  <c r="T78" i="8"/>
  <c r="F78" i="8"/>
  <c r="F77" i="8"/>
  <c r="T77" i="8" s="1"/>
  <c r="F76" i="8"/>
  <c r="T76" i="8" s="1"/>
  <c r="T75" i="8"/>
  <c r="F75" i="8"/>
  <c r="T74" i="8"/>
  <c r="F74" i="8"/>
  <c r="U73" i="8"/>
  <c r="F73" i="8"/>
  <c r="T73" i="8" s="1"/>
  <c r="F72" i="8"/>
  <c r="T72" i="8" s="1"/>
  <c r="T71" i="8"/>
  <c r="F71" i="8"/>
  <c r="T70" i="8"/>
  <c r="F70" i="8"/>
  <c r="F69" i="8"/>
  <c r="T69" i="8" s="1"/>
  <c r="F68" i="8"/>
  <c r="T68" i="8" s="1"/>
  <c r="T67" i="8"/>
  <c r="F67" i="8"/>
  <c r="T66" i="8"/>
  <c r="F66" i="8"/>
  <c r="U65" i="8"/>
  <c r="F65" i="8"/>
  <c r="T65" i="8" s="1"/>
  <c r="F64" i="8"/>
  <c r="T64" i="8" s="1"/>
  <c r="U66" i="8" s="1"/>
  <c r="T63" i="8"/>
  <c r="F63" i="8"/>
  <c r="U62" i="8"/>
  <c r="T62" i="8"/>
  <c r="F62" i="8"/>
  <c r="F61" i="8"/>
  <c r="T61" i="8" s="1"/>
  <c r="F60" i="8"/>
  <c r="T60" i="8" s="1"/>
  <c r="F59" i="8"/>
  <c r="T59" i="8" s="1"/>
  <c r="U57" i="8" s="1"/>
  <c r="F58" i="8"/>
  <c r="T58" i="8" s="1"/>
  <c r="F57" i="8"/>
  <c r="T57" i="8" s="1"/>
  <c r="F56" i="8"/>
  <c r="T56" i="8" s="1"/>
  <c r="T55" i="8"/>
  <c r="F55" i="8"/>
  <c r="F54" i="8"/>
  <c r="T54" i="8" s="1"/>
  <c r="T53" i="8"/>
  <c r="F53" i="8"/>
  <c r="T52" i="8"/>
  <c r="F52" i="8"/>
  <c r="T51" i="8"/>
  <c r="F51" i="8"/>
  <c r="T50" i="8"/>
  <c r="F50" i="8"/>
  <c r="F49" i="8"/>
  <c r="T49" i="8" s="1"/>
  <c r="F48" i="8"/>
  <c r="T48" i="8" s="1"/>
  <c r="F47" i="8"/>
  <c r="T47" i="8" s="1"/>
  <c r="F46" i="8"/>
  <c r="T46" i="8" s="1"/>
  <c r="T45" i="8"/>
  <c r="F45" i="8"/>
  <c r="T44" i="8"/>
  <c r="F44" i="8"/>
  <c r="T43" i="8"/>
  <c r="F43" i="8"/>
  <c r="T42" i="8"/>
  <c r="F42" i="8"/>
  <c r="U41" i="8"/>
  <c r="F41" i="8"/>
  <c r="T41" i="8" s="1"/>
  <c r="F40" i="8"/>
  <c r="T40" i="8" s="1"/>
  <c r="F39" i="8"/>
  <c r="T39" i="8" s="1"/>
  <c r="F38" i="8"/>
  <c r="T38" i="8" s="1"/>
  <c r="T37" i="8"/>
  <c r="F37" i="8"/>
  <c r="T36" i="8"/>
  <c r="F36" i="8"/>
  <c r="T35" i="8"/>
  <c r="F35" i="8"/>
  <c r="T34" i="8"/>
  <c r="F34" i="8"/>
  <c r="F33" i="8"/>
  <c r="T33" i="8" s="1"/>
  <c r="F32" i="8"/>
  <c r="T32" i="8" s="1"/>
  <c r="F31" i="8"/>
  <c r="T31" i="8" s="1"/>
  <c r="F30" i="8"/>
  <c r="T30" i="8" s="1"/>
  <c r="T29" i="8"/>
  <c r="F29" i="8"/>
  <c r="T28" i="8"/>
  <c r="F28" i="8"/>
  <c r="T27" i="8"/>
  <c r="F27" i="8"/>
  <c r="T26" i="8"/>
  <c r="F26" i="8"/>
  <c r="F25" i="8"/>
  <c r="T25" i="8" s="1"/>
  <c r="F24" i="8"/>
  <c r="T24" i="8" s="1"/>
  <c r="F23" i="8"/>
  <c r="T23" i="8" s="1"/>
  <c r="U26" i="8" s="1"/>
  <c r="F22" i="8"/>
  <c r="T22" i="8" s="1"/>
  <c r="T21" i="8"/>
  <c r="F21" i="8"/>
  <c r="F20" i="8"/>
  <c r="T20" i="8" s="1"/>
  <c r="F19" i="8"/>
  <c r="T19" i="8" s="1"/>
  <c r="F18" i="8"/>
  <c r="T18" i="8" s="1"/>
  <c r="U18" i="8" s="1"/>
  <c r="F17" i="8"/>
  <c r="T17" i="8" s="1"/>
  <c r="T16" i="8"/>
  <c r="F16" i="8"/>
  <c r="F15" i="8"/>
  <c r="T15" i="8" s="1"/>
  <c r="F14" i="8"/>
  <c r="T14" i="8" s="1"/>
  <c r="T13" i="8"/>
  <c r="U15" i="8" s="1"/>
  <c r="F13" i="8"/>
  <c r="T12" i="8"/>
  <c r="F12" i="8"/>
  <c r="F11" i="8"/>
  <c r="T11" i="8" s="1"/>
  <c r="F10" i="8"/>
  <c r="T10" i="8" s="1"/>
  <c r="F9" i="8"/>
  <c r="T9" i="8" s="1"/>
  <c r="F8" i="8"/>
  <c r="T8" i="8" s="1"/>
  <c r="F7" i="8"/>
  <c r="T7" i="8" s="1"/>
  <c r="A1" i="8"/>
  <c r="T206" i="7"/>
  <c r="F206" i="7"/>
  <c r="F205" i="7"/>
  <c r="T205" i="7" s="1"/>
  <c r="F204" i="7"/>
  <c r="T204" i="7" s="1"/>
  <c r="T203" i="7"/>
  <c r="F203" i="7"/>
  <c r="T202" i="7"/>
  <c r="U204" i="7" s="1"/>
  <c r="F202" i="7"/>
  <c r="F201" i="7"/>
  <c r="T201" i="7" s="1"/>
  <c r="F200" i="7"/>
  <c r="T200" i="7" s="1"/>
  <c r="T199" i="7"/>
  <c r="F199" i="7"/>
  <c r="T198" i="7"/>
  <c r="F198" i="7"/>
  <c r="F197" i="7"/>
  <c r="T197" i="7" s="1"/>
  <c r="F196" i="7"/>
  <c r="T196" i="7" s="1"/>
  <c r="T195" i="7"/>
  <c r="F195" i="7"/>
  <c r="T194" i="7"/>
  <c r="F194" i="7"/>
  <c r="F193" i="7"/>
  <c r="T193" i="7" s="1"/>
  <c r="F192" i="7"/>
  <c r="T192" i="7" s="1"/>
  <c r="T191" i="7"/>
  <c r="F191" i="7"/>
  <c r="T190" i="7"/>
  <c r="U190" i="7" s="1"/>
  <c r="F190" i="7"/>
  <c r="F189" i="7"/>
  <c r="T189" i="7" s="1"/>
  <c r="F188" i="7"/>
  <c r="T188" i="7" s="1"/>
  <c r="T187" i="7"/>
  <c r="F187" i="7"/>
  <c r="T186" i="7"/>
  <c r="F186" i="7"/>
  <c r="F185" i="7"/>
  <c r="T185" i="7" s="1"/>
  <c r="F184" i="7"/>
  <c r="T184" i="7" s="1"/>
  <c r="T183" i="7"/>
  <c r="F183" i="7"/>
  <c r="T182" i="7"/>
  <c r="U185" i="7" s="1"/>
  <c r="F182" i="7"/>
  <c r="F181" i="7"/>
  <c r="T181" i="7" s="1"/>
  <c r="F180" i="7"/>
  <c r="T180" i="7" s="1"/>
  <c r="T179" i="7"/>
  <c r="U181" i="7" s="1"/>
  <c r="F179" i="7"/>
  <c r="T178" i="7"/>
  <c r="U178" i="7" s="1"/>
  <c r="F178" i="7"/>
  <c r="F177" i="7"/>
  <c r="T177" i="7" s="1"/>
  <c r="F176" i="7"/>
  <c r="T176" i="7" s="1"/>
  <c r="T175" i="7"/>
  <c r="F175" i="7"/>
  <c r="F174" i="7"/>
  <c r="T174" i="7" s="1"/>
  <c r="T173" i="7"/>
  <c r="F173" i="7"/>
  <c r="T172" i="7"/>
  <c r="F172" i="7"/>
  <c r="T171" i="7"/>
  <c r="F171" i="7"/>
  <c r="T170" i="7"/>
  <c r="F170" i="7"/>
  <c r="F169" i="7"/>
  <c r="T169" i="7" s="1"/>
  <c r="F168" i="7"/>
  <c r="T168" i="7" s="1"/>
  <c r="F167" i="7"/>
  <c r="T167" i="7" s="1"/>
  <c r="F166" i="7"/>
  <c r="T166" i="7" s="1"/>
  <c r="T165" i="7"/>
  <c r="F165" i="7"/>
  <c r="T164" i="7"/>
  <c r="F164" i="7"/>
  <c r="T163" i="7"/>
  <c r="F163" i="7"/>
  <c r="T162" i="7"/>
  <c r="F162" i="7"/>
  <c r="F161" i="7"/>
  <c r="T161" i="7" s="1"/>
  <c r="F160" i="7"/>
  <c r="T160" i="7" s="1"/>
  <c r="F159" i="7"/>
  <c r="T159" i="7" s="1"/>
  <c r="F158" i="7"/>
  <c r="T158" i="7" s="1"/>
  <c r="U161" i="7" s="1"/>
  <c r="T157" i="7"/>
  <c r="F157" i="7"/>
  <c r="T156" i="7"/>
  <c r="F156" i="7"/>
  <c r="T155" i="7"/>
  <c r="F155" i="7"/>
  <c r="T154" i="7"/>
  <c r="F154" i="7"/>
  <c r="F153" i="7"/>
  <c r="T153" i="7" s="1"/>
  <c r="U154" i="7" s="1"/>
  <c r="F152" i="7"/>
  <c r="T152" i="7" s="1"/>
  <c r="F151" i="7"/>
  <c r="T151" i="7" s="1"/>
  <c r="F150" i="7"/>
  <c r="T150" i="7" s="1"/>
  <c r="T149" i="7"/>
  <c r="F149" i="7"/>
  <c r="T148" i="7"/>
  <c r="F148" i="7"/>
  <c r="T147" i="7"/>
  <c r="F147" i="7"/>
  <c r="T146" i="7"/>
  <c r="F146" i="7"/>
  <c r="F145" i="7"/>
  <c r="T145" i="7" s="1"/>
  <c r="F144" i="7"/>
  <c r="T144" i="7" s="1"/>
  <c r="F143" i="7"/>
  <c r="T143" i="7" s="1"/>
  <c r="F142" i="7"/>
  <c r="T142" i="7" s="1"/>
  <c r="T141" i="7"/>
  <c r="F141" i="7"/>
  <c r="T140" i="7"/>
  <c r="F140" i="7"/>
  <c r="T139" i="7"/>
  <c r="F139" i="7"/>
  <c r="T138" i="7"/>
  <c r="F138" i="7"/>
  <c r="F137" i="7"/>
  <c r="T137" i="7" s="1"/>
  <c r="F136" i="7"/>
  <c r="T136" i="7" s="1"/>
  <c r="F135" i="7"/>
  <c r="T135" i="7" s="1"/>
  <c r="F134" i="7"/>
  <c r="T134" i="7" s="1"/>
  <c r="T133" i="7"/>
  <c r="F133" i="7"/>
  <c r="U132" i="7"/>
  <c r="T132" i="7"/>
  <c r="F132" i="7"/>
  <c r="T131" i="7"/>
  <c r="F131" i="7"/>
  <c r="T130" i="7"/>
  <c r="F130" i="7"/>
  <c r="U129" i="7"/>
  <c r="F129" i="7"/>
  <c r="T129" i="7" s="1"/>
  <c r="F128" i="7"/>
  <c r="T128" i="7" s="1"/>
  <c r="U130" i="7" s="1"/>
  <c r="F127" i="7"/>
  <c r="T127" i="7" s="1"/>
  <c r="F126" i="7"/>
  <c r="T126" i="7" s="1"/>
  <c r="T125" i="7"/>
  <c r="F125" i="7"/>
  <c r="T124" i="7"/>
  <c r="F124" i="7"/>
  <c r="F123" i="7"/>
  <c r="T123" i="7" s="1"/>
  <c r="T122" i="7"/>
  <c r="F122" i="7"/>
  <c r="F121" i="7"/>
  <c r="T121" i="7" s="1"/>
  <c r="F120" i="7"/>
  <c r="T120" i="7" s="1"/>
  <c r="F119" i="7"/>
  <c r="T119" i="7" s="1"/>
  <c r="F118" i="7"/>
  <c r="T118" i="7" s="1"/>
  <c r="T117" i="7"/>
  <c r="F117" i="7"/>
  <c r="F116" i="7"/>
  <c r="T116" i="7" s="1"/>
  <c r="F115" i="7"/>
  <c r="T115" i="7" s="1"/>
  <c r="T114" i="7"/>
  <c r="F114" i="7"/>
  <c r="F113" i="7"/>
  <c r="T113" i="7" s="1"/>
  <c r="F112" i="7"/>
  <c r="T112" i="7" s="1"/>
  <c r="F111" i="7"/>
  <c r="T111" i="7" s="1"/>
  <c r="T110" i="7"/>
  <c r="F110" i="7"/>
  <c r="T109" i="7"/>
  <c r="F109" i="7"/>
  <c r="U108" i="7"/>
  <c r="F108" i="7"/>
  <c r="T108" i="7" s="1"/>
  <c r="T107" i="7"/>
  <c r="U111" i="7" s="1"/>
  <c r="F107" i="7"/>
  <c r="T106" i="7"/>
  <c r="F106" i="7"/>
  <c r="F105" i="7"/>
  <c r="T105" i="7" s="1"/>
  <c r="F104" i="7"/>
  <c r="T104" i="7" s="1"/>
  <c r="F103" i="7"/>
  <c r="T103" i="7" s="1"/>
  <c r="T102" i="7"/>
  <c r="F102" i="7"/>
  <c r="T101" i="7"/>
  <c r="F101" i="7"/>
  <c r="F100" i="7"/>
  <c r="T100" i="7" s="1"/>
  <c r="U100" i="7" s="1"/>
  <c r="T99" i="7"/>
  <c r="F99" i="7"/>
  <c r="T98" i="7"/>
  <c r="F98" i="7"/>
  <c r="F97" i="7"/>
  <c r="T97" i="7" s="1"/>
  <c r="U99" i="7" s="1"/>
  <c r="F96" i="7"/>
  <c r="T96" i="7" s="1"/>
  <c r="T95" i="7"/>
  <c r="F95" i="7"/>
  <c r="F94" i="7"/>
  <c r="T94" i="7" s="1"/>
  <c r="T93" i="7"/>
  <c r="F93" i="7"/>
  <c r="T92" i="7"/>
  <c r="F92" i="7"/>
  <c r="U91" i="7"/>
  <c r="F91" i="7"/>
  <c r="T91" i="7" s="1"/>
  <c r="F90" i="7"/>
  <c r="T90" i="7" s="1"/>
  <c r="F89" i="7"/>
  <c r="T89" i="7" s="1"/>
  <c r="F88" i="7"/>
  <c r="T88" i="7" s="1"/>
  <c r="U89" i="7" s="1"/>
  <c r="T87" i="7"/>
  <c r="U88" i="7" s="1"/>
  <c r="F87" i="7"/>
  <c r="F86" i="7"/>
  <c r="T86" i="7" s="1"/>
  <c r="T85" i="7"/>
  <c r="F85" i="7"/>
  <c r="T84" i="7"/>
  <c r="F84" i="7"/>
  <c r="F83" i="7"/>
  <c r="T83" i="7" s="1"/>
  <c r="F82" i="7"/>
  <c r="T82" i="7" s="1"/>
  <c r="F81" i="7"/>
  <c r="T81" i="7" s="1"/>
  <c r="F80" i="7"/>
  <c r="T80" i="7" s="1"/>
  <c r="T79" i="7"/>
  <c r="F79" i="7"/>
  <c r="F78" i="7"/>
  <c r="T78" i="7" s="1"/>
  <c r="T77" i="7"/>
  <c r="F77" i="7"/>
  <c r="T76" i="7"/>
  <c r="F76" i="7"/>
  <c r="F75" i="7"/>
  <c r="T75" i="7" s="1"/>
  <c r="F74" i="7"/>
  <c r="T74" i="7" s="1"/>
  <c r="F73" i="7"/>
  <c r="T73" i="7" s="1"/>
  <c r="U75" i="7" s="1"/>
  <c r="F72" i="7"/>
  <c r="T72" i="7" s="1"/>
  <c r="T71" i="7"/>
  <c r="F71" i="7"/>
  <c r="F70" i="7"/>
  <c r="T70" i="7" s="1"/>
  <c r="T69" i="7"/>
  <c r="F69" i="7"/>
  <c r="T68" i="7"/>
  <c r="F68" i="7"/>
  <c r="F67" i="7"/>
  <c r="T67" i="7" s="1"/>
  <c r="F66" i="7"/>
  <c r="T66" i="7" s="1"/>
  <c r="F65" i="7"/>
  <c r="T65" i="7" s="1"/>
  <c r="F64" i="7"/>
  <c r="T64" i="7" s="1"/>
  <c r="T63" i="7"/>
  <c r="F63" i="7"/>
  <c r="F62" i="7"/>
  <c r="T62" i="7" s="1"/>
  <c r="T61" i="7"/>
  <c r="F61" i="7"/>
  <c r="T60" i="7"/>
  <c r="F60" i="7"/>
  <c r="U59" i="7"/>
  <c r="F59" i="7"/>
  <c r="T59" i="7" s="1"/>
  <c r="F58" i="7"/>
  <c r="T58" i="7" s="1"/>
  <c r="F57" i="7"/>
  <c r="T57" i="7" s="1"/>
  <c r="F56" i="7"/>
  <c r="T56" i="7" s="1"/>
  <c r="T55" i="7"/>
  <c r="F55" i="7"/>
  <c r="F54" i="7"/>
  <c r="T54" i="7" s="1"/>
  <c r="T53" i="7"/>
  <c r="F53" i="7"/>
  <c r="T52" i="7"/>
  <c r="F52" i="7"/>
  <c r="F51" i="7"/>
  <c r="T51" i="7" s="1"/>
  <c r="F50" i="7"/>
  <c r="T50" i="7" s="1"/>
  <c r="F49" i="7"/>
  <c r="T49" i="7" s="1"/>
  <c r="F48" i="7"/>
  <c r="T48" i="7" s="1"/>
  <c r="T47" i="7"/>
  <c r="F47" i="7"/>
  <c r="F46" i="7"/>
  <c r="T46" i="7" s="1"/>
  <c r="T45" i="7"/>
  <c r="F45" i="7"/>
  <c r="T44" i="7"/>
  <c r="U44" i="7" s="1"/>
  <c r="F44" i="7"/>
  <c r="F43" i="7"/>
  <c r="T43" i="7" s="1"/>
  <c r="F42" i="7"/>
  <c r="T42" i="7" s="1"/>
  <c r="F41" i="7"/>
  <c r="T41" i="7" s="1"/>
  <c r="F40" i="7"/>
  <c r="T40" i="7" s="1"/>
  <c r="T39" i="7"/>
  <c r="F39" i="7"/>
  <c r="F38" i="7"/>
  <c r="T38" i="7" s="1"/>
  <c r="T37" i="7"/>
  <c r="F37" i="7"/>
  <c r="T36" i="7"/>
  <c r="F36" i="7"/>
  <c r="F35" i="7"/>
  <c r="T35" i="7" s="1"/>
  <c r="T34" i="7"/>
  <c r="F34" i="7"/>
  <c r="F33" i="7"/>
  <c r="T33" i="7" s="1"/>
  <c r="F32" i="7"/>
  <c r="T32" i="7" s="1"/>
  <c r="T31" i="7"/>
  <c r="F31" i="7"/>
  <c r="F30" i="7"/>
  <c r="T30" i="7" s="1"/>
  <c r="F29" i="7"/>
  <c r="T29" i="7" s="1"/>
  <c r="T28" i="7"/>
  <c r="F28" i="7"/>
  <c r="F27" i="7"/>
  <c r="T27" i="7" s="1"/>
  <c r="U28" i="7" s="1"/>
  <c r="T26" i="7"/>
  <c r="F26" i="7"/>
  <c r="F25" i="7"/>
  <c r="T25" i="7" s="1"/>
  <c r="U25" i="7" s="1"/>
  <c r="F24" i="7"/>
  <c r="T24" i="7" s="1"/>
  <c r="T23" i="7"/>
  <c r="F23" i="7"/>
  <c r="T22" i="7"/>
  <c r="F22" i="7"/>
  <c r="F21" i="7"/>
  <c r="T21" i="7" s="1"/>
  <c r="F20" i="7"/>
  <c r="T20" i="7" s="1"/>
  <c r="F19" i="7"/>
  <c r="T19" i="7" s="1"/>
  <c r="F18" i="7"/>
  <c r="T18" i="7" s="1"/>
  <c r="F17" i="7"/>
  <c r="T17" i="7" s="1"/>
  <c r="T16" i="7"/>
  <c r="F16" i="7"/>
  <c r="T15" i="7"/>
  <c r="F15" i="7"/>
  <c r="F14" i="7"/>
  <c r="T14" i="7" s="1"/>
  <c r="F13" i="7"/>
  <c r="T13" i="7" s="1"/>
  <c r="T12" i="7"/>
  <c r="F12" i="7"/>
  <c r="F11" i="7"/>
  <c r="T11" i="7" s="1"/>
  <c r="T10" i="7"/>
  <c r="F10" i="7"/>
  <c r="F9" i="7"/>
  <c r="T9" i="7" s="1"/>
  <c r="T8" i="7"/>
  <c r="F8" i="7"/>
  <c r="T7" i="7"/>
  <c r="U11" i="7" s="1"/>
  <c r="F7" i="7"/>
  <c r="A1" i="7"/>
  <c r="X206" i="6"/>
  <c r="W206" i="6"/>
  <c r="X205" i="6"/>
  <c r="W205" i="6"/>
  <c r="X204" i="6"/>
  <c r="W204" i="6"/>
  <c r="X203" i="6"/>
  <c r="W203" i="6"/>
  <c r="X202" i="6"/>
  <c r="W202" i="6"/>
  <c r="X201" i="6"/>
  <c r="W201" i="6"/>
  <c r="X200" i="6"/>
  <c r="W200" i="6"/>
  <c r="X199" i="6"/>
  <c r="W199" i="6"/>
  <c r="X198" i="6"/>
  <c r="W198" i="6"/>
  <c r="X197" i="6"/>
  <c r="W197" i="6"/>
  <c r="X196" i="6"/>
  <c r="W196" i="6"/>
  <c r="X195" i="6"/>
  <c r="W195" i="6"/>
  <c r="X194" i="6"/>
  <c r="W194" i="6"/>
  <c r="X193" i="6"/>
  <c r="W193" i="6"/>
  <c r="X192" i="6"/>
  <c r="W192" i="6"/>
  <c r="X191" i="6"/>
  <c r="W191" i="6"/>
  <c r="X190" i="6"/>
  <c r="W190" i="6"/>
  <c r="X189" i="6"/>
  <c r="W189" i="6"/>
  <c r="X188" i="6"/>
  <c r="W188" i="6"/>
  <c r="X187" i="6"/>
  <c r="W187" i="6"/>
  <c r="X186" i="6"/>
  <c r="W186" i="6"/>
  <c r="X185" i="6"/>
  <c r="W185" i="6"/>
  <c r="X184" i="6"/>
  <c r="W184" i="6"/>
  <c r="X183" i="6"/>
  <c r="W183" i="6"/>
  <c r="X182" i="6"/>
  <c r="W182" i="6"/>
  <c r="X181" i="6"/>
  <c r="W181" i="6"/>
  <c r="X180" i="6"/>
  <c r="W180" i="6"/>
  <c r="X179" i="6"/>
  <c r="W179" i="6"/>
  <c r="X178" i="6"/>
  <c r="W178" i="6"/>
  <c r="X177" i="6"/>
  <c r="W177" i="6"/>
  <c r="X176" i="6"/>
  <c r="W176" i="6"/>
  <c r="X175" i="6"/>
  <c r="W175" i="6"/>
  <c r="X174" i="6"/>
  <c r="W174" i="6"/>
  <c r="X173" i="6"/>
  <c r="W173" i="6"/>
  <c r="X172" i="6"/>
  <c r="W172" i="6"/>
  <c r="X171" i="6"/>
  <c r="W171" i="6"/>
  <c r="X170" i="6"/>
  <c r="W170" i="6"/>
  <c r="X169" i="6"/>
  <c r="W169" i="6"/>
  <c r="X168" i="6"/>
  <c r="W168" i="6"/>
  <c r="X167" i="6"/>
  <c r="W167" i="6"/>
  <c r="X166" i="6"/>
  <c r="W166" i="6"/>
  <c r="X165" i="6"/>
  <c r="W165" i="6"/>
  <c r="X164" i="6"/>
  <c r="W164" i="6"/>
  <c r="X163" i="6"/>
  <c r="W163" i="6"/>
  <c r="X162" i="6"/>
  <c r="W162" i="6"/>
  <c r="X161" i="6"/>
  <c r="W161" i="6"/>
  <c r="X160" i="6"/>
  <c r="W160" i="6"/>
  <c r="X159" i="6"/>
  <c r="W159" i="6"/>
  <c r="X158" i="6"/>
  <c r="W158" i="6"/>
  <c r="X157" i="6"/>
  <c r="W157" i="6"/>
  <c r="X156" i="6"/>
  <c r="W156" i="6"/>
  <c r="X155" i="6"/>
  <c r="W155" i="6"/>
  <c r="X154" i="6"/>
  <c r="W154" i="6"/>
  <c r="X153" i="6"/>
  <c r="W153" i="6"/>
  <c r="X152" i="6"/>
  <c r="W152" i="6"/>
  <c r="X151" i="6"/>
  <c r="W151" i="6"/>
  <c r="X150" i="6"/>
  <c r="W150" i="6"/>
  <c r="X149" i="6"/>
  <c r="W149" i="6"/>
  <c r="X148" i="6"/>
  <c r="W148" i="6"/>
  <c r="X147" i="6"/>
  <c r="W147" i="6"/>
  <c r="X146" i="6"/>
  <c r="W146" i="6"/>
  <c r="X145" i="6"/>
  <c r="W145" i="6"/>
  <c r="X144" i="6"/>
  <c r="W144" i="6"/>
  <c r="X143" i="6"/>
  <c r="W143" i="6"/>
  <c r="X142" i="6"/>
  <c r="W142" i="6"/>
  <c r="X141" i="6"/>
  <c r="W141" i="6"/>
  <c r="X140" i="6"/>
  <c r="W140" i="6"/>
  <c r="X139" i="6"/>
  <c r="W139" i="6"/>
  <c r="X138" i="6"/>
  <c r="W138" i="6"/>
  <c r="X137" i="6"/>
  <c r="W137" i="6"/>
  <c r="X136" i="6"/>
  <c r="W136" i="6"/>
  <c r="X135" i="6"/>
  <c r="W135" i="6"/>
  <c r="X134" i="6"/>
  <c r="W134" i="6"/>
  <c r="X133" i="6"/>
  <c r="W133" i="6"/>
  <c r="X132" i="6"/>
  <c r="W132" i="6"/>
  <c r="X131" i="6"/>
  <c r="W131" i="6"/>
  <c r="X130" i="6"/>
  <c r="W130" i="6"/>
  <c r="X129" i="6"/>
  <c r="W129" i="6"/>
  <c r="X128" i="6"/>
  <c r="W128" i="6"/>
  <c r="X127" i="6"/>
  <c r="W127" i="6"/>
  <c r="X126" i="6"/>
  <c r="W126" i="6"/>
  <c r="X125" i="6"/>
  <c r="W125" i="6"/>
  <c r="X124" i="6"/>
  <c r="W124" i="6"/>
  <c r="X123" i="6"/>
  <c r="W123" i="6"/>
  <c r="X122" i="6"/>
  <c r="W122" i="6"/>
  <c r="X121" i="6"/>
  <c r="W121" i="6"/>
  <c r="X120" i="6"/>
  <c r="W120" i="6"/>
  <c r="X119" i="6"/>
  <c r="W119" i="6"/>
  <c r="X118" i="6"/>
  <c r="W118" i="6"/>
  <c r="X117" i="6"/>
  <c r="W117" i="6"/>
  <c r="X116" i="6"/>
  <c r="W116" i="6"/>
  <c r="X115" i="6"/>
  <c r="W115" i="6"/>
  <c r="X114" i="6"/>
  <c r="W114" i="6"/>
  <c r="X113" i="6"/>
  <c r="W113" i="6"/>
  <c r="X112" i="6"/>
  <c r="W112" i="6"/>
  <c r="X111" i="6"/>
  <c r="W111" i="6"/>
  <c r="X110" i="6"/>
  <c r="W110" i="6"/>
  <c r="X109" i="6"/>
  <c r="W109" i="6"/>
  <c r="X108" i="6"/>
  <c r="W108" i="6"/>
  <c r="X107" i="6"/>
  <c r="W107" i="6"/>
  <c r="X106" i="6"/>
  <c r="W106" i="6"/>
  <c r="X105" i="6"/>
  <c r="W105" i="6"/>
  <c r="X104" i="6"/>
  <c r="W104" i="6"/>
  <c r="X103" i="6"/>
  <c r="W103" i="6"/>
  <c r="X102" i="6"/>
  <c r="W102" i="6"/>
  <c r="X101" i="6"/>
  <c r="W101" i="6"/>
  <c r="X100" i="6"/>
  <c r="W100" i="6"/>
  <c r="X99" i="6"/>
  <c r="W99" i="6"/>
  <c r="X98" i="6"/>
  <c r="W98" i="6"/>
  <c r="X97" i="6"/>
  <c r="W97" i="6"/>
  <c r="X96" i="6"/>
  <c r="W96" i="6"/>
  <c r="X95" i="6"/>
  <c r="W95" i="6"/>
  <c r="X94" i="6"/>
  <c r="W94" i="6"/>
  <c r="X93" i="6"/>
  <c r="W93" i="6"/>
  <c r="X92" i="6"/>
  <c r="W92" i="6"/>
  <c r="X91" i="6"/>
  <c r="W91" i="6"/>
  <c r="X90" i="6"/>
  <c r="W90" i="6"/>
  <c r="X89" i="6"/>
  <c r="W89" i="6"/>
  <c r="X88" i="6"/>
  <c r="W88" i="6"/>
  <c r="X87" i="6"/>
  <c r="W87" i="6"/>
  <c r="X86" i="6"/>
  <c r="W86" i="6"/>
  <c r="X85" i="6"/>
  <c r="W85" i="6"/>
  <c r="X84" i="6"/>
  <c r="W84" i="6"/>
  <c r="X83" i="6"/>
  <c r="W83" i="6"/>
  <c r="X82" i="6"/>
  <c r="W82" i="6"/>
  <c r="X81" i="6"/>
  <c r="W81" i="6"/>
  <c r="X80" i="6"/>
  <c r="W80" i="6"/>
  <c r="X79" i="6"/>
  <c r="W79" i="6"/>
  <c r="X78" i="6"/>
  <c r="W78" i="6"/>
  <c r="X77" i="6"/>
  <c r="W77" i="6"/>
  <c r="X76" i="6"/>
  <c r="W76" i="6"/>
  <c r="X75" i="6"/>
  <c r="W75" i="6"/>
  <c r="X74" i="6"/>
  <c r="W74" i="6"/>
  <c r="X73" i="6"/>
  <c r="W73" i="6"/>
  <c r="X72" i="6"/>
  <c r="W72" i="6"/>
  <c r="X71" i="6"/>
  <c r="W71" i="6"/>
  <c r="X70" i="6"/>
  <c r="W70" i="6"/>
  <c r="X69" i="6"/>
  <c r="W69" i="6"/>
  <c r="X68" i="6"/>
  <c r="W68" i="6"/>
  <c r="X67" i="6"/>
  <c r="W67" i="6"/>
  <c r="X66" i="6"/>
  <c r="W66" i="6"/>
  <c r="X65" i="6"/>
  <c r="W65" i="6"/>
  <c r="X64" i="6"/>
  <c r="W64" i="6"/>
  <c r="X63" i="6"/>
  <c r="W63" i="6"/>
  <c r="X62" i="6"/>
  <c r="W62" i="6"/>
  <c r="X61" i="6"/>
  <c r="W61" i="6"/>
  <c r="X60" i="6"/>
  <c r="W60" i="6"/>
  <c r="X59" i="6"/>
  <c r="W59" i="6"/>
  <c r="X58" i="6"/>
  <c r="W58" i="6"/>
  <c r="X57" i="6"/>
  <c r="W57" i="6"/>
  <c r="X56" i="6"/>
  <c r="W56" i="6"/>
  <c r="X55" i="6"/>
  <c r="W55" i="6"/>
  <c r="X54" i="6"/>
  <c r="W54" i="6"/>
  <c r="X53" i="6"/>
  <c r="W53" i="6"/>
  <c r="X52" i="6"/>
  <c r="W52" i="6"/>
  <c r="X51" i="6"/>
  <c r="W51" i="6"/>
  <c r="X50" i="6"/>
  <c r="W50" i="6"/>
  <c r="X49" i="6"/>
  <c r="W49" i="6"/>
  <c r="X48" i="6"/>
  <c r="W48" i="6"/>
  <c r="X47" i="6"/>
  <c r="W47" i="6"/>
  <c r="X46" i="6"/>
  <c r="W46" i="6"/>
  <c r="X45" i="6"/>
  <c r="W45" i="6"/>
  <c r="X44" i="6"/>
  <c r="W44" i="6"/>
  <c r="X43" i="6"/>
  <c r="W43" i="6"/>
  <c r="X42" i="6"/>
  <c r="W42" i="6"/>
  <c r="X41" i="6"/>
  <c r="W41" i="6"/>
  <c r="X40" i="6"/>
  <c r="W40" i="6"/>
  <c r="X39" i="6"/>
  <c r="W39" i="6"/>
  <c r="X38" i="6"/>
  <c r="W38" i="6"/>
  <c r="X37" i="6"/>
  <c r="W37" i="6"/>
  <c r="X36" i="6"/>
  <c r="W36" i="6"/>
  <c r="X35" i="6"/>
  <c r="W35" i="6"/>
  <c r="X34" i="6"/>
  <c r="W34" i="6"/>
  <c r="X33" i="6"/>
  <c r="W33" i="6"/>
  <c r="X32" i="6"/>
  <c r="W32" i="6"/>
  <c r="X31" i="6"/>
  <c r="W31" i="6"/>
  <c r="X30" i="6"/>
  <c r="W30" i="6"/>
  <c r="X29" i="6"/>
  <c r="W29" i="6"/>
  <c r="X28" i="6"/>
  <c r="W28" i="6"/>
  <c r="X27" i="6"/>
  <c r="W27" i="6"/>
  <c r="X26" i="6"/>
  <c r="W26" i="6"/>
  <c r="X25" i="6"/>
  <c r="W25" i="6"/>
  <c r="X24" i="6"/>
  <c r="W24" i="6"/>
  <c r="X23" i="6"/>
  <c r="W23" i="6"/>
  <c r="X22" i="6"/>
  <c r="W22" i="6"/>
  <c r="X21" i="6"/>
  <c r="W21" i="6"/>
  <c r="X20" i="6"/>
  <c r="W20" i="6"/>
  <c r="X19" i="6"/>
  <c r="W19" i="6"/>
  <c r="U18" i="6"/>
  <c r="L18" i="6"/>
  <c r="G18" i="6"/>
  <c r="D18" i="6"/>
  <c r="C18" i="6"/>
  <c r="B18" i="6"/>
  <c r="G17" i="6"/>
  <c r="U17" i="6" s="1"/>
  <c r="D17" i="6"/>
  <c r="C17" i="6"/>
  <c r="B17" i="6"/>
  <c r="G16" i="6"/>
  <c r="U16" i="6" s="1"/>
  <c r="D16" i="6"/>
  <c r="C16" i="6"/>
  <c r="B16" i="6"/>
  <c r="U15" i="6"/>
  <c r="G15" i="6"/>
  <c r="D15" i="6"/>
  <c r="C15" i="6"/>
  <c r="B15" i="6"/>
  <c r="L14" i="6"/>
  <c r="K14" i="6"/>
  <c r="K15" i="6" s="1"/>
  <c r="G14" i="6"/>
  <c r="U14" i="6" s="1"/>
  <c r="D14" i="6"/>
  <c r="C14" i="6"/>
  <c r="B14" i="6"/>
  <c r="A1" i="6"/>
  <c r="T206" i="5"/>
  <c r="F206" i="5"/>
  <c r="T205" i="5"/>
  <c r="F205" i="5"/>
  <c r="F204" i="5"/>
  <c r="T204" i="5" s="1"/>
  <c r="F203" i="5"/>
  <c r="T203" i="5" s="1"/>
  <c r="U205" i="5" s="1"/>
  <c r="F202" i="5"/>
  <c r="T202" i="5" s="1"/>
  <c r="T201" i="5"/>
  <c r="F201" i="5"/>
  <c r="U200" i="5"/>
  <c r="F200" i="5"/>
  <c r="T200" i="5" s="1"/>
  <c r="F199" i="5"/>
  <c r="T199" i="5" s="1"/>
  <c r="U197" i="5" s="1"/>
  <c r="T198" i="5"/>
  <c r="F198" i="5"/>
  <c r="T197" i="5"/>
  <c r="U198" i="5" s="1"/>
  <c r="F197" i="5"/>
  <c r="F196" i="5"/>
  <c r="T196" i="5" s="1"/>
  <c r="F195" i="5"/>
  <c r="T195" i="5" s="1"/>
  <c r="F194" i="5"/>
  <c r="T194" i="5" s="1"/>
  <c r="T193" i="5"/>
  <c r="F193" i="5"/>
  <c r="F192" i="5"/>
  <c r="T192" i="5" s="1"/>
  <c r="F191" i="5"/>
  <c r="T191" i="5" s="1"/>
  <c r="T190" i="5"/>
  <c r="F190" i="5"/>
  <c r="T189" i="5"/>
  <c r="F189" i="5"/>
  <c r="T188" i="5"/>
  <c r="F188" i="5"/>
  <c r="F187" i="5"/>
  <c r="T187" i="5" s="1"/>
  <c r="F186" i="5"/>
  <c r="T186" i="5" s="1"/>
  <c r="T185" i="5"/>
  <c r="F185" i="5"/>
  <c r="F184" i="5"/>
  <c r="T184" i="5" s="1"/>
  <c r="F183" i="5"/>
  <c r="T183" i="5" s="1"/>
  <c r="T182" i="5"/>
  <c r="F182" i="5"/>
  <c r="T181" i="5"/>
  <c r="F181" i="5"/>
  <c r="T180" i="5"/>
  <c r="F180" i="5"/>
  <c r="F179" i="5"/>
  <c r="T179" i="5" s="1"/>
  <c r="U180" i="5" s="1"/>
  <c r="F178" i="5"/>
  <c r="T178" i="5" s="1"/>
  <c r="T177" i="5"/>
  <c r="F177" i="5"/>
  <c r="F176" i="5"/>
  <c r="T176" i="5" s="1"/>
  <c r="F175" i="5"/>
  <c r="T175" i="5" s="1"/>
  <c r="T174" i="5"/>
  <c r="U172" i="5" s="1"/>
  <c r="F174" i="5"/>
  <c r="T173" i="5"/>
  <c r="F173" i="5"/>
  <c r="T172" i="5"/>
  <c r="F172" i="5"/>
  <c r="U171" i="5"/>
  <c r="F171" i="5"/>
  <c r="T171" i="5" s="1"/>
  <c r="F170" i="5"/>
  <c r="T170" i="5" s="1"/>
  <c r="T169" i="5"/>
  <c r="F169" i="5"/>
  <c r="F168" i="5"/>
  <c r="T168" i="5" s="1"/>
  <c r="F167" i="5"/>
  <c r="T167" i="5" s="1"/>
  <c r="U168" i="5" s="1"/>
  <c r="T166" i="5"/>
  <c r="F166" i="5"/>
  <c r="T165" i="5"/>
  <c r="F165" i="5"/>
  <c r="T164" i="5"/>
  <c r="F164" i="5"/>
  <c r="F163" i="5"/>
  <c r="T163" i="5" s="1"/>
  <c r="U164" i="5" s="1"/>
  <c r="F162" i="5"/>
  <c r="T162" i="5" s="1"/>
  <c r="U165" i="5" s="1"/>
  <c r="T161" i="5"/>
  <c r="F161" i="5"/>
  <c r="F160" i="5"/>
  <c r="T160" i="5" s="1"/>
  <c r="F159" i="5"/>
  <c r="T159" i="5" s="1"/>
  <c r="T158" i="5"/>
  <c r="F158" i="5"/>
  <c r="T157" i="5"/>
  <c r="F157" i="5"/>
  <c r="T156" i="5"/>
  <c r="F156" i="5"/>
  <c r="F155" i="5"/>
  <c r="T155" i="5" s="1"/>
  <c r="F154" i="5"/>
  <c r="T154" i="5" s="1"/>
  <c r="T153" i="5"/>
  <c r="F153" i="5"/>
  <c r="F152" i="5"/>
  <c r="T152" i="5" s="1"/>
  <c r="F151" i="5"/>
  <c r="T151" i="5" s="1"/>
  <c r="T150" i="5"/>
  <c r="F150" i="5"/>
  <c r="T149" i="5"/>
  <c r="F149" i="5"/>
  <c r="T148" i="5"/>
  <c r="F148" i="5"/>
  <c r="F147" i="5"/>
  <c r="T147" i="5" s="1"/>
  <c r="F146" i="5"/>
  <c r="T146" i="5" s="1"/>
  <c r="T145" i="5"/>
  <c r="F145" i="5"/>
  <c r="F144" i="5"/>
  <c r="T144" i="5" s="1"/>
  <c r="F143" i="5"/>
  <c r="T143" i="5" s="1"/>
  <c r="T142" i="5"/>
  <c r="F142" i="5"/>
  <c r="T141" i="5"/>
  <c r="F141" i="5"/>
  <c r="F140" i="5"/>
  <c r="T140" i="5" s="1"/>
  <c r="F139" i="5"/>
  <c r="T139" i="5" s="1"/>
  <c r="F138" i="5"/>
  <c r="T138" i="5" s="1"/>
  <c r="T137" i="5"/>
  <c r="U141" i="5" s="1"/>
  <c r="F137" i="5"/>
  <c r="F136" i="5"/>
  <c r="T136" i="5" s="1"/>
  <c r="F135" i="5"/>
  <c r="T135" i="5" s="1"/>
  <c r="T134" i="5"/>
  <c r="F134" i="5"/>
  <c r="T133" i="5"/>
  <c r="F133" i="5"/>
  <c r="F132" i="5"/>
  <c r="T132" i="5" s="1"/>
  <c r="U131" i="5"/>
  <c r="F131" i="5"/>
  <c r="T131" i="5" s="1"/>
  <c r="F130" i="5"/>
  <c r="T130" i="5" s="1"/>
  <c r="T129" i="5"/>
  <c r="F129" i="5"/>
  <c r="T128" i="5"/>
  <c r="F128" i="5"/>
  <c r="T127" i="5"/>
  <c r="F127" i="5"/>
  <c r="F126" i="5"/>
  <c r="T126" i="5" s="1"/>
  <c r="F125" i="5"/>
  <c r="T125" i="5" s="1"/>
  <c r="T124" i="5"/>
  <c r="F124" i="5"/>
  <c r="T123" i="5"/>
  <c r="F123" i="5"/>
  <c r="F122" i="5"/>
  <c r="T122" i="5" s="1"/>
  <c r="F121" i="5"/>
  <c r="T121" i="5" s="1"/>
  <c r="T120" i="5"/>
  <c r="F120" i="5"/>
  <c r="U119" i="5"/>
  <c r="T119" i="5"/>
  <c r="F119" i="5"/>
  <c r="U118" i="5"/>
  <c r="F118" i="5"/>
  <c r="T118" i="5" s="1"/>
  <c r="F117" i="5"/>
  <c r="T117" i="5" s="1"/>
  <c r="T116" i="5"/>
  <c r="F116" i="5"/>
  <c r="T115" i="5"/>
  <c r="F115" i="5"/>
  <c r="F114" i="5"/>
  <c r="T114" i="5" s="1"/>
  <c r="F113" i="5"/>
  <c r="T113" i="5" s="1"/>
  <c r="T112" i="5"/>
  <c r="F112" i="5"/>
  <c r="T111" i="5"/>
  <c r="F111" i="5"/>
  <c r="F110" i="5"/>
  <c r="T110" i="5" s="1"/>
  <c r="F109" i="5"/>
  <c r="T109" i="5" s="1"/>
  <c r="T108" i="5"/>
  <c r="F108" i="5"/>
  <c r="T107" i="5"/>
  <c r="F107" i="5"/>
  <c r="F106" i="5"/>
  <c r="T106" i="5" s="1"/>
  <c r="F105" i="5"/>
  <c r="T105" i="5" s="1"/>
  <c r="T104" i="5"/>
  <c r="U103" i="5" s="1"/>
  <c r="F104" i="5"/>
  <c r="T103" i="5"/>
  <c r="F103" i="5"/>
  <c r="F102" i="5"/>
  <c r="T102" i="5" s="1"/>
  <c r="F101" i="5"/>
  <c r="T101" i="5" s="1"/>
  <c r="T100" i="5"/>
  <c r="F100" i="5"/>
  <c r="T99" i="5"/>
  <c r="F99" i="5"/>
  <c r="F98" i="5"/>
  <c r="T98" i="5" s="1"/>
  <c r="F97" i="5"/>
  <c r="T97" i="5" s="1"/>
  <c r="T96" i="5"/>
  <c r="F96" i="5"/>
  <c r="T95" i="5"/>
  <c r="F95" i="5"/>
  <c r="F94" i="5"/>
  <c r="T94" i="5" s="1"/>
  <c r="F93" i="5"/>
  <c r="T93" i="5" s="1"/>
  <c r="U95" i="5" s="1"/>
  <c r="T92" i="5"/>
  <c r="F92" i="5"/>
  <c r="T91" i="5"/>
  <c r="F91" i="5"/>
  <c r="F90" i="5"/>
  <c r="T90" i="5" s="1"/>
  <c r="F89" i="5"/>
  <c r="T89" i="5" s="1"/>
  <c r="T88" i="5"/>
  <c r="F88" i="5"/>
  <c r="U87" i="5"/>
  <c r="T87" i="5"/>
  <c r="F87" i="5"/>
  <c r="U86" i="5"/>
  <c r="F86" i="5"/>
  <c r="T86" i="5" s="1"/>
  <c r="F85" i="5"/>
  <c r="T85" i="5" s="1"/>
  <c r="T84" i="5"/>
  <c r="F84" i="5"/>
  <c r="T83" i="5"/>
  <c r="F83" i="5"/>
  <c r="F82" i="5"/>
  <c r="T82" i="5" s="1"/>
  <c r="F81" i="5"/>
  <c r="T81" i="5" s="1"/>
  <c r="T80" i="5"/>
  <c r="F80" i="5"/>
  <c r="T79" i="5"/>
  <c r="F79" i="5"/>
  <c r="F78" i="5"/>
  <c r="T78" i="5" s="1"/>
  <c r="F77" i="5"/>
  <c r="T77" i="5" s="1"/>
  <c r="T76" i="5"/>
  <c r="F76" i="5"/>
  <c r="T75" i="5"/>
  <c r="F75" i="5"/>
  <c r="F74" i="5"/>
  <c r="T74" i="5" s="1"/>
  <c r="F73" i="5"/>
  <c r="T73" i="5" s="1"/>
  <c r="T72" i="5"/>
  <c r="F72" i="5"/>
  <c r="U71" i="5"/>
  <c r="T71" i="5"/>
  <c r="F71" i="5"/>
  <c r="U70" i="5"/>
  <c r="F70" i="5"/>
  <c r="T70" i="5" s="1"/>
  <c r="F69" i="5"/>
  <c r="T69" i="5" s="1"/>
  <c r="T68" i="5"/>
  <c r="F68" i="5"/>
  <c r="T67" i="5"/>
  <c r="F67" i="5"/>
  <c r="F66" i="5"/>
  <c r="T66" i="5" s="1"/>
  <c r="F65" i="5"/>
  <c r="T65" i="5" s="1"/>
  <c r="T64" i="5"/>
  <c r="F64" i="5"/>
  <c r="T63" i="5"/>
  <c r="F63" i="5"/>
  <c r="F62" i="5"/>
  <c r="T62" i="5" s="1"/>
  <c r="F61" i="5"/>
  <c r="T61" i="5" s="1"/>
  <c r="T60" i="5"/>
  <c r="F60" i="5"/>
  <c r="T59" i="5"/>
  <c r="F59" i="5"/>
  <c r="F58" i="5"/>
  <c r="T58" i="5" s="1"/>
  <c r="F57" i="5"/>
  <c r="T57" i="5" s="1"/>
  <c r="T56" i="5"/>
  <c r="F56" i="5"/>
  <c r="T55" i="5"/>
  <c r="F55" i="5"/>
  <c r="F54" i="5"/>
  <c r="T54" i="5" s="1"/>
  <c r="F53" i="5"/>
  <c r="T53" i="5" s="1"/>
  <c r="F52" i="5"/>
  <c r="T52" i="5" s="1"/>
  <c r="T51" i="5"/>
  <c r="F51" i="5"/>
  <c r="F50" i="5"/>
  <c r="T50" i="5" s="1"/>
  <c r="F49" i="5"/>
  <c r="T49" i="5" s="1"/>
  <c r="T48" i="5"/>
  <c r="F48" i="5"/>
  <c r="T47" i="5"/>
  <c r="F47" i="5"/>
  <c r="T46" i="5"/>
  <c r="F46" i="5"/>
  <c r="F45" i="5"/>
  <c r="T45" i="5" s="1"/>
  <c r="F44" i="5"/>
  <c r="T44" i="5" s="1"/>
  <c r="F43" i="5"/>
  <c r="T43" i="5" s="1"/>
  <c r="F42" i="5"/>
  <c r="T42" i="5" s="1"/>
  <c r="F41" i="5"/>
  <c r="T41" i="5" s="1"/>
  <c r="T40" i="5"/>
  <c r="F40" i="5"/>
  <c r="T39" i="5"/>
  <c r="F39" i="5"/>
  <c r="U38" i="5"/>
  <c r="T38" i="5"/>
  <c r="F38" i="5"/>
  <c r="U37" i="5"/>
  <c r="F37" i="5"/>
  <c r="T37" i="5" s="1"/>
  <c r="F36" i="5"/>
  <c r="T36" i="5" s="1"/>
  <c r="F35" i="5"/>
  <c r="T35" i="5" s="1"/>
  <c r="F34" i="5"/>
  <c r="T34" i="5" s="1"/>
  <c r="F33" i="5"/>
  <c r="T33" i="5" s="1"/>
  <c r="T32" i="5"/>
  <c r="F32" i="5"/>
  <c r="T31" i="5"/>
  <c r="F31" i="5"/>
  <c r="U30" i="5"/>
  <c r="T30" i="5"/>
  <c r="F30" i="5"/>
  <c r="U29" i="5"/>
  <c r="F29" i="5"/>
  <c r="T29" i="5" s="1"/>
  <c r="F28" i="5"/>
  <c r="T28" i="5" s="1"/>
  <c r="F27" i="5"/>
  <c r="T27" i="5" s="1"/>
  <c r="F26" i="5"/>
  <c r="T26" i="5" s="1"/>
  <c r="F25" i="5"/>
  <c r="T25" i="5" s="1"/>
  <c r="U22" i="5" s="1"/>
  <c r="T24" i="5"/>
  <c r="F24" i="5"/>
  <c r="T23" i="5"/>
  <c r="F23" i="5"/>
  <c r="T22" i="5"/>
  <c r="F22" i="5"/>
  <c r="F21" i="5"/>
  <c r="T21" i="5" s="1"/>
  <c r="F20" i="5"/>
  <c r="T20" i="5" s="1"/>
  <c r="F19" i="5"/>
  <c r="T19" i="5" s="1"/>
  <c r="F18" i="5"/>
  <c r="T18" i="5" s="1"/>
  <c r="F17" i="5"/>
  <c r="T17" i="5" s="1"/>
  <c r="U21" i="5" s="1"/>
  <c r="T16" i="5"/>
  <c r="F16" i="5"/>
  <c r="T15" i="5"/>
  <c r="F15" i="5"/>
  <c r="T14" i="5"/>
  <c r="F14" i="5"/>
  <c r="F13" i="5"/>
  <c r="T13" i="5" s="1"/>
  <c r="U14" i="5" s="1"/>
  <c r="F12" i="5"/>
  <c r="T12" i="5" s="1"/>
  <c r="F11" i="5"/>
  <c r="T11" i="5" s="1"/>
  <c r="F10" i="5"/>
  <c r="T10" i="5" s="1"/>
  <c r="F9" i="5"/>
  <c r="T9" i="5" s="1"/>
  <c r="T8" i="5"/>
  <c r="F8" i="5"/>
  <c r="T7" i="5"/>
  <c r="F7" i="5"/>
  <c r="A1" i="5"/>
  <c r="A1" i="4"/>
  <c r="AB206" i="3"/>
  <c r="Y206" i="3"/>
  <c r="X206" i="3"/>
  <c r="W206" i="3"/>
  <c r="T206" i="3"/>
  <c r="S206" i="3"/>
  <c r="R206" i="3"/>
  <c r="Q206" i="3"/>
  <c r="P206" i="3"/>
  <c r="O206" i="3"/>
  <c r="N206" i="3"/>
  <c r="L206" i="3"/>
  <c r="K206" i="3"/>
  <c r="J206" i="3"/>
  <c r="I206" i="3"/>
  <c r="H206" i="3"/>
  <c r="F206" i="3"/>
  <c r="AB205" i="3"/>
  <c r="Y205" i="3"/>
  <c r="X205" i="3"/>
  <c r="W205" i="3"/>
  <c r="T205" i="3"/>
  <c r="S205" i="3"/>
  <c r="R205" i="3"/>
  <c r="Q205" i="3"/>
  <c r="P205" i="3"/>
  <c r="O205" i="3"/>
  <c r="N205" i="3"/>
  <c r="K205" i="3"/>
  <c r="L205" i="3" s="1"/>
  <c r="J205" i="3"/>
  <c r="I205" i="3"/>
  <c r="H205" i="3"/>
  <c r="F205" i="3"/>
  <c r="AB204" i="3"/>
  <c r="Y204" i="3"/>
  <c r="X204" i="3"/>
  <c r="W204" i="3"/>
  <c r="T204" i="3"/>
  <c r="R204" i="3"/>
  <c r="N204" i="3" s="1"/>
  <c r="Q204" i="3"/>
  <c r="P204" i="3"/>
  <c r="O204" i="3"/>
  <c r="L204" i="3"/>
  <c r="K204" i="3"/>
  <c r="J204" i="3"/>
  <c r="I204" i="3"/>
  <c r="H204" i="3"/>
  <c r="F204" i="3"/>
  <c r="AB203" i="3"/>
  <c r="Y203" i="3"/>
  <c r="X203" i="3"/>
  <c r="W203" i="3"/>
  <c r="T203" i="3"/>
  <c r="R203" i="3"/>
  <c r="S203" i="3" s="1"/>
  <c r="Q203" i="3"/>
  <c r="P203" i="3"/>
  <c r="O203" i="3"/>
  <c r="N203" i="3"/>
  <c r="L203" i="3"/>
  <c r="K203" i="3"/>
  <c r="J203" i="3"/>
  <c r="I203" i="3"/>
  <c r="H203" i="3"/>
  <c r="F203" i="3"/>
  <c r="AB202" i="3"/>
  <c r="Y202" i="3"/>
  <c r="X202" i="3"/>
  <c r="W202" i="3"/>
  <c r="T202" i="3"/>
  <c r="S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S200" i="3"/>
  <c r="R200" i="3"/>
  <c r="Q200" i="3"/>
  <c r="P200" i="3"/>
  <c r="O200" i="3"/>
  <c r="N200" i="3"/>
  <c r="L200" i="3"/>
  <c r="K200" i="3"/>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S198" i="3"/>
  <c r="R198" i="3"/>
  <c r="Q198" i="3"/>
  <c r="P198" i="3"/>
  <c r="O198" i="3"/>
  <c r="N198" i="3"/>
  <c r="L198" i="3"/>
  <c r="K198" i="3"/>
  <c r="J198" i="3"/>
  <c r="I198" i="3"/>
  <c r="H198" i="3"/>
  <c r="F198" i="3"/>
  <c r="AB197" i="3"/>
  <c r="Y197" i="3"/>
  <c r="X197" i="3"/>
  <c r="W197" i="3"/>
  <c r="T197" i="3"/>
  <c r="S197" i="3"/>
  <c r="R197" i="3"/>
  <c r="N197" i="3" s="1"/>
  <c r="Q197" i="3"/>
  <c r="P197" i="3"/>
  <c r="O197" i="3"/>
  <c r="K197" i="3"/>
  <c r="L197" i="3" s="1"/>
  <c r="J197" i="3"/>
  <c r="I197" i="3"/>
  <c r="H197" i="3"/>
  <c r="F197" i="3"/>
  <c r="AB196" i="3"/>
  <c r="Y196" i="3"/>
  <c r="X196" i="3"/>
  <c r="W196" i="3"/>
  <c r="T196" i="3"/>
  <c r="R196" i="3"/>
  <c r="N196" i="3" s="1"/>
  <c r="Q196" i="3"/>
  <c r="P196" i="3"/>
  <c r="O196" i="3"/>
  <c r="L196" i="3"/>
  <c r="K196" i="3"/>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S194" i="3"/>
  <c r="R194" i="3"/>
  <c r="N194" i="3" s="1"/>
  <c r="Q194" i="3"/>
  <c r="P194" i="3"/>
  <c r="O194" i="3"/>
  <c r="K194" i="3"/>
  <c r="L194" i="3" s="1"/>
  <c r="J194" i="3"/>
  <c r="I194" i="3"/>
  <c r="H194" i="3"/>
  <c r="F194" i="3"/>
  <c r="AB193" i="3"/>
  <c r="Y193" i="3"/>
  <c r="X193" i="3"/>
  <c r="W193" i="3"/>
  <c r="T193" i="3"/>
  <c r="R193" i="3"/>
  <c r="S193" i="3" s="1"/>
  <c r="Q193" i="3"/>
  <c r="P193" i="3"/>
  <c r="O193" i="3"/>
  <c r="N193" i="3"/>
  <c r="K193" i="3"/>
  <c r="L193" i="3" s="1"/>
  <c r="J193" i="3"/>
  <c r="I193" i="3"/>
  <c r="H193" i="3"/>
  <c r="F193" i="3"/>
  <c r="AB192" i="3"/>
  <c r="Y192" i="3"/>
  <c r="X192" i="3"/>
  <c r="W192" i="3"/>
  <c r="T192" i="3"/>
  <c r="S192" i="3"/>
  <c r="R192" i="3"/>
  <c r="Q192" i="3"/>
  <c r="P192" i="3"/>
  <c r="O192" i="3"/>
  <c r="N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S190" i="3"/>
  <c r="R190" i="3"/>
  <c r="Q190" i="3"/>
  <c r="P190" i="3"/>
  <c r="O190" i="3"/>
  <c r="N190" i="3"/>
  <c r="L190" i="3"/>
  <c r="K190" i="3"/>
  <c r="J190" i="3"/>
  <c r="I190" i="3"/>
  <c r="H190" i="3"/>
  <c r="F190" i="3"/>
  <c r="AB189" i="3"/>
  <c r="Y189" i="3"/>
  <c r="X189" i="3"/>
  <c r="W189" i="3"/>
  <c r="T189" i="3"/>
  <c r="S189" i="3"/>
  <c r="R189" i="3"/>
  <c r="N189" i="3" s="1"/>
  <c r="Q189" i="3"/>
  <c r="P189" i="3"/>
  <c r="O189" i="3"/>
  <c r="K189" i="3"/>
  <c r="L189" i="3" s="1"/>
  <c r="J189" i="3"/>
  <c r="I189" i="3"/>
  <c r="H189" i="3"/>
  <c r="F189" i="3"/>
  <c r="AB188" i="3"/>
  <c r="Y188" i="3"/>
  <c r="X188" i="3"/>
  <c r="W188" i="3"/>
  <c r="T188" i="3"/>
  <c r="R188" i="3"/>
  <c r="N188" i="3" s="1"/>
  <c r="Q188" i="3"/>
  <c r="P188" i="3"/>
  <c r="O188" i="3"/>
  <c r="L188" i="3"/>
  <c r="K188" i="3"/>
  <c r="J188" i="3"/>
  <c r="I188" i="3"/>
  <c r="H188" i="3"/>
  <c r="F188" i="3"/>
  <c r="AB187" i="3"/>
  <c r="Y187" i="3"/>
  <c r="X187" i="3"/>
  <c r="W187" i="3"/>
  <c r="T187" i="3"/>
  <c r="R187" i="3"/>
  <c r="S187" i="3" s="1"/>
  <c r="Q187" i="3"/>
  <c r="P187" i="3"/>
  <c r="O187" i="3"/>
  <c r="N187" i="3"/>
  <c r="L187" i="3"/>
  <c r="K187" i="3"/>
  <c r="J187" i="3"/>
  <c r="I187" i="3"/>
  <c r="H187" i="3"/>
  <c r="F187" i="3"/>
  <c r="AB186" i="3"/>
  <c r="Y186" i="3"/>
  <c r="X186" i="3"/>
  <c r="W186" i="3"/>
  <c r="T186" i="3"/>
  <c r="R186" i="3"/>
  <c r="N186" i="3" s="1"/>
  <c r="Q186" i="3"/>
  <c r="P186" i="3"/>
  <c r="O186" i="3"/>
  <c r="K186" i="3"/>
  <c r="L186" i="3" s="1"/>
  <c r="J186" i="3"/>
  <c r="I186" i="3"/>
  <c r="H186" i="3"/>
  <c r="F186" i="3"/>
  <c r="AB185" i="3"/>
  <c r="Y185" i="3"/>
  <c r="X185" i="3"/>
  <c r="W185" i="3"/>
  <c r="T185" i="3"/>
  <c r="R185" i="3"/>
  <c r="S185" i="3" s="1"/>
  <c r="Q185" i="3"/>
  <c r="P185" i="3"/>
  <c r="O185" i="3"/>
  <c r="N185" i="3"/>
  <c r="K185" i="3"/>
  <c r="L185" i="3" s="1"/>
  <c r="J185" i="3"/>
  <c r="I185" i="3"/>
  <c r="H185" i="3"/>
  <c r="F185" i="3"/>
  <c r="AB184" i="3"/>
  <c r="Y184" i="3"/>
  <c r="X184" i="3"/>
  <c r="W184" i="3"/>
  <c r="T184" i="3"/>
  <c r="S184" i="3"/>
  <c r="R184" i="3"/>
  <c r="Q184" i="3"/>
  <c r="P184" i="3"/>
  <c r="O184" i="3"/>
  <c r="N184" i="3"/>
  <c r="L184" i="3"/>
  <c r="K184" i="3"/>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S182" i="3"/>
  <c r="R182" i="3"/>
  <c r="Q182" i="3"/>
  <c r="P182" i="3"/>
  <c r="O182" i="3"/>
  <c r="N182" i="3"/>
  <c r="L182" i="3"/>
  <c r="K182" i="3"/>
  <c r="J182" i="3"/>
  <c r="I182" i="3"/>
  <c r="H182" i="3"/>
  <c r="F182" i="3"/>
  <c r="AB181" i="3"/>
  <c r="Y181" i="3"/>
  <c r="X181" i="3"/>
  <c r="W181" i="3"/>
  <c r="T181" i="3"/>
  <c r="S181" i="3"/>
  <c r="R181" i="3"/>
  <c r="N181" i="3" s="1"/>
  <c r="Q181" i="3"/>
  <c r="P181" i="3"/>
  <c r="O181" i="3"/>
  <c r="K181" i="3"/>
  <c r="L181" i="3" s="1"/>
  <c r="J181" i="3"/>
  <c r="I181" i="3"/>
  <c r="H181" i="3"/>
  <c r="F181" i="3"/>
  <c r="AB180" i="3"/>
  <c r="Y180" i="3"/>
  <c r="X180" i="3"/>
  <c r="W180" i="3"/>
  <c r="T180" i="3"/>
  <c r="R180" i="3"/>
  <c r="N180" i="3" s="1"/>
  <c r="Q180" i="3"/>
  <c r="P180" i="3"/>
  <c r="O180" i="3"/>
  <c r="L180" i="3"/>
  <c r="K180" i="3"/>
  <c r="J180" i="3"/>
  <c r="I180" i="3"/>
  <c r="H180" i="3"/>
  <c r="F180" i="3"/>
  <c r="AB179" i="3"/>
  <c r="Y179" i="3"/>
  <c r="X179" i="3"/>
  <c r="W179" i="3"/>
  <c r="T179" i="3"/>
  <c r="R179" i="3"/>
  <c r="S179" i="3" s="1"/>
  <c r="Q179" i="3"/>
  <c r="P179" i="3"/>
  <c r="O179" i="3"/>
  <c r="N179" i="3"/>
  <c r="K179" i="3"/>
  <c r="L179" i="3" s="1"/>
  <c r="J179" i="3"/>
  <c r="I179" i="3"/>
  <c r="H179" i="3"/>
  <c r="F179" i="3"/>
  <c r="AB178" i="3"/>
  <c r="Y178" i="3"/>
  <c r="X178" i="3"/>
  <c r="W178" i="3"/>
  <c r="T178" i="3"/>
  <c r="S178" i="3"/>
  <c r="R178" i="3"/>
  <c r="N178" i="3" s="1"/>
  <c r="Q178" i="3"/>
  <c r="P178" i="3"/>
  <c r="O178" i="3"/>
  <c r="K178" i="3"/>
  <c r="L178" i="3" s="1"/>
  <c r="J178" i="3"/>
  <c r="I178" i="3"/>
  <c r="H178" i="3"/>
  <c r="F178" i="3"/>
  <c r="AB177" i="3"/>
  <c r="Y177" i="3"/>
  <c r="X177" i="3"/>
  <c r="W177" i="3"/>
  <c r="T177" i="3"/>
  <c r="R177" i="3"/>
  <c r="S177" i="3" s="1"/>
  <c r="Q177" i="3"/>
  <c r="P177" i="3"/>
  <c r="O177" i="3"/>
  <c r="N177" i="3"/>
  <c r="K177" i="3"/>
  <c r="L177" i="3" s="1"/>
  <c r="J177" i="3"/>
  <c r="I177" i="3"/>
  <c r="H177" i="3"/>
  <c r="F177" i="3"/>
  <c r="AB176" i="3"/>
  <c r="Y176" i="3"/>
  <c r="X176" i="3"/>
  <c r="W176" i="3"/>
  <c r="T176" i="3"/>
  <c r="S176" i="3"/>
  <c r="R176" i="3"/>
  <c r="Q176" i="3"/>
  <c r="P176" i="3"/>
  <c r="O176" i="3"/>
  <c r="N176" i="3"/>
  <c r="L176" i="3"/>
  <c r="K176" i="3"/>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S174" i="3"/>
  <c r="R174" i="3"/>
  <c r="Q174" i="3"/>
  <c r="P174" i="3"/>
  <c r="O174" i="3"/>
  <c r="N174" i="3"/>
  <c r="L174" i="3"/>
  <c r="K174" i="3"/>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L172" i="3"/>
  <c r="K172" i="3"/>
  <c r="J172" i="3"/>
  <c r="I172" i="3"/>
  <c r="H172" i="3"/>
  <c r="F172" i="3"/>
  <c r="AB171" i="3"/>
  <c r="Y171" i="3"/>
  <c r="X171" i="3"/>
  <c r="W171" i="3"/>
  <c r="T171" i="3"/>
  <c r="R171" i="3"/>
  <c r="S171" i="3" s="1"/>
  <c r="Q171" i="3"/>
  <c r="P171" i="3"/>
  <c r="O171" i="3"/>
  <c r="N171" i="3"/>
  <c r="L171" i="3"/>
  <c r="K171" i="3"/>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S169" i="3" s="1"/>
  <c r="Q169" i="3"/>
  <c r="P169" i="3"/>
  <c r="O169" i="3"/>
  <c r="N169" i="3"/>
  <c r="K169" i="3"/>
  <c r="L169" i="3" s="1"/>
  <c r="J169" i="3"/>
  <c r="I169" i="3"/>
  <c r="H169" i="3"/>
  <c r="F169" i="3"/>
  <c r="AB168" i="3"/>
  <c r="Y168" i="3"/>
  <c r="X168" i="3"/>
  <c r="W168" i="3"/>
  <c r="T168" i="3"/>
  <c r="S168" i="3"/>
  <c r="R168" i="3"/>
  <c r="Q168" i="3"/>
  <c r="P168" i="3"/>
  <c r="O168" i="3"/>
  <c r="N168" i="3"/>
  <c r="L168" i="3"/>
  <c r="K168" i="3"/>
  <c r="J168" i="3"/>
  <c r="I168" i="3"/>
  <c r="H168" i="3"/>
  <c r="F168" i="3"/>
  <c r="AB167" i="3"/>
  <c r="Y167" i="3"/>
  <c r="X167" i="3"/>
  <c r="W167" i="3"/>
  <c r="T167" i="3"/>
  <c r="S167" i="3"/>
  <c r="R167" i="3"/>
  <c r="Q167" i="3"/>
  <c r="P167" i="3"/>
  <c r="O167" i="3"/>
  <c r="N167" i="3"/>
  <c r="K167" i="3"/>
  <c r="L167" i="3" s="1"/>
  <c r="J167" i="3"/>
  <c r="I167" i="3"/>
  <c r="H167" i="3"/>
  <c r="F167" i="3"/>
  <c r="AB166" i="3"/>
  <c r="Y166" i="3"/>
  <c r="X166" i="3"/>
  <c r="W166" i="3"/>
  <c r="T166" i="3"/>
  <c r="S166" i="3"/>
  <c r="R166" i="3"/>
  <c r="Q166" i="3"/>
  <c r="P166" i="3"/>
  <c r="O166" i="3"/>
  <c r="N166" i="3"/>
  <c r="L166" i="3"/>
  <c r="K166" i="3"/>
  <c r="J166" i="3"/>
  <c r="I166" i="3"/>
  <c r="H166" i="3"/>
  <c r="F166" i="3"/>
  <c r="AB165" i="3"/>
  <c r="Y165" i="3"/>
  <c r="X165" i="3"/>
  <c r="W165" i="3"/>
  <c r="T165" i="3"/>
  <c r="R165" i="3"/>
  <c r="N165" i="3" s="1"/>
  <c r="Q165" i="3"/>
  <c r="P165" i="3"/>
  <c r="O165" i="3"/>
  <c r="L165" i="3"/>
  <c r="K165" i="3"/>
  <c r="J165" i="3"/>
  <c r="I165" i="3"/>
  <c r="H165" i="3"/>
  <c r="F165" i="3"/>
  <c r="AB164" i="3"/>
  <c r="Y164" i="3"/>
  <c r="X164" i="3"/>
  <c r="W164" i="3"/>
  <c r="T164" i="3"/>
  <c r="R164" i="3"/>
  <c r="Q164" i="3"/>
  <c r="P164" i="3"/>
  <c r="O164" i="3"/>
  <c r="L164" i="3"/>
  <c r="K164" i="3"/>
  <c r="J164" i="3"/>
  <c r="I164" i="3"/>
  <c r="H164" i="3"/>
  <c r="F164" i="3"/>
  <c r="AB163" i="3"/>
  <c r="Y163" i="3"/>
  <c r="X163" i="3"/>
  <c r="W163" i="3"/>
  <c r="T163" i="3"/>
  <c r="R163" i="3"/>
  <c r="S163" i="3" s="1"/>
  <c r="Q163" i="3"/>
  <c r="P163" i="3"/>
  <c r="O163" i="3"/>
  <c r="L163" i="3"/>
  <c r="K163" i="3"/>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S161" i="3" s="1"/>
  <c r="Q161" i="3"/>
  <c r="P161" i="3"/>
  <c r="O161" i="3"/>
  <c r="N161" i="3"/>
  <c r="K161" i="3"/>
  <c r="L161" i="3" s="1"/>
  <c r="J161" i="3"/>
  <c r="I161" i="3"/>
  <c r="H161" i="3"/>
  <c r="F161" i="3"/>
  <c r="AB160" i="3"/>
  <c r="Y160" i="3"/>
  <c r="X160" i="3"/>
  <c r="W160" i="3"/>
  <c r="T160" i="3"/>
  <c r="S160" i="3"/>
  <c r="R160" i="3"/>
  <c r="Q160" i="3"/>
  <c r="P160" i="3"/>
  <c r="O160" i="3"/>
  <c r="N160" i="3"/>
  <c r="K160" i="3"/>
  <c r="L160" i="3" s="1"/>
  <c r="J160" i="3"/>
  <c r="I160" i="3"/>
  <c r="H160" i="3"/>
  <c r="F160" i="3"/>
  <c r="AB159" i="3"/>
  <c r="Y159" i="3"/>
  <c r="X159" i="3"/>
  <c r="W159" i="3"/>
  <c r="T159" i="3"/>
  <c r="R159" i="3"/>
  <c r="S159" i="3" s="1"/>
  <c r="Q159" i="3"/>
  <c r="P159" i="3"/>
  <c r="O159" i="3"/>
  <c r="K159" i="3"/>
  <c r="L159" i="3" s="1"/>
  <c r="J159" i="3"/>
  <c r="I159" i="3"/>
  <c r="H159" i="3"/>
  <c r="F159" i="3"/>
  <c r="AB158" i="3"/>
  <c r="Y158" i="3"/>
  <c r="X158" i="3"/>
  <c r="W158" i="3"/>
  <c r="T158" i="3"/>
  <c r="S158" i="3"/>
  <c r="R158" i="3"/>
  <c r="Q158" i="3"/>
  <c r="P158" i="3"/>
  <c r="O158" i="3"/>
  <c r="N158" i="3"/>
  <c r="L158" i="3"/>
  <c r="K158" i="3"/>
  <c r="J158" i="3"/>
  <c r="I158" i="3"/>
  <c r="H158" i="3"/>
  <c r="F158" i="3"/>
  <c r="AB157" i="3"/>
  <c r="Y157" i="3"/>
  <c r="X157" i="3"/>
  <c r="W157" i="3"/>
  <c r="T157" i="3"/>
  <c r="S157" i="3"/>
  <c r="R157" i="3"/>
  <c r="N157" i="3" s="1"/>
  <c r="Q157" i="3"/>
  <c r="P157" i="3"/>
  <c r="O157" i="3"/>
  <c r="K157" i="3"/>
  <c r="L157" i="3" s="1"/>
  <c r="J157" i="3"/>
  <c r="I157" i="3"/>
  <c r="H157" i="3"/>
  <c r="F157" i="3"/>
  <c r="AB156" i="3"/>
  <c r="Y156" i="3"/>
  <c r="X156" i="3"/>
  <c r="W156" i="3"/>
  <c r="T156" i="3"/>
  <c r="R156" i="3"/>
  <c r="Q156" i="3"/>
  <c r="P156" i="3"/>
  <c r="O156" i="3"/>
  <c r="L156" i="3"/>
  <c r="K156" i="3"/>
  <c r="J156" i="3"/>
  <c r="I156" i="3"/>
  <c r="H156" i="3"/>
  <c r="F156" i="3"/>
  <c r="AB155" i="3"/>
  <c r="Y155" i="3"/>
  <c r="X155" i="3"/>
  <c r="W155" i="3"/>
  <c r="T155" i="3"/>
  <c r="R155" i="3"/>
  <c r="S155" i="3" s="1"/>
  <c r="Q155" i="3"/>
  <c r="P155" i="3"/>
  <c r="O155" i="3"/>
  <c r="N155" i="3"/>
  <c r="K155" i="3"/>
  <c r="L155" i="3" s="1"/>
  <c r="J155" i="3"/>
  <c r="I155" i="3"/>
  <c r="H155" i="3"/>
  <c r="F155" i="3"/>
  <c r="AB154" i="3"/>
  <c r="Y154" i="3"/>
  <c r="X154" i="3"/>
  <c r="W154" i="3"/>
  <c r="T154" i="3"/>
  <c r="S154" i="3"/>
  <c r="R154" i="3"/>
  <c r="N154" i="3" s="1"/>
  <c r="Q154" i="3"/>
  <c r="P154" i="3"/>
  <c r="O154" i="3"/>
  <c r="K154" i="3"/>
  <c r="L154" i="3" s="1"/>
  <c r="J154" i="3"/>
  <c r="I154" i="3"/>
  <c r="H154" i="3"/>
  <c r="F154" i="3"/>
  <c r="AB153" i="3"/>
  <c r="Y153" i="3"/>
  <c r="X153" i="3"/>
  <c r="W153" i="3"/>
  <c r="T153" i="3"/>
  <c r="R153" i="3"/>
  <c r="S153" i="3" s="1"/>
  <c r="Q153" i="3"/>
  <c r="P153" i="3"/>
  <c r="O153" i="3"/>
  <c r="N153" i="3"/>
  <c r="K153" i="3"/>
  <c r="L153" i="3" s="1"/>
  <c r="J153" i="3"/>
  <c r="I153" i="3"/>
  <c r="H153" i="3"/>
  <c r="F153" i="3"/>
  <c r="AB152" i="3"/>
  <c r="Y152" i="3"/>
  <c r="X152" i="3"/>
  <c r="W152" i="3"/>
  <c r="T152" i="3"/>
  <c r="S152" i="3"/>
  <c r="R152" i="3"/>
  <c r="Q152" i="3"/>
  <c r="P152" i="3"/>
  <c r="O152" i="3"/>
  <c r="N152" i="3"/>
  <c r="L152" i="3"/>
  <c r="K152" i="3"/>
  <c r="J152" i="3"/>
  <c r="I152" i="3"/>
  <c r="H152" i="3"/>
  <c r="F152" i="3"/>
  <c r="AB151" i="3"/>
  <c r="Y151" i="3"/>
  <c r="X151" i="3"/>
  <c r="W151" i="3"/>
  <c r="T151" i="3"/>
  <c r="S151" i="3"/>
  <c r="R151" i="3"/>
  <c r="Q151" i="3"/>
  <c r="P151" i="3"/>
  <c r="O151" i="3"/>
  <c r="N151" i="3"/>
  <c r="K151" i="3"/>
  <c r="L151" i="3" s="1"/>
  <c r="J151" i="3"/>
  <c r="I151" i="3"/>
  <c r="H151" i="3"/>
  <c r="F151" i="3"/>
  <c r="AB150" i="3"/>
  <c r="Y150" i="3"/>
  <c r="X150" i="3"/>
  <c r="W150" i="3"/>
  <c r="T150" i="3"/>
  <c r="S150" i="3"/>
  <c r="R150" i="3"/>
  <c r="Q150" i="3"/>
  <c r="P150" i="3"/>
  <c r="O150" i="3"/>
  <c r="N150" i="3"/>
  <c r="L150" i="3"/>
  <c r="K150" i="3"/>
  <c r="J150" i="3"/>
  <c r="I150" i="3"/>
  <c r="H150" i="3"/>
  <c r="F150" i="3"/>
  <c r="AB149" i="3"/>
  <c r="Y149" i="3"/>
  <c r="X149" i="3"/>
  <c r="W149" i="3"/>
  <c r="T149" i="3"/>
  <c r="R149" i="3"/>
  <c r="N149" i="3" s="1"/>
  <c r="Q149" i="3"/>
  <c r="P149" i="3"/>
  <c r="O149" i="3"/>
  <c r="L149" i="3"/>
  <c r="K149" i="3"/>
  <c r="J149" i="3"/>
  <c r="I149" i="3"/>
  <c r="H149" i="3"/>
  <c r="F149" i="3"/>
  <c r="AB148" i="3"/>
  <c r="Y148" i="3"/>
  <c r="X148" i="3"/>
  <c r="W148" i="3"/>
  <c r="T148" i="3"/>
  <c r="R148" i="3"/>
  <c r="Q148" i="3"/>
  <c r="P148" i="3"/>
  <c r="O148" i="3"/>
  <c r="L148" i="3"/>
  <c r="K148" i="3"/>
  <c r="J148" i="3"/>
  <c r="I148" i="3"/>
  <c r="H148" i="3"/>
  <c r="F148" i="3"/>
  <c r="AB147" i="3"/>
  <c r="Y147" i="3"/>
  <c r="X147" i="3"/>
  <c r="W147" i="3"/>
  <c r="T147" i="3"/>
  <c r="R147" i="3"/>
  <c r="S147" i="3" s="1"/>
  <c r="Q147" i="3"/>
  <c r="P147" i="3"/>
  <c r="O147" i="3"/>
  <c r="L147" i="3"/>
  <c r="K147" i="3"/>
  <c r="J147" i="3"/>
  <c r="I147" i="3"/>
  <c r="H147" i="3"/>
  <c r="F147" i="3"/>
  <c r="AB146" i="3"/>
  <c r="Y146" i="3"/>
  <c r="X146" i="3"/>
  <c r="W146" i="3"/>
  <c r="T146" i="3"/>
  <c r="R146" i="3"/>
  <c r="N146" i="3" s="1"/>
  <c r="Q146" i="3"/>
  <c r="P146" i="3"/>
  <c r="O146" i="3"/>
  <c r="K146" i="3"/>
  <c r="L146" i="3" s="1"/>
  <c r="J146" i="3"/>
  <c r="I146" i="3"/>
  <c r="H146" i="3"/>
  <c r="F146" i="3"/>
  <c r="AB145" i="3"/>
  <c r="Y145" i="3"/>
  <c r="X145" i="3"/>
  <c r="W145" i="3"/>
  <c r="T145" i="3"/>
  <c r="R145" i="3"/>
  <c r="S145" i="3" s="1"/>
  <c r="Q145" i="3"/>
  <c r="P145" i="3"/>
  <c r="O145" i="3"/>
  <c r="N145" i="3"/>
  <c r="K145" i="3"/>
  <c r="L145" i="3" s="1"/>
  <c r="J145" i="3"/>
  <c r="I145" i="3"/>
  <c r="H145" i="3"/>
  <c r="F145" i="3"/>
  <c r="AB144" i="3"/>
  <c r="Y144" i="3"/>
  <c r="X144" i="3"/>
  <c r="W144" i="3"/>
  <c r="T144" i="3"/>
  <c r="S144" i="3"/>
  <c r="R144" i="3"/>
  <c r="Q144" i="3"/>
  <c r="P144" i="3"/>
  <c r="O144" i="3"/>
  <c r="N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S142" i="3"/>
  <c r="R142" i="3"/>
  <c r="Q142" i="3"/>
  <c r="P142" i="3"/>
  <c r="O142" i="3"/>
  <c r="N142" i="3"/>
  <c r="L142" i="3"/>
  <c r="K142" i="3"/>
  <c r="J142" i="3"/>
  <c r="I142" i="3"/>
  <c r="H142" i="3"/>
  <c r="F142" i="3"/>
  <c r="AB141" i="3"/>
  <c r="Y141" i="3"/>
  <c r="X141" i="3"/>
  <c r="W141" i="3"/>
  <c r="T141" i="3"/>
  <c r="S141" i="3"/>
  <c r="R141" i="3"/>
  <c r="N141" i="3" s="1"/>
  <c r="Q141" i="3"/>
  <c r="P141" i="3"/>
  <c r="O141" i="3"/>
  <c r="K141" i="3"/>
  <c r="L141" i="3" s="1"/>
  <c r="J141" i="3"/>
  <c r="I141" i="3"/>
  <c r="H141" i="3"/>
  <c r="F141" i="3"/>
  <c r="AB140" i="3"/>
  <c r="Y140" i="3"/>
  <c r="X140" i="3"/>
  <c r="W140" i="3"/>
  <c r="T140" i="3"/>
  <c r="R140" i="3"/>
  <c r="Q140" i="3"/>
  <c r="P140" i="3"/>
  <c r="O140" i="3"/>
  <c r="L140" i="3"/>
  <c r="K140" i="3"/>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S138" i="3"/>
  <c r="R138" i="3"/>
  <c r="N138" i="3" s="1"/>
  <c r="Q138" i="3"/>
  <c r="P138" i="3"/>
  <c r="O138" i="3"/>
  <c r="K138" i="3"/>
  <c r="L138" i="3" s="1"/>
  <c r="J138" i="3"/>
  <c r="I138" i="3"/>
  <c r="H138" i="3"/>
  <c r="F138" i="3"/>
  <c r="AB137" i="3"/>
  <c r="Y137" i="3"/>
  <c r="X137" i="3"/>
  <c r="W137" i="3"/>
  <c r="T137" i="3"/>
  <c r="R137" i="3"/>
  <c r="S137" i="3" s="1"/>
  <c r="Q137" i="3"/>
  <c r="P137" i="3"/>
  <c r="O137" i="3"/>
  <c r="N137" i="3"/>
  <c r="K137" i="3"/>
  <c r="L137" i="3" s="1"/>
  <c r="J137" i="3"/>
  <c r="I137" i="3"/>
  <c r="H137" i="3"/>
  <c r="F137" i="3"/>
  <c r="AB136" i="3"/>
  <c r="Y136" i="3"/>
  <c r="X136" i="3"/>
  <c r="W136" i="3"/>
  <c r="T136" i="3"/>
  <c r="S136" i="3"/>
  <c r="R136" i="3"/>
  <c r="Q136" i="3"/>
  <c r="P136" i="3"/>
  <c r="O136" i="3"/>
  <c r="N136" i="3"/>
  <c r="L136" i="3"/>
  <c r="K136" i="3"/>
  <c r="J136" i="3"/>
  <c r="I136" i="3"/>
  <c r="H136" i="3"/>
  <c r="F136" i="3"/>
  <c r="AB135" i="3"/>
  <c r="Y135" i="3"/>
  <c r="X135" i="3"/>
  <c r="W135" i="3"/>
  <c r="T135" i="3"/>
  <c r="S135" i="3"/>
  <c r="R135" i="3"/>
  <c r="Q135" i="3"/>
  <c r="P135" i="3"/>
  <c r="O135" i="3"/>
  <c r="N135" i="3"/>
  <c r="K135" i="3"/>
  <c r="L135" i="3" s="1"/>
  <c r="J135" i="3"/>
  <c r="I135" i="3"/>
  <c r="H135" i="3"/>
  <c r="F135" i="3"/>
  <c r="AB134" i="3"/>
  <c r="Y134" i="3"/>
  <c r="X134" i="3"/>
  <c r="W134" i="3"/>
  <c r="T134" i="3"/>
  <c r="S134" i="3"/>
  <c r="R134" i="3"/>
  <c r="Q134" i="3"/>
  <c r="P134" i="3"/>
  <c r="O134" i="3"/>
  <c r="N134" i="3"/>
  <c r="L134" i="3"/>
  <c r="K134" i="3"/>
  <c r="J134" i="3"/>
  <c r="I134" i="3"/>
  <c r="H134" i="3"/>
  <c r="F134" i="3"/>
  <c r="AB133" i="3"/>
  <c r="Y133" i="3"/>
  <c r="X133" i="3"/>
  <c r="W133" i="3"/>
  <c r="T133" i="3"/>
  <c r="R133" i="3"/>
  <c r="N133" i="3" s="1"/>
  <c r="Q133" i="3"/>
  <c r="P133" i="3"/>
  <c r="O133" i="3"/>
  <c r="L133" i="3"/>
  <c r="K133" i="3"/>
  <c r="J133" i="3"/>
  <c r="I133" i="3"/>
  <c r="H133" i="3"/>
  <c r="F133" i="3"/>
  <c r="AB132" i="3"/>
  <c r="Y132" i="3"/>
  <c r="X132" i="3"/>
  <c r="W132" i="3"/>
  <c r="T132" i="3"/>
  <c r="R132" i="3"/>
  <c r="Q132" i="3"/>
  <c r="P132" i="3"/>
  <c r="O132" i="3"/>
  <c r="L132" i="3"/>
  <c r="K132" i="3"/>
  <c r="J132" i="3"/>
  <c r="I132" i="3"/>
  <c r="H132" i="3"/>
  <c r="F132" i="3"/>
  <c r="AB131" i="3"/>
  <c r="Y131" i="3"/>
  <c r="X131" i="3"/>
  <c r="W131" i="3"/>
  <c r="T131" i="3"/>
  <c r="R131" i="3"/>
  <c r="S131" i="3" s="1"/>
  <c r="Q131" i="3"/>
  <c r="P131" i="3"/>
  <c r="O131" i="3"/>
  <c r="N131" i="3"/>
  <c r="L131" i="3"/>
  <c r="K131" i="3"/>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N129" i="3"/>
  <c r="K129" i="3"/>
  <c r="L129" i="3" s="1"/>
  <c r="J129" i="3"/>
  <c r="I129" i="3"/>
  <c r="H129" i="3"/>
  <c r="F129" i="3"/>
  <c r="AB128" i="3"/>
  <c r="Y128" i="3"/>
  <c r="X128" i="3"/>
  <c r="W128" i="3"/>
  <c r="T128" i="3"/>
  <c r="S128" i="3"/>
  <c r="R128" i="3"/>
  <c r="Q128" i="3"/>
  <c r="P128" i="3"/>
  <c r="O128" i="3"/>
  <c r="N128" i="3"/>
  <c r="K128" i="3"/>
  <c r="L128" i="3" s="1"/>
  <c r="J128" i="3"/>
  <c r="I128" i="3"/>
  <c r="H128" i="3"/>
  <c r="F128" i="3"/>
  <c r="AB127" i="3"/>
  <c r="Y127" i="3"/>
  <c r="X127" i="3"/>
  <c r="W127" i="3"/>
  <c r="T127" i="3"/>
  <c r="R127" i="3"/>
  <c r="S127" i="3" s="1"/>
  <c r="Q127" i="3"/>
  <c r="P127" i="3"/>
  <c r="O127" i="3"/>
  <c r="N127" i="3"/>
  <c r="K127" i="3"/>
  <c r="L127" i="3" s="1"/>
  <c r="J127" i="3"/>
  <c r="I127" i="3"/>
  <c r="H127" i="3"/>
  <c r="F127" i="3"/>
  <c r="AB126" i="3"/>
  <c r="Y126" i="3"/>
  <c r="X126" i="3"/>
  <c r="W126" i="3"/>
  <c r="T126" i="3"/>
  <c r="S126" i="3"/>
  <c r="R126" i="3"/>
  <c r="Q126" i="3"/>
  <c r="P126" i="3"/>
  <c r="O126" i="3"/>
  <c r="N126" i="3"/>
  <c r="L126" i="3"/>
  <c r="K126" i="3"/>
  <c r="J126" i="3"/>
  <c r="I126" i="3"/>
  <c r="H126" i="3"/>
  <c r="F126" i="3"/>
  <c r="AB125" i="3"/>
  <c r="Y125" i="3"/>
  <c r="X125" i="3"/>
  <c r="W125" i="3"/>
  <c r="T125" i="3"/>
  <c r="S125" i="3"/>
  <c r="R125" i="3"/>
  <c r="N125" i="3" s="1"/>
  <c r="Q125" i="3"/>
  <c r="P125" i="3"/>
  <c r="O125" i="3"/>
  <c r="K125" i="3"/>
  <c r="L125" i="3" s="1"/>
  <c r="J125" i="3"/>
  <c r="I125" i="3"/>
  <c r="H125" i="3"/>
  <c r="F125" i="3"/>
  <c r="AB124" i="3"/>
  <c r="Y124" i="3"/>
  <c r="X124" i="3"/>
  <c r="W124" i="3"/>
  <c r="T124" i="3"/>
  <c r="R124" i="3"/>
  <c r="Q124" i="3"/>
  <c r="P124" i="3"/>
  <c r="O124" i="3"/>
  <c r="L124" i="3"/>
  <c r="K124" i="3"/>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S122" i="3"/>
  <c r="R122" i="3"/>
  <c r="N122" i="3" s="1"/>
  <c r="Q122" i="3"/>
  <c r="P122" i="3"/>
  <c r="O122" i="3"/>
  <c r="K122" i="3"/>
  <c r="L122" i="3" s="1"/>
  <c r="J122" i="3"/>
  <c r="I122" i="3"/>
  <c r="H122" i="3"/>
  <c r="F122" i="3"/>
  <c r="AB121" i="3"/>
  <c r="Y121" i="3"/>
  <c r="X121" i="3"/>
  <c r="W121" i="3"/>
  <c r="T121" i="3"/>
  <c r="R121" i="3"/>
  <c r="S121" i="3" s="1"/>
  <c r="Q121" i="3"/>
  <c r="P121" i="3"/>
  <c r="O121" i="3"/>
  <c r="N121" i="3"/>
  <c r="K121" i="3"/>
  <c r="L121" i="3" s="1"/>
  <c r="J121" i="3"/>
  <c r="I121" i="3"/>
  <c r="H121" i="3"/>
  <c r="F121" i="3"/>
  <c r="AB120" i="3"/>
  <c r="Y120" i="3"/>
  <c r="X120" i="3"/>
  <c r="W120" i="3"/>
  <c r="T120" i="3"/>
  <c r="S120" i="3"/>
  <c r="R120" i="3"/>
  <c r="Q120" i="3"/>
  <c r="P120" i="3"/>
  <c r="O120" i="3"/>
  <c r="N120" i="3"/>
  <c r="L120" i="3"/>
  <c r="K120" i="3"/>
  <c r="J120" i="3"/>
  <c r="I120" i="3"/>
  <c r="H120" i="3"/>
  <c r="F120" i="3"/>
  <c r="AB119" i="3"/>
  <c r="Y119" i="3"/>
  <c r="X119" i="3"/>
  <c r="W119" i="3"/>
  <c r="T119" i="3"/>
  <c r="S119" i="3"/>
  <c r="R119" i="3"/>
  <c r="N119" i="3" s="1"/>
  <c r="Q119" i="3"/>
  <c r="P119" i="3"/>
  <c r="O119" i="3"/>
  <c r="K119" i="3"/>
  <c r="L119" i="3" s="1"/>
  <c r="J119" i="3"/>
  <c r="I119" i="3"/>
  <c r="H119" i="3"/>
  <c r="F119" i="3"/>
  <c r="AB118" i="3"/>
  <c r="Y118" i="3"/>
  <c r="X118" i="3"/>
  <c r="W118" i="3"/>
  <c r="T118" i="3"/>
  <c r="S118" i="3"/>
  <c r="R118" i="3"/>
  <c r="Q118" i="3"/>
  <c r="P118" i="3"/>
  <c r="O118" i="3"/>
  <c r="N118" i="3"/>
  <c r="L118" i="3"/>
  <c r="K118" i="3"/>
  <c r="J118" i="3"/>
  <c r="I118" i="3"/>
  <c r="H118" i="3"/>
  <c r="F118" i="3"/>
  <c r="AB117" i="3"/>
  <c r="Y117" i="3"/>
  <c r="X117" i="3"/>
  <c r="W117" i="3"/>
  <c r="T117" i="3"/>
  <c r="R117" i="3"/>
  <c r="N117" i="3" s="1"/>
  <c r="Q117" i="3"/>
  <c r="P117" i="3"/>
  <c r="O117" i="3"/>
  <c r="L117" i="3"/>
  <c r="K117" i="3"/>
  <c r="J117" i="3"/>
  <c r="I117" i="3"/>
  <c r="H117" i="3"/>
  <c r="F117" i="3"/>
  <c r="AB116" i="3"/>
  <c r="Y116" i="3"/>
  <c r="X116" i="3"/>
  <c r="W116" i="3"/>
  <c r="T116" i="3"/>
  <c r="R116" i="3"/>
  <c r="Q116" i="3"/>
  <c r="P116" i="3"/>
  <c r="O116" i="3"/>
  <c r="L116" i="3"/>
  <c r="K116" i="3"/>
  <c r="J116" i="3"/>
  <c r="I116" i="3"/>
  <c r="H116" i="3"/>
  <c r="F116" i="3"/>
  <c r="AB115" i="3"/>
  <c r="Y115" i="3"/>
  <c r="X115" i="3"/>
  <c r="W115" i="3"/>
  <c r="T115" i="3"/>
  <c r="R115" i="3"/>
  <c r="S115" i="3" s="1"/>
  <c r="Q115" i="3"/>
  <c r="P115" i="3"/>
  <c r="O115" i="3"/>
  <c r="L115" i="3"/>
  <c r="K115" i="3"/>
  <c r="J115" i="3"/>
  <c r="I115" i="3"/>
  <c r="H115" i="3"/>
  <c r="F115" i="3"/>
  <c r="AB114" i="3"/>
  <c r="Y114" i="3"/>
  <c r="X114" i="3"/>
  <c r="W114" i="3"/>
  <c r="T114" i="3"/>
  <c r="R114" i="3"/>
  <c r="N114" i="3" s="1"/>
  <c r="Q114" i="3"/>
  <c r="P114" i="3"/>
  <c r="O114" i="3"/>
  <c r="K114" i="3"/>
  <c r="L114" i="3" s="1"/>
  <c r="J114" i="3"/>
  <c r="I114" i="3"/>
  <c r="H114" i="3"/>
  <c r="F114" i="3"/>
  <c r="AB113" i="3"/>
  <c r="Y113" i="3"/>
  <c r="X113" i="3"/>
  <c r="W113" i="3"/>
  <c r="T113" i="3"/>
  <c r="R113" i="3"/>
  <c r="S113" i="3" s="1"/>
  <c r="Q113" i="3"/>
  <c r="P113" i="3"/>
  <c r="O113" i="3"/>
  <c r="N113" i="3"/>
  <c r="K113" i="3"/>
  <c r="L113" i="3" s="1"/>
  <c r="J113" i="3"/>
  <c r="I113" i="3"/>
  <c r="H113" i="3"/>
  <c r="F113" i="3"/>
  <c r="AB112" i="3"/>
  <c r="Y112" i="3"/>
  <c r="X112" i="3"/>
  <c r="W112" i="3"/>
  <c r="T112" i="3"/>
  <c r="S112" i="3"/>
  <c r="R112" i="3"/>
  <c r="Q112" i="3"/>
  <c r="P112" i="3"/>
  <c r="O112" i="3"/>
  <c r="N112" i="3"/>
  <c r="K112" i="3"/>
  <c r="L112" i="3" s="1"/>
  <c r="J112" i="3"/>
  <c r="I112" i="3"/>
  <c r="H112" i="3"/>
  <c r="F112" i="3"/>
  <c r="AB111" i="3"/>
  <c r="Y111" i="3"/>
  <c r="X111" i="3"/>
  <c r="W111" i="3"/>
  <c r="T111" i="3"/>
  <c r="S111" i="3"/>
  <c r="R111" i="3"/>
  <c r="Q111" i="3"/>
  <c r="P111" i="3"/>
  <c r="O111" i="3"/>
  <c r="N111" i="3"/>
  <c r="K111" i="3"/>
  <c r="L111" i="3" s="1"/>
  <c r="J111" i="3"/>
  <c r="I111" i="3"/>
  <c r="H111" i="3"/>
  <c r="F111" i="3"/>
  <c r="AB110" i="3"/>
  <c r="Y110" i="3"/>
  <c r="X110" i="3"/>
  <c r="W110" i="3"/>
  <c r="T110" i="3"/>
  <c r="S110" i="3"/>
  <c r="R110" i="3"/>
  <c r="Q110" i="3"/>
  <c r="P110" i="3"/>
  <c r="O110" i="3"/>
  <c r="N110" i="3"/>
  <c r="L110" i="3"/>
  <c r="K110" i="3"/>
  <c r="J110" i="3"/>
  <c r="I110" i="3"/>
  <c r="H110" i="3"/>
  <c r="F110" i="3"/>
  <c r="AB109" i="3"/>
  <c r="Y109" i="3"/>
  <c r="X109" i="3"/>
  <c r="W109" i="3"/>
  <c r="T109" i="3"/>
  <c r="S109" i="3"/>
  <c r="R109" i="3"/>
  <c r="N109" i="3" s="1"/>
  <c r="Q109" i="3"/>
  <c r="P109" i="3"/>
  <c r="O109" i="3"/>
  <c r="L109" i="3"/>
  <c r="K109" i="3"/>
  <c r="J109" i="3"/>
  <c r="I109" i="3"/>
  <c r="H109" i="3"/>
  <c r="F109" i="3"/>
  <c r="AB108" i="3"/>
  <c r="Y108" i="3"/>
  <c r="X108" i="3"/>
  <c r="W108" i="3"/>
  <c r="T108" i="3"/>
  <c r="R108" i="3"/>
  <c r="Q108" i="3"/>
  <c r="P108" i="3"/>
  <c r="O108" i="3"/>
  <c r="L108" i="3"/>
  <c r="K108" i="3"/>
  <c r="J108" i="3"/>
  <c r="I108" i="3"/>
  <c r="H108" i="3"/>
  <c r="F108" i="3"/>
  <c r="AB107" i="3"/>
  <c r="Y107" i="3"/>
  <c r="X107" i="3"/>
  <c r="W107" i="3"/>
  <c r="T107" i="3"/>
  <c r="R107" i="3"/>
  <c r="S107" i="3" s="1"/>
  <c r="Q107" i="3"/>
  <c r="P107" i="3"/>
  <c r="O107" i="3"/>
  <c r="N107" i="3"/>
  <c r="L107" i="3"/>
  <c r="K107" i="3"/>
  <c r="J107" i="3"/>
  <c r="I107" i="3"/>
  <c r="H107" i="3"/>
  <c r="F107" i="3"/>
  <c r="AB106" i="3"/>
  <c r="Y106" i="3"/>
  <c r="X106" i="3"/>
  <c r="W106" i="3"/>
  <c r="T106" i="3"/>
  <c r="R106" i="3"/>
  <c r="N106" i="3" s="1"/>
  <c r="Q106" i="3"/>
  <c r="P106" i="3"/>
  <c r="O106" i="3"/>
  <c r="K106" i="3"/>
  <c r="L106" i="3" s="1"/>
  <c r="J106" i="3"/>
  <c r="I106" i="3"/>
  <c r="H106" i="3"/>
  <c r="F106" i="3"/>
  <c r="AB105" i="3"/>
  <c r="Y105" i="3"/>
  <c r="X105" i="3"/>
  <c r="W105" i="3"/>
  <c r="T105" i="3"/>
  <c r="R105" i="3"/>
  <c r="S105" i="3" s="1"/>
  <c r="Q105" i="3"/>
  <c r="P105" i="3"/>
  <c r="O105" i="3"/>
  <c r="N105" i="3"/>
  <c r="K105" i="3"/>
  <c r="L105" i="3" s="1"/>
  <c r="J105" i="3"/>
  <c r="I105" i="3"/>
  <c r="H105" i="3"/>
  <c r="F105" i="3"/>
  <c r="AB104" i="3"/>
  <c r="Y104" i="3"/>
  <c r="X104" i="3"/>
  <c r="W104" i="3"/>
  <c r="T104" i="3"/>
  <c r="S104" i="3"/>
  <c r="R104" i="3"/>
  <c r="Q104" i="3"/>
  <c r="P104" i="3"/>
  <c r="O104" i="3"/>
  <c r="N104" i="3"/>
  <c r="L104" i="3"/>
  <c r="K104" i="3"/>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S102" i="3"/>
  <c r="R102" i="3"/>
  <c r="Q102" i="3"/>
  <c r="P102" i="3"/>
  <c r="O102" i="3"/>
  <c r="N102" i="3"/>
  <c r="L102" i="3"/>
  <c r="K102" i="3"/>
  <c r="J102" i="3"/>
  <c r="I102" i="3"/>
  <c r="H102" i="3"/>
  <c r="F102" i="3"/>
  <c r="AB101" i="3"/>
  <c r="Y101" i="3"/>
  <c r="X101" i="3"/>
  <c r="W101" i="3"/>
  <c r="T101" i="3"/>
  <c r="R101" i="3"/>
  <c r="N101" i="3" s="1"/>
  <c r="Q101" i="3"/>
  <c r="P101" i="3"/>
  <c r="O101" i="3"/>
  <c r="L101" i="3"/>
  <c r="K101" i="3"/>
  <c r="J101" i="3"/>
  <c r="I101" i="3"/>
  <c r="H101" i="3"/>
  <c r="F101" i="3"/>
  <c r="AB100" i="3"/>
  <c r="Y100" i="3"/>
  <c r="X100" i="3"/>
  <c r="W100" i="3"/>
  <c r="T100" i="3"/>
  <c r="S100" i="3"/>
  <c r="R100" i="3"/>
  <c r="N100" i="3" s="1"/>
  <c r="Q100" i="3"/>
  <c r="P100" i="3"/>
  <c r="O100" i="3"/>
  <c r="L100" i="3"/>
  <c r="K100" i="3"/>
  <c r="J100" i="3"/>
  <c r="I100" i="3"/>
  <c r="H100" i="3"/>
  <c r="F100" i="3"/>
  <c r="AB99" i="3"/>
  <c r="Y99" i="3"/>
  <c r="X99" i="3"/>
  <c r="W99" i="3"/>
  <c r="T99" i="3"/>
  <c r="R99" i="3"/>
  <c r="S99" i="3" s="1"/>
  <c r="Q99" i="3"/>
  <c r="P99" i="3"/>
  <c r="O99" i="3"/>
  <c r="N99" i="3"/>
  <c r="L99" i="3"/>
  <c r="K99" i="3"/>
  <c r="J99" i="3"/>
  <c r="I99" i="3"/>
  <c r="H99" i="3"/>
  <c r="F99" i="3"/>
  <c r="AB98" i="3"/>
  <c r="Y98" i="3"/>
  <c r="X98" i="3"/>
  <c r="W98" i="3"/>
  <c r="T98" i="3"/>
  <c r="S98" i="3"/>
  <c r="R98" i="3"/>
  <c r="N98" i="3" s="1"/>
  <c r="Q98" i="3"/>
  <c r="P98" i="3"/>
  <c r="O98" i="3"/>
  <c r="L98" i="3"/>
  <c r="K98" i="3"/>
  <c r="J98" i="3"/>
  <c r="I98" i="3"/>
  <c r="H98" i="3"/>
  <c r="F98" i="3"/>
  <c r="AB97" i="3"/>
  <c r="Y97" i="3"/>
  <c r="X97" i="3"/>
  <c r="W97" i="3"/>
  <c r="T97" i="3"/>
  <c r="R97" i="3"/>
  <c r="S97" i="3" s="1"/>
  <c r="Q97" i="3"/>
  <c r="P97" i="3"/>
  <c r="O97" i="3"/>
  <c r="K97" i="3"/>
  <c r="L97" i="3" s="1"/>
  <c r="J97" i="3"/>
  <c r="I97" i="3"/>
  <c r="H97" i="3"/>
  <c r="F97" i="3"/>
  <c r="AB96" i="3"/>
  <c r="Y96" i="3"/>
  <c r="X96" i="3"/>
  <c r="W96" i="3"/>
  <c r="T96" i="3"/>
  <c r="S96" i="3"/>
  <c r="R96" i="3"/>
  <c r="Q96" i="3"/>
  <c r="P96" i="3"/>
  <c r="O96" i="3"/>
  <c r="N96" i="3"/>
  <c r="K96" i="3"/>
  <c r="L96" i="3" s="1"/>
  <c r="J96" i="3"/>
  <c r="I96" i="3"/>
  <c r="H96" i="3"/>
  <c r="F96" i="3"/>
  <c r="AB95" i="3"/>
  <c r="Y95" i="3"/>
  <c r="X95" i="3"/>
  <c r="W95" i="3"/>
  <c r="T95" i="3"/>
  <c r="S95" i="3"/>
  <c r="R95" i="3"/>
  <c r="N95" i="3" s="1"/>
  <c r="Q95" i="3"/>
  <c r="P95" i="3"/>
  <c r="O95" i="3"/>
  <c r="K95" i="3"/>
  <c r="L95" i="3" s="1"/>
  <c r="J95" i="3"/>
  <c r="I95" i="3"/>
  <c r="H95" i="3"/>
  <c r="F95" i="3"/>
  <c r="AB94" i="3"/>
  <c r="Y94" i="3"/>
  <c r="X94" i="3"/>
  <c r="W94" i="3"/>
  <c r="T94" i="3"/>
  <c r="S94" i="3"/>
  <c r="R94" i="3"/>
  <c r="Q94" i="3"/>
  <c r="P94" i="3"/>
  <c r="O94" i="3"/>
  <c r="N94" i="3"/>
  <c r="L94" i="3"/>
  <c r="K94" i="3"/>
  <c r="J94" i="3"/>
  <c r="I94" i="3"/>
  <c r="H94" i="3"/>
  <c r="F94" i="3"/>
  <c r="AB93" i="3"/>
  <c r="Y93" i="3"/>
  <c r="X93" i="3"/>
  <c r="W93" i="3"/>
  <c r="T93" i="3"/>
  <c r="S93" i="3"/>
  <c r="R93" i="3"/>
  <c r="N93" i="3" s="1"/>
  <c r="Q93" i="3"/>
  <c r="P93" i="3"/>
  <c r="O93" i="3"/>
  <c r="K93" i="3"/>
  <c r="L93" i="3" s="1"/>
  <c r="J93" i="3"/>
  <c r="I93" i="3"/>
  <c r="H93" i="3"/>
  <c r="F93" i="3"/>
  <c r="AB92" i="3"/>
  <c r="Y92" i="3"/>
  <c r="X92" i="3"/>
  <c r="W92" i="3"/>
  <c r="T92" i="3"/>
  <c r="S92" i="3"/>
  <c r="R92" i="3"/>
  <c r="N92" i="3" s="1"/>
  <c r="Q92" i="3"/>
  <c r="P92" i="3"/>
  <c r="O92" i="3"/>
  <c r="L92" i="3"/>
  <c r="K92" i="3"/>
  <c r="J92" i="3"/>
  <c r="I92" i="3"/>
  <c r="H92" i="3"/>
  <c r="F92" i="3"/>
  <c r="AB91" i="3"/>
  <c r="Y91" i="3"/>
  <c r="X91" i="3"/>
  <c r="W91" i="3"/>
  <c r="T91" i="3"/>
  <c r="R91" i="3"/>
  <c r="S91" i="3" s="1"/>
  <c r="Q91" i="3"/>
  <c r="P91" i="3"/>
  <c r="O91" i="3"/>
  <c r="L91" i="3"/>
  <c r="K91" i="3"/>
  <c r="J91" i="3"/>
  <c r="I91" i="3"/>
  <c r="H91" i="3"/>
  <c r="F91" i="3"/>
  <c r="AB90" i="3"/>
  <c r="Y90" i="3"/>
  <c r="X90" i="3"/>
  <c r="W90" i="3"/>
  <c r="T90" i="3"/>
  <c r="R90" i="3"/>
  <c r="N90" i="3" s="1"/>
  <c r="Q90" i="3"/>
  <c r="P90" i="3"/>
  <c r="O90" i="3"/>
  <c r="K90" i="3"/>
  <c r="L90" i="3" s="1"/>
  <c r="J90" i="3"/>
  <c r="I90" i="3"/>
  <c r="H90" i="3"/>
  <c r="F90" i="3"/>
  <c r="AB89" i="3"/>
  <c r="Y89" i="3"/>
  <c r="X89" i="3"/>
  <c r="W89" i="3"/>
  <c r="T89" i="3"/>
  <c r="R89" i="3"/>
  <c r="S89" i="3" s="1"/>
  <c r="Q89" i="3"/>
  <c r="P89" i="3"/>
  <c r="O89" i="3"/>
  <c r="N89" i="3"/>
  <c r="K89" i="3"/>
  <c r="L89" i="3" s="1"/>
  <c r="J89" i="3"/>
  <c r="I89" i="3"/>
  <c r="H89" i="3"/>
  <c r="F89" i="3"/>
  <c r="AB88" i="3"/>
  <c r="Y88" i="3"/>
  <c r="X88" i="3"/>
  <c r="W88" i="3"/>
  <c r="T88" i="3"/>
  <c r="S88" i="3"/>
  <c r="R88" i="3"/>
  <c r="Q88" i="3"/>
  <c r="P88" i="3"/>
  <c r="O88" i="3"/>
  <c r="N88" i="3"/>
  <c r="L88" i="3"/>
  <c r="K88" i="3"/>
  <c r="J88" i="3"/>
  <c r="I88" i="3"/>
  <c r="H88" i="3"/>
  <c r="F88" i="3"/>
  <c r="AB87" i="3"/>
  <c r="Y87" i="3"/>
  <c r="X87" i="3"/>
  <c r="W87" i="3"/>
  <c r="T87" i="3"/>
  <c r="R87" i="3"/>
  <c r="S87" i="3" s="1"/>
  <c r="Q87" i="3"/>
  <c r="P87" i="3"/>
  <c r="O87" i="3"/>
  <c r="N87" i="3"/>
  <c r="K87" i="3"/>
  <c r="L87" i="3" s="1"/>
  <c r="J87" i="3"/>
  <c r="I87" i="3"/>
  <c r="H87" i="3"/>
  <c r="F87" i="3"/>
  <c r="AB86" i="3"/>
  <c r="Y86" i="3"/>
  <c r="X86" i="3"/>
  <c r="W86" i="3"/>
  <c r="T86" i="3"/>
  <c r="S86" i="3"/>
  <c r="R86" i="3"/>
  <c r="Q86" i="3"/>
  <c r="P86" i="3"/>
  <c r="O86" i="3"/>
  <c r="N86" i="3"/>
  <c r="L86" i="3"/>
  <c r="K86" i="3"/>
  <c r="J86" i="3"/>
  <c r="I86" i="3"/>
  <c r="H86" i="3"/>
  <c r="F86" i="3"/>
  <c r="AB85" i="3"/>
  <c r="Y85" i="3"/>
  <c r="X85" i="3"/>
  <c r="W85" i="3"/>
  <c r="T85" i="3"/>
  <c r="R85" i="3"/>
  <c r="S85" i="3" s="1"/>
  <c r="Q85" i="3"/>
  <c r="P85" i="3"/>
  <c r="O85" i="3"/>
  <c r="N85" i="3"/>
  <c r="L85" i="3"/>
  <c r="K85" i="3"/>
  <c r="J85" i="3"/>
  <c r="I85" i="3"/>
  <c r="H85" i="3"/>
  <c r="F85" i="3"/>
  <c r="AB84" i="3"/>
  <c r="Y84" i="3"/>
  <c r="X84" i="3"/>
  <c r="W84" i="3"/>
  <c r="T84" i="3"/>
  <c r="R84" i="3"/>
  <c r="N84" i="3" s="1"/>
  <c r="Q84" i="3"/>
  <c r="P84" i="3"/>
  <c r="O84" i="3"/>
  <c r="L84" i="3"/>
  <c r="K84" i="3"/>
  <c r="J84" i="3"/>
  <c r="I84" i="3"/>
  <c r="H84" i="3"/>
  <c r="F84" i="3"/>
  <c r="AB83" i="3"/>
  <c r="Y83" i="3"/>
  <c r="X83" i="3"/>
  <c r="W83" i="3"/>
  <c r="T83" i="3"/>
  <c r="R83" i="3"/>
  <c r="S83" i="3" s="1"/>
  <c r="Q83" i="3"/>
  <c r="P83" i="3"/>
  <c r="O83" i="3"/>
  <c r="K83" i="3"/>
  <c r="L83" i="3" s="1"/>
  <c r="J83" i="3"/>
  <c r="I83" i="3"/>
  <c r="H83" i="3"/>
  <c r="F83" i="3"/>
  <c r="AB82" i="3"/>
  <c r="Y82" i="3"/>
  <c r="X82" i="3"/>
  <c r="W82" i="3"/>
  <c r="T82" i="3"/>
  <c r="S82" i="3"/>
  <c r="R82" i="3"/>
  <c r="N82" i="3" s="1"/>
  <c r="Q82" i="3"/>
  <c r="P82" i="3"/>
  <c r="O82" i="3"/>
  <c r="L82" i="3"/>
  <c r="K82" i="3"/>
  <c r="J82" i="3"/>
  <c r="I82" i="3"/>
  <c r="H82" i="3"/>
  <c r="F82" i="3"/>
  <c r="AB81" i="3"/>
  <c r="Y81" i="3"/>
  <c r="X81" i="3"/>
  <c r="W81" i="3"/>
  <c r="T81" i="3"/>
  <c r="R81" i="3"/>
  <c r="S81" i="3" s="1"/>
  <c r="Q81" i="3"/>
  <c r="P81" i="3"/>
  <c r="O81" i="3"/>
  <c r="N81" i="3"/>
  <c r="K81" i="3"/>
  <c r="L81" i="3" s="1"/>
  <c r="J81" i="3"/>
  <c r="I81" i="3"/>
  <c r="H81" i="3"/>
  <c r="F81" i="3"/>
  <c r="AB80" i="3"/>
  <c r="Y80" i="3"/>
  <c r="X80" i="3"/>
  <c r="W80" i="3"/>
  <c r="T80" i="3"/>
  <c r="S80" i="3"/>
  <c r="R80" i="3"/>
  <c r="Q80" i="3"/>
  <c r="P80" i="3"/>
  <c r="O80" i="3"/>
  <c r="N80" i="3"/>
  <c r="K80" i="3"/>
  <c r="L80" i="3" s="1"/>
  <c r="J80" i="3"/>
  <c r="I80" i="3"/>
  <c r="H80" i="3"/>
  <c r="F80" i="3"/>
  <c r="AB79" i="3"/>
  <c r="Y79" i="3"/>
  <c r="X79" i="3"/>
  <c r="W79" i="3"/>
  <c r="T79" i="3"/>
  <c r="S79" i="3"/>
  <c r="R79" i="3"/>
  <c r="Q79" i="3"/>
  <c r="P79" i="3"/>
  <c r="O79" i="3"/>
  <c r="N79" i="3"/>
  <c r="K79" i="3"/>
  <c r="L79" i="3" s="1"/>
  <c r="J79" i="3"/>
  <c r="I79" i="3"/>
  <c r="H79" i="3"/>
  <c r="F79" i="3"/>
  <c r="AB78" i="3"/>
  <c r="Y78" i="3"/>
  <c r="X78" i="3"/>
  <c r="W78" i="3"/>
  <c r="T78" i="3"/>
  <c r="S78" i="3"/>
  <c r="R78" i="3"/>
  <c r="Q78" i="3"/>
  <c r="P78" i="3"/>
  <c r="O78" i="3"/>
  <c r="N78" i="3"/>
  <c r="L78" i="3"/>
  <c r="K78" i="3"/>
  <c r="J78" i="3"/>
  <c r="I78" i="3"/>
  <c r="H78" i="3"/>
  <c r="F78" i="3"/>
  <c r="AB77" i="3"/>
  <c r="Y77" i="3"/>
  <c r="X77" i="3"/>
  <c r="W77" i="3"/>
  <c r="T77" i="3"/>
  <c r="S77" i="3"/>
  <c r="R77" i="3"/>
  <c r="Q77" i="3"/>
  <c r="P77" i="3"/>
  <c r="O77" i="3"/>
  <c r="N77" i="3"/>
  <c r="K77" i="3"/>
  <c r="L77" i="3" s="1"/>
  <c r="J77" i="3"/>
  <c r="I77" i="3"/>
  <c r="H77" i="3"/>
  <c r="F77" i="3"/>
  <c r="AB76" i="3"/>
  <c r="Y76" i="3"/>
  <c r="X76" i="3"/>
  <c r="W76" i="3"/>
  <c r="T76" i="3"/>
  <c r="S76" i="3"/>
  <c r="R76" i="3"/>
  <c r="N76" i="3" s="1"/>
  <c r="Q76" i="3"/>
  <c r="P76" i="3"/>
  <c r="O76" i="3"/>
  <c r="L76" i="3"/>
  <c r="K76" i="3"/>
  <c r="J76" i="3"/>
  <c r="I76" i="3"/>
  <c r="H76" i="3"/>
  <c r="F76" i="3"/>
  <c r="AB75" i="3"/>
  <c r="Y75" i="3"/>
  <c r="X75" i="3"/>
  <c r="W75" i="3"/>
  <c r="T75" i="3"/>
  <c r="R75" i="3"/>
  <c r="S75" i="3" s="1"/>
  <c r="Q75" i="3"/>
  <c r="P75" i="3"/>
  <c r="O75" i="3"/>
  <c r="N75" i="3"/>
  <c r="L75" i="3"/>
  <c r="K75" i="3"/>
  <c r="J75" i="3"/>
  <c r="I75" i="3"/>
  <c r="H75" i="3"/>
  <c r="F75" i="3"/>
  <c r="AB74" i="3"/>
  <c r="Y74" i="3"/>
  <c r="X74" i="3"/>
  <c r="W74" i="3"/>
  <c r="T74" i="3"/>
  <c r="R74" i="3"/>
  <c r="N74" i="3" s="1"/>
  <c r="Q74" i="3"/>
  <c r="P74" i="3"/>
  <c r="O74" i="3"/>
  <c r="K74" i="3"/>
  <c r="L74" i="3" s="1"/>
  <c r="J74" i="3"/>
  <c r="I74" i="3"/>
  <c r="H74" i="3"/>
  <c r="F74" i="3"/>
  <c r="AB73" i="3"/>
  <c r="Y73" i="3"/>
  <c r="X73" i="3"/>
  <c r="W73" i="3"/>
  <c r="T73" i="3"/>
  <c r="R73" i="3"/>
  <c r="S73" i="3" s="1"/>
  <c r="Q73" i="3"/>
  <c r="P73" i="3"/>
  <c r="O73" i="3"/>
  <c r="N73" i="3"/>
  <c r="K73" i="3"/>
  <c r="L73" i="3" s="1"/>
  <c r="J73" i="3"/>
  <c r="I73" i="3"/>
  <c r="H73" i="3"/>
  <c r="F73" i="3"/>
  <c r="AB72" i="3"/>
  <c r="Y72" i="3"/>
  <c r="X72" i="3"/>
  <c r="W72" i="3"/>
  <c r="T72" i="3"/>
  <c r="S72" i="3"/>
  <c r="R72" i="3"/>
  <c r="Q72" i="3"/>
  <c r="P72" i="3"/>
  <c r="O72" i="3"/>
  <c r="N72" i="3"/>
  <c r="L72" i="3"/>
  <c r="K72" i="3"/>
  <c r="J72" i="3"/>
  <c r="I72" i="3"/>
  <c r="H72" i="3"/>
  <c r="F72" i="3"/>
  <c r="AB71" i="3"/>
  <c r="Y71" i="3"/>
  <c r="X71" i="3"/>
  <c r="W71" i="3"/>
  <c r="T71" i="3"/>
  <c r="R71" i="3"/>
  <c r="S71" i="3" s="1"/>
  <c r="Q71" i="3"/>
  <c r="P71" i="3"/>
  <c r="O71" i="3"/>
  <c r="N71" i="3"/>
  <c r="L71" i="3"/>
  <c r="K71" i="3"/>
  <c r="J71" i="3"/>
  <c r="I71" i="3"/>
  <c r="H71" i="3"/>
  <c r="F71" i="3"/>
  <c r="AB70" i="3"/>
  <c r="Y70" i="3"/>
  <c r="X70" i="3"/>
  <c r="W70" i="3"/>
  <c r="T70" i="3"/>
  <c r="S70" i="3"/>
  <c r="R70" i="3"/>
  <c r="Q70" i="3"/>
  <c r="P70" i="3"/>
  <c r="O70" i="3"/>
  <c r="N70" i="3"/>
  <c r="K70" i="3"/>
  <c r="L70" i="3" s="1"/>
  <c r="J70" i="3"/>
  <c r="I70" i="3"/>
  <c r="H70" i="3"/>
  <c r="F70" i="3"/>
  <c r="AB69" i="3"/>
  <c r="Y69" i="3"/>
  <c r="X69" i="3"/>
  <c r="W69" i="3"/>
  <c r="T69" i="3"/>
  <c r="S69" i="3"/>
  <c r="R69" i="3"/>
  <c r="N69" i="3" s="1"/>
  <c r="Q69" i="3"/>
  <c r="P69" i="3"/>
  <c r="O69" i="3"/>
  <c r="K69" i="3"/>
  <c r="L69" i="3" s="1"/>
  <c r="J69" i="3"/>
  <c r="I69" i="3"/>
  <c r="H69" i="3"/>
  <c r="F69" i="3"/>
  <c r="AB68" i="3"/>
  <c r="Y68" i="3"/>
  <c r="X68" i="3"/>
  <c r="W68" i="3"/>
  <c r="T68" i="3"/>
  <c r="R68" i="3"/>
  <c r="N68" i="3" s="1"/>
  <c r="Q68" i="3"/>
  <c r="P68" i="3"/>
  <c r="O68" i="3"/>
  <c r="L68" i="3"/>
  <c r="K68" i="3"/>
  <c r="J68" i="3"/>
  <c r="I68" i="3"/>
  <c r="H68" i="3"/>
  <c r="F68" i="3"/>
  <c r="AB67" i="3"/>
  <c r="Y67" i="3"/>
  <c r="X67" i="3"/>
  <c r="W67" i="3"/>
  <c r="T67" i="3"/>
  <c r="R67" i="3"/>
  <c r="N67" i="3" s="1"/>
  <c r="Q67" i="3"/>
  <c r="P67" i="3"/>
  <c r="O67" i="3"/>
  <c r="L67" i="3"/>
  <c r="K67" i="3"/>
  <c r="J67" i="3"/>
  <c r="I67" i="3"/>
  <c r="H67" i="3"/>
  <c r="F67" i="3"/>
  <c r="AB66" i="3"/>
  <c r="Y66" i="3"/>
  <c r="X66" i="3"/>
  <c r="W66" i="3"/>
  <c r="T66" i="3"/>
  <c r="S66" i="3"/>
  <c r="R66" i="3"/>
  <c r="N66" i="3" s="1"/>
  <c r="Q66" i="3"/>
  <c r="P66" i="3"/>
  <c r="O66" i="3"/>
  <c r="K66" i="3"/>
  <c r="L66" i="3" s="1"/>
  <c r="J66" i="3"/>
  <c r="I66" i="3"/>
  <c r="H66" i="3"/>
  <c r="F66" i="3"/>
  <c r="AB65" i="3"/>
  <c r="Y65" i="3"/>
  <c r="X65" i="3"/>
  <c r="W65" i="3"/>
  <c r="T65" i="3"/>
  <c r="S65" i="3"/>
  <c r="R65" i="3"/>
  <c r="Q65" i="3"/>
  <c r="P65" i="3"/>
  <c r="O65" i="3"/>
  <c r="N65" i="3"/>
  <c r="K65" i="3"/>
  <c r="L65" i="3" s="1"/>
  <c r="J65" i="3"/>
  <c r="I65" i="3"/>
  <c r="H65" i="3"/>
  <c r="F65" i="3"/>
  <c r="AB64" i="3"/>
  <c r="Y64" i="3"/>
  <c r="X64" i="3"/>
  <c r="W64" i="3"/>
  <c r="T64" i="3"/>
  <c r="R64" i="3"/>
  <c r="S64" i="3" s="1"/>
  <c r="Q64" i="3"/>
  <c r="P64" i="3"/>
  <c r="O64" i="3"/>
  <c r="N64" i="3"/>
  <c r="L64" i="3"/>
  <c r="K64" i="3"/>
  <c r="J64" i="3"/>
  <c r="I64" i="3"/>
  <c r="H64" i="3"/>
  <c r="F64" i="3"/>
  <c r="AB63" i="3"/>
  <c r="Y63" i="3"/>
  <c r="X63" i="3"/>
  <c r="W63" i="3"/>
  <c r="T63" i="3"/>
  <c r="R63" i="3"/>
  <c r="S63" i="3" s="1"/>
  <c r="Q63" i="3"/>
  <c r="P63" i="3"/>
  <c r="O63" i="3"/>
  <c r="L63" i="3"/>
  <c r="K63" i="3"/>
  <c r="J63" i="3"/>
  <c r="I63" i="3"/>
  <c r="H63" i="3"/>
  <c r="F63" i="3"/>
  <c r="AB62" i="3"/>
  <c r="Y62" i="3"/>
  <c r="X62" i="3"/>
  <c r="W62" i="3"/>
  <c r="T62" i="3"/>
  <c r="S62" i="3"/>
  <c r="R62" i="3"/>
  <c r="Q62" i="3"/>
  <c r="P62" i="3"/>
  <c r="O62" i="3"/>
  <c r="N62" i="3"/>
  <c r="K62" i="3"/>
  <c r="L62" i="3" s="1"/>
  <c r="J62" i="3"/>
  <c r="I62" i="3"/>
  <c r="H62" i="3"/>
  <c r="F62" i="3"/>
  <c r="AB61" i="3"/>
  <c r="Y61" i="3"/>
  <c r="X61" i="3"/>
  <c r="W61" i="3"/>
  <c r="T61" i="3"/>
  <c r="S61" i="3"/>
  <c r="R61" i="3"/>
  <c r="N61" i="3" s="1"/>
  <c r="Q61" i="3"/>
  <c r="P61" i="3"/>
  <c r="O61" i="3"/>
  <c r="K61" i="3"/>
  <c r="L61" i="3" s="1"/>
  <c r="J61" i="3"/>
  <c r="I61" i="3"/>
  <c r="H61" i="3"/>
  <c r="F61" i="3"/>
  <c r="AB60" i="3"/>
  <c r="Y60" i="3"/>
  <c r="X60" i="3"/>
  <c r="W60" i="3"/>
  <c r="T60" i="3"/>
  <c r="R60" i="3"/>
  <c r="N60" i="3" s="1"/>
  <c r="Q60" i="3"/>
  <c r="P60" i="3"/>
  <c r="O60" i="3"/>
  <c r="L60" i="3"/>
  <c r="K60" i="3"/>
  <c r="J60" i="3"/>
  <c r="I60" i="3"/>
  <c r="H60" i="3"/>
  <c r="F60" i="3"/>
  <c r="AB59" i="3"/>
  <c r="Y59" i="3"/>
  <c r="X59" i="3"/>
  <c r="W59" i="3"/>
  <c r="T59" i="3"/>
  <c r="R59" i="3"/>
  <c r="N59" i="3" s="1"/>
  <c r="Q59" i="3"/>
  <c r="P59" i="3"/>
  <c r="O59" i="3"/>
  <c r="L59" i="3"/>
  <c r="K59" i="3"/>
  <c r="J59" i="3"/>
  <c r="I59" i="3"/>
  <c r="H59" i="3"/>
  <c r="F59" i="3"/>
  <c r="AB58" i="3"/>
  <c r="Y58" i="3"/>
  <c r="X58" i="3"/>
  <c r="W58" i="3"/>
  <c r="T58" i="3"/>
  <c r="S58" i="3"/>
  <c r="R58" i="3"/>
  <c r="N58" i="3" s="1"/>
  <c r="Q58" i="3"/>
  <c r="P58" i="3"/>
  <c r="O58" i="3"/>
  <c r="K58" i="3"/>
  <c r="L58" i="3" s="1"/>
  <c r="J58" i="3"/>
  <c r="I58" i="3"/>
  <c r="H58" i="3"/>
  <c r="F58" i="3"/>
  <c r="AB57" i="3"/>
  <c r="Y57" i="3"/>
  <c r="X57" i="3"/>
  <c r="W57" i="3"/>
  <c r="T57" i="3"/>
  <c r="S57" i="3"/>
  <c r="R57" i="3"/>
  <c r="Q57" i="3"/>
  <c r="P57" i="3"/>
  <c r="O57" i="3"/>
  <c r="N57" i="3"/>
  <c r="K57" i="3"/>
  <c r="L57" i="3" s="1"/>
  <c r="J57" i="3"/>
  <c r="I57" i="3"/>
  <c r="H57" i="3"/>
  <c r="F57" i="3"/>
  <c r="AB56" i="3"/>
  <c r="Y56" i="3"/>
  <c r="X56" i="3"/>
  <c r="W56" i="3"/>
  <c r="T56" i="3"/>
  <c r="R56" i="3"/>
  <c r="S56" i="3" s="1"/>
  <c r="Q56" i="3"/>
  <c r="P56" i="3"/>
  <c r="O56" i="3"/>
  <c r="N56" i="3"/>
  <c r="L56" i="3"/>
  <c r="K56" i="3"/>
  <c r="J56" i="3"/>
  <c r="I56" i="3"/>
  <c r="H56" i="3"/>
  <c r="F56" i="3"/>
  <c r="AB55" i="3"/>
  <c r="Y55" i="3"/>
  <c r="X55" i="3"/>
  <c r="W55" i="3"/>
  <c r="T55" i="3"/>
  <c r="R55" i="3"/>
  <c r="S55" i="3" s="1"/>
  <c r="Q55" i="3"/>
  <c r="P55" i="3"/>
  <c r="O55" i="3"/>
  <c r="L55" i="3"/>
  <c r="K55" i="3"/>
  <c r="J55" i="3"/>
  <c r="I55" i="3"/>
  <c r="H55" i="3"/>
  <c r="F55" i="3"/>
  <c r="AB54" i="3"/>
  <c r="Y54" i="3"/>
  <c r="X54" i="3"/>
  <c r="W54" i="3"/>
  <c r="T54" i="3"/>
  <c r="S54" i="3"/>
  <c r="R54" i="3"/>
  <c r="Q54" i="3"/>
  <c r="P54" i="3"/>
  <c r="O54" i="3"/>
  <c r="N54" i="3"/>
  <c r="K54" i="3"/>
  <c r="L54" i="3" s="1"/>
  <c r="J54" i="3"/>
  <c r="I54" i="3"/>
  <c r="H54" i="3"/>
  <c r="F54" i="3"/>
  <c r="AB53" i="3"/>
  <c r="Y53" i="3"/>
  <c r="X53" i="3"/>
  <c r="W53" i="3"/>
  <c r="T53" i="3"/>
  <c r="S53" i="3"/>
  <c r="R53" i="3"/>
  <c r="N53" i="3" s="1"/>
  <c r="Q53" i="3"/>
  <c r="P53" i="3"/>
  <c r="O53" i="3"/>
  <c r="K53" i="3"/>
  <c r="L53" i="3" s="1"/>
  <c r="J53" i="3"/>
  <c r="I53" i="3"/>
  <c r="H53" i="3"/>
  <c r="F53" i="3"/>
  <c r="AB52" i="3"/>
  <c r="Y52" i="3"/>
  <c r="X52" i="3"/>
  <c r="W52" i="3"/>
  <c r="T52" i="3"/>
  <c r="R52" i="3"/>
  <c r="N52" i="3" s="1"/>
  <c r="Q52" i="3"/>
  <c r="P52" i="3"/>
  <c r="O52" i="3"/>
  <c r="L52" i="3"/>
  <c r="K52" i="3"/>
  <c r="J52" i="3"/>
  <c r="I52" i="3"/>
  <c r="H52" i="3"/>
  <c r="F52" i="3"/>
  <c r="AB51" i="3"/>
  <c r="Y51" i="3"/>
  <c r="X51" i="3"/>
  <c r="W51" i="3"/>
  <c r="T51" i="3"/>
  <c r="R51" i="3"/>
  <c r="N51" i="3" s="1"/>
  <c r="Q51" i="3"/>
  <c r="P51" i="3"/>
  <c r="O51" i="3"/>
  <c r="L51" i="3"/>
  <c r="K51" i="3"/>
  <c r="J51" i="3"/>
  <c r="I51" i="3"/>
  <c r="H51" i="3"/>
  <c r="F51" i="3"/>
  <c r="AB50" i="3"/>
  <c r="Y50" i="3"/>
  <c r="X50" i="3"/>
  <c r="W50" i="3"/>
  <c r="T50" i="3"/>
  <c r="S50" i="3"/>
  <c r="R50" i="3"/>
  <c r="N50" i="3" s="1"/>
  <c r="Q50" i="3"/>
  <c r="P50" i="3"/>
  <c r="O50" i="3"/>
  <c r="K50" i="3"/>
  <c r="L50" i="3" s="1"/>
  <c r="J50" i="3"/>
  <c r="I50" i="3"/>
  <c r="H50" i="3"/>
  <c r="F50" i="3"/>
  <c r="AB49" i="3"/>
  <c r="Y49" i="3"/>
  <c r="X49" i="3"/>
  <c r="W49" i="3"/>
  <c r="T49" i="3"/>
  <c r="S49" i="3"/>
  <c r="R49" i="3"/>
  <c r="Q49" i="3"/>
  <c r="P49" i="3"/>
  <c r="O49" i="3"/>
  <c r="N49" i="3"/>
  <c r="K49" i="3"/>
  <c r="L49" i="3" s="1"/>
  <c r="J49" i="3"/>
  <c r="I49" i="3"/>
  <c r="H49" i="3"/>
  <c r="F49" i="3"/>
  <c r="AB48" i="3"/>
  <c r="Y48" i="3"/>
  <c r="X48" i="3"/>
  <c r="W48" i="3"/>
  <c r="T48" i="3"/>
  <c r="R48" i="3"/>
  <c r="S48" i="3" s="1"/>
  <c r="Q48" i="3"/>
  <c r="P48" i="3"/>
  <c r="O48" i="3"/>
  <c r="N48" i="3"/>
  <c r="L48" i="3"/>
  <c r="K48" i="3"/>
  <c r="J48" i="3"/>
  <c r="I48" i="3"/>
  <c r="H48" i="3"/>
  <c r="F48" i="3"/>
  <c r="AB47" i="3"/>
  <c r="Y47" i="3"/>
  <c r="X47" i="3"/>
  <c r="W47" i="3"/>
  <c r="T47" i="3"/>
  <c r="R47" i="3"/>
  <c r="S47" i="3" s="1"/>
  <c r="Q47" i="3"/>
  <c r="P47" i="3"/>
  <c r="O47" i="3"/>
  <c r="L47" i="3"/>
  <c r="K47" i="3"/>
  <c r="J47" i="3"/>
  <c r="I47" i="3"/>
  <c r="H47" i="3"/>
  <c r="F47" i="3"/>
  <c r="AB46" i="3"/>
  <c r="Y46" i="3"/>
  <c r="X46" i="3"/>
  <c r="W46" i="3"/>
  <c r="T46" i="3"/>
  <c r="S46" i="3"/>
  <c r="R46" i="3"/>
  <c r="Q46" i="3"/>
  <c r="P46" i="3"/>
  <c r="O46" i="3"/>
  <c r="N46" i="3"/>
  <c r="K46" i="3"/>
  <c r="L46" i="3" s="1"/>
  <c r="J46" i="3"/>
  <c r="I46" i="3"/>
  <c r="H46" i="3"/>
  <c r="F46" i="3"/>
  <c r="AB45" i="3"/>
  <c r="Y45" i="3"/>
  <c r="X45" i="3"/>
  <c r="W45" i="3"/>
  <c r="T45" i="3"/>
  <c r="S45" i="3"/>
  <c r="R45" i="3"/>
  <c r="N45" i="3" s="1"/>
  <c r="Q45" i="3"/>
  <c r="P45" i="3"/>
  <c r="O45" i="3"/>
  <c r="K45" i="3"/>
  <c r="L45" i="3" s="1"/>
  <c r="J45" i="3"/>
  <c r="I45" i="3"/>
  <c r="H45" i="3"/>
  <c r="F45" i="3"/>
  <c r="AB44" i="3"/>
  <c r="Y44" i="3"/>
  <c r="X44" i="3"/>
  <c r="W44" i="3"/>
  <c r="T44" i="3"/>
  <c r="R44" i="3"/>
  <c r="N44" i="3" s="1"/>
  <c r="Q44" i="3"/>
  <c r="P44" i="3"/>
  <c r="O44" i="3"/>
  <c r="L44" i="3"/>
  <c r="K44" i="3"/>
  <c r="J44" i="3"/>
  <c r="I44" i="3"/>
  <c r="H44" i="3"/>
  <c r="F44" i="3"/>
  <c r="AB43" i="3"/>
  <c r="Y43" i="3"/>
  <c r="X43" i="3"/>
  <c r="W43" i="3"/>
  <c r="T43" i="3"/>
  <c r="R43" i="3"/>
  <c r="N43" i="3" s="1"/>
  <c r="Q43" i="3"/>
  <c r="P43" i="3"/>
  <c r="O43" i="3"/>
  <c r="L43" i="3"/>
  <c r="K43" i="3"/>
  <c r="J43" i="3"/>
  <c r="I43" i="3"/>
  <c r="H43" i="3"/>
  <c r="F43" i="3"/>
  <c r="AB42" i="3"/>
  <c r="Y42" i="3"/>
  <c r="X42" i="3"/>
  <c r="W42" i="3"/>
  <c r="T42" i="3"/>
  <c r="S42" i="3"/>
  <c r="R42" i="3"/>
  <c r="N42" i="3" s="1"/>
  <c r="Q42" i="3"/>
  <c r="P42" i="3"/>
  <c r="O42" i="3"/>
  <c r="K42" i="3"/>
  <c r="L42" i="3" s="1"/>
  <c r="J42" i="3"/>
  <c r="I42" i="3"/>
  <c r="H42" i="3"/>
  <c r="F42" i="3"/>
  <c r="AB41" i="3"/>
  <c r="Y41" i="3"/>
  <c r="X41" i="3"/>
  <c r="W41" i="3"/>
  <c r="T41" i="3"/>
  <c r="S41" i="3"/>
  <c r="R41" i="3"/>
  <c r="Q41" i="3"/>
  <c r="P41" i="3"/>
  <c r="O41" i="3"/>
  <c r="N41" i="3"/>
  <c r="K41" i="3"/>
  <c r="L41" i="3" s="1"/>
  <c r="J41" i="3"/>
  <c r="I41" i="3"/>
  <c r="H41" i="3"/>
  <c r="F41" i="3"/>
  <c r="AB40" i="3"/>
  <c r="Y40" i="3"/>
  <c r="X40" i="3"/>
  <c r="W40" i="3"/>
  <c r="T40" i="3"/>
  <c r="R40" i="3"/>
  <c r="S40" i="3" s="1"/>
  <c r="Q40" i="3"/>
  <c r="P40" i="3"/>
  <c r="O40" i="3"/>
  <c r="N40" i="3"/>
  <c r="L40" i="3"/>
  <c r="K40" i="3"/>
  <c r="J40" i="3"/>
  <c r="I40" i="3"/>
  <c r="H40" i="3"/>
  <c r="F40" i="3"/>
  <c r="AB39" i="3"/>
  <c r="Y39" i="3"/>
  <c r="X39" i="3"/>
  <c r="W39" i="3"/>
  <c r="T39" i="3"/>
  <c r="R39" i="3"/>
  <c r="S39" i="3" s="1"/>
  <c r="Q39" i="3"/>
  <c r="P39" i="3"/>
  <c r="O39" i="3"/>
  <c r="L39" i="3"/>
  <c r="K39" i="3"/>
  <c r="J39" i="3"/>
  <c r="I39" i="3"/>
  <c r="H39" i="3"/>
  <c r="F39" i="3"/>
  <c r="Y38" i="3"/>
  <c r="T38" i="3"/>
  <c r="Y37" i="3"/>
  <c r="T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B14" i="4" s="1"/>
  <c r="Z1" i="3"/>
  <c r="A1" i="3"/>
  <c r="C26" i="2"/>
  <c r="C25" i="2"/>
  <c r="C24" i="2"/>
  <c r="C23" i="2"/>
  <c r="C22" i="2"/>
  <c r="C21" i="2"/>
  <c r="C20" i="2"/>
  <c r="C19" i="2"/>
  <c r="C18" i="2"/>
  <c r="B5" i="2"/>
  <c r="A1" i="2"/>
  <c r="B55" i="1"/>
  <c r="B57" i="1" s="1"/>
  <c r="B59" i="1" s="1"/>
  <c r="B61" i="1" s="1"/>
  <c r="B65" i="1" s="1"/>
  <c r="B68" i="1" s="1"/>
  <c r="B75" i="1" s="1"/>
  <c r="B83" i="1" s="1"/>
  <c r="B86" i="1" s="1"/>
  <c r="B96" i="1" s="1"/>
  <c r="B106" i="1" s="1"/>
  <c r="B109" i="1" s="1"/>
  <c r="A31" i="13"/>
  <c r="A203" i="13"/>
  <c r="A43" i="13"/>
  <c r="A63" i="13"/>
  <c r="A151" i="13"/>
  <c r="A239" i="13"/>
  <c r="A127" i="13"/>
  <c r="A235" i="13"/>
  <c r="A215" i="13"/>
  <c r="A119" i="13"/>
  <c r="A87" i="13"/>
  <c r="A139" i="13"/>
  <c r="A23" i="13"/>
  <c r="A75" i="13"/>
  <c r="A95" i="13"/>
  <c r="A111" i="8"/>
  <c r="A191" i="13"/>
  <c r="A107" i="13"/>
  <c r="A11" i="13"/>
  <c r="A110" i="8"/>
  <c r="A247" i="13"/>
  <c r="A171" i="13"/>
  <c r="A183" i="13"/>
  <c r="A159" i="13"/>
  <c r="A55" i="13"/>
  <c r="D110" i="8" l="1"/>
  <c r="C110" i="8"/>
  <c r="S110" i="8"/>
  <c r="K110" i="8"/>
  <c r="B110" i="8"/>
  <c r="X110" i="8"/>
  <c r="G110" i="8"/>
  <c r="I110" i="8"/>
  <c r="H110" i="8"/>
  <c r="Z110" i="8"/>
  <c r="Y110" i="8"/>
  <c r="D111" i="8"/>
  <c r="C111" i="8"/>
  <c r="S111" i="8"/>
  <c r="K111" i="8"/>
  <c r="B111" i="8"/>
  <c r="Z111" i="8"/>
  <c r="I111" i="8"/>
  <c r="X111" i="8"/>
  <c r="H111" i="8"/>
  <c r="G111" i="8"/>
  <c r="Y111" i="8"/>
  <c r="B10" i="2"/>
  <c r="S44" i="3"/>
  <c r="S52" i="3"/>
  <c r="S60" i="3"/>
  <c r="S68" i="3"/>
  <c r="S74" i="3"/>
  <c r="S84" i="3"/>
  <c r="N97" i="3"/>
  <c r="S101" i="3"/>
  <c r="S103" i="3"/>
  <c r="S106" i="3"/>
  <c r="N140" i="3"/>
  <c r="S140" i="3"/>
  <c r="B54" i="4"/>
  <c r="C54" i="4" s="1"/>
  <c r="B76" i="4"/>
  <c r="C76" i="4" s="1"/>
  <c r="B149" i="4"/>
  <c r="C149" i="4" s="1"/>
  <c r="N83" i="3"/>
  <c r="N115" i="3"/>
  <c r="S117" i="3"/>
  <c r="S130" i="3"/>
  <c r="S143" i="3"/>
  <c r="N164" i="3"/>
  <c r="S164" i="3"/>
  <c r="N183" i="3"/>
  <c r="S186" i="3"/>
  <c r="B46" i="4"/>
  <c r="C46" i="4" s="1"/>
  <c r="B117" i="4"/>
  <c r="C117" i="4" s="1"/>
  <c r="N39" i="3"/>
  <c r="N47" i="3"/>
  <c r="N55" i="3"/>
  <c r="N63" i="3"/>
  <c r="N124" i="3"/>
  <c r="S124" i="3"/>
  <c r="N139" i="3"/>
  <c r="N159" i="3"/>
  <c r="B38" i="4"/>
  <c r="C38" i="4" s="1"/>
  <c r="B85" i="4"/>
  <c r="C85" i="4" s="1"/>
  <c r="S43" i="3"/>
  <c r="S51" i="3"/>
  <c r="S59" i="3"/>
  <c r="S67" i="3"/>
  <c r="N91" i="3"/>
  <c r="S114" i="3"/>
  <c r="N148" i="3"/>
  <c r="S148" i="3"/>
  <c r="N163" i="3"/>
  <c r="S165" i="3"/>
  <c r="S173" i="3"/>
  <c r="N199" i="3"/>
  <c r="B30" i="4"/>
  <c r="S90" i="3"/>
  <c r="N108" i="3"/>
  <c r="S108" i="3"/>
  <c r="N123" i="3"/>
  <c r="N175" i="3"/>
  <c r="N195" i="3"/>
  <c r="B22" i="4"/>
  <c r="Z2" i="3"/>
  <c r="W6" i="6" s="1"/>
  <c r="N132" i="3"/>
  <c r="S132" i="3"/>
  <c r="N147" i="3"/>
  <c r="S149" i="3"/>
  <c r="S162" i="3"/>
  <c r="A5" i="12"/>
  <c r="A6" i="12" s="1"/>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70" i="4"/>
  <c r="C70" i="4" s="1"/>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C71" i="4" s="1"/>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72" i="4"/>
  <c r="C72" i="4" s="1"/>
  <c r="B201" i="4"/>
  <c r="C201" i="4" s="1"/>
  <c r="B193" i="4"/>
  <c r="C193" i="4" s="1"/>
  <c r="B185" i="4"/>
  <c r="C185" i="4" s="1"/>
  <c r="B177" i="4"/>
  <c r="C177" i="4" s="1"/>
  <c r="B169" i="4"/>
  <c r="C169" i="4" s="1"/>
  <c r="B161" i="4"/>
  <c r="C161" i="4" s="1"/>
  <c r="B153" i="4"/>
  <c r="C153" i="4" s="1"/>
  <c r="B145" i="4"/>
  <c r="C145" i="4" s="1"/>
  <c r="B137" i="4"/>
  <c r="C137" i="4" s="1"/>
  <c r="B129" i="4"/>
  <c r="C129" i="4" s="1"/>
  <c r="B121" i="4"/>
  <c r="C121" i="4" s="1"/>
  <c r="B113" i="4"/>
  <c r="C113" i="4" s="1"/>
  <c r="B105" i="4"/>
  <c r="C105" i="4" s="1"/>
  <c r="B97" i="4"/>
  <c r="C97" i="4" s="1"/>
  <c r="B89" i="4"/>
  <c r="C89" i="4" s="1"/>
  <c r="B81" i="4"/>
  <c r="C81" i="4" s="1"/>
  <c r="B73" i="4"/>
  <c r="C73" i="4" s="1"/>
  <c r="B202" i="4"/>
  <c r="C202" i="4" s="1"/>
  <c r="B194" i="4"/>
  <c r="C194" i="4" s="1"/>
  <c r="B186" i="4"/>
  <c r="C186" i="4" s="1"/>
  <c r="B178" i="4"/>
  <c r="C178" i="4" s="1"/>
  <c r="B170" i="4"/>
  <c r="C170" i="4" s="1"/>
  <c r="B162" i="4"/>
  <c r="C162" i="4" s="1"/>
  <c r="B154" i="4"/>
  <c r="C154" i="4" s="1"/>
  <c r="B146" i="4"/>
  <c r="C146" i="4" s="1"/>
  <c r="B138" i="4"/>
  <c r="C138" i="4" s="1"/>
  <c r="B130" i="4"/>
  <c r="C130" i="4" s="1"/>
  <c r="B122" i="4"/>
  <c r="C122" i="4" s="1"/>
  <c r="B114" i="4"/>
  <c r="C114" i="4" s="1"/>
  <c r="B106" i="4"/>
  <c r="C106" i="4" s="1"/>
  <c r="B98" i="4"/>
  <c r="C98" i="4" s="1"/>
  <c r="B90" i="4"/>
  <c r="C90" i="4" s="1"/>
  <c r="B82" i="4"/>
  <c r="C82" i="4"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180" i="4"/>
  <c r="C180" i="4" s="1"/>
  <c r="B148" i="4"/>
  <c r="C148" i="4" s="1"/>
  <c r="B116" i="4"/>
  <c r="C116" i="4" s="1"/>
  <c r="B84" i="4"/>
  <c r="C84" i="4" s="1"/>
  <c r="B63" i="4"/>
  <c r="C63" i="4" s="1"/>
  <c r="B55" i="4"/>
  <c r="C55" i="4" s="1"/>
  <c r="B47" i="4"/>
  <c r="C47" i="4" s="1"/>
  <c r="B39" i="4"/>
  <c r="C39" i="4" s="1"/>
  <c r="B31" i="4"/>
  <c r="B23" i="4"/>
  <c r="B15" i="4"/>
  <c r="B189" i="4"/>
  <c r="C189" i="4" s="1"/>
  <c r="B157" i="4"/>
  <c r="C157" i="4" s="1"/>
  <c r="B125" i="4"/>
  <c r="C125" i="4" s="1"/>
  <c r="B93" i="4"/>
  <c r="C93" i="4" s="1"/>
  <c r="B64" i="4"/>
  <c r="C64" i="4" s="1"/>
  <c r="B56" i="4"/>
  <c r="C56" i="4" s="1"/>
  <c r="B48" i="4"/>
  <c r="C48" i="4" s="1"/>
  <c r="B40" i="4"/>
  <c r="C40" i="4" s="1"/>
  <c r="B32" i="4"/>
  <c r="B24" i="4"/>
  <c r="B16" i="4"/>
  <c r="B188" i="4"/>
  <c r="C188" i="4" s="1"/>
  <c r="B156" i="4"/>
  <c r="C156" i="4" s="1"/>
  <c r="B124" i="4"/>
  <c r="C124" i="4" s="1"/>
  <c r="B92" i="4"/>
  <c r="C92" i="4" s="1"/>
  <c r="B65" i="4"/>
  <c r="C65" i="4" s="1"/>
  <c r="B57" i="4"/>
  <c r="C57" i="4" s="1"/>
  <c r="B49" i="4"/>
  <c r="C49" i="4" s="1"/>
  <c r="B41" i="4"/>
  <c r="C41" i="4" s="1"/>
  <c r="B33" i="4"/>
  <c r="B25" i="4"/>
  <c r="B17" i="4"/>
  <c r="B197" i="4"/>
  <c r="C197" i="4" s="1"/>
  <c r="B165" i="4"/>
  <c r="C165" i="4" s="1"/>
  <c r="B133" i="4"/>
  <c r="C133" i="4" s="1"/>
  <c r="B101" i="4"/>
  <c r="C101" i="4" s="1"/>
  <c r="B66" i="4"/>
  <c r="C66" i="4" s="1"/>
  <c r="B58" i="4"/>
  <c r="C58" i="4" s="1"/>
  <c r="B50" i="4"/>
  <c r="C50" i="4" s="1"/>
  <c r="B42" i="4"/>
  <c r="C42" i="4" s="1"/>
  <c r="B34" i="4"/>
  <c r="B26" i="4"/>
  <c r="B18" i="4"/>
  <c r="B196" i="4"/>
  <c r="C196" i="4" s="1"/>
  <c r="B164" i="4"/>
  <c r="C164" i="4" s="1"/>
  <c r="B132" i="4"/>
  <c r="C132" i="4" s="1"/>
  <c r="B100" i="4"/>
  <c r="C100" i="4" s="1"/>
  <c r="B74" i="4"/>
  <c r="C74" i="4" s="1"/>
  <c r="B67" i="4"/>
  <c r="C67" i="4" s="1"/>
  <c r="B59" i="4"/>
  <c r="C59" i="4" s="1"/>
  <c r="B51" i="4"/>
  <c r="C51" i="4" s="1"/>
  <c r="B43" i="4"/>
  <c r="C43" i="4" s="1"/>
  <c r="B35" i="4"/>
  <c r="B27" i="4"/>
  <c r="B19" i="4"/>
  <c r="B11" i="4"/>
  <c r="B10" i="4"/>
  <c r="B9" i="4"/>
  <c r="B8" i="4"/>
  <c r="B7" i="4"/>
  <c r="B6" i="4"/>
  <c r="B205" i="4"/>
  <c r="C205" i="4" s="1"/>
  <c r="B173" i="4"/>
  <c r="C173" i="4" s="1"/>
  <c r="B141" i="4"/>
  <c r="C141" i="4" s="1"/>
  <c r="B109" i="4"/>
  <c r="C109" i="4" s="1"/>
  <c r="B77" i="4"/>
  <c r="C77" i="4" s="1"/>
  <c r="B68" i="4"/>
  <c r="C68" i="4" s="1"/>
  <c r="B60" i="4"/>
  <c r="C60" i="4" s="1"/>
  <c r="B52" i="4"/>
  <c r="C52" i="4" s="1"/>
  <c r="B44" i="4"/>
  <c r="C44" i="4" s="1"/>
  <c r="B36" i="4"/>
  <c r="B28" i="4"/>
  <c r="B20" i="4"/>
  <c r="B12" i="4"/>
  <c r="B204" i="4"/>
  <c r="C204" i="4" s="1"/>
  <c r="B172" i="4"/>
  <c r="C172" i="4" s="1"/>
  <c r="B140" i="4"/>
  <c r="C140" i="4" s="1"/>
  <c r="B108" i="4"/>
  <c r="C108" i="4" s="1"/>
  <c r="B69" i="4"/>
  <c r="C69" i="4" s="1"/>
  <c r="B61" i="4"/>
  <c r="C61" i="4" s="1"/>
  <c r="B53" i="4"/>
  <c r="C53" i="4" s="1"/>
  <c r="B45" i="4"/>
  <c r="C45" i="4" s="1"/>
  <c r="B37" i="4"/>
  <c r="B29" i="4"/>
  <c r="B21" i="4"/>
  <c r="B13" i="4"/>
  <c r="N156" i="3"/>
  <c r="S156" i="3"/>
  <c r="N191" i="3"/>
  <c r="U51" i="5"/>
  <c r="U50" i="5"/>
  <c r="U49" i="5"/>
  <c r="U48" i="5"/>
  <c r="U47" i="5"/>
  <c r="N116" i="3"/>
  <c r="S116" i="3"/>
  <c r="S133" i="3"/>
  <c r="S146" i="3"/>
  <c r="S170" i="3"/>
  <c r="B62" i="4"/>
  <c r="C62" i="4" s="1"/>
  <c r="B181" i="4"/>
  <c r="C181" i="4" s="1"/>
  <c r="U34" i="5"/>
  <c r="U44" i="5"/>
  <c r="U43" i="5"/>
  <c r="U42" i="5"/>
  <c r="U45" i="5"/>
  <c r="U46" i="5"/>
  <c r="U53" i="5"/>
  <c r="U56" i="5"/>
  <c r="U52" i="5"/>
  <c r="U54" i="5"/>
  <c r="U76" i="5"/>
  <c r="U75" i="5"/>
  <c r="U74" i="5"/>
  <c r="U73" i="5"/>
  <c r="U72" i="5"/>
  <c r="U182" i="5"/>
  <c r="U186" i="5"/>
  <c r="U185" i="5"/>
  <c r="U183" i="5"/>
  <c r="U184" i="5"/>
  <c r="S172" i="3"/>
  <c r="S180" i="3"/>
  <c r="S188" i="3"/>
  <c r="S196" i="3"/>
  <c r="S204" i="3"/>
  <c r="S201" i="3"/>
  <c r="U11" i="5"/>
  <c r="U10" i="5"/>
  <c r="U9" i="5"/>
  <c r="U8" i="5"/>
  <c r="U7" i="5"/>
  <c r="U12" i="5"/>
  <c r="U16" i="5"/>
  <c r="U15" i="5"/>
  <c r="U55" i="5"/>
  <c r="U156" i="5"/>
  <c r="U155" i="5"/>
  <c r="U63" i="5"/>
  <c r="U62" i="5"/>
  <c r="U101" i="5"/>
  <c r="U100" i="5"/>
  <c r="U99" i="5"/>
  <c r="U98" i="5"/>
  <c r="U97" i="5"/>
  <c r="U102" i="5"/>
  <c r="U13" i="5"/>
  <c r="U26" i="5"/>
  <c r="U25" i="5"/>
  <c r="U24" i="5"/>
  <c r="U23" i="5"/>
  <c r="U41" i="5"/>
  <c r="U40" i="5"/>
  <c r="U39" i="5"/>
  <c r="U28" i="5"/>
  <c r="U27" i="5"/>
  <c r="U31" i="5"/>
  <c r="U36" i="5"/>
  <c r="U77" i="5"/>
  <c r="U81" i="5"/>
  <c r="U80" i="5"/>
  <c r="U79" i="5"/>
  <c r="U78" i="5"/>
  <c r="U107" i="5"/>
  <c r="U111" i="5"/>
  <c r="U110" i="5"/>
  <c r="U20" i="5"/>
  <c r="U19" i="5"/>
  <c r="U18" i="5"/>
  <c r="U17" i="5"/>
  <c r="U93" i="5"/>
  <c r="U116" i="5"/>
  <c r="U115" i="5"/>
  <c r="U114" i="5"/>
  <c r="U113" i="5"/>
  <c r="U112" i="5"/>
  <c r="U134" i="5"/>
  <c r="U135" i="5"/>
  <c r="U133" i="5"/>
  <c r="U136" i="5"/>
  <c r="U132" i="5"/>
  <c r="U142" i="5"/>
  <c r="U146" i="5"/>
  <c r="U145" i="5"/>
  <c r="U143" i="5"/>
  <c r="U144" i="5"/>
  <c r="U196" i="5"/>
  <c r="U194" i="5"/>
  <c r="U193" i="5"/>
  <c r="U192" i="5"/>
  <c r="U195" i="5"/>
  <c r="U32" i="5"/>
  <c r="U117" i="5"/>
  <c r="U121" i="5"/>
  <c r="U120" i="5"/>
  <c r="U181" i="5"/>
  <c r="U179" i="5"/>
  <c r="U33" i="5"/>
  <c r="U66" i="5"/>
  <c r="U65" i="5"/>
  <c r="U64" i="5"/>
  <c r="U69" i="5"/>
  <c r="U85" i="5"/>
  <c r="U84" i="5"/>
  <c r="U83" i="5"/>
  <c r="U82" i="5"/>
  <c r="U91" i="5"/>
  <c r="U90" i="5"/>
  <c r="U89" i="5"/>
  <c r="U88" i="5"/>
  <c r="U163" i="5"/>
  <c r="U173" i="5"/>
  <c r="U190" i="5"/>
  <c r="U191" i="5"/>
  <c r="U188" i="5"/>
  <c r="U189" i="5"/>
  <c r="U35" i="5"/>
  <c r="U61" i="5"/>
  <c r="U60" i="5"/>
  <c r="U59" i="5"/>
  <c r="U58" i="5"/>
  <c r="U57" i="5"/>
  <c r="U106" i="5"/>
  <c r="U105" i="5"/>
  <c r="U104" i="5"/>
  <c r="U109" i="5"/>
  <c r="U125" i="5"/>
  <c r="U124" i="5"/>
  <c r="U123" i="5"/>
  <c r="U122" i="5"/>
  <c r="U130" i="5"/>
  <c r="U129" i="5"/>
  <c r="U128" i="5"/>
  <c r="U150" i="5"/>
  <c r="U151" i="5"/>
  <c r="U148" i="5"/>
  <c r="U149" i="5"/>
  <c r="U187" i="5"/>
  <c r="U67" i="5"/>
  <c r="U94" i="5"/>
  <c r="U126" i="5"/>
  <c r="U127" i="5"/>
  <c r="U147" i="5"/>
  <c r="U96" i="5"/>
  <c r="U154" i="5"/>
  <c r="U153" i="5"/>
  <c r="U152" i="5"/>
  <c r="U158" i="5"/>
  <c r="U161" i="5"/>
  <c r="U159" i="5"/>
  <c r="U160" i="5"/>
  <c r="U176" i="5"/>
  <c r="U206" i="5"/>
  <c r="U204" i="5"/>
  <c r="U203" i="5"/>
  <c r="U202" i="5"/>
  <c r="U157" i="5"/>
  <c r="U13" i="6"/>
  <c r="U18" i="7"/>
  <c r="U20" i="7"/>
  <c r="U17" i="7"/>
  <c r="U19" i="7"/>
  <c r="U21" i="7"/>
  <c r="U30" i="7"/>
  <c r="U27" i="7"/>
  <c r="U166" i="5"/>
  <c r="U162" i="5"/>
  <c r="U174" i="5"/>
  <c r="U175" i="5"/>
  <c r="U16" i="7"/>
  <c r="U137" i="5"/>
  <c r="U138" i="5"/>
  <c r="U139" i="5"/>
  <c r="U140" i="5"/>
  <c r="U170" i="5"/>
  <c r="U169" i="5"/>
  <c r="U167" i="5"/>
  <c r="P14" i="6"/>
  <c r="O14" i="6"/>
  <c r="U12" i="7"/>
  <c r="U15" i="7"/>
  <c r="U14" i="7"/>
  <c r="U68" i="5"/>
  <c r="U92" i="5"/>
  <c r="U108" i="5"/>
  <c r="U178" i="5"/>
  <c r="U177" i="5"/>
  <c r="U199" i="5"/>
  <c r="K18" i="6"/>
  <c r="U13" i="7"/>
  <c r="U41" i="7"/>
  <c r="U40" i="7"/>
  <c r="U39" i="7"/>
  <c r="U38" i="7"/>
  <c r="U37" i="7"/>
  <c r="U46" i="7"/>
  <c r="U45" i="7"/>
  <c r="U42" i="7"/>
  <c r="U48" i="7"/>
  <c r="U119" i="7"/>
  <c r="U118" i="7"/>
  <c r="U117" i="7"/>
  <c r="U120" i="7"/>
  <c r="U121" i="7"/>
  <c r="U166" i="7"/>
  <c r="U165" i="7"/>
  <c r="U164" i="7"/>
  <c r="U163" i="7"/>
  <c r="U162" i="7"/>
  <c r="U32" i="7"/>
  <c r="U34" i="7"/>
  <c r="U33" i="7"/>
  <c r="U35" i="7"/>
  <c r="U36" i="7"/>
  <c r="U71" i="7"/>
  <c r="U70" i="7"/>
  <c r="U69" i="7"/>
  <c r="U68" i="7"/>
  <c r="U86" i="7"/>
  <c r="U85" i="7"/>
  <c r="U84" i="7"/>
  <c r="U82" i="7"/>
  <c r="U201" i="5"/>
  <c r="M14" i="6"/>
  <c r="K17" i="6"/>
  <c r="U7" i="7"/>
  <c r="U24" i="7"/>
  <c r="U26" i="7"/>
  <c r="U43" i="7"/>
  <c r="U115" i="7"/>
  <c r="U112" i="7"/>
  <c r="U116" i="7"/>
  <c r="U113" i="7"/>
  <c r="U114" i="7"/>
  <c r="E14" i="6"/>
  <c r="L17" i="6"/>
  <c r="N18" i="6"/>
  <c r="U8" i="7"/>
  <c r="U22" i="7"/>
  <c r="U31" i="7"/>
  <c r="U29" i="7"/>
  <c r="U49" i="7"/>
  <c r="U56" i="7"/>
  <c r="U55" i="7"/>
  <c r="U54" i="7"/>
  <c r="U53" i="7"/>
  <c r="U52" i="7"/>
  <c r="U67" i="7"/>
  <c r="U124" i="7"/>
  <c r="U170" i="7"/>
  <c r="K16" i="6"/>
  <c r="U9" i="7"/>
  <c r="U65" i="7"/>
  <c r="U64" i="7"/>
  <c r="U63" i="7"/>
  <c r="U62" i="7"/>
  <c r="U66" i="7"/>
  <c r="L16" i="6"/>
  <c r="P18" i="6"/>
  <c r="U10" i="7"/>
  <c r="U96" i="7"/>
  <c r="U95" i="7"/>
  <c r="U94" i="7"/>
  <c r="U93" i="7"/>
  <c r="U92" i="7"/>
  <c r="U81" i="7"/>
  <c r="U106" i="7"/>
  <c r="U141" i="7"/>
  <c r="U140" i="7"/>
  <c r="U139" i="7"/>
  <c r="U138" i="7"/>
  <c r="U137" i="7"/>
  <c r="L15" i="6"/>
  <c r="O18" i="6" s="1"/>
  <c r="U23" i="7"/>
  <c r="U51" i="7"/>
  <c r="U57" i="7"/>
  <c r="U61" i="7"/>
  <c r="U60" i="7"/>
  <c r="U58" i="7"/>
  <c r="U73" i="7"/>
  <c r="U72" i="7"/>
  <c r="U76" i="7"/>
  <c r="U74" i="7"/>
  <c r="U83" i="7"/>
  <c r="U8" i="8"/>
  <c r="U9" i="8"/>
  <c r="U11" i="8"/>
  <c r="U7" i="8"/>
  <c r="U10" i="8"/>
  <c r="U50" i="7"/>
  <c r="U90" i="7"/>
  <c r="U97" i="7"/>
  <c r="U105" i="7"/>
  <c r="U127" i="7"/>
  <c r="U131" i="7"/>
  <c r="U128" i="7"/>
  <c r="U135" i="7"/>
  <c r="U153" i="7"/>
  <c r="U188" i="7"/>
  <c r="U187" i="7"/>
  <c r="U191" i="7"/>
  <c r="U126" i="7"/>
  <c r="U125" i="7"/>
  <c r="U123" i="7"/>
  <c r="U201" i="7"/>
  <c r="U200" i="7"/>
  <c r="U199" i="7"/>
  <c r="U198" i="7"/>
  <c r="U197" i="7"/>
  <c r="U77" i="7"/>
  <c r="U98" i="7"/>
  <c r="U103" i="7"/>
  <c r="U122" i="7"/>
  <c r="U167" i="7"/>
  <c r="U171" i="7"/>
  <c r="U168" i="7"/>
  <c r="U78" i="7"/>
  <c r="U169" i="7"/>
  <c r="U47" i="7"/>
  <c r="U79" i="7"/>
  <c r="U87" i="7"/>
  <c r="U101" i="7"/>
  <c r="U110" i="7"/>
  <c r="U109" i="7"/>
  <c r="U151" i="7"/>
  <c r="U150" i="7"/>
  <c r="U149" i="7"/>
  <c r="U148" i="7"/>
  <c r="U147" i="7"/>
  <c r="U80" i="7"/>
  <c r="U107" i="7"/>
  <c r="U143" i="7"/>
  <c r="U142" i="7"/>
  <c r="U144" i="7"/>
  <c r="U145" i="7"/>
  <c r="U146" i="7"/>
  <c r="U156" i="7"/>
  <c r="U155" i="7"/>
  <c r="U152" i="7"/>
  <c r="U102" i="7"/>
  <c r="U104" i="7"/>
  <c r="U159" i="7"/>
  <c r="U189" i="7"/>
  <c r="U136" i="7"/>
  <c r="U160" i="7"/>
  <c r="U182" i="7"/>
  <c r="U25" i="8"/>
  <c r="U176" i="7"/>
  <c r="U13" i="8"/>
  <c r="U46" i="8"/>
  <c r="U45" i="8"/>
  <c r="U44" i="8"/>
  <c r="U43" i="8"/>
  <c r="U50" i="8"/>
  <c r="U49" i="8"/>
  <c r="U172" i="7"/>
  <c r="U175" i="7"/>
  <c r="U186" i="7"/>
  <c r="U196" i="7"/>
  <c r="U195" i="7"/>
  <c r="U194" i="7"/>
  <c r="U193" i="7"/>
  <c r="U192" i="7"/>
  <c r="U202" i="7"/>
  <c r="U42" i="8"/>
  <c r="U133" i="7"/>
  <c r="U157" i="7"/>
  <c r="U173" i="7"/>
  <c r="U134" i="7"/>
  <c r="U158" i="7"/>
  <c r="U174" i="7"/>
  <c r="U180" i="7"/>
  <c r="U179" i="7"/>
  <c r="U177" i="7"/>
  <c r="U205" i="7"/>
  <c r="U206" i="7"/>
  <c r="U20" i="8"/>
  <c r="U184" i="7"/>
  <c r="U183" i="7"/>
  <c r="U21" i="8"/>
  <c r="U19" i="8"/>
  <c r="U47" i="8"/>
  <c r="U51" i="8"/>
  <c r="U48" i="8"/>
  <c r="U55" i="8"/>
  <c r="U60" i="8"/>
  <c r="U59" i="8"/>
  <c r="U61" i="8"/>
  <c r="U68" i="8"/>
  <c r="U67" i="8"/>
  <c r="U71" i="8"/>
  <c r="U69" i="8"/>
  <c r="U31" i="8"/>
  <c r="U30" i="8"/>
  <c r="U29" i="8"/>
  <c r="U28" i="8"/>
  <c r="U27" i="8"/>
  <c r="U14" i="8"/>
  <c r="U16" i="8"/>
  <c r="U17" i="8"/>
  <c r="U36" i="8"/>
  <c r="U35" i="8"/>
  <c r="U32" i="8"/>
  <c r="U58" i="8"/>
  <c r="U203" i="7"/>
  <c r="U12" i="8"/>
  <c r="U23" i="8"/>
  <c r="U22" i="8"/>
  <c r="U24" i="8"/>
  <c r="U39" i="8"/>
  <c r="U33" i="8"/>
  <c r="U34" i="8"/>
  <c r="U70" i="8"/>
  <c r="U82" i="8"/>
  <c r="U86" i="8"/>
  <c r="U85" i="8"/>
  <c r="U40" i="8"/>
  <c r="U56" i="8"/>
  <c r="U64" i="8"/>
  <c r="U63" i="8"/>
  <c r="U76" i="8"/>
  <c r="U75" i="8"/>
  <c r="U74" i="8"/>
  <c r="U72" i="8"/>
  <c r="U91" i="8"/>
  <c r="U90" i="8"/>
  <c r="U89" i="8"/>
  <c r="U88" i="8"/>
  <c r="U87" i="8"/>
  <c r="U52" i="8"/>
  <c r="U96" i="8"/>
  <c r="U92" i="8"/>
  <c r="U95" i="8"/>
  <c r="U97" i="8"/>
  <c r="U37" i="8"/>
  <c r="U53" i="8"/>
  <c r="U106" i="8"/>
  <c r="U38" i="8"/>
  <c r="U54" i="8"/>
  <c r="U93" i="8"/>
  <c r="U94" i="8"/>
  <c r="U105" i="8"/>
  <c r="U103" i="8"/>
  <c r="U81" i="8"/>
  <c r="U80" i="8"/>
  <c r="U79" i="8"/>
  <c r="U84" i="8"/>
  <c r="U111" i="8"/>
  <c r="U110" i="8"/>
  <c r="U109" i="8"/>
  <c r="U108" i="8"/>
  <c r="U107" i="8"/>
  <c r="U116" i="8"/>
  <c r="U115" i="8"/>
  <c r="U112" i="8"/>
  <c r="U114" i="8"/>
  <c r="U113" i="8"/>
  <c r="U98" i="8"/>
  <c r="U118" i="8"/>
  <c r="U101" i="8"/>
  <c r="U126" i="8"/>
  <c r="U125" i="8"/>
  <c r="U124" i="8"/>
  <c r="U123" i="8"/>
  <c r="U158" i="8"/>
  <c r="U157" i="8"/>
  <c r="U99" i="8"/>
  <c r="U121" i="8"/>
  <c r="U83" i="8"/>
  <c r="U102" i="8"/>
  <c r="U104" i="8"/>
  <c r="U127" i="8"/>
  <c r="U131" i="8"/>
  <c r="U128" i="8"/>
  <c r="U135" i="8"/>
  <c r="U140" i="8"/>
  <c r="U139" i="8"/>
  <c r="U137" i="8"/>
  <c r="U138" i="8"/>
  <c r="U129" i="8"/>
  <c r="U120" i="8"/>
  <c r="U136" i="8"/>
  <c r="U148" i="8"/>
  <c r="U164" i="8"/>
  <c r="U163" i="8"/>
  <c r="U162" i="8"/>
  <c r="U165" i="8"/>
  <c r="U166" i="8"/>
  <c r="U172" i="8"/>
  <c r="U176" i="8"/>
  <c r="U175" i="8"/>
  <c r="U186" i="8"/>
  <c r="U185" i="8"/>
  <c r="U184" i="8"/>
  <c r="U183" i="8"/>
  <c r="U132" i="8"/>
  <c r="U146" i="8"/>
  <c r="U145" i="8"/>
  <c r="U143" i="8"/>
  <c r="U161" i="8"/>
  <c r="U160" i="8"/>
  <c r="U159" i="8"/>
  <c r="U182" i="8"/>
  <c r="U117" i="8"/>
  <c r="U133" i="8"/>
  <c r="U149" i="8"/>
  <c r="U188" i="8"/>
  <c r="U191" i="8"/>
  <c r="U190" i="8"/>
  <c r="U189" i="8"/>
  <c r="U187" i="8"/>
  <c r="U134" i="8"/>
  <c r="U156" i="8"/>
  <c r="U155" i="8"/>
  <c r="U154" i="8"/>
  <c r="U153" i="8"/>
  <c r="U152" i="8"/>
  <c r="U171" i="8"/>
  <c r="U170" i="8"/>
  <c r="U169" i="8"/>
  <c r="U168" i="8"/>
  <c r="U167" i="8"/>
  <c r="U151" i="8"/>
  <c r="U196" i="8"/>
  <c r="U192" i="8"/>
  <c r="U206" i="8"/>
  <c r="U204" i="8"/>
  <c r="U205" i="8"/>
  <c r="U194" i="8"/>
  <c r="U202" i="8"/>
  <c r="U177" i="8"/>
  <c r="U200" i="8"/>
  <c r="U199" i="8"/>
  <c r="U198" i="8"/>
  <c r="U197" i="8"/>
  <c r="U178" i="8"/>
  <c r="U147" i="8"/>
  <c r="U179" i="8"/>
  <c r="U195" i="8"/>
  <c r="U203" i="8"/>
  <c r="B6" i="13"/>
  <c r="A213" i="13"/>
  <c r="A208" i="13"/>
  <c r="A210" i="13"/>
  <c r="A167" i="13"/>
  <c r="A111" i="13"/>
  <c r="A17" i="13"/>
  <c r="A12" i="13"/>
  <c r="A14" i="13"/>
  <c r="A194" i="13"/>
  <c r="A131" i="13"/>
  <c r="A45" i="13"/>
  <c r="A40" i="13"/>
  <c r="A42" i="13"/>
  <c r="A224" i="13"/>
  <c r="A150" i="13"/>
  <c r="A105" i="13"/>
  <c r="A100" i="13"/>
  <c r="A102" i="13"/>
  <c r="A160" i="13"/>
  <c r="A155" i="13"/>
  <c r="A217" i="13"/>
  <c r="A129" i="13"/>
  <c r="A124" i="13"/>
  <c r="A126" i="13"/>
  <c r="A15" i="13"/>
  <c r="A29" i="13"/>
  <c r="A24" i="13"/>
  <c r="A26" i="13"/>
  <c r="A147" i="13"/>
  <c r="A144" i="13"/>
  <c r="A35" i="13"/>
  <c r="A206" i="13"/>
  <c r="A237" i="13"/>
  <c r="A251" i="13"/>
  <c r="A41" i="13"/>
  <c r="A162" i="13"/>
  <c r="A60" i="13"/>
  <c r="A218" i="13"/>
  <c r="A50" i="13"/>
  <c r="A136" i="13"/>
  <c r="A196" i="13"/>
  <c r="A220" i="13"/>
  <c r="A18" i="13"/>
  <c r="A78" i="13"/>
  <c r="A104" i="13"/>
  <c r="A166" i="13"/>
  <c r="A190" i="13"/>
  <c r="A181" i="13"/>
  <c r="A176" i="13"/>
  <c r="A178" i="13"/>
  <c r="A179" i="13"/>
  <c r="A241" i="13"/>
  <c r="A236" i="13"/>
  <c r="A238" i="13"/>
  <c r="A219" i="13"/>
  <c r="A98" i="13"/>
  <c r="A143" i="13"/>
  <c r="A13" i="13"/>
  <c r="A8" i="13"/>
  <c r="A10" i="13"/>
  <c r="A96" i="13"/>
  <c r="A135" i="13"/>
  <c r="A73" i="13"/>
  <c r="A68" i="13"/>
  <c r="A70" i="13"/>
  <c r="A32" i="13"/>
  <c r="A195" i="13"/>
  <c r="A52" i="13"/>
  <c r="A97" i="13"/>
  <c r="A92" i="13"/>
  <c r="A94" i="13"/>
  <c r="A253" i="13"/>
  <c r="A248" i="13"/>
  <c r="A250" i="13"/>
  <c r="A123" i="13"/>
  <c r="A146" i="13"/>
  <c r="A209" i="13"/>
  <c r="A199" i="13"/>
  <c r="A232" i="13"/>
  <c r="A130" i="13"/>
  <c r="A36" i="13"/>
  <c r="A197" i="13"/>
  <c r="A65" i="13"/>
  <c r="A221" i="13"/>
  <c r="A103" i="13"/>
  <c r="A246" i="13"/>
  <c r="A37" i="13"/>
  <c r="A207" i="13"/>
  <c r="A249" i="13"/>
  <c r="A125" i="13"/>
  <c r="A16" i="13"/>
  <c r="A164" i="13"/>
  <c r="A188" i="13"/>
  <c r="A84" i="13"/>
  <c r="A149" i="13"/>
  <c r="A204" i="13"/>
  <c r="A39" i="13"/>
  <c r="A234" i="13"/>
  <c r="A163" i="13"/>
  <c r="A38" i="13"/>
  <c r="A86" i="13"/>
  <c r="A62" i="13"/>
  <c r="A216" i="13"/>
  <c r="A67" i="13"/>
  <c r="A113" i="13"/>
  <c r="A148" i="13"/>
  <c r="A153" i="13"/>
  <c r="A226" i="13"/>
  <c r="A120" i="13"/>
  <c r="A79" i="13"/>
  <c r="A192" i="13"/>
  <c r="A25" i="13"/>
  <c r="A193" i="13"/>
  <c r="A90" i="13"/>
  <c r="A117" i="13"/>
  <c r="A112" i="13"/>
  <c r="A114" i="13"/>
  <c r="A89" i="13"/>
  <c r="A177" i="13"/>
  <c r="A172" i="13"/>
  <c r="A174" i="13"/>
  <c r="A211" i="13"/>
  <c r="A47" i="13"/>
  <c r="A205" i="13"/>
  <c r="A200" i="13"/>
  <c r="A202" i="13"/>
  <c r="A231" i="13"/>
  <c r="A59" i="13"/>
  <c r="A175" i="13"/>
  <c r="A9" i="13"/>
  <c r="A255" i="13"/>
  <c r="A27" i="13"/>
  <c r="A66" i="13"/>
  <c r="A256" i="13"/>
  <c r="A227" i="13"/>
  <c r="A33" i="13"/>
  <c r="A28" i="13"/>
  <c r="A30" i="13"/>
  <c r="A189" i="13"/>
  <c r="A184" i="13"/>
  <c r="A186" i="13"/>
  <c r="A115" i="13"/>
  <c r="A48" i="13"/>
  <c r="A141" i="13"/>
  <c r="A198" i="13"/>
  <c r="A121" i="13"/>
  <c r="A21" i="13"/>
  <c r="A76" i="13"/>
  <c r="A106" i="13"/>
  <c r="A229" i="13"/>
  <c r="A20" i="13"/>
  <c r="A85" i="13"/>
  <c r="A80" i="13"/>
  <c r="A82" i="13"/>
  <c r="A212" i="13"/>
  <c r="A145" i="13"/>
  <c r="A140" i="13"/>
  <c r="A142" i="13"/>
  <c r="A165" i="13"/>
  <c r="A57" i="13"/>
  <c r="A173" i="13"/>
  <c r="A168" i="13"/>
  <c r="A170" i="13"/>
  <c r="A243" i="13"/>
  <c r="A71" i="13"/>
  <c r="A233" i="13"/>
  <c r="A228" i="13"/>
  <c r="A230" i="13"/>
  <c r="A7" i="13"/>
  <c r="A51" i="13"/>
  <c r="A128" i="13"/>
  <c r="A257" i="13"/>
  <c r="A252" i="13"/>
  <c r="A254" i="13"/>
  <c r="A91" i="13"/>
  <c r="A157" i="13"/>
  <c r="A152" i="13"/>
  <c r="A154" i="13"/>
  <c r="A185" i="13"/>
  <c r="A53" i="13"/>
  <c r="A110" i="13"/>
  <c r="A138" i="13"/>
  <c r="A19" i="13"/>
  <c r="A222" i="13"/>
  <c r="A244" i="13"/>
  <c r="A81" i="13"/>
  <c r="A109" i="13"/>
  <c r="A169" i="13"/>
  <c r="A34" i="13"/>
  <c r="A88" i="13"/>
  <c r="A245" i="13"/>
  <c r="A240" i="13"/>
  <c r="A242" i="13"/>
  <c r="A187" i="13"/>
  <c r="A99" i="13"/>
  <c r="A49" i="13"/>
  <c r="A44" i="13"/>
  <c r="A46" i="13"/>
  <c r="A64" i="13"/>
  <c r="A22" i="13"/>
  <c r="A77" i="13"/>
  <c r="A72" i="13"/>
  <c r="A74" i="13"/>
  <c r="A101" i="13"/>
  <c r="A116" i="13"/>
  <c r="A137" i="13"/>
  <c r="A132" i="13"/>
  <c r="A134" i="13"/>
  <c r="A69" i="13"/>
  <c r="A182" i="13"/>
  <c r="A83" i="13"/>
  <c r="A161" i="13"/>
  <c r="A156" i="13"/>
  <c r="A158" i="13"/>
  <c r="A223" i="13"/>
  <c r="A61" i="13"/>
  <c r="A56" i="13"/>
  <c r="A58" i="13"/>
  <c r="A118" i="13"/>
  <c r="A108" i="13"/>
  <c r="A201" i="13"/>
  <c r="A225" i="13"/>
  <c r="A122" i="13"/>
  <c r="A54" i="13"/>
  <c r="A214" i="13"/>
  <c r="A133" i="13"/>
  <c r="A180" i="13"/>
  <c r="A93" i="13"/>
  <c r="A189" i="4" l="1"/>
  <c r="H189" i="4"/>
  <c r="F189" i="4"/>
  <c r="E189" i="4"/>
  <c r="D189" i="4"/>
  <c r="C190" i="9" s="1"/>
  <c r="F170" i="4"/>
  <c r="E170" i="4"/>
  <c r="D170" i="4"/>
  <c r="C171" i="9" s="1"/>
  <c r="A170" i="4"/>
  <c r="H170" i="4"/>
  <c r="D88" i="4"/>
  <c r="C89" i="9" s="1"/>
  <c r="A88" i="4"/>
  <c r="H88" i="4"/>
  <c r="F88" i="4"/>
  <c r="E88" i="4"/>
  <c r="A70" i="4"/>
  <c r="E70" i="4"/>
  <c r="H70" i="4"/>
  <c r="F70" i="4"/>
  <c r="D70" i="4"/>
  <c r="C71" i="9" s="1"/>
  <c r="W110" i="8"/>
  <c r="AA110" i="8"/>
  <c r="Q14" i="6"/>
  <c r="E15" i="6"/>
  <c r="H45" i="4"/>
  <c r="F45" i="4"/>
  <c r="E45" i="4"/>
  <c r="D45" i="4"/>
  <c r="C46" i="9" s="1"/>
  <c r="A45" i="4"/>
  <c r="A77" i="4"/>
  <c r="H77" i="4"/>
  <c r="F77" i="4"/>
  <c r="E77" i="4"/>
  <c r="D77" i="4"/>
  <c r="C78" i="9" s="1"/>
  <c r="F59" i="4"/>
  <c r="E59" i="4"/>
  <c r="D59" i="4"/>
  <c r="C60" i="9" s="1"/>
  <c r="A59" i="4"/>
  <c r="H59" i="4"/>
  <c r="A165" i="4"/>
  <c r="H165" i="4"/>
  <c r="F165" i="4"/>
  <c r="E165" i="4"/>
  <c r="D165" i="4"/>
  <c r="C166" i="9" s="1"/>
  <c r="D65" i="4"/>
  <c r="C66" i="9" s="1"/>
  <c r="A65" i="4"/>
  <c r="H65" i="4"/>
  <c r="F65" i="4"/>
  <c r="E65" i="4"/>
  <c r="A40" i="4"/>
  <c r="H40" i="4"/>
  <c r="F40" i="4"/>
  <c r="E40" i="4"/>
  <c r="D40" i="4"/>
  <c r="C41" i="9" s="1"/>
  <c r="H116" i="4"/>
  <c r="F116" i="4"/>
  <c r="E116" i="4"/>
  <c r="D116" i="4"/>
  <c r="C117" i="9" s="1"/>
  <c r="A116" i="4"/>
  <c r="H115" i="4"/>
  <c r="F115" i="4"/>
  <c r="E115" i="4"/>
  <c r="D115" i="4"/>
  <c r="C116" i="9" s="1"/>
  <c r="A115" i="4"/>
  <c r="H179" i="4"/>
  <c r="F179" i="4"/>
  <c r="E179" i="4"/>
  <c r="D179" i="4"/>
  <c r="C180" i="9" s="1"/>
  <c r="A179" i="4"/>
  <c r="F114" i="4"/>
  <c r="E114" i="4"/>
  <c r="D114" i="4"/>
  <c r="C115" i="9" s="1"/>
  <c r="A114" i="4"/>
  <c r="H114" i="4"/>
  <c r="F178" i="4"/>
  <c r="E178" i="4"/>
  <c r="D178" i="4"/>
  <c r="C179" i="9" s="1"/>
  <c r="A178" i="4"/>
  <c r="H178" i="4"/>
  <c r="E105" i="4"/>
  <c r="D105" i="4"/>
  <c r="C106" i="9" s="1"/>
  <c r="A105" i="4"/>
  <c r="H105" i="4"/>
  <c r="F105" i="4"/>
  <c r="E169" i="4"/>
  <c r="D169" i="4"/>
  <c r="C170" i="9" s="1"/>
  <c r="A169" i="4"/>
  <c r="H169" i="4"/>
  <c r="F169" i="4"/>
  <c r="D96" i="4"/>
  <c r="C97" i="9" s="1"/>
  <c r="A96" i="4"/>
  <c r="H96" i="4"/>
  <c r="F96" i="4"/>
  <c r="E96" i="4"/>
  <c r="D160" i="4"/>
  <c r="C161" i="9" s="1"/>
  <c r="A160" i="4"/>
  <c r="H160" i="4"/>
  <c r="F160" i="4"/>
  <c r="E160" i="4"/>
  <c r="A87" i="4"/>
  <c r="H87" i="4"/>
  <c r="F87" i="4"/>
  <c r="E87" i="4"/>
  <c r="D87" i="4"/>
  <c r="C88" i="9" s="1"/>
  <c r="A151" i="4"/>
  <c r="H151" i="4"/>
  <c r="F151" i="4"/>
  <c r="E151" i="4"/>
  <c r="D151" i="4"/>
  <c r="C152" i="9" s="1"/>
  <c r="A78" i="4"/>
  <c r="H78" i="4"/>
  <c r="F78" i="4"/>
  <c r="E78" i="4"/>
  <c r="D78" i="4"/>
  <c r="C79" i="9" s="1"/>
  <c r="A142" i="4"/>
  <c r="H142" i="4"/>
  <c r="F142" i="4"/>
  <c r="E142" i="4"/>
  <c r="D142" i="4"/>
  <c r="C143" i="9" s="1"/>
  <c r="B6" i="12"/>
  <c r="A149" i="4"/>
  <c r="H149" i="4"/>
  <c r="F149" i="4"/>
  <c r="E149" i="4"/>
  <c r="D149" i="4"/>
  <c r="C150" i="9" s="1"/>
  <c r="H204" i="4"/>
  <c r="F204" i="4"/>
  <c r="E204" i="4"/>
  <c r="D204" i="4"/>
  <c r="C205" i="9" s="1"/>
  <c r="A204" i="4"/>
  <c r="F106" i="4"/>
  <c r="E106" i="4"/>
  <c r="D106" i="4"/>
  <c r="C107" i="9" s="1"/>
  <c r="A106" i="4"/>
  <c r="H106" i="4"/>
  <c r="M15" i="6"/>
  <c r="H53" i="4"/>
  <c r="F53" i="4"/>
  <c r="E53" i="4"/>
  <c r="D53" i="4"/>
  <c r="C54" i="9" s="1"/>
  <c r="A53" i="4"/>
  <c r="A109" i="4"/>
  <c r="H109" i="4"/>
  <c r="F109" i="4"/>
  <c r="E109" i="4"/>
  <c r="D109" i="4"/>
  <c r="C110" i="9" s="1"/>
  <c r="F67" i="4"/>
  <c r="E67" i="4"/>
  <c r="D67" i="4"/>
  <c r="C68" i="9" s="1"/>
  <c r="A67" i="4"/>
  <c r="H67" i="4"/>
  <c r="A197" i="4"/>
  <c r="H197" i="4"/>
  <c r="F197" i="4"/>
  <c r="E197" i="4"/>
  <c r="D197" i="4"/>
  <c r="C198" i="9" s="1"/>
  <c r="H92" i="4"/>
  <c r="F92" i="4"/>
  <c r="E92" i="4"/>
  <c r="D92" i="4"/>
  <c r="C93" i="9" s="1"/>
  <c r="A92" i="4"/>
  <c r="A48" i="4"/>
  <c r="H48" i="4"/>
  <c r="F48" i="4"/>
  <c r="E48" i="4"/>
  <c r="D48" i="4"/>
  <c r="C49" i="9" s="1"/>
  <c r="H148" i="4"/>
  <c r="F148" i="4"/>
  <c r="E148" i="4"/>
  <c r="D148" i="4"/>
  <c r="C149" i="9" s="1"/>
  <c r="A148" i="4"/>
  <c r="H123" i="4"/>
  <c r="F123" i="4"/>
  <c r="E123" i="4"/>
  <c r="D123" i="4"/>
  <c r="C124" i="9" s="1"/>
  <c r="A123" i="4"/>
  <c r="H187" i="4"/>
  <c r="F187" i="4"/>
  <c r="E187" i="4"/>
  <c r="D187" i="4"/>
  <c r="C188" i="9" s="1"/>
  <c r="A187" i="4"/>
  <c r="F122" i="4"/>
  <c r="E122" i="4"/>
  <c r="D122" i="4"/>
  <c r="C123" i="9" s="1"/>
  <c r="A122" i="4"/>
  <c r="H122" i="4"/>
  <c r="F186" i="4"/>
  <c r="E186" i="4"/>
  <c r="D186" i="4"/>
  <c r="C187" i="9" s="1"/>
  <c r="A186" i="4"/>
  <c r="H186" i="4"/>
  <c r="E113" i="4"/>
  <c r="D113" i="4"/>
  <c r="C114" i="9" s="1"/>
  <c r="A113" i="4"/>
  <c r="H113" i="4"/>
  <c r="F113" i="4"/>
  <c r="E177" i="4"/>
  <c r="D177" i="4"/>
  <c r="C178" i="9" s="1"/>
  <c r="A177" i="4"/>
  <c r="H177" i="4"/>
  <c r="F177" i="4"/>
  <c r="D104" i="4"/>
  <c r="C105" i="9" s="1"/>
  <c r="A104" i="4"/>
  <c r="H104" i="4"/>
  <c r="F104" i="4"/>
  <c r="E104" i="4"/>
  <c r="D168" i="4"/>
  <c r="C169" i="9" s="1"/>
  <c r="A168" i="4"/>
  <c r="H168" i="4"/>
  <c r="F168" i="4"/>
  <c r="E168" i="4"/>
  <c r="A95" i="4"/>
  <c r="H95" i="4"/>
  <c r="F95" i="4"/>
  <c r="E95" i="4"/>
  <c r="D95" i="4"/>
  <c r="C96" i="9" s="1"/>
  <c r="A159" i="4"/>
  <c r="H159" i="4"/>
  <c r="F159" i="4"/>
  <c r="E159" i="4"/>
  <c r="D159" i="4"/>
  <c r="C160" i="9" s="1"/>
  <c r="A86" i="4"/>
  <c r="H86" i="4"/>
  <c r="F86" i="4"/>
  <c r="E86" i="4"/>
  <c r="D86" i="4"/>
  <c r="C87" i="9" s="1"/>
  <c r="A150" i="4"/>
  <c r="H150" i="4"/>
  <c r="F150" i="4"/>
  <c r="E150" i="4"/>
  <c r="D150" i="4"/>
  <c r="C151" i="9" s="1"/>
  <c r="H76" i="4"/>
  <c r="F76" i="4"/>
  <c r="E76" i="4"/>
  <c r="A76" i="4"/>
  <c r="D76" i="4"/>
  <c r="C77" i="9" s="1"/>
  <c r="E161" i="4"/>
  <c r="D161" i="4"/>
  <c r="C162" i="9" s="1"/>
  <c r="A161" i="4"/>
  <c r="H161" i="4"/>
  <c r="F161" i="4"/>
  <c r="H61" i="4"/>
  <c r="F61" i="4"/>
  <c r="E61" i="4"/>
  <c r="D61" i="4"/>
  <c r="C62" i="9" s="1"/>
  <c r="A61" i="4"/>
  <c r="A141" i="4"/>
  <c r="H141" i="4"/>
  <c r="F141" i="4"/>
  <c r="E141" i="4"/>
  <c r="D141" i="4"/>
  <c r="C142" i="9" s="1"/>
  <c r="F74" i="4"/>
  <c r="E74" i="4"/>
  <c r="D74" i="4"/>
  <c r="C75" i="9" s="1"/>
  <c r="A74" i="4"/>
  <c r="H74" i="4"/>
  <c r="E42" i="4"/>
  <c r="D42" i="4"/>
  <c r="C43" i="9" s="1"/>
  <c r="A42" i="4"/>
  <c r="H42" i="4"/>
  <c r="F42" i="4"/>
  <c r="H124" i="4"/>
  <c r="F124" i="4"/>
  <c r="E124" i="4"/>
  <c r="D124" i="4"/>
  <c r="C125" i="9" s="1"/>
  <c r="A124" i="4"/>
  <c r="A56" i="4"/>
  <c r="H56" i="4"/>
  <c r="F56" i="4"/>
  <c r="E56" i="4"/>
  <c r="D56" i="4"/>
  <c r="C57" i="9" s="1"/>
  <c r="H180" i="4"/>
  <c r="F180" i="4"/>
  <c r="E180" i="4"/>
  <c r="D180" i="4"/>
  <c r="C181" i="9" s="1"/>
  <c r="A180" i="4"/>
  <c r="H131" i="4"/>
  <c r="F131" i="4"/>
  <c r="E131" i="4"/>
  <c r="D131" i="4"/>
  <c r="C132" i="9" s="1"/>
  <c r="A131" i="4"/>
  <c r="H195" i="4"/>
  <c r="F195" i="4"/>
  <c r="E195" i="4"/>
  <c r="D195" i="4"/>
  <c r="C196" i="9" s="1"/>
  <c r="A195" i="4"/>
  <c r="F130" i="4"/>
  <c r="E130" i="4"/>
  <c r="D130" i="4"/>
  <c r="C131" i="9" s="1"/>
  <c r="A130" i="4"/>
  <c r="H130" i="4"/>
  <c r="F194" i="4"/>
  <c r="E194" i="4"/>
  <c r="D194" i="4"/>
  <c r="C195" i="9" s="1"/>
  <c r="A194" i="4"/>
  <c r="H194" i="4"/>
  <c r="E121" i="4"/>
  <c r="D121" i="4"/>
  <c r="C122" i="9" s="1"/>
  <c r="A121" i="4"/>
  <c r="H121" i="4"/>
  <c r="F121" i="4"/>
  <c r="E185" i="4"/>
  <c r="D185" i="4"/>
  <c r="C186" i="9" s="1"/>
  <c r="A185" i="4"/>
  <c r="H185" i="4"/>
  <c r="F185" i="4"/>
  <c r="D112" i="4"/>
  <c r="C113" i="9" s="1"/>
  <c r="A112" i="4"/>
  <c r="H112" i="4"/>
  <c r="F112" i="4"/>
  <c r="E112" i="4"/>
  <c r="D176" i="4"/>
  <c r="C177" i="9" s="1"/>
  <c r="A176" i="4"/>
  <c r="H176" i="4"/>
  <c r="F176" i="4"/>
  <c r="E176" i="4"/>
  <c r="A103" i="4"/>
  <c r="H103" i="4"/>
  <c r="F103" i="4"/>
  <c r="E103" i="4"/>
  <c r="D103" i="4"/>
  <c r="C104" i="9" s="1"/>
  <c r="A167" i="4"/>
  <c r="H167" i="4"/>
  <c r="F167" i="4"/>
  <c r="E167" i="4"/>
  <c r="D167" i="4"/>
  <c r="C168" i="9" s="1"/>
  <c r="A94" i="4"/>
  <c r="H94" i="4"/>
  <c r="F94" i="4"/>
  <c r="E94" i="4"/>
  <c r="D94" i="4"/>
  <c r="C95" i="9" s="1"/>
  <c r="A158" i="4"/>
  <c r="H158" i="4"/>
  <c r="F158" i="4"/>
  <c r="E158" i="4"/>
  <c r="D158" i="4"/>
  <c r="C159" i="9" s="1"/>
  <c r="A54" i="4"/>
  <c r="H54" i="4"/>
  <c r="F54" i="4"/>
  <c r="E54" i="4"/>
  <c r="D54" i="4"/>
  <c r="C55" i="9" s="1"/>
  <c r="D57" i="4"/>
  <c r="C58" i="9" s="1"/>
  <c r="A57" i="4"/>
  <c r="H57" i="4"/>
  <c r="F57" i="4"/>
  <c r="E57" i="4"/>
  <c r="H171" i="4"/>
  <c r="F171" i="4"/>
  <c r="E171" i="4"/>
  <c r="D171" i="4"/>
  <c r="C172" i="9" s="1"/>
  <c r="A171" i="4"/>
  <c r="A79" i="4"/>
  <c r="H79" i="4"/>
  <c r="F79" i="4"/>
  <c r="E79" i="4"/>
  <c r="D79" i="4"/>
  <c r="C80" i="9" s="1"/>
  <c r="E18" i="6"/>
  <c r="M18" i="6"/>
  <c r="H69" i="4"/>
  <c r="F69" i="4"/>
  <c r="E69" i="4"/>
  <c r="D69" i="4"/>
  <c r="C70" i="9" s="1"/>
  <c r="A69" i="4"/>
  <c r="A173" i="4"/>
  <c r="H173" i="4"/>
  <c r="F173" i="4"/>
  <c r="E173" i="4"/>
  <c r="D173" i="4"/>
  <c r="C174" i="9" s="1"/>
  <c r="H100" i="4"/>
  <c r="F100" i="4"/>
  <c r="E100" i="4"/>
  <c r="D100" i="4"/>
  <c r="C101" i="9" s="1"/>
  <c r="A100" i="4"/>
  <c r="E50" i="4"/>
  <c r="D50" i="4"/>
  <c r="C51" i="9" s="1"/>
  <c r="A50" i="4"/>
  <c r="H50" i="4"/>
  <c r="F50" i="4"/>
  <c r="H156" i="4"/>
  <c r="F156" i="4"/>
  <c r="E156" i="4"/>
  <c r="D156" i="4"/>
  <c r="C157" i="9" s="1"/>
  <c r="A156" i="4"/>
  <c r="A64" i="4"/>
  <c r="H64" i="4"/>
  <c r="F64" i="4"/>
  <c r="E64" i="4"/>
  <c r="D64" i="4"/>
  <c r="C65" i="9" s="1"/>
  <c r="A39" i="4"/>
  <c r="H39" i="4"/>
  <c r="F39" i="4"/>
  <c r="E39" i="4"/>
  <c r="D39" i="4"/>
  <c r="C40" i="9" s="1"/>
  <c r="H75" i="4"/>
  <c r="F75" i="4"/>
  <c r="E75" i="4"/>
  <c r="D75" i="4"/>
  <c r="C76" i="9" s="1"/>
  <c r="A75" i="4"/>
  <c r="H139" i="4"/>
  <c r="F139" i="4"/>
  <c r="E139" i="4"/>
  <c r="D139" i="4"/>
  <c r="C140" i="9" s="1"/>
  <c r="A139" i="4"/>
  <c r="H203" i="4"/>
  <c r="F203" i="4"/>
  <c r="E203" i="4"/>
  <c r="D203" i="4"/>
  <c r="C204" i="9" s="1"/>
  <c r="A203" i="4"/>
  <c r="F138" i="4"/>
  <c r="E138" i="4"/>
  <c r="D138" i="4"/>
  <c r="C139" i="9" s="1"/>
  <c r="A138" i="4"/>
  <c r="H138" i="4"/>
  <c r="F202" i="4"/>
  <c r="E202" i="4"/>
  <c r="D202" i="4"/>
  <c r="C203" i="9" s="1"/>
  <c r="A202" i="4"/>
  <c r="H202" i="4"/>
  <c r="E129" i="4"/>
  <c r="D129" i="4"/>
  <c r="C130" i="9" s="1"/>
  <c r="A129" i="4"/>
  <c r="H129" i="4"/>
  <c r="F129" i="4"/>
  <c r="E193" i="4"/>
  <c r="D193" i="4"/>
  <c r="C194" i="9" s="1"/>
  <c r="A193" i="4"/>
  <c r="H193" i="4"/>
  <c r="F193" i="4"/>
  <c r="D120" i="4"/>
  <c r="C121" i="9" s="1"/>
  <c r="A120" i="4"/>
  <c r="H120" i="4"/>
  <c r="F120" i="4"/>
  <c r="E120" i="4"/>
  <c r="D184" i="4"/>
  <c r="C185" i="9" s="1"/>
  <c r="A184" i="4"/>
  <c r="H184" i="4"/>
  <c r="F184" i="4"/>
  <c r="E184" i="4"/>
  <c r="A111" i="4"/>
  <c r="H111" i="4"/>
  <c r="F111" i="4"/>
  <c r="E111" i="4"/>
  <c r="D111" i="4"/>
  <c r="C112" i="9" s="1"/>
  <c r="A175" i="4"/>
  <c r="H175" i="4"/>
  <c r="F175" i="4"/>
  <c r="E175" i="4"/>
  <c r="D175" i="4"/>
  <c r="C176" i="9" s="1"/>
  <c r="A102" i="4"/>
  <c r="H102" i="4"/>
  <c r="F102" i="4"/>
  <c r="E102" i="4"/>
  <c r="D102" i="4"/>
  <c r="C103" i="9" s="1"/>
  <c r="A166" i="4"/>
  <c r="H166" i="4"/>
  <c r="F166" i="4"/>
  <c r="E166" i="4"/>
  <c r="D166" i="4"/>
  <c r="C167" i="9" s="1"/>
  <c r="A85" i="4"/>
  <c r="H85" i="4"/>
  <c r="F85" i="4"/>
  <c r="E85" i="4"/>
  <c r="D85" i="4"/>
  <c r="C86" i="9" s="1"/>
  <c r="E17" i="6"/>
  <c r="M17" i="6"/>
  <c r="H68" i="4"/>
  <c r="F68" i="4"/>
  <c r="E68" i="4"/>
  <c r="D68" i="4"/>
  <c r="C69" i="9" s="1"/>
  <c r="A68" i="4"/>
  <c r="A133" i="4"/>
  <c r="H133" i="4"/>
  <c r="F133" i="4"/>
  <c r="E133" i="4"/>
  <c r="D133" i="4"/>
  <c r="C134" i="9" s="1"/>
  <c r="H107" i="4"/>
  <c r="F107" i="4"/>
  <c r="E107" i="4"/>
  <c r="D107" i="4"/>
  <c r="C108" i="9" s="1"/>
  <c r="A107" i="4"/>
  <c r="E97" i="4"/>
  <c r="D97" i="4"/>
  <c r="C98" i="9" s="1"/>
  <c r="A97" i="4"/>
  <c r="H97" i="4"/>
  <c r="F97" i="4"/>
  <c r="D152" i="4"/>
  <c r="C153" i="9" s="1"/>
  <c r="A152" i="4"/>
  <c r="H152" i="4"/>
  <c r="F152" i="4"/>
  <c r="E152" i="4"/>
  <c r="A134" i="4"/>
  <c r="H134" i="4"/>
  <c r="F134" i="4"/>
  <c r="E134" i="4"/>
  <c r="D134" i="4"/>
  <c r="C135" i="9" s="1"/>
  <c r="A198" i="4"/>
  <c r="H198" i="4"/>
  <c r="F198" i="4"/>
  <c r="E198" i="4"/>
  <c r="D198" i="4"/>
  <c r="C199" i="9" s="1"/>
  <c r="Q15" i="6"/>
  <c r="P15" i="6"/>
  <c r="O15" i="6"/>
  <c r="N15" i="6"/>
  <c r="N16" i="6"/>
  <c r="Q16" i="6"/>
  <c r="O16" i="6"/>
  <c r="P16" i="6"/>
  <c r="E16" i="6"/>
  <c r="M16" i="6"/>
  <c r="P17" i="6"/>
  <c r="O17" i="6"/>
  <c r="N17" i="6"/>
  <c r="Q17" i="6"/>
  <c r="Q18" i="6"/>
  <c r="H108" i="4"/>
  <c r="F108" i="4"/>
  <c r="E108" i="4"/>
  <c r="D108" i="4"/>
  <c r="C109" i="9" s="1"/>
  <c r="A108" i="4"/>
  <c r="H44" i="4"/>
  <c r="F44" i="4"/>
  <c r="E44" i="4"/>
  <c r="D44" i="4"/>
  <c r="C45" i="9" s="1"/>
  <c r="A44" i="4"/>
  <c r="A205" i="4"/>
  <c r="H205" i="4"/>
  <c r="F205" i="4"/>
  <c r="E205" i="4"/>
  <c r="D205" i="4"/>
  <c r="C206" i="9" s="1"/>
  <c r="H132" i="4"/>
  <c r="F132" i="4"/>
  <c r="E132" i="4"/>
  <c r="D132" i="4"/>
  <c r="C133" i="9" s="1"/>
  <c r="A132" i="4"/>
  <c r="E58" i="4"/>
  <c r="D58" i="4"/>
  <c r="C59" i="9" s="1"/>
  <c r="A58" i="4"/>
  <c r="H58" i="4"/>
  <c r="F58" i="4"/>
  <c r="H188" i="4"/>
  <c r="F188" i="4"/>
  <c r="E188" i="4"/>
  <c r="D188" i="4"/>
  <c r="C189" i="9" s="1"/>
  <c r="A188" i="4"/>
  <c r="A93" i="4"/>
  <c r="H93" i="4"/>
  <c r="F93" i="4"/>
  <c r="E93" i="4"/>
  <c r="D93" i="4"/>
  <c r="C94" i="9" s="1"/>
  <c r="A47" i="4"/>
  <c r="H47" i="4"/>
  <c r="F47" i="4"/>
  <c r="E47" i="4"/>
  <c r="D47" i="4"/>
  <c r="C48" i="9" s="1"/>
  <c r="H83" i="4"/>
  <c r="F83" i="4"/>
  <c r="E83" i="4"/>
  <c r="D83" i="4"/>
  <c r="C84" i="9" s="1"/>
  <c r="A83" i="4"/>
  <c r="H147" i="4"/>
  <c r="F147" i="4"/>
  <c r="E147" i="4"/>
  <c r="D147" i="4"/>
  <c r="C148" i="9" s="1"/>
  <c r="A147" i="4"/>
  <c r="F82" i="4"/>
  <c r="E82" i="4"/>
  <c r="D82" i="4"/>
  <c r="C83" i="9" s="1"/>
  <c r="A82" i="4"/>
  <c r="H82" i="4"/>
  <c r="F146" i="4"/>
  <c r="E146" i="4"/>
  <c r="D146" i="4"/>
  <c r="C147" i="9" s="1"/>
  <c r="A146" i="4"/>
  <c r="H146" i="4"/>
  <c r="E73" i="4"/>
  <c r="D73" i="4"/>
  <c r="C74" i="9" s="1"/>
  <c r="H73" i="4"/>
  <c r="F73" i="4"/>
  <c r="A73" i="4"/>
  <c r="E137" i="4"/>
  <c r="D137" i="4"/>
  <c r="C138" i="9" s="1"/>
  <c r="A137" i="4"/>
  <c r="H137" i="4"/>
  <c r="F137" i="4"/>
  <c r="E201" i="4"/>
  <c r="D201" i="4"/>
  <c r="C202" i="9" s="1"/>
  <c r="A201" i="4"/>
  <c r="H201" i="4"/>
  <c r="F201" i="4"/>
  <c r="D128" i="4"/>
  <c r="C129" i="9" s="1"/>
  <c r="A128" i="4"/>
  <c r="H128" i="4"/>
  <c r="F128" i="4"/>
  <c r="E128" i="4"/>
  <c r="D192" i="4"/>
  <c r="C193" i="9" s="1"/>
  <c r="A192" i="4"/>
  <c r="H192" i="4"/>
  <c r="F192" i="4"/>
  <c r="E192" i="4"/>
  <c r="A119" i="4"/>
  <c r="H119" i="4"/>
  <c r="F119" i="4"/>
  <c r="E119" i="4"/>
  <c r="D119" i="4"/>
  <c r="C120" i="9" s="1"/>
  <c r="A183" i="4"/>
  <c r="H183" i="4"/>
  <c r="F183" i="4"/>
  <c r="E183" i="4"/>
  <c r="D183" i="4"/>
  <c r="C184" i="9" s="1"/>
  <c r="A110" i="4"/>
  <c r="H110" i="4"/>
  <c r="F110" i="4"/>
  <c r="E110" i="4"/>
  <c r="D110" i="4"/>
  <c r="C111" i="9" s="1"/>
  <c r="A174" i="4"/>
  <c r="H174" i="4"/>
  <c r="F174" i="4"/>
  <c r="E174" i="4"/>
  <c r="D174" i="4"/>
  <c r="C175" i="9" s="1"/>
  <c r="A38" i="4"/>
  <c r="H38" i="4"/>
  <c r="F38" i="4"/>
  <c r="E38" i="4"/>
  <c r="D38" i="4"/>
  <c r="C39" i="9" s="1"/>
  <c r="F51" i="4"/>
  <c r="E51" i="4"/>
  <c r="D51" i="4"/>
  <c r="C52" i="9" s="1"/>
  <c r="A51" i="4"/>
  <c r="H51" i="4"/>
  <c r="H84" i="4"/>
  <c r="F84" i="4"/>
  <c r="E84" i="4"/>
  <c r="D84" i="4"/>
  <c r="C85" i="9" s="1"/>
  <c r="A84" i="4"/>
  <c r="A143" i="4"/>
  <c r="H143" i="4"/>
  <c r="F143" i="4"/>
  <c r="E143" i="4"/>
  <c r="D143" i="4"/>
  <c r="C144" i="9" s="1"/>
  <c r="N14" i="6"/>
  <c r="R14" i="6" s="1"/>
  <c r="I14" i="6" s="1"/>
  <c r="A181" i="4"/>
  <c r="H181" i="4"/>
  <c r="F181" i="4"/>
  <c r="E181" i="4"/>
  <c r="D181" i="4"/>
  <c r="C182" i="9" s="1"/>
  <c r="H140" i="4"/>
  <c r="F140" i="4"/>
  <c r="E140" i="4"/>
  <c r="D140" i="4"/>
  <c r="C141" i="9" s="1"/>
  <c r="A140" i="4"/>
  <c r="H52" i="4"/>
  <c r="F52" i="4"/>
  <c r="E52" i="4"/>
  <c r="D52" i="4"/>
  <c r="C53" i="9" s="1"/>
  <c r="A52" i="4"/>
  <c r="H164" i="4"/>
  <c r="F164" i="4"/>
  <c r="E164" i="4"/>
  <c r="D164" i="4"/>
  <c r="C165" i="9" s="1"/>
  <c r="A164" i="4"/>
  <c r="E66" i="4"/>
  <c r="D66" i="4"/>
  <c r="C67" i="9" s="1"/>
  <c r="A66" i="4"/>
  <c r="H66" i="4"/>
  <c r="F66" i="4"/>
  <c r="D41" i="4"/>
  <c r="C42" i="9" s="1"/>
  <c r="A41" i="4"/>
  <c r="H41" i="4"/>
  <c r="F41" i="4"/>
  <c r="E41" i="4"/>
  <c r="A125" i="4"/>
  <c r="H125" i="4"/>
  <c r="F125" i="4"/>
  <c r="E125" i="4"/>
  <c r="D125" i="4"/>
  <c r="C126" i="9" s="1"/>
  <c r="A55" i="4"/>
  <c r="H55" i="4"/>
  <c r="F55" i="4"/>
  <c r="E55" i="4"/>
  <c r="D55" i="4"/>
  <c r="C56" i="9" s="1"/>
  <c r="H91" i="4"/>
  <c r="F91" i="4"/>
  <c r="E91" i="4"/>
  <c r="D91" i="4"/>
  <c r="C92" i="9" s="1"/>
  <c r="A91" i="4"/>
  <c r="H155" i="4"/>
  <c r="F155" i="4"/>
  <c r="E155" i="4"/>
  <c r="D155" i="4"/>
  <c r="C156" i="9" s="1"/>
  <c r="A155" i="4"/>
  <c r="F90" i="4"/>
  <c r="E90" i="4"/>
  <c r="D90" i="4"/>
  <c r="C91" i="9" s="1"/>
  <c r="A90" i="4"/>
  <c r="H90" i="4"/>
  <c r="F154" i="4"/>
  <c r="E154" i="4"/>
  <c r="D154" i="4"/>
  <c r="C155" i="9" s="1"/>
  <c r="A154" i="4"/>
  <c r="H154" i="4"/>
  <c r="E81" i="4"/>
  <c r="D81" i="4"/>
  <c r="C82" i="9" s="1"/>
  <c r="A81" i="4"/>
  <c r="H81" i="4"/>
  <c r="F81" i="4"/>
  <c r="E145" i="4"/>
  <c r="D145" i="4"/>
  <c r="C146" i="9" s="1"/>
  <c r="A145" i="4"/>
  <c r="H145" i="4"/>
  <c r="F145" i="4"/>
  <c r="D72" i="4"/>
  <c r="C73" i="9" s="1"/>
  <c r="A72" i="4"/>
  <c r="H72" i="4"/>
  <c r="F72" i="4"/>
  <c r="E72" i="4"/>
  <c r="D136" i="4"/>
  <c r="C137" i="9" s="1"/>
  <c r="A136" i="4"/>
  <c r="H136" i="4"/>
  <c r="F136" i="4"/>
  <c r="E136" i="4"/>
  <c r="D200" i="4"/>
  <c r="C201" i="9" s="1"/>
  <c r="A200" i="4"/>
  <c r="H200" i="4"/>
  <c r="F200" i="4"/>
  <c r="E200" i="4"/>
  <c r="A127" i="4"/>
  <c r="H127" i="4"/>
  <c r="F127" i="4"/>
  <c r="E127" i="4"/>
  <c r="D127" i="4"/>
  <c r="C128" i="9" s="1"/>
  <c r="A191" i="4"/>
  <c r="H191" i="4"/>
  <c r="F191" i="4"/>
  <c r="E191" i="4"/>
  <c r="D191" i="4"/>
  <c r="C192" i="9" s="1"/>
  <c r="A118" i="4"/>
  <c r="H118" i="4"/>
  <c r="F118" i="4"/>
  <c r="E118" i="4"/>
  <c r="D118" i="4"/>
  <c r="C119" i="9" s="1"/>
  <c r="A182" i="4"/>
  <c r="H182" i="4"/>
  <c r="F182" i="4"/>
  <c r="E182" i="4"/>
  <c r="D182" i="4"/>
  <c r="C183" i="9" s="1"/>
  <c r="A117" i="4"/>
  <c r="H117" i="4"/>
  <c r="F117" i="4"/>
  <c r="E117" i="4"/>
  <c r="D117" i="4"/>
  <c r="C118" i="9" s="1"/>
  <c r="AA111" i="8"/>
  <c r="W111" i="8"/>
  <c r="A62" i="4"/>
  <c r="H62" i="4"/>
  <c r="F62" i="4"/>
  <c r="E62" i="4"/>
  <c r="D62" i="4"/>
  <c r="C63" i="9" s="1"/>
  <c r="H172" i="4"/>
  <c r="F172" i="4"/>
  <c r="E172" i="4"/>
  <c r="D172" i="4"/>
  <c r="C173" i="9" s="1"/>
  <c r="A172" i="4"/>
  <c r="H60" i="4"/>
  <c r="F60" i="4"/>
  <c r="E60" i="4"/>
  <c r="D60" i="4"/>
  <c r="C61" i="9" s="1"/>
  <c r="A60" i="4"/>
  <c r="F43" i="4"/>
  <c r="E43" i="4"/>
  <c r="D43" i="4"/>
  <c r="C44" i="9" s="1"/>
  <c r="A43" i="4"/>
  <c r="H43" i="4"/>
  <c r="H196" i="4"/>
  <c r="F196" i="4"/>
  <c r="E196" i="4"/>
  <c r="D196" i="4"/>
  <c r="C197" i="9" s="1"/>
  <c r="A196" i="4"/>
  <c r="A101" i="4"/>
  <c r="H101" i="4"/>
  <c r="F101" i="4"/>
  <c r="E101" i="4"/>
  <c r="D101" i="4"/>
  <c r="C102" i="9" s="1"/>
  <c r="D49" i="4"/>
  <c r="C50" i="9" s="1"/>
  <c r="A49" i="4"/>
  <c r="H49" i="4"/>
  <c r="F49" i="4"/>
  <c r="E49" i="4"/>
  <c r="A157" i="4"/>
  <c r="H157" i="4"/>
  <c r="F157" i="4"/>
  <c r="E157" i="4"/>
  <c r="D157" i="4"/>
  <c r="C158" i="9" s="1"/>
  <c r="A63" i="4"/>
  <c r="H63" i="4"/>
  <c r="F63" i="4"/>
  <c r="E63" i="4"/>
  <c r="D63" i="4"/>
  <c r="C64" i="9" s="1"/>
  <c r="H99" i="4"/>
  <c r="F99" i="4"/>
  <c r="E99" i="4"/>
  <c r="D99" i="4"/>
  <c r="C100" i="9" s="1"/>
  <c r="A99" i="4"/>
  <c r="H163" i="4"/>
  <c r="F163" i="4"/>
  <c r="E163" i="4"/>
  <c r="D163" i="4"/>
  <c r="C164" i="9" s="1"/>
  <c r="A163" i="4"/>
  <c r="F98" i="4"/>
  <c r="E98" i="4"/>
  <c r="D98" i="4"/>
  <c r="C99" i="9" s="1"/>
  <c r="A98" i="4"/>
  <c r="H98" i="4"/>
  <c r="F162" i="4"/>
  <c r="E162" i="4"/>
  <c r="D162" i="4"/>
  <c r="C163" i="9" s="1"/>
  <c r="A162" i="4"/>
  <c r="H162" i="4"/>
  <c r="E89" i="4"/>
  <c r="D89" i="4"/>
  <c r="C90" i="9" s="1"/>
  <c r="A89" i="4"/>
  <c r="H89" i="4"/>
  <c r="F89" i="4"/>
  <c r="E153" i="4"/>
  <c r="D153" i="4"/>
  <c r="C154" i="9" s="1"/>
  <c r="A153" i="4"/>
  <c r="H153" i="4"/>
  <c r="F153" i="4"/>
  <c r="D80" i="4"/>
  <c r="C81" i="9" s="1"/>
  <c r="A80" i="4"/>
  <c r="H80" i="4"/>
  <c r="F80" i="4"/>
  <c r="E80" i="4"/>
  <c r="D144" i="4"/>
  <c r="C145" i="9" s="1"/>
  <c r="A144" i="4"/>
  <c r="H144" i="4"/>
  <c r="F144" i="4"/>
  <c r="E144" i="4"/>
  <c r="A71" i="4"/>
  <c r="F71" i="4"/>
  <c r="H71" i="4"/>
  <c r="E71" i="4"/>
  <c r="D71" i="4"/>
  <c r="C72" i="9" s="1"/>
  <c r="A135" i="4"/>
  <c r="H135" i="4"/>
  <c r="F135" i="4"/>
  <c r="E135" i="4"/>
  <c r="D135" i="4"/>
  <c r="C136" i="9" s="1"/>
  <c r="A199" i="4"/>
  <c r="H199" i="4"/>
  <c r="F199" i="4"/>
  <c r="E199" i="4"/>
  <c r="D199" i="4"/>
  <c r="C200" i="9" s="1"/>
  <c r="A126" i="4"/>
  <c r="H126" i="4"/>
  <c r="F126" i="4"/>
  <c r="E126" i="4"/>
  <c r="D126" i="4"/>
  <c r="C127" i="9" s="1"/>
  <c r="A190" i="4"/>
  <c r="H190" i="4"/>
  <c r="F190" i="4"/>
  <c r="E190" i="4"/>
  <c r="D190" i="4"/>
  <c r="C191" i="9" s="1"/>
  <c r="A46" i="4"/>
  <c r="H46" i="4"/>
  <c r="F46" i="4"/>
  <c r="E46" i="4"/>
  <c r="D46" i="4"/>
  <c r="C47" i="9" s="1"/>
  <c r="A199" i="12"/>
  <c r="A126" i="12"/>
  <c r="A8" i="12"/>
  <c r="A71" i="12"/>
  <c r="B117" i="13"/>
  <c r="B118" i="13"/>
  <c r="B175" i="13"/>
  <c r="B128" i="13"/>
  <c r="B81" i="13"/>
  <c r="B82" i="13"/>
  <c r="B36" i="13"/>
  <c r="B223" i="13"/>
  <c r="B45" i="13"/>
  <c r="B46" i="13"/>
  <c r="B131" i="13"/>
  <c r="B8" i="13"/>
  <c r="B19" i="13"/>
  <c r="B171" i="13"/>
  <c r="A172" i="12"/>
  <c r="A91" i="12"/>
  <c r="A136" i="12"/>
  <c r="A17" i="12"/>
  <c r="B256" i="13"/>
  <c r="A209" i="12"/>
  <c r="A214" i="12"/>
  <c r="A67" i="12"/>
  <c r="A186" i="12"/>
  <c r="B73" i="13"/>
  <c r="B197" i="13"/>
  <c r="A253" i="12"/>
  <c r="A252" i="12"/>
  <c r="A152" i="12"/>
  <c r="A47" i="12"/>
  <c r="B42" i="13"/>
  <c r="B230" i="13"/>
  <c r="A245" i="12"/>
  <c r="A236" i="12"/>
  <c r="A146" i="12"/>
  <c r="A39" i="12"/>
  <c r="A215" i="12"/>
  <c r="A150" i="12"/>
  <c r="A32" i="12"/>
  <c r="A103" i="12"/>
  <c r="B129" i="13"/>
  <c r="B130" i="13"/>
  <c r="B228" i="13"/>
  <c r="B20" i="13"/>
  <c r="A151" i="12"/>
  <c r="A187" i="12"/>
  <c r="A112" i="12"/>
  <c r="A28" i="12"/>
  <c r="B93" i="13"/>
  <c r="B94" i="13"/>
  <c r="B79" i="13"/>
  <c r="B96" i="13"/>
  <c r="A73" i="12"/>
  <c r="A244" i="12"/>
  <c r="A45" i="12"/>
  <c r="A106" i="12"/>
  <c r="B57" i="13"/>
  <c r="B58" i="13"/>
  <c r="B184" i="13"/>
  <c r="B148" i="13"/>
  <c r="A36" i="12"/>
  <c r="B98" i="13"/>
  <c r="B127" i="13"/>
  <c r="A81" i="12"/>
  <c r="A53" i="12"/>
  <c r="A114" i="12"/>
  <c r="B62" i="13"/>
  <c r="B195" i="13"/>
  <c r="B179" i="13"/>
  <c r="A109" i="12"/>
  <c r="A194" i="12"/>
  <c r="A33" i="12"/>
  <c r="B26" i="13"/>
  <c r="B56" i="13"/>
  <c r="A207" i="12"/>
  <c r="A92" i="12"/>
  <c r="B54" i="13"/>
  <c r="B17" i="13"/>
  <c r="B18" i="13"/>
  <c r="B237" i="13"/>
  <c r="B119" i="13"/>
  <c r="B37" i="13"/>
  <c r="A218" i="12"/>
  <c r="B9" i="13"/>
  <c r="A174" i="12"/>
  <c r="B106" i="13"/>
  <c r="A230" i="12"/>
  <c r="B120" i="13"/>
  <c r="A167" i="12"/>
  <c r="A138" i="12"/>
  <c r="A131" i="12"/>
  <c r="A61" i="12"/>
  <c r="B66" i="13"/>
  <c r="B40" i="13"/>
  <c r="A212" i="12"/>
  <c r="B29" i="13"/>
  <c r="B116" i="13"/>
  <c r="A124" i="12"/>
  <c r="B249" i="13"/>
  <c r="B199" i="13"/>
  <c r="A82" i="12"/>
  <c r="B182" i="13"/>
  <c r="B48" i="13"/>
  <c r="B160" i="13"/>
  <c r="B143" i="13"/>
  <c r="B99" i="13"/>
  <c r="B236" i="13"/>
  <c r="A164" i="12"/>
  <c r="B75" i="13"/>
  <c r="B41" i="13"/>
  <c r="A160" i="12"/>
  <c r="A111" i="12"/>
  <c r="B200" i="13"/>
  <c r="A101" i="12"/>
  <c r="B91" i="13"/>
  <c r="A85" i="12"/>
  <c r="A135" i="12"/>
  <c r="A171" i="12"/>
  <c r="A104" i="12"/>
  <c r="A12" i="12"/>
  <c r="B85" i="13"/>
  <c r="B86" i="13"/>
  <c r="B47" i="13"/>
  <c r="B11" i="13"/>
  <c r="B49" i="13"/>
  <c r="B50" i="13"/>
  <c r="B152" i="13"/>
  <c r="B32" i="13"/>
  <c r="B13" i="13"/>
  <c r="B14" i="13"/>
  <c r="B247" i="13"/>
  <c r="B233" i="13"/>
  <c r="B165" i="13"/>
  <c r="A247" i="12"/>
  <c r="A110" i="12"/>
  <c r="A14" i="12"/>
  <c r="A58" i="12"/>
  <c r="B137" i="13"/>
  <c r="B166" i="13"/>
  <c r="A200" i="12"/>
  <c r="A137" i="12"/>
  <c r="A181" i="12"/>
  <c r="A55" i="12"/>
  <c r="B202" i="13"/>
  <c r="B102" i="13"/>
  <c r="A238" i="12"/>
  <c r="A166" i="12"/>
  <c r="A48" i="12"/>
  <c r="A149" i="12"/>
  <c r="B144" i="13"/>
  <c r="B134" i="13"/>
  <c r="A228" i="12"/>
  <c r="A158" i="12"/>
  <c r="A40" i="12"/>
  <c r="A129" i="12"/>
  <c r="A159" i="12"/>
  <c r="A195" i="12"/>
  <c r="A120" i="12"/>
  <c r="B97" i="13"/>
  <c r="B100" i="13"/>
  <c r="A123" i="12"/>
  <c r="B61" i="13"/>
  <c r="A188" i="12"/>
  <c r="B25" i="13"/>
  <c r="B31" i="13"/>
  <c r="A37" i="12"/>
  <c r="B163" i="13"/>
  <c r="B238" i="13"/>
  <c r="A217" i="12"/>
  <c r="A192" i="12"/>
  <c r="A254" i="12"/>
  <c r="A178" i="12"/>
  <c r="B124" i="13"/>
  <c r="A52" i="12"/>
  <c r="A44" i="12"/>
  <c r="B65" i="13"/>
  <c r="A113" i="12"/>
  <c r="B30" i="13"/>
  <c r="A75" i="12"/>
  <c r="B172" i="13"/>
  <c r="B187" i="13"/>
  <c r="A220" i="12"/>
  <c r="A189" i="12"/>
  <c r="A34" i="12"/>
  <c r="B194" i="13"/>
  <c r="A134" i="12"/>
  <c r="A180" i="12"/>
  <c r="A95" i="12"/>
  <c r="A165" i="12"/>
  <c r="A25" i="12"/>
  <c r="B21" i="13"/>
  <c r="B22" i="13"/>
  <c r="B35" i="13"/>
  <c r="B241" i="13"/>
  <c r="B242" i="13"/>
  <c r="B167" i="13"/>
  <c r="B140" i="13"/>
  <c r="B205" i="13"/>
  <c r="B206" i="13"/>
  <c r="B28" i="13"/>
  <c r="B243" i="13"/>
  <c r="B234" i="13"/>
  <c r="B198" i="13"/>
  <c r="A208" i="12"/>
  <c r="A145" i="12"/>
  <c r="A11" i="12"/>
  <c r="A63" i="12"/>
  <c r="B138" i="13"/>
  <c r="B251" i="13"/>
  <c r="A183" i="12"/>
  <c r="A246" i="12"/>
  <c r="A173" i="12"/>
  <c r="A60" i="12"/>
  <c r="B135" i="13"/>
  <c r="B111" i="13"/>
  <c r="A105" i="12"/>
  <c r="A147" i="12"/>
  <c r="A72" i="12"/>
  <c r="A170" i="12"/>
  <c r="B168" i="13"/>
  <c r="B239" i="13"/>
  <c r="A97" i="12"/>
  <c r="A139" i="12"/>
  <c r="A69" i="12"/>
  <c r="A141" i="12"/>
  <c r="A202" i="12"/>
  <c r="A117" i="12"/>
  <c r="A235" i="12"/>
  <c r="A49" i="12"/>
  <c r="B33" i="13"/>
  <c r="B34" i="13"/>
  <c r="B88" i="13"/>
  <c r="B147" i="13"/>
  <c r="A132" i="12"/>
  <c r="A38" i="12"/>
  <c r="A79" i="12"/>
  <c r="B253" i="13"/>
  <c r="B254" i="13"/>
  <c r="B220" i="13"/>
  <c r="B183" i="13"/>
  <c r="A233" i="12"/>
  <c r="A242" i="12"/>
  <c r="A98" i="12"/>
  <c r="A10" i="12"/>
  <c r="B217" i="13"/>
  <c r="B218" i="13"/>
  <c r="B71" i="13"/>
  <c r="B44" i="13"/>
  <c r="A84" i="12"/>
  <c r="B177" i="13"/>
  <c r="B176" i="13"/>
  <c r="B142" i="13"/>
  <c r="B136" i="13"/>
  <c r="A191" i="12"/>
  <c r="A251" i="12"/>
  <c r="B16" i="13"/>
  <c r="A219" i="12"/>
  <c r="A74" i="12"/>
  <c r="B224" i="13"/>
  <c r="A62" i="12"/>
  <c r="B229" i="13"/>
  <c r="A148" i="12"/>
  <c r="A107" i="12"/>
  <c r="A154" i="12"/>
  <c r="B225" i="13"/>
  <c r="B103" i="13"/>
  <c r="A232" i="12"/>
  <c r="A35" i="12"/>
  <c r="B190" i="13"/>
  <c r="B203" i="13"/>
  <c r="A198" i="12"/>
  <c r="B153" i="13"/>
  <c r="B80" i="13"/>
  <c r="A216" i="12"/>
  <c r="B145" i="13"/>
  <c r="B43" i="13"/>
  <c r="A90" i="12"/>
  <c r="A77" i="12"/>
  <c r="A231" i="12"/>
  <c r="B101" i="13"/>
  <c r="A43" i="12"/>
  <c r="A229" i="12"/>
  <c r="A23" i="12"/>
  <c r="B52" i="13"/>
  <c r="B121" i="13"/>
  <c r="B159" i="13"/>
  <c r="A255" i="12"/>
  <c r="A116" i="12"/>
  <c r="A22" i="12"/>
  <c r="A66" i="12"/>
  <c r="B245" i="13"/>
  <c r="B246" i="13"/>
  <c r="B188" i="13"/>
  <c r="B151" i="13"/>
  <c r="B209" i="13"/>
  <c r="B210" i="13"/>
  <c r="B39" i="13"/>
  <c r="B12" i="13"/>
  <c r="B173" i="13"/>
  <c r="B174" i="13"/>
  <c r="B155" i="13"/>
  <c r="B244" i="13"/>
  <c r="B74" i="13"/>
  <c r="B70" i="13"/>
  <c r="A205" i="12"/>
  <c r="A182" i="12"/>
  <c r="A64" i="12"/>
  <c r="A184" i="12"/>
  <c r="B10" i="13"/>
  <c r="B227" i="13"/>
  <c r="A119" i="12"/>
  <c r="A155" i="12"/>
  <c r="A76" i="12"/>
  <c r="A176" i="12"/>
  <c r="B132" i="13"/>
  <c r="B87" i="13"/>
  <c r="A210" i="12"/>
  <c r="A162" i="12"/>
  <c r="A13" i="12"/>
  <c r="A65" i="12"/>
  <c r="B95" i="13"/>
  <c r="B215" i="13"/>
  <c r="A206" i="12"/>
  <c r="A133" i="12"/>
  <c r="A250" i="12"/>
  <c r="A57" i="12"/>
  <c r="A140" i="12"/>
  <c r="A46" i="12"/>
  <c r="A93" i="12"/>
  <c r="B257" i="13"/>
  <c r="B255" i="13"/>
  <c r="B231" i="13"/>
  <c r="B204" i="13"/>
  <c r="A241" i="12"/>
  <c r="A70" i="12"/>
  <c r="A122" i="12"/>
  <c r="A18" i="12"/>
  <c r="B221" i="13"/>
  <c r="B222" i="13"/>
  <c r="B92" i="13"/>
  <c r="B55" i="13"/>
  <c r="A224" i="12"/>
  <c r="A161" i="12"/>
  <c r="A27" i="12"/>
  <c r="A96" i="12"/>
  <c r="B185" i="13"/>
  <c r="B186" i="13"/>
  <c r="B208" i="13"/>
  <c r="B139" i="13"/>
  <c r="A225" i="12"/>
  <c r="A227" i="12"/>
  <c r="A234" i="12"/>
  <c r="B213" i="13"/>
  <c r="B214" i="13"/>
  <c r="B60" i="13"/>
  <c r="B23" i="13"/>
  <c r="B178" i="13"/>
  <c r="B84" i="13"/>
  <c r="B141" i="13"/>
  <c r="B27" i="13"/>
  <c r="B7" i="13"/>
  <c r="B123" i="13"/>
  <c r="A118" i="12"/>
  <c r="A68" i="12"/>
  <c r="B211" i="13"/>
  <c r="A168" i="12"/>
  <c r="A21" i="12"/>
  <c r="B108" i="13"/>
  <c r="A156" i="12"/>
  <c r="A115" i="12"/>
  <c r="B169" i="13"/>
  <c r="B51" i="13"/>
  <c r="A54" i="12"/>
  <c r="A249" i="12"/>
  <c r="A78" i="12"/>
  <c r="A26" i="12"/>
  <c r="B226" i="13"/>
  <c r="B76" i="13"/>
  <c r="A169" i="12"/>
  <c r="A100" i="12"/>
  <c r="B189" i="13"/>
  <c r="B219" i="13"/>
  <c r="A221" i="12"/>
  <c r="A87" i="12"/>
  <c r="A15" i="12"/>
  <c r="B154" i="13"/>
  <c r="B235" i="13"/>
  <c r="A153" i="12"/>
  <c r="B181" i="13"/>
  <c r="B146" i="13"/>
  <c r="B109" i="13"/>
  <c r="B248" i="13"/>
  <c r="A127" i="12"/>
  <c r="B64" i="13"/>
  <c r="A9" i="12"/>
  <c r="A42" i="12"/>
  <c r="A86" i="12"/>
  <c r="A177" i="12"/>
  <c r="B193" i="13"/>
  <c r="A222" i="12"/>
  <c r="B158" i="13"/>
  <c r="A16" i="12"/>
  <c r="B196" i="13"/>
  <c r="A213" i="12"/>
  <c r="A190" i="12"/>
  <c r="A83" i="12"/>
  <c r="A7" i="12"/>
  <c r="B149" i="13"/>
  <c r="B150" i="13"/>
  <c r="B59" i="13"/>
  <c r="B192" i="13"/>
  <c r="B113" i="13"/>
  <c r="B114" i="13"/>
  <c r="B164" i="13"/>
  <c r="B104" i="13"/>
  <c r="B77" i="13"/>
  <c r="B78" i="13"/>
  <c r="B15" i="13"/>
  <c r="B180" i="13"/>
  <c r="B232" i="13"/>
  <c r="B107" i="13"/>
  <c r="A223" i="12"/>
  <c r="A197" i="12"/>
  <c r="A29" i="12"/>
  <c r="A88" i="12"/>
  <c r="B133" i="13"/>
  <c r="A239" i="12"/>
  <c r="A102" i="12"/>
  <c r="A204" i="12"/>
  <c r="A50" i="12"/>
  <c r="B201" i="13"/>
  <c r="B212" i="13"/>
  <c r="A256" i="12"/>
  <c r="A193" i="12"/>
  <c r="A59" i="12"/>
  <c r="A157" i="12"/>
  <c r="B170" i="13"/>
  <c r="B69" i="13"/>
  <c r="A248" i="12"/>
  <c r="A185" i="12"/>
  <c r="A51" i="12"/>
  <c r="A130" i="12"/>
  <c r="A237" i="12"/>
  <c r="A226" i="12"/>
  <c r="A121" i="12"/>
  <c r="A31" i="12"/>
  <c r="B161" i="13"/>
  <c r="B162" i="13"/>
  <c r="B112" i="13"/>
  <c r="B83" i="13"/>
  <c r="A211" i="12"/>
  <c r="A142" i="12"/>
  <c r="A24" i="12"/>
  <c r="A99" i="12"/>
  <c r="B125" i="13"/>
  <c r="B126" i="13"/>
  <c r="B207" i="13"/>
  <c r="B191" i="13"/>
  <c r="A143" i="12"/>
  <c r="A179" i="12"/>
  <c r="A108" i="12"/>
  <c r="A20" i="12"/>
  <c r="B89" i="13"/>
  <c r="B90" i="13"/>
  <c r="B68" i="13"/>
  <c r="B72" i="13"/>
  <c r="A243" i="12"/>
  <c r="B53" i="13"/>
  <c r="B63" i="13"/>
  <c r="B24" i="13"/>
  <c r="B156" i="13"/>
  <c r="B105" i="13"/>
  <c r="A80" i="12"/>
  <c r="B38" i="13"/>
  <c r="A56" i="12"/>
  <c r="A175" i="12"/>
  <c r="A144" i="12"/>
  <c r="B252" i="13"/>
  <c r="A201" i="12"/>
  <c r="A89" i="12"/>
  <c r="A128" i="12"/>
  <c r="B216" i="13"/>
  <c r="A196" i="12"/>
  <c r="A41" i="12"/>
  <c r="B67" i="13"/>
  <c r="A30" i="12"/>
  <c r="B250" i="13"/>
  <c r="A19" i="12"/>
  <c r="B115" i="13"/>
  <c r="B110" i="13"/>
  <c r="A163" i="12"/>
  <c r="A125" i="12"/>
  <c r="A94" i="12"/>
  <c r="A257" i="12"/>
  <c r="A240" i="12"/>
  <c r="B240" i="13"/>
  <c r="B157" i="13"/>
  <c r="A203" i="12"/>
  <c r="B122" i="13"/>
  <c r="A3" i="9" l="1"/>
  <c r="H14" i="6"/>
  <c r="A64" i="9"/>
  <c r="G64" i="9"/>
  <c r="G102" i="9"/>
  <c r="A102" i="9"/>
  <c r="A146" i="9"/>
  <c r="G146" i="9"/>
  <c r="A56" i="9"/>
  <c r="G56" i="9"/>
  <c r="A53" i="9"/>
  <c r="G53" i="9"/>
  <c r="G120" i="9"/>
  <c r="A120" i="9"/>
  <c r="G83" i="9"/>
  <c r="A83" i="9"/>
  <c r="A189" i="9"/>
  <c r="G189" i="9"/>
  <c r="G59" i="9"/>
  <c r="A59" i="9"/>
  <c r="A153" i="9"/>
  <c r="G153" i="9"/>
  <c r="G134" i="9"/>
  <c r="A134" i="9"/>
  <c r="A86" i="9"/>
  <c r="G86" i="9"/>
  <c r="A185" i="9"/>
  <c r="G185" i="9"/>
  <c r="A140" i="9"/>
  <c r="G140" i="9"/>
  <c r="R18" i="6"/>
  <c r="I18" i="6" s="1"/>
  <c r="H18" i="6" s="1"/>
  <c r="S18" i="6"/>
  <c r="G95" i="9"/>
  <c r="A95" i="9"/>
  <c r="G195" i="9"/>
  <c r="A195" i="9"/>
  <c r="G96" i="9"/>
  <c r="A96" i="9"/>
  <c r="G68" i="9"/>
  <c r="A68" i="9"/>
  <c r="S15" i="6"/>
  <c r="R15" i="6"/>
  <c r="I15" i="6" s="1"/>
  <c r="H15" i="6" s="1"/>
  <c r="A170" i="9"/>
  <c r="G170" i="9"/>
  <c r="G166" i="9"/>
  <c r="A166" i="9"/>
  <c r="A154" i="9"/>
  <c r="G154" i="9"/>
  <c r="A47" i="9"/>
  <c r="G47" i="9"/>
  <c r="A200" i="9"/>
  <c r="G200" i="9"/>
  <c r="A163" i="9"/>
  <c r="G163" i="9"/>
  <c r="A197" i="9"/>
  <c r="G197" i="9"/>
  <c r="A173" i="9"/>
  <c r="G173" i="9"/>
  <c r="A192" i="9"/>
  <c r="G192" i="9"/>
  <c r="A155" i="9"/>
  <c r="G155" i="9"/>
  <c r="A165" i="9"/>
  <c r="G165" i="9"/>
  <c r="G175" i="9"/>
  <c r="A175" i="9"/>
  <c r="A129" i="9"/>
  <c r="G129" i="9"/>
  <c r="G84" i="9"/>
  <c r="A84" i="9"/>
  <c r="A69" i="9"/>
  <c r="G69" i="9"/>
  <c r="A194" i="9"/>
  <c r="G194" i="9"/>
  <c r="G174" i="9"/>
  <c r="A174" i="9"/>
  <c r="G196" i="9"/>
  <c r="A196" i="9"/>
  <c r="A77" i="9"/>
  <c r="G77" i="9"/>
  <c r="G151" i="9"/>
  <c r="A151" i="9"/>
  <c r="G105" i="9"/>
  <c r="A105" i="9"/>
  <c r="A149" i="9"/>
  <c r="G149" i="9"/>
  <c r="A110" i="9"/>
  <c r="G110" i="9"/>
  <c r="A79" i="9"/>
  <c r="G79" i="9"/>
  <c r="G179" i="9"/>
  <c r="A179" i="9"/>
  <c r="A42" i="9"/>
  <c r="G42" i="9"/>
  <c r="A138" i="9"/>
  <c r="G138" i="9"/>
  <c r="A48" i="9"/>
  <c r="G48" i="9"/>
  <c r="G103" i="9"/>
  <c r="A103" i="9"/>
  <c r="G203" i="9"/>
  <c r="A203" i="9"/>
  <c r="G104" i="9"/>
  <c r="A104" i="9"/>
  <c r="G75" i="9"/>
  <c r="A75" i="9"/>
  <c r="A114" i="9"/>
  <c r="G114" i="9"/>
  <c r="A107" i="9"/>
  <c r="G107" i="9"/>
  <c r="G180" i="9"/>
  <c r="A180" i="9"/>
  <c r="A66" i="9"/>
  <c r="G66" i="9"/>
  <c r="G89" i="9"/>
  <c r="A89" i="9"/>
  <c r="G150" i="9"/>
  <c r="A150" i="9"/>
  <c r="A88" i="9"/>
  <c r="G88" i="9"/>
  <c r="G60" i="9"/>
  <c r="A60" i="9"/>
  <c r="A50" i="9"/>
  <c r="G50" i="9"/>
  <c r="A65" i="9"/>
  <c r="G65" i="9"/>
  <c r="A70" i="9"/>
  <c r="G70" i="9"/>
  <c r="G142" i="9"/>
  <c r="A142" i="9"/>
  <c r="G160" i="9"/>
  <c r="A160" i="9"/>
  <c r="A61" i="9"/>
  <c r="G61" i="9"/>
  <c r="G119" i="9"/>
  <c r="A119" i="9"/>
  <c r="G52" i="9"/>
  <c r="A52" i="9"/>
  <c r="A98" i="9"/>
  <c r="G98" i="9"/>
  <c r="G112" i="9"/>
  <c r="A112" i="9"/>
  <c r="G51" i="9"/>
  <c r="A51" i="9"/>
  <c r="A122" i="9"/>
  <c r="G122" i="9"/>
  <c r="C6" i="12"/>
  <c r="G143" i="9"/>
  <c r="A143" i="9"/>
  <c r="G97" i="9"/>
  <c r="A97" i="9"/>
  <c r="A117" i="9"/>
  <c r="G117" i="9"/>
  <c r="A78" i="9"/>
  <c r="G78" i="9"/>
  <c r="A164" i="9"/>
  <c r="G164" i="9"/>
  <c r="A201" i="9"/>
  <c r="G201" i="9"/>
  <c r="A72" i="9"/>
  <c r="G72" i="9"/>
  <c r="A184" i="9"/>
  <c r="G184" i="9"/>
  <c r="A133" i="9"/>
  <c r="G133" i="9"/>
  <c r="A109" i="9"/>
  <c r="G109" i="9"/>
  <c r="G159" i="9"/>
  <c r="A159" i="9"/>
  <c r="G113" i="9"/>
  <c r="A113" i="9"/>
  <c r="A181" i="9"/>
  <c r="G181" i="9"/>
  <c r="A39" i="9"/>
  <c r="G39" i="9"/>
  <c r="A193" i="9"/>
  <c r="G193" i="9"/>
  <c r="A148" i="9"/>
  <c r="G148" i="9"/>
  <c r="G135" i="9"/>
  <c r="A135" i="9"/>
  <c r="A106" i="9"/>
  <c r="G106" i="9"/>
  <c r="S14" i="6"/>
  <c r="A171" i="9"/>
  <c r="G171" i="9"/>
  <c r="A190" i="9"/>
  <c r="G190" i="9"/>
  <c r="A123" i="9"/>
  <c r="G123" i="9"/>
  <c r="A81" i="9"/>
  <c r="G81" i="9"/>
  <c r="A157" i="9"/>
  <c r="G157" i="9"/>
  <c r="G152" i="9"/>
  <c r="A152" i="9"/>
  <c r="A115" i="9"/>
  <c r="G115" i="9"/>
  <c r="A41" i="9"/>
  <c r="G41" i="9"/>
  <c r="A46" i="9"/>
  <c r="G46" i="9"/>
  <c r="A71" i="9"/>
  <c r="G71" i="9"/>
  <c r="G118" i="9"/>
  <c r="A118" i="9"/>
  <c r="A156" i="9"/>
  <c r="G156" i="9"/>
  <c r="A63" i="9"/>
  <c r="G63" i="9"/>
  <c r="A147" i="9"/>
  <c r="G147" i="9"/>
  <c r="G204" i="9"/>
  <c r="A204" i="9"/>
  <c r="A49" i="9"/>
  <c r="G49" i="9"/>
  <c r="A54" i="9"/>
  <c r="G54" i="9"/>
  <c r="G127" i="9"/>
  <c r="A127" i="9"/>
  <c r="A73" i="9"/>
  <c r="G73" i="9"/>
  <c r="A162" i="9"/>
  <c r="G162" i="9"/>
  <c r="A169" i="9"/>
  <c r="G169" i="9"/>
  <c r="A124" i="9"/>
  <c r="G124" i="9"/>
  <c r="A93" i="9"/>
  <c r="G93" i="9"/>
  <c r="G90" i="9"/>
  <c r="A90" i="9"/>
  <c r="G158" i="9"/>
  <c r="A158" i="9"/>
  <c r="A82" i="9"/>
  <c r="G82" i="9"/>
  <c r="G126" i="9"/>
  <c r="A126" i="9"/>
  <c r="A141" i="9"/>
  <c r="G141" i="9"/>
  <c r="G144" i="9"/>
  <c r="A144" i="9"/>
  <c r="A202" i="9"/>
  <c r="G202" i="9"/>
  <c r="A74" i="9"/>
  <c r="G74" i="9"/>
  <c r="A206" i="9"/>
  <c r="G206" i="9"/>
  <c r="G167" i="9"/>
  <c r="A167" i="9"/>
  <c r="A121" i="9"/>
  <c r="G121" i="9"/>
  <c r="G76" i="9"/>
  <c r="A76" i="9"/>
  <c r="G168" i="9"/>
  <c r="A168" i="9"/>
  <c r="A131" i="9"/>
  <c r="G131" i="9"/>
  <c r="A57" i="9"/>
  <c r="G57" i="9"/>
  <c r="A62" i="9"/>
  <c r="G62" i="9"/>
  <c r="A178" i="9"/>
  <c r="G178" i="9"/>
  <c r="A198" i="9"/>
  <c r="G198" i="9"/>
  <c r="G136" i="9"/>
  <c r="A136" i="9"/>
  <c r="A99" i="9"/>
  <c r="G99" i="9"/>
  <c r="G128" i="9"/>
  <c r="A128" i="9"/>
  <c r="A91" i="9"/>
  <c r="G91" i="9"/>
  <c r="G67" i="9"/>
  <c r="A67" i="9"/>
  <c r="A85" i="9"/>
  <c r="G85" i="9"/>
  <c r="G111" i="9"/>
  <c r="A111" i="9"/>
  <c r="A45" i="9"/>
  <c r="G45" i="9"/>
  <c r="S16" i="6"/>
  <c r="R16" i="6"/>
  <c r="I16" i="6" s="1"/>
  <c r="H16" i="6" s="1"/>
  <c r="S17" i="6"/>
  <c r="R17" i="6"/>
  <c r="I17" i="6" s="1"/>
  <c r="H17" i="6" s="1"/>
  <c r="A130" i="9"/>
  <c r="G130" i="9"/>
  <c r="A40" i="9"/>
  <c r="G40" i="9"/>
  <c r="A80" i="9"/>
  <c r="G80" i="9"/>
  <c r="A55" i="9"/>
  <c r="G55" i="9"/>
  <c r="A177" i="9"/>
  <c r="G177" i="9"/>
  <c r="A132" i="9"/>
  <c r="G132" i="9"/>
  <c r="A125" i="9"/>
  <c r="G125" i="9"/>
  <c r="G43" i="9"/>
  <c r="A43" i="9"/>
  <c r="A87" i="9"/>
  <c r="G87" i="9"/>
  <c r="G187" i="9"/>
  <c r="A187" i="9"/>
  <c r="A205" i="9"/>
  <c r="G205" i="9"/>
  <c r="G191" i="9"/>
  <c r="A191" i="9"/>
  <c r="A145" i="9"/>
  <c r="G145" i="9"/>
  <c r="A100" i="9"/>
  <c r="G100" i="9"/>
  <c r="G44" i="9"/>
  <c r="A44" i="9"/>
  <c r="G183" i="9"/>
  <c r="A183" i="9"/>
  <c r="A137" i="9"/>
  <c r="G137" i="9"/>
  <c r="A92" i="9"/>
  <c r="G92" i="9"/>
  <c r="A182" i="9"/>
  <c r="G182" i="9"/>
  <c r="A94" i="9"/>
  <c r="G94" i="9"/>
  <c r="G199" i="9"/>
  <c r="A199" i="9"/>
  <c r="A108" i="9"/>
  <c r="G108" i="9"/>
  <c r="G176" i="9"/>
  <c r="A176" i="9"/>
  <c r="A139" i="9"/>
  <c r="G139" i="9"/>
  <c r="A101" i="9"/>
  <c r="G101" i="9"/>
  <c r="A172" i="9"/>
  <c r="G172" i="9"/>
  <c r="A58" i="9"/>
  <c r="G58" i="9"/>
  <c r="A186" i="9"/>
  <c r="G186" i="9"/>
  <c r="G188" i="9"/>
  <c r="A188" i="9"/>
  <c r="A161" i="9"/>
  <c r="G161" i="9"/>
  <c r="A116" i="9"/>
  <c r="G116" i="9"/>
  <c r="A203" i="5"/>
  <c r="A128" i="5"/>
  <c r="A108" i="5"/>
  <c r="A130" i="5"/>
  <c r="A102" i="5"/>
  <c r="A177" i="5"/>
  <c r="A100" i="5"/>
  <c r="A168" i="5"/>
  <c r="A70" i="5"/>
  <c r="A13" i="5"/>
  <c r="A182" i="5"/>
  <c r="A90" i="5"/>
  <c r="A191" i="5"/>
  <c r="A117" i="5"/>
  <c r="A147" i="5"/>
  <c r="A25" i="5"/>
  <c r="A113" i="5"/>
  <c r="A120" i="5"/>
  <c r="A166" i="5"/>
  <c r="A12" i="5"/>
  <c r="A164" i="5"/>
  <c r="A92" i="5"/>
  <c r="A106" i="5"/>
  <c r="A32" i="5"/>
  <c r="A17" i="5"/>
  <c r="A94" i="5"/>
  <c r="A89" i="5"/>
  <c r="A179" i="5"/>
  <c r="A51" i="5"/>
  <c r="A88" i="5"/>
  <c r="A86" i="5"/>
  <c r="A169" i="5"/>
  <c r="A68" i="5"/>
  <c r="A93" i="5"/>
  <c r="A162" i="5"/>
  <c r="A205" i="5"/>
  <c r="A198" i="5"/>
  <c r="A84" i="5"/>
  <c r="A202" i="5"/>
  <c r="A105" i="5"/>
  <c r="A165" i="5"/>
  <c r="A44" i="5"/>
  <c r="A195" i="5"/>
  <c r="A55" i="5"/>
  <c r="A104" i="5"/>
  <c r="A82" i="5"/>
  <c r="A33" i="5"/>
  <c r="A45" i="5"/>
  <c r="A150" i="5"/>
  <c r="A136" i="5"/>
  <c r="A125" i="5"/>
  <c r="A201" i="5"/>
  <c r="A143" i="5"/>
  <c r="A185" i="5"/>
  <c r="A29" i="5"/>
  <c r="A42" i="5"/>
  <c r="A26" i="5"/>
  <c r="A118" i="5"/>
  <c r="A46" i="5"/>
  <c r="A176" i="5"/>
  <c r="A66" i="5"/>
  <c r="A35" i="5"/>
  <c r="A10" i="5"/>
  <c r="A141" i="5"/>
  <c r="A60" i="5"/>
  <c r="A95" i="5"/>
  <c r="A52" i="5"/>
  <c r="A159" i="5"/>
  <c r="A181" i="5"/>
  <c r="A171" i="5"/>
  <c r="A124" i="5"/>
  <c r="A194" i="5"/>
  <c r="A73" i="5"/>
  <c r="A39" i="5"/>
  <c r="A91" i="5"/>
  <c r="A163" i="5"/>
  <c r="A144" i="5"/>
  <c r="A99" i="5"/>
  <c r="A157" i="5"/>
  <c r="A197" i="5"/>
  <c r="A9" i="5"/>
  <c r="A78" i="5"/>
  <c r="A96" i="5"/>
  <c r="A140" i="5"/>
  <c r="A76" i="5"/>
  <c r="A22" i="5"/>
  <c r="A154" i="5"/>
  <c r="A98" i="5"/>
  <c r="A69" i="5"/>
  <c r="A173" i="5"/>
  <c r="A180" i="5"/>
  <c r="A178" i="5"/>
  <c r="A129" i="5"/>
  <c r="A137" i="5"/>
  <c r="A135" i="5"/>
  <c r="A61" i="5"/>
  <c r="A109" i="5"/>
  <c r="A28" i="5"/>
  <c r="A146" i="5"/>
  <c r="A172" i="5"/>
  <c r="A19" i="5"/>
  <c r="A175" i="5"/>
  <c r="A24" i="5"/>
  <c r="A59" i="5"/>
  <c r="A7" i="5"/>
  <c r="A127" i="5"/>
  <c r="A54" i="5"/>
  <c r="A27" i="5"/>
  <c r="A57" i="5"/>
  <c r="A155" i="5"/>
  <c r="A116" i="5"/>
  <c r="A107" i="5"/>
  <c r="A79" i="5"/>
  <c r="A139" i="5"/>
  <c r="A183" i="5"/>
  <c r="A134" i="5"/>
  <c r="A192" i="5"/>
  <c r="A40" i="5"/>
  <c r="A200" i="5"/>
  <c r="A85" i="5"/>
  <c r="A131" i="5"/>
  <c r="A114" i="5"/>
  <c r="A112" i="5"/>
  <c r="A47" i="5"/>
  <c r="A71" i="5"/>
  <c r="A30" i="5"/>
  <c r="A121" i="5"/>
  <c r="A15" i="5"/>
  <c r="A133" i="5"/>
  <c r="A77" i="5"/>
  <c r="A170" i="5"/>
  <c r="A37" i="5"/>
  <c r="A110" i="5"/>
  <c r="A81" i="5"/>
  <c r="A8" i="5"/>
  <c r="A41" i="5"/>
  <c r="A193" i="5"/>
  <c r="A87" i="5"/>
  <c r="A206" i="5"/>
  <c r="A148" i="5"/>
  <c r="A72" i="5"/>
  <c r="A188" i="5"/>
  <c r="A101" i="5"/>
  <c r="A36" i="5"/>
  <c r="A126" i="5"/>
  <c r="A196" i="5"/>
  <c r="A50" i="5"/>
  <c r="A115" i="5"/>
  <c r="A65" i="5"/>
  <c r="A62" i="5"/>
  <c r="A63" i="5"/>
  <c r="A123" i="5"/>
  <c r="A111" i="5"/>
  <c r="A187" i="5"/>
  <c r="A199" i="5"/>
  <c r="A56" i="5"/>
  <c r="A204" i="5"/>
  <c r="A156" i="5"/>
  <c r="A119" i="5"/>
  <c r="A74" i="5"/>
  <c r="A11" i="5"/>
  <c r="A158" i="5"/>
  <c r="A160" i="5"/>
  <c r="A151" i="5"/>
  <c r="A80" i="5"/>
  <c r="A83" i="5"/>
  <c r="A21" i="5"/>
  <c r="A184" i="5"/>
  <c r="A38" i="5"/>
  <c r="A145" i="5"/>
  <c r="A149" i="5"/>
  <c r="A138" i="5"/>
  <c r="A103" i="5"/>
  <c r="A20" i="5"/>
  <c r="A122" i="5"/>
  <c r="A189" i="5"/>
  <c r="A152" i="5"/>
  <c r="A142" i="5"/>
  <c r="A64" i="5"/>
  <c r="A75" i="5"/>
  <c r="A186" i="5"/>
  <c r="A190" i="5"/>
  <c r="A43" i="5"/>
  <c r="A58" i="5"/>
  <c r="A16" i="5"/>
  <c r="A132" i="5"/>
  <c r="A14" i="5"/>
  <c r="A18" i="5"/>
  <c r="A34" i="5"/>
  <c r="A53" i="5"/>
  <c r="A31" i="5"/>
  <c r="A174" i="5"/>
  <c r="B230" i="12"/>
  <c r="B150" i="12"/>
  <c r="B32" i="12"/>
  <c r="B149" i="12"/>
  <c r="B174" i="12"/>
  <c r="B34" i="12"/>
  <c r="B121" i="12"/>
  <c r="B240" i="12"/>
  <c r="B100" i="12"/>
  <c r="B46" i="12"/>
  <c r="B76" i="12"/>
  <c r="B94" i="12"/>
  <c r="B154" i="12"/>
  <c r="B79" i="12"/>
  <c r="B17" i="12"/>
  <c r="B75" i="12"/>
  <c r="B223" i="12"/>
  <c r="B217" i="12"/>
  <c r="B53" i="12"/>
  <c r="B170" i="12"/>
  <c r="B56" i="12"/>
  <c r="B236" i="12"/>
  <c r="B182" i="12"/>
  <c r="B249" i="12"/>
  <c r="B11" i="12"/>
  <c r="B29" i="12"/>
  <c r="B39" i="12"/>
  <c r="A153" i="5"/>
  <c r="A67" i="5"/>
  <c r="B221" i="12"/>
  <c r="B187" i="12"/>
  <c r="B167" i="12"/>
  <c r="B60" i="12"/>
  <c r="B128" i="12"/>
  <c r="B233" i="12"/>
  <c r="B231" i="12"/>
  <c r="B101" i="12"/>
  <c r="B23" i="12"/>
  <c r="B245" i="12"/>
  <c r="B178" i="12"/>
  <c r="B177" i="12"/>
  <c r="B51" i="12"/>
  <c r="B10" i="12"/>
  <c r="B117" i="12"/>
  <c r="B176" i="12"/>
  <c r="B148" i="12"/>
  <c r="B144" i="12"/>
  <c r="B194" i="12"/>
  <c r="B74" i="12"/>
  <c r="B50" i="12"/>
  <c r="B253" i="12"/>
  <c r="B241" i="12"/>
  <c r="B239" i="12"/>
  <c r="B89" i="12"/>
  <c r="B209" i="12"/>
  <c r="B115" i="12"/>
  <c r="B124" i="12"/>
  <c r="B120" i="12"/>
  <c r="B125" i="12"/>
  <c r="B49" i="12"/>
  <c r="A23" i="5"/>
  <c r="B172" i="12"/>
  <c r="B168" i="12"/>
  <c r="B13" i="12"/>
  <c r="B106" i="12"/>
  <c r="B55" i="12"/>
  <c r="B213" i="12"/>
  <c r="B179" i="12"/>
  <c r="B138" i="12"/>
  <c r="B52" i="12"/>
  <c r="B175" i="12"/>
  <c r="B252" i="12"/>
  <c r="B198" i="12"/>
  <c r="B87" i="12"/>
  <c r="B15" i="12"/>
  <c r="B248" i="12"/>
  <c r="B130" i="12"/>
  <c r="B169" i="12"/>
  <c r="B43" i="12"/>
  <c r="B224" i="12"/>
  <c r="B109" i="12"/>
  <c r="B14" i="12"/>
  <c r="B219" i="12"/>
  <c r="B204" i="12"/>
  <c r="B45" i="12"/>
  <c r="B141" i="12"/>
  <c r="B104" i="12"/>
  <c r="B234" i="12"/>
  <c r="B145" i="12"/>
  <c r="B19" i="12"/>
  <c r="B151" i="12"/>
  <c r="B77" i="12"/>
  <c r="B157" i="12"/>
  <c r="B146" i="12"/>
  <c r="B47" i="12"/>
  <c r="A97" i="5"/>
  <c r="A49" i="5"/>
  <c r="B110" i="12"/>
  <c r="B189" i="12"/>
  <c r="B97" i="12"/>
  <c r="B33" i="12"/>
  <c r="B57" i="12"/>
  <c r="B202" i="12"/>
  <c r="B251" i="12"/>
  <c r="B69" i="12"/>
  <c r="B208" i="12"/>
  <c r="B37" i="12"/>
  <c r="B214" i="12"/>
  <c r="B134" i="12"/>
  <c r="B16" i="12"/>
  <c r="B119" i="12"/>
  <c r="B27" i="12"/>
  <c r="B41" i="12"/>
  <c r="B107" i="12"/>
  <c r="B216" i="12"/>
  <c r="B82" i="12"/>
  <c r="B30" i="12"/>
  <c r="B116" i="12"/>
  <c r="B140" i="12"/>
  <c r="B136" i="12"/>
  <c r="B165" i="12"/>
  <c r="B65" i="12"/>
  <c r="B211" i="12"/>
  <c r="B83" i="12"/>
  <c r="B238" i="12"/>
  <c r="A167" i="5"/>
  <c r="B247" i="12"/>
  <c r="B105" i="12"/>
  <c r="B31" i="12"/>
  <c r="B132" i="12"/>
  <c r="B127" i="12"/>
  <c r="B185" i="12"/>
  <c r="B59" i="12"/>
  <c r="B18" i="12"/>
  <c r="B133" i="12"/>
  <c r="B137" i="12"/>
  <c r="B156" i="12"/>
  <c r="B152" i="12"/>
  <c r="B203" i="12"/>
  <c r="B88" i="12"/>
  <c r="B229" i="12"/>
  <c r="B250" i="12"/>
  <c r="B163" i="12"/>
  <c r="B112" i="12"/>
  <c r="B36" i="12"/>
  <c r="B192" i="12"/>
  <c r="B114" i="12"/>
  <c r="B99" i="12"/>
  <c r="B181" i="12"/>
  <c r="B63" i="12"/>
  <c r="B254" i="12"/>
  <c r="B195" i="12"/>
  <c r="B226" i="12"/>
  <c r="B139" i="12"/>
  <c r="B90" i="12"/>
  <c r="B12" i="12"/>
  <c r="B256" i="12"/>
  <c r="B64" i="12"/>
  <c r="B153" i="12"/>
  <c r="B188" i="12"/>
  <c r="B184" i="12"/>
  <c r="B118" i="12"/>
  <c r="B173" i="12"/>
  <c r="A161" i="5"/>
  <c r="A48" i="5"/>
  <c r="B67" i="12"/>
  <c r="B225" i="12"/>
  <c r="B183" i="12"/>
  <c r="B85" i="12"/>
  <c r="B228" i="12"/>
  <c r="B135" i="12"/>
  <c r="B73" i="12"/>
  <c r="B20" i="12"/>
  <c r="B35" i="12"/>
  <c r="B207" i="12"/>
  <c r="B80" i="12"/>
  <c r="B158" i="12"/>
  <c r="B72" i="12"/>
  <c r="B61" i="12"/>
  <c r="B66" i="12"/>
  <c r="B58" i="12"/>
  <c r="B190" i="12"/>
  <c r="B232" i="12"/>
  <c r="B142" i="12"/>
  <c r="B155" i="12"/>
  <c r="B91" i="12"/>
  <c r="B255" i="12"/>
  <c r="B180" i="12"/>
  <c r="B24" i="12"/>
  <c r="B81" i="12"/>
  <c r="B126" i="12"/>
  <c r="B40" i="12"/>
  <c r="B8" i="12"/>
  <c r="B70" i="12"/>
  <c r="B108" i="12"/>
  <c r="B218" i="12"/>
  <c r="B48" i="12"/>
  <c r="B191" i="12"/>
  <c r="B131" i="12"/>
  <c r="B62" i="12"/>
  <c r="B244" i="12"/>
  <c r="B21" i="12"/>
  <c r="B215" i="12"/>
  <c r="B161" i="12"/>
  <c r="B71" i="12"/>
  <c r="B129" i="12"/>
  <c r="B257" i="12"/>
  <c r="B197" i="12"/>
  <c r="B123" i="12"/>
  <c r="B147" i="12"/>
  <c r="B159" i="12"/>
  <c r="B98" i="12"/>
  <c r="B227" i="12"/>
  <c r="B212" i="12"/>
  <c r="B68" i="12"/>
  <c r="B171" i="12"/>
  <c r="B160" i="12"/>
  <c r="B201" i="12"/>
  <c r="B26" i="12"/>
  <c r="B222" i="12"/>
  <c r="B93" i="12"/>
  <c r="B205" i="12"/>
  <c r="B96" i="12"/>
  <c r="B206" i="12"/>
  <c r="B7" i="12"/>
  <c r="B242" i="12"/>
  <c r="B186" i="12"/>
  <c r="B246" i="12"/>
  <c r="B42" i="12"/>
  <c r="B220" i="12"/>
  <c r="B92" i="12"/>
  <c r="B199" i="12"/>
  <c r="B95" i="12"/>
  <c r="B25" i="12"/>
  <c r="B38" i="12"/>
  <c r="B22" i="12"/>
  <c r="B210" i="12"/>
  <c r="B111" i="12"/>
  <c r="B164" i="12"/>
  <c r="B143" i="12"/>
  <c r="B243" i="12"/>
  <c r="B44" i="12"/>
  <c r="B86" i="12"/>
  <c r="B103" i="12"/>
  <c r="B78" i="12"/>
  <c r="B28" i="12"/>
  <c r="B237" i="12"/>
  <c r="B200" i="12"/>
  <c r="B193" i="12"/>
  <c r="B102" i="12"/>
  <c r="B113" i="12"/>
  <c r="B9" i="12"/>
  <c r="B162" i="12"/>
  <c r="B196" i="12"/>
  <c r="B166" i="12"/>
  <c r="B54" i="12"/>
  <c r="B235" i="12"/>
  <c r="B122" i="12"/>
  <c r="B84" i="12"/>
  <c r="C48" i="5" l="1"/>
  <c r="Z48" i="5"/>
  <c r="S48" i="5"/>
  <c r="Y48" i="5"/>
  <c r="B48" i="5"/>
  <c r="H48" i="5"/>
  <c r="D48" i="5"/>
  <c r="I48" i="5"/>
  <c r="G48" i="5"/>
  <c r="K48" i="5"/>
  <c r="X48" i="5"/>
  <c r="B161" i="5"/>
  <c r="C161" i="5"/>
  <c r="Z161" i="5"/>
  <c r="I161" i="5"/>
  <c r="AA161" i="5" s="1"/>
  <c r="Y161" i="5"/>
  <c r="D161" i="5"/>
  <c r="S161" i="5"/>
  <c r="K161" i="5"/>
  <c r="X161" i="5"/>
  <c r="H161" i="5"/>
  <c r="G161" i="5"/>
  <c r="H167" i="5"/>
  <c r="J168" i="5"/>
  <c r="L168" i="5" s="1"/>
  <c r="X167" i="5"/>
  <c r="S167" i="5"/>
  <c r="J170" i="5"/>
  <c r="L170" i="5" s="1"/>
  <c r="J171" i="5"/>
  <c r="L171" i="5" s="1"/>
  <c r="D167" i="5"/>
  <c r="K167" i="5"/>
  <c r="Y167" i="5"/>
  <c r="I167" i="5"/>
  <c r="G167" i="5"/>
  <c r="J167" i="5"/>
  <c r="L167" i="5" s="1"/>
  <c r="B167" i="5"/>
  <c r="C167" i="5"/>
  <c r="J169" i="5"/>
  <c r="L169" i="5" s="1"/>
  <c r="Z167" i="5"/>
  <c r="Y49" i="5"/>
  <c r="B49" i="5"/>
  <c r="X49" i="5"/>
  <c r="Z49" i="5"/>
  <c r="G49" i="5"/>
  <c r="D49" i="5"/>
  <c r="C49" i="5"/>
  <c r="S49" i="5"/>
  <c r="K49" i="5"/>
  <c r="M50" i="5" s="1"/>
  <c r="I49" i="5"/>
  <c r="H49" i="5"/>
  <c r="H97" i="5"/>
  <c r="S97" i="5"/>
  <c r="X97" i="5"/>
  <c r="K97" i="5"/>
  <c r="J101" i="5"/>
  <c r="L101" i="5" s="1"/>
  <c r="J97" i="5"/>
  <c r="L97" i="5" s="1"/>
  <c r="J100" i="5"/>
  <c r="L100" i="5" s="1"/>
  <c r="B97" i="5"/>
  <c r="Y97" i="5"/>
  <c r="C97" i="5"/>
  <c r="Z97" i="5"/>
  <c r="I97" i="5"/>
  <c r="D97" i="5"/>
  <c r="J99" i="5"/>
  <c r="L99" i="5" s="1"/>
  <c r="J98" i="5"/>
  <c r="L98" i="5" s="1"/>
  <c r="G97" i="5"/>
  <c r="K23" i="5"/>
  <c r="C23" i="5"/>
  <c r="D23" i="5"/>
  <c r="B23" i="5"/>
  <c r="Z23" i="5"/>
  <c r="J70" i="5"/>
  <c r="L70" i="5" s="1"/>
  <c r="J67" i="5"/>
  <c r="L67" i="5" s="1"/>
  <c r="D67" i="5"/>
  <c r="Z67" i="5"/>
  <c r="C67" i="5"/>
  <c r="I67" i="5"/>
  <c r="J68" i="5"/>
  <c r="L68" i="5" s="1"/>
  <c r="H67" i="5"/>
  <c r="J71" i="5"/>
  <c r="L71" i="5" s="1"/>
  <c r="B67" i="5"/>
  <c r="J69" i="5"/>
  <c r="L69" i="5" s="1"/>
  <c r="S67" i="5"/>
  <c r="G67" i="5"/>
  <c r="K67" i="5"/>
  <c r="Y67" i="5"/>
  <c r="X67" i="5"/>
  <c r="B153" i="5"/>
  <c r="C153" i="5"/>
  <c r="I153" i="5"/>
  <c r="Y153" i="5"/>
  <c r="K153" i="5"/>
  <c r="G153" i="5"/>
  <c r="H153" i="5"/>
  <c r="D153" i="5"/>
  <c r="X153" i="5"/>
  <c r="S153" i="5"/>
  <c r="Z153" i="5"/>
  <c r="I174" i="5"/>
  <c r="G174" i="5"/>
  <c r="Y174" i="5"/>
  <c r="S174" i="5"/>
  <c r="C174" i="5"/>
  <c r="Z174" i="5"/>
  <c r="X174" i="5"/>
  <c r="H174" i="5"/>
  <c r="B174" i="5"/>
  <c r="K174" i="5"/>
  <c r="D174" i="5"/>
  <c r="I31" i="5"/>
  <c r="C31" i="5"/>
  <c r="Y31" i="5"/>
  <c r="B31" i="5"/>
  <c r="H31" i="5"/>
  <c r="X31" i="5"/>
  <c r="G31" i="5"/>
  <c r="Z31" i="5"/>
  <c r="S31" i="5"/>
  <c r="K31" i="5"/>
  <c r="D31" i="5"/>
  <c r="C53" i="5"/>
  <c r="X53" i="5"/>
  <c r="B53" i="5"/>
  <c r="K53" i="5"/>
  <c r="S53" i="5"/>
  <c r="D53" i="5"/>
  <c r="Z53" i="5"/>
  <c r="I53" i="5"/>
  <c r="AA53" i="5" s="1"/>
  <c r="Y53" i="5"/>
  <c r="H53" i="5"/>
  <c r="G53" i="5"/>
  <c r="C34" i="5"/>
  <c r="K34" i="5"/>
  <c r="Z34" i="5"/>
  <c r="B34" i="5"/>
  <c r="D34" i="5"/>
  <c r="B18" i="5"/>
  <c r="Z18" i="5"/>
  <c r="K18" i="5"/>
  <c r="D18" i="5"/>
  <c r="C18" i="5"/>
  <c r="D14" i="5"/>
  <c r="K14" i="5"/>
  <c r="C14" i="5"/>
  <c r="B14" i="5"/>
  <c r="Z14" i="5"/>
  <c r="G132" i="5"/>
  <c r="B132" i="5"/>
  <c r="Y132" i="5"/>
  <c r="K132" i="5"/>
  <c r="H132" i="5"/>
  <c r="J134" i="5"/>
  <c r="L134" i="5" s="1"/>
  <c r="D132" i="5"/>
  <c r="J132" i="5"/>
  <c r="L132" i="5" s="1"/>
  <c r="J133" i="5"/>
  <c r="L133" i="5" s="1"/>
  <c r="S132" i="5"/>
  <c r="I132" i="5"/>
  <c r="X132" i="5"/>
  <c r="C132" i="5"/>
  <c r="J136" i="5"/>
  <c r="L136" i="5" s="1"/>
  <c r="J135" i="5"/>
  <c r="L135" i="5" s="1"/>
  <c r="Z132" i="5"/>
  <c r="Z16" i="5"/>
  <c r="D16" i="5"/>
  <c r="C16" i="5"/>
  <c r="B16" i="5"/>
  <c r="K16" i="5"/>
  <c r="C58" i="5"/>
  <c r="S58" i="5"/>
  <c r="Y58" i="5"/>
  <c r="B58" i="5"/>
  <c r="H58" i="5"/>
  <c r="I58" i="5"/>
  <c r="D58" i="5"/>
  <c r="X58" i="5"/>
  <c r="G58" i="5"/>
  <c r="K58" i="5"/>
  <c r="Z58" i="5"/>
  <c r="D43" i="5"/>
  <c r="X43" i="5"/>
  <c r="C43" i="5"/>
  <c r="H43" i="5"/>
  <c r="S43" i="5"/>
  <c r="G43" i="5"/>
  <c r="K43" i="5"/>
  <c r="B43" i="5"/>
  <c r="Z43" i="5"/>
  <c r="I43" i="5"/>
  <c r="Y43" i="5"/>
  <c r="C190" i="5"/>
  <c r="B190" i="5"/>
  <c r="Z190" i="5"/>
  <c r="X190" i="5"/>
  <c r="I190" i="5"/>
  <c r="G190" i="5"/>
  <c r="S190" i="5"/>
  <c r="Y190" i="5"/>
  <c r="H190" i="5"/>
  <c r="K190" i="5"/>
  <c r="D190" i="5"/>
  <c r="Y186" i="5"/>
  <c r="H186" i="5"/>
  <c r="Z186" i="5"/>
  <c r="G186" i="5"/>
  <c r="I186" i="5"/>
  <c r="S186" i="5"/>
  <c r="K186" i="5"/>
  <c r="D186" i="5"/>
  <c r="C186" i="5"/>
  <c r="X186" i="5"/>
  <c r="B186" i="5"/>
  <c r="C75" i="5"/>
  <c r="S75" i="5"/>
  <c r="K75" i="5"/>
  <c r="B75" i="5"/>
  <c r="Y75" i="5"/>
  <c r="I75" i="5"/>
  <c r="H75" i="5"/>
  <c r="Z75" i="5"/>
  <c r="X75" i="5"/>
  <c r="D75" i="5"/>
  <c r="G75" i="5"/>
  <c r="S64" i="5"/>
  <c r="Z64" i="5"/>
  <c r="K64" i="5"/>
  <c r="Y64" i="5"/>
  <c r="C64" i="5"/>
  <c r="H64" i="5"/>
  <c r="D64" i="5"/>
  <c r="I64" i="5"/>
  <c r="X64" i="5"/>
  <c r="G64" i="5"/>
  <c r="B64" i="5"/>
  <c r="J143" i="5"/>
  <c r="L143" i="5" s="1"/>
  <c r="G142" i="5"/>
  <c r="J145" i="5"/>
  <c r="L145" i="5" s="1"/>
  <c r="S142" i="5"/>
  <c r="D142" i="5"/>
  <c r="C142" i="5"/>
  <c r="Z142" i="5"/>
  <c r="B142" i="5"/>
  <c r="I142" i="5"/>
  <c r="J144" i="5"/>
  <c r="L144" i="5" s="1"/>
  <c r="K142" i="5"/>
  <c r="J142" i="5"/>
  <c r="L142" i="5" s="1"/>
  <c r="X142" i="5"/>
  <c r="H142" i="5"/>
  <c r="J146" i="5"/>
  <c r="L146" i="5" s="1"/>
  <c r="Y142" i="5"/>
  <c r="X152" i="5"/>
  <c r="J155" i="5"/>
  <c r="L155" i="5" s="1"/>
  <c r="G152" i="5"/>
  <c r="Y152" i="5"/>
  <c r="J154" i="5"/>
  <c r="L154" i="5" s="1"/>
  <c r="D152" i="5"/>
  <c r="J153" i="5"/>
  <c r="L153" i="5" s="1"/>
  <c r="C152" i="5"/>
  <c r="B152" i="5"/>
  <c r="I152" i="5"/>
  <c r="J152" i="5"/>
  <c r="L152" i="5" s="1"/>
  <c r="Z152" i="5"/>
  <c r="J156" i="5"/>
  <c r="L156" i="5" s="1"/>
  <c r="S152" i="5"/>
  <c r="K152" i="5"/>
  <c r="M155" i="5" s="1"/>
  <c r="H152" i="5"/>
  <c r="I189" i="5"/>
  <c r="B189" i="5"/>
  <c r="X189" i="5"/>
  <c r="S189" i="5"/>
  <c r="K189" i="5"/>
  <c r="Y189" i="5"/>
  <c r="Z189" i="5"/>
  <c r="C189" i="5"/>
  <c r="G189" i="5"/>
  <c r="H189" i="5"/>
  <c r="D189" i="5"/>
  <c r="X122" i="5"/>
  <c r="S122" i="5"/>
  <c r="G122" i="5"/>
  <c r="K122" i="5"/>
  <c r="P122" i="5" s="1"/>
  <c r="J126" i="5"/>
  <c r="L126" i="5" s="1"/>
  <c r="B122" i="5"/>
  <c r="J125" i="5"/>
  <c r="L125" i="5" s="1"/>
  <c r="I122" i="5"/>
  <c r="D122" i="5"/>
  <c r="Z122" i="5"/>
  <c r="J124" i="5"/>
  <c r="L124" i="5" s="1"/>
  <c r="C122" i="5"/>
  <c r="J123" i="5"/>
  <c r="L123" i="5" s="1"/>
  <c r="J122" i="5"/>
  <c r="L122" i="5" s="1"/>
  <c r="H122" i="5"/>
  <c r="Y122" i="5"/>
  <c r="D20" i="5"/>
  <c r="C20" i="5"/>
  <c r="K20" i="5"/>
  <c r="B20" i="5"/>
  <c r="Z20" i="5"/>
  <c r="I103" i="5"/>
  <c r="Y103" i="5"/>
  <c r="H103" i="5"/>
  <c r="X103" i="5"/>
  <c r="S103" i="5"/>
  <c r="G103" i="5"/>
  <c r="C103" i="5"/>
  <c r="K103" i="5"/>
  <c r="D103" i="5"/>
  <c r="B103" i="5"/>
  <c r="Z103" i="5"/>
  <c r="I138" i="5"/>
  <c r="B138" i="5"/>
  <c r="C138" i="5"/>
  <c r="Y138" i="5"/>
  <c r="K138" i="5"/>
  <c r="H138" i="5"/>
  <c r="X138" i="5"/>
  <c r="G138" i="5"/>
  <c r="Z138" i="5"/>
  <c r="D138" i="5"/>
  <c r="S138" i="5"/>
  <c r="Y149" i="5"/>
  <c r="H149" i="5"/>
  <c r="Z149" i="5"/>
  <c r="C149" i="5"/>
  <c r="I149" i="5"/>
  <c r="B149" i="5"/>
  <c r="K149" i="5"/>
  <c r="X149" i="5"/>
  <c r="G149" i="5"/>
  <c r="D149" i="5"/>
  <c r="S149" i="5"/>
  <c r="I145" i="5"/>
  <c r="H145" i="5"/>
  <c r="S145" i="5"/>
  <c r="Y145" i="5"/>
  <c r="K145" i="5"/>
  <c r="X145" i="5"/>
  <c r="Z145" i="5"/>
  <c r="G145" i="5"/>
  <c r="D145" i="5"/>
  <c r="B145" i="5"/>
  <c r="C145" i="5"/>
  <c r="Z38" i="5"/>
  <c r="D38" i="5"/>
  <c r="C38" i="5"/>
  <c r="K38" i="5"/>
  <c r="B38" i="5"/>
  <c r="X184" i="5"/>
  <c r="G184" i="5"/>
  <c r="Z184" i="5"/>
  <c r="I184" i="5"/>
  <c r="B184" i="5"/>
  <c r="D184" i="5"/>
  <c r="S184" i="5"/>
  <c r="C184" i="5"/>
  <c r="K184" i="5"/>
  <c r="Y184" i="5"/>
  <c r="H184" i="5"/>
  <c r="D21" i="5"/>
  <c r="C21" i="5"/>
  <c r="Z21" i="5"/>
  <c r="K21" i="5"/>
  <c r="B21" i="5"/>
  <c r="K83" i="5"/>
  <c r="B83" i="5"/>
  <c r="X83" i="5"/>
  <c r="H83" i="5"/>
  <c r="G83" i="5"/>
  <c r="Z83" i="5"/>
  <c r="S83" i="5"/>
  <c r="Y83" i="5"/>
  <c r="D83" i="5"/>
  <c r="C83" i="5"/>
  <c r="I83" i="5"/>
  <c r="K80" i="5"/>
  <c r="Z80" i="5"/>
  <c r="C80" i="5"/>
  <c r="Y80" i="5"/>
  <c r="S80" i="5"/>
  <c r="H80" i="5"/>
  <c r="D80" i="5"/>
  <c r="G80" i="5"/>
  <c r="B80" i="5"/>
  <c r="I80" i="5"/>
  <c r="X80" i="5"/>
  <c r="X151" i="5"/>
  <c r="D151" i="5"/>
  <c r="Z151" i="5"/>
  <c r="I151" i="5"/>
  <c r="C151" i="5"/>
  <c r="Y151" i="5"/>
  <c r="H151" i="5"/>
  <c r="G151" i="5"/>
  <c r="S151" i="5"/>
  <c r="B151" i="5"/>
  <c r="K151" i="5"/>
  <c r="X160" i="5"/>
  <c r="G160" i="5"/>
  <c r="Z160" i="5"/>
  <c r="I160" i="5"/>
  <c r="Y160" i="5"/>
  <c r="H160" i="5"/>
  <c r="S160" i="5"/>
  <c r="C160" i="5"/>
  <c r="K160" i="5"/>
  <c r="B160" i="5"/>
  <c r="D160" i="5"/>
  <c r="I158" i="5"/>
  <c r="X158" i="5"/>
  <c r="Y158" i="5"/>
  <c r="S158" i="5"/>
  <c r="C158" i="5"/>
  <c r="Z158" i="5"/>
  <c r="G158" i="5"/>
  <c r="D158" i="5"/>
  <c r="H158" i="5"/>
  <c r="K158" i="5"/>
  <c r="P159" i="5" s="1"/>
  <c r="B158" i="5"/>
  <c r="Z11" i="5"/>
  <c r="D11" i="5"/>
  <c r="B11" i="5"/>
  <c r="C11" i="5"/>
  <c r="K11" i="5"/>
  <c r="D74" i="5"/>
  <c r="C74" i="5"/>
  <c r="K74" i="5"/>
  <c r="Y74" i="5"/>
  <c r="B74" i="5"/>
  <c r="G74" i="5"/>
  <c r="Z74" i="5"/>
  <c r="I74" i="5"/>
  <c r="H74" i="5"/>
  <c r="X74" i="5"/>
  <c r="S74" i="5"/>
  <c r="I119" i="5"/>
  <c r="Y119" i="5"/>
  <c r="X119" i="5"/>
  <c r="S119" i="5"/>
  <c r="G119" i="5"/>
  <c r="Z119" i="5"/>
  <c r="K119" i="5"/>
  <c r="P118" i="5" s="1"/>
  <c r="B119" i="5"/>
  <c r="H119" i="5"/>
  <c r="C119" i="5"/>
  <c r="D119" i="5"/>
  <c r="H156" i="5"/>
  <c r="X156" i="5"/>
  <c r="I156" i="5"/>
  <c r="G156" i="5"/>
  <c r="D156" i="5"/>
  <c r="B156" i="5"/>
  <c r="C156" i="5"/>
  <c r="S156" i="5"/>
  <c r="Z156" i="5"/>
  <c r="K156" i="5"/>
  <c r="Y156" i="5"/>
  <c r="C204" i="5"/>
  <c r="S204" i="5"/>
  <c r="B204" i="5"/>
  <c r="Y204" i="5"/>
  <c r="D204" i="5"/>
  <c r="I204" i="5"/>
  <c r="Z204" i="5"/>
  <c r="K204" i="5"/>
  <c r="X204" i="5"/>
  <c r="G204" i="5"/>
  <c r="H204" i="5"/>
  <c r="I56" i="5"/>
  <c r="B56" i="5"/>
  <c r="X56" i="5"/>
  <c r="S56" i="5"/>
  <c r="D56" i="5"/>
  <c r="K56" i="5"/>
  <c r="P56" i="5" s="1"/>
  <c r="Z56" i="5"/>
  <c r="C56" i="5"/>
  <c r="H56" i="5"/>
  <c r="Y56" i="5"/>
  <c r="G56" i="5"/>
  <c r="D199" i="5"/>
  <c r="C199" i="5"/>
  <c r="K199" i="5"/>
  <c r="P199" i="5" s="1"/>
  <c r="I199" i="5"/>
  <c r="S199" i="5"/>
  <c r="Y199" i="5"/>
  <c r="G199" i="5"/>
  <c r="X199" i="5"/>
  <c r="B199" i="5"/>
  <c r="Z199" i="5"/>
  <c r="H199" i="5"/>
  <c r="B187" i="5"/>
  <c r="D187" i="5"/>
  <c r="Y187" i="5"/>
  <c r="Z187" i="5"/>
  <c r="H187" i="5"/>
  <c r="I187" i="5"/>
  <c r="J189" i="5"/>
  <c r="L189" i="5" s="1"/>
  <c r="J191" i="5"/>
  <c r="M191" i="5" s="1"/>
  <c r="C187" i="5"/>
  <c r="J187" i="5"/>
  <c r="L187" i="5" s="1"/>
  <c r="S187" i="5"/>
  <c r="K187" i="5"/>
  <c r="J190" i="5"/>
  <c r="L190" i="5" s="1"/>
  <c r="X187" i="5"/>
  <c r="G187" i="5"/>
  <c r="J188" i="5"/>
  <c r="H111" i="5"/>
  <c r="X111" i="5"/>
  <c r="S111" i="5"/>
  <c r="G111" i="5"/>
  <c r="K111" i="5"/>
  <c r="D111" i="5"/>
  <c r="B111" i="5"/>
  <c r="C111" i="5"/>
  <c r="Y111" i="5"/>
  <c r="Z111" i="5"/>
  <c r="I111" i="5"/>
  <c r="D123" i="5"/>
  <c r="Y123" i="5"/>
  <c r="C123" i="5"/>
  <c r="S123" i="5"/>
  <c r="K123" i="5"/>
  <c r="B123" i="5"/>
  <c r="X123" i="5"/>
  <c r="G123" i="5"/>
  <c r="I123" i="5"/>
  <c r="H123" i="5"/>
  <c r="Z123" i="5"/>
  <c r="S63" i="5"/>
  <c r="G63" i="5"/>
  <c r="K63" i="5"/>
  <c r="D63" i="5"/>
  <c r="Z63" i="5"/>
  <c r="I63" i="5"/>
  <c r="X63" i="5"/>
  <c r="B63" i="5"/>
  <c r="Y63" i="5"/>
  <c r="H63" i="5"/>
  <c r="C63" i="5"/>
  <c r="J62" i="5"/>
  <c r="L62" i="5" s="1"/>
  <c r="J66" i="5"/>
  <c r="L66" i="5" s="1"/>
  <c r="Z62" i="5"/>
  <c r="J65" i="5"/>
  <c r="L65" i="5" s="1"/>
  <c r="C62" i="5"/>
  <c r="Y62" i="5"/>
  <c r="J63" i="5"/>
  <c r="L63" i="5" s="1"/>
  <c r="H62" i="5"/>
  <c r="B62" i="5"/>
  <c r="D62" i="5"/>
  <c r="G62" i="5"/>
  <c r="J64" i="5"/>
  <c r="L64" i="5" s="1"/>
  <c r="S62" i="5"/>
  <c r="X62" i="5"/>
  <c r="I62" i="5"/>
  <c r="AA62" i="5" s="1"/>
  <c r="K62" i="5"/>
  <c r="H65" i="5"/>
  <c r="X65" i="5"/>
  <c r="D65" i="5"/>
  <c r="C65" i="5"/>
  <c r="Y65" i="5"/>
  <c r="B65" i="5"/>
  <c r="K65" i="5"/>
  <c r="O64" i="5" s="1"/>
  <c r="I65" i="5"/>
  <c r="Z65" i="5"/>
  <c r="S65" i="5"/>
  <c r="G65" i="5"/>
  <c r="D115" i="5"/>
  <c r="Y115" i="5"/>
  <c r="C115" i="5"/>
  <c r="K115" i="5"/>
  <c r="M115" i="5" s="1"/>
  <c r="B115" i="5"/>
  <c r="G115" i="5"/>
  <c r="Z115" i="5"/>
  <c r="X115" i="5"/>
  <c r="I115" i="5"/>
  <c r="H115" i="5"/>
  <c r="S115" i="5"/>
  <c r="D50" i="5"/>
  <c r="Z50" i="5"/>
  <c r="C50" i="5"/>
  <c r="K50" i="5"/>
  <c r="B50" i="5"/>
  <c r="G50" i="5"/>
  <c r="H50" i="5"/>
  <c r="I50" i="5"/>
  <c r="X50" i="5"/>
  <c r="S50" i="5"/>
  <c r="Y50" i="5"/>
  <c r="G196" i="5"/>
  <c r="C196" i="5"/>
  <c r="D196" i="5"/>
  <c r="Z196" i="5"/>
  <c r="S196" i="5"/>
  <c r="K196" i="5"/>
  <c r="O196" i="5" s="1"/>
  <c r="B196" i="5"/>
  <c r="X196" i="5"/>
  <c r="Y196" i="5"/>
  <c r="H196" i="5"/>
  <c r="I196" i="5"/>
  <c r="S126" i="5"/>
  <c r="G126" i="5"/>
  <c r="K126" i="5"/>
  <c r="P126" i="5" s="1"/>
  <c r="D126" i="5"/>
  <c r="Z126" i="5"/>
  <c r="I126" i="5"/>
  <c r="C126" i="5"/>
  <c r="X126" i="5"/>
  <c r="Y126" i="5"/>
  <c r="B126" i="5"/>
  <c r="H126" i="5"/>
  <c r="Y36" i="5"/>
  <c r="D36" i="5"/>
  <c r="H36" i="5"/>
  <c r="C36" i="5"/>
  <c r="G36" i="5"/>
  <c r="S36" i="5"/>
  <c r="X36" i="5"/>
  <c r="K36" i="5"/>
  <c r="B36" i="5"/>
  <c r="I36" i="5"/>
  <c r="Z36" i="5"/>
  <c r="K101" i="5"/>
  <c r="B101" i="5"/>
  <c r="Z101" i="5"/>
  <c r="I101" i="5"/>
  <c r="Y101" i="5"/>
  <c r="C101" i="5"/>
  <c r="S101" i="5"/>
  <c r="H101" i="5"/>
  <c r="X101" i="5"/>
  <c r="G101" i="5"/>
  <c r="D101" i="5"/>
  <c r="Y188" i="5"/>
  <c r="H188" i="5"/>
  <c r="Z188" i="5"/>
  <c r="X188" i="5"/>
  <c r="I188" i="5"/>
  <c r="G188" i="5"/>
  <c r="D188" i="5"/>
  <c r="S188" i="5"/>
  <c r="K188" i="5"/>
  <c r="B188" i="5"/>
  <c r="C188" i="5"/>
  <c r="I72" i="5"/>
  <c r="AA72" i="5" s="1"/>
  <c r="S72" i="5"/>
  <c r="Y72" i="5"/>
  <c r="K72" i="5"/>
  <c r="X72" i="5"/>
  <c r="J73" i="5"/>
  <c r="L73" i="5" s="1"/>
  <c r="G72" i="5"/>
  <c r="C72" i="5"/>
  <c r="Z72" i="5"/>
  <c r="D72" i="5"/>
  <c r="H72" i="5"/>
  <c r="J76" i="5"/>
  <c r="L76" i="5" s="1"/>
  <c r="J74" i="5"/>
  <c r="L74" i="5" s="1"/>
  <c r="B72" i="5"/>
  <c r="J72" i="5"/>
  <c r="L72" i="5" s="1"/>
  <c r="J75" i="5"/>
  <c r="L75" i="5" s="1"/>
  <c r="G148" i="5"/>
  <c r="D148" i="5"/>
  <c r="S148" i="5"/>
  <c r="C148" i="5"/>
  <c r="B148" i="5"/>
  <c r="Y148" i="5"/>
  <c r="X148" i="5"/>
  <c r="I148" i="5"/>
  <c r="K148" i="5"/>
  <c r="H148" i="5"/>
  <c r="Z148" i="5"/>
  <c r="Y206" i="5"/>
  <c r="H206" i="5"/>
  <c r="S206" i="5"/>
  <c r="X206" i="5"/>
  <c r="K206" i="5"/>
  <c r="G206" i="5"/>
  <c r="I206" i="5"/>
  <c r="B206" i="5"/>
  <c r="D206" i="5"/>
  <c r="C206" i="5"/>
  <c r="Z206" i="5"/>
  <c r="K87" i="5"/>
  <c r="P88" i="5" s="1"/>
  <c r="G87" i="5"/>
  <c r="B87" i="5"/>
  <c r="J91" i="5"/>
  <c r="L91" i="5" s="1"/>
  <c r="J87" i="5"/>
  <c r="L87" i="5" s="1"/>
  <c r="C87" i="5"/>
  <c r="Z87" i="5"/>
  <c r="J90" i="5"/>
  <c r="L90" i="5" s="1"/>
  <c r="I87" i="5"/>
  <c r="AA87" i="5" s="1"/>
  <c r="J89" i="5"/>
  <c r="L89" i="5" s="1"/>
  <c r="J88" i="5"/>
  <c r="L88" i="5" s="1"/>
  <c r="S87" i="5"/>
  <c r="Y87" i="5"/>
  <c r="H87" i="5"/>
  <c r="X87" i="5"/>
  <c r="D87" i="5"/>
  <c r="S193" i="5"/>
  <c r="K193" i="5"/>
  <c r="I193" i="5"/>
  <c r="G193" i="5"/>
  <c r="D193" i="5"/>
  <c r="C193" i="5"/>
  <c r="Y193" i="5"/>
  <c r="B193" i="5"/>
  <c r="Z193" i="5"/>
  <c r="X193" i="5"/>
  <c r="H193" i="5"/>
  <c r="H41" i="5"/>
  <c r="Z41" i="5"/>
  <c r="X41" i="5"/>
  <c r="I41" i="5"/>
  <c r="G41" i="5"/>
  <c r="D41" i="5"/>
  <c r="C41" i="5"/>
  <c r="Y41" i="5"/>
  <c r="S41" i="5"/>
  <c r="K41" i="5"/>
  <c r="B41" i="5"/>
  <c r="C8" i="5"/>
  <c r="B8" i="5"/>
  <c r="D8" i="5"/>
  <c r="Z8" i="5"/>
  <c r="K8" i="5"/>
  <c r="N7" i="5" s="1"/>
  <c r="D81" i="5"/>
  <c r="C81" i="5"/>
  <c r="Z81" i="5"/>
  <c r="K81" i="5"/>
  <c r="I81" i="5"/>
  <c r="B81" i="5"/>
  <c r="Y81" i="5"/>
  <c r="S81" i="5"/>
  <c r="H81" i="5"/>
  <c r="X81" i="5"/>
  <c r="G81" i="5"/>
  <c r="B110" i="5"/>
  <c r="Z110" i="5"/>
  <c r="Y110" i="5"/>
  <c r="H110" i="5"/>
  <c r="K110" i="5"/>
  <c r="D110" i="5"/>
  <c r="C110" i="5"/>
  <c r="S110" i="5"/>
  <c r="I110" i="5"/>
  <c r="X110" i="5"/>
  <c r="G110" i="5"/>
  <c r="J41" i="5"/>
  <c r="J39" i="5"/>
  <c r="D37" i="5"/>
  <c r="J38" i="5"/>
  <c r="L38" i="5" s="1"/>
  <c r="K37" i="5"/>
  <c r="Z37" i="5"/>
  <c r="J40" i="5"/>
  <c r="C37" i="5"/>
  <c r="B37" i="5"/>
  <c r="J37" i="5"/>
  <c r="Z170" i="5"/>
  <c r="G170" i="5"/>
  <c r="I170" i="5"/>
  <c r="S170" i="5"/>
  <c r="C170" i="5"/>
  <c r="K170" i="5"/>
  <c r="P169" i="5" s="1"/>
  <c r="X170" i="5"/>
  <c r="D170" i="5"/>
  <c r="H170" i="5"/>
  <c r="B170" i="5"/>
  <c r="Y170" i="5"/>
  <c r="J80" i="5"/>
  <c r="L80" i="5" s="1"/>
  <c r="J77" i="5"/>
  <c r="L77" i="5" s="1"/>
  <c r="D77" i="5"/>
  <c r="Z77" i="5"/>
  <c r="C77" i="5"/>
  <c r="Y77" i="5"/>
  <c r="J78" i="5"/>
  <c r="L78" i="5" s="1"/>
  <c r="H77" i="5"/>
  <c r="B77" i="5"/>
  <c r="G77" i="5"/>
  <c r="X77" i="5"/>
  <c r="J79" i="5"/>
  <c r="L79" i="5" s="1"/>
  <c r="S77" i="5"/>
  <c r="K77" i="5"/>
  <c r="I77" i="5"/>
  <c r="J81" i="5"/>
  <c r="L81" i="5" s="1"/>
  <c r="H133" i="5"/>
  <c r="X133" i="5"/>
  <c r="G133" i="5"/>
  <c r="K133" i="5"/>
  <c r="S133" i="5"/>
  <c r="D133" i="5"/>
  <c r="C133" i="5"/>
  <c r="Y133" i="5"/>
  <c r="I133" i="5"/>
  <c r="Z133" i="5"/>
  <c r="B133" i="5"/>
  <c r="Z15" i="5"/>
  <c r="D15" i="5"/>
  <c r="C15" i="5"/>
  <c r="B15" i="5"/>
  <c r="K15" i="5"/>
  <c r="H121" i="5"/>
  <c r="X121" i="5"/>
  <c r="G121" i="5"/>
  <c r="D121" i="5"/>
  <c r="C121" i="5"/>
  <c r="I121" i="5"/>
  <c r="Y121" i="5"/>
  <c r="K121" i="5"/>
  <c r="Z121" i="5"/>
  <c r="B121" i="5"/>
  <c r="S121" i="5"/>
  <c r="C30" i="5"/>
  <c r="K30" i="5"/>
  <c r="B30" i="5"/>
  <c r="D30" i="5"/>
  <c r="Z30" i="5"/>
  <c r="B71" i="5"/>
  <c r="C71" i="5"/>
  <c r="Z71" i="5"/>
  <c r="Y71" i="5"/>
  <c r="H71" i="5"/>
  <c r="K71" i="5"/>
  <c r="D71" i="5"/>
  <c r="G71" i="5"/>
  <c r="I71" i="5"/>
  <c r="X71" i="5"/>
  <c r="S71" i="5"/>
  <c r="I47" i="5"/>
  <c r="S47" i="5"/>
  <c r="Y47" i="5"/>
  <c r="J49" i="5"/>
  <c r="L49" i="5" s="1"/>
  <c r="X47" i="5"/>
  <c r="J48" i="5"/>
  <c r="L48" i="5" s="1"/>
  <c r="G47" i="5"/>
  <c r="C47" i="5"/>
  <c r="Z47" i="5"/>
  <c r="D47" i="5"/>
  <c r="H47" i="5"/>
  <c r="J51" i="5"/>
  <c r="L51" i="5" s="1"/>
  <c r="K47" i="5"/>
  <c r="B47" i="5"/>
  <c r="J47" i="5"/>
  <c r="L47" i="5" s="1"/>
  <c r="J50" i="5"/>
  <c r="L50" i="5" s="1"/>
  <c r="J112" i="5"/>
  <c r="L112" i="5" s="1"/>
  <c r="J115" i="5"/>
  <c r="L115" i="5" s="1"/>
  <c r="Z112" i="5"/>
  <c r="D112" i="5"/>
  <c r="I112" i="5"/>
  <c r="K112" i="5"/>
  <c r="Y112" i="5"/>
  <c r="J114" i="5"/>
  <c r="L114" i="5" s="1"/>
  <c r="H112" i="5"/>
  <c r="J113" i="5"/>
  <c r="L113" i="5" s="1"/>
  <c r="X112" i="5"/>
  <c r="G112" i="5"/>
  <c r="J116" i="5"/>
  <c r="L116" i="5" s="1"/>
  <c r="C112" i="5"/>
  <c r="B112" i="5"/>
  <c r="S112" i="5"/>
  <c r="S114" i="5"/>
  <c r="K114" i="5"/>
  <c r="Y114" i="5"/>
  <c r="B114" i="5"/>
  <c r="H114" i="5"/>
  <c r="I114" i="5"/>
  <c r="X114" i="5"/>
  <c r="Z114" i="5"/>
  <c r="C114" i="5"/>
  <c r="G114" i="5"/>
  <c r="D114" i="5"/>
  <c r="C131" i="5"/>
  <c r="Y131" i="5"/>
  <c r="X131" i="5"/>
  <c r="H131" i="5"/>
  <c r="B131" i="5"/>
  <c r="Z131" i="5"/>
  <c r="K131" i="5"/>
  <c r="I131" i="5"/>
  <c r="G131" i="5"/>
  <c r="D131" i="5"/>
  <c r="S131" i="5"/>
  <c r="K85" i="5"/>
  <c r="B85" i="5"/>
  <c r="Z85" i="5"/>
  <c r="I85" i="5"/>
  <c r="Y85" i="5"/>
  <c r="D85" i="5"/>
  <c r="C85" i="5"/>
  <c r="S85" i="5"/>
  <c r="H85" i="5"/>
  <c r="X85" i="5"/>
  <c r="G85" i="5"/>
  <c r="H200" i="5"/>
  <c r="X200" i="5"/>
  <c r="K200" i="5"/>
  <c r="C200" i="5"/>
  <c r="B200" i="5"/>
  <c r="D200" i="5"/>
  <c r="Y200" i="5"/>
  <c r="G200" i="5"/>
  <c r="S200" i="5"/>
  <c r="Z200" i="5"/>
  <c r="I200" i="5"/>
  <c r="D40" i="5"/>
  <c r="C40" i="5"/>
  <c r="K40" i="5"/>
  <c r="B40" i="5"/>
  <c r="Z40" i="5"/>
  <c r="I192" i="5"/>
  <c r="AA192" i="5" s="1"/>
  <c r="J195" i="5"/>
  <c r="L195" i="5" s="1"/>
  <c r="X192" i="5"/>
  <c r="Y192" i="5"/>
  <c r="J193" i="5"/>
  <c r="L193" i="5" s="1"/>
  <c r="J196" i="5"/>
  <c r="L196" i="5" s="1"/>
  <c r="S192" i="5"/>
  <c r="J194" i="5"/>
  <c r="L194" i="5" s="1"/>
  <c r="Z192" i="5"/>
  <c r="H192" i="5"/>
  <c r="J192" i="5"/>
  <c r="L192" i="5" s="1"/>
  <c r="D192" i="5"/>
  <c r="G192" i="5"/>
  <c r="C192" i="5"/>
  <c r="K192" i="5"/>
  <c r="M194" i="5" s="1"/>
  <c r="B192" i="5"/>
  <c r="G134" i="5"/>
  <c r="S134" i="5"/>
  <c r="Z134" i="5"/>
  <c r="I134" i="5"/>
  <c r="C134" i="5"/>
  <c r="Y134" i="5"/>
  <c r="B134" i="5"/>
  <c r="D134" i="5"/>
  <c r="X134" i="5"/>
  <c r="K134" i="5"/>
  <c r="H134" i="5"/>
  <c r="Y183" i="5"/>
  <c r="B183" i="5"/>
  <c r="H183" i="5"/>
  <c r="K183" i="5"/>
  <c r="O185" i="5" s="1"/>
  <c r="G183" i="5"/>
  <c r="D183" i="5"/>
  <c r="C183" i="5"/>
  <c r="S183" i="5"/>
  <c r="X183" i="5"/>
  <c r="Z183" i="5"/>
  <c r="I183" i="5"/>
  <c r="Y139" i="5"/>
  <c r="G139" i="5"/>
  <c r="H139" i="5"/>
  <c r="D139" i="5"/>
  <c r="K139" i="5"/>
  <c r="B139" i="5"/>
  <c r="X139" i="5"/>
  <c r="S139" i="5"/>
  <c r="Z139" i="5"/>
  <c r="C139" i="5"/>
  <c r="I139" i="5"/>
  <c r="AA139" i="5" s="1"/>
  <c r="H79" i="5"/>
  <c r="X79" i="5"/>
  <c r="S79" i="5"/>
  <c r="G79" i="5"/>
  <c r="K79" i="5"/>
  <c r="D79" i="5"/>
  <c r="B79" i="5"/>
  <c r="C79" i="5"/>
  <c r="Z79" i="5"/>
  <c r="I79" i="5"/>
  <c r="Y79" i="5"/>
  <c r="D107" i="5"/>
  <c r="Y107" i="5"/>
  <c r="J109" i="5"/>
  <c r="L109" i="5" s="1"/>
  <c r="I107" i="5"/>
  <c r="J108" i="5"/>
  <c r="L108" i="5" s="1"/>
  <c r="Z107" i="5"/>
  <c r="X107" i="5"/>
  <c r="S107" i="5"/>
  <c r="K107" i="5"/>
  <c r="B107" i="5"/>
  <c r="H107" i="5"/>
  <c r="G107" i="5"/>
  <c r="C107" i="5"/>
  <c r="J111" i="5"/>
  <c r="L111" i="5" s="1"/>
  <c r="J110" i="5"/>
  <c r="L110" i="5" s="1"/>
  <c r="J107" i="5"/>
  <c r="L107" i="5" s="1"/>
  <c r="D116" i="5"/>
  <c r="G116" i="5"/>
  <c r="C116" i="5"/>
  <c r="Y116" i="5"/>
  <c r="K116" i="5"/>
  <c r="B116" i="5"/>
  <c r="H116" i="5"/>
  <c r="S116" i="5"/>
  <c r="Z116" i="5"/>
  <c r="I116" i="5"/>
  <c r="X116" i="5"/>
  <c r="B155" i="5"/>
  <c r="Z155" i="5"/>
  <c r="Y155" i="5"/>
  <c r="X155" i="5"/>
  <c r="H155" i="5"/>
  <c r="G155" i="5"/>
  <c r="K155" i="5"/>
  <c r="C155" i="5"/>
  <c r="S155" i="5"/>
  <c r="I155" i="5"/>
  <c r="D155" i="5"/>
  <c r="Y57" i="5"/>
  <c r="G57" i="5"/>
  <c r="H57" i="5"/>
  <c r="B57" i="5"/>
  <c r="X57" i="5"/>
  <c r="J61" i="5"/>
  <c r="L61" i="5" s="1"/>
  <c r="J58" i="5"/>
  <c r="L58" i="5" s="1"/>
  <c r="J60" i="5"/>
  <c r="L60" i="5" s="1"/>
  <c r="K57" i="5"/>
  <c r="J57" i="5"/>
  <c r="L57" i="5" s="1"/>
  <c r="I57" i="5"/>
  <c r="D57" i="5"/>
  <c r="S57" i="5"/>
  <c r="Z57" i="5"/>
  <c r="J59" i="5"/>
  <c r="L59" i="5" s="1"/>
  <c r="C57" i="5"/>
  <c r="D27" i="5"/>
  <c r="J29" i="5"/>
  <c r="C27" i="5"/>
  <c r="J28" i="5"/>
  <c r="K27" i="5"/>
  <c r="N28" i="5" s="1"/>
  <c r="B27" i="5"/>
  <c r="J27" i="5"/>
  <c r="Z27" i="5"/>
  <c r="J31" i="5"/>
  <c r="J30" i="5"/>
  <c r="C54" i="5"/>
  <c r="I54" i="5"/>
  <c r="S54" i="5"/>
  <c r="D54" i="5"/>
  <c r="Y54" i="5"/>
  <c r="H54" i="5"/>
  <c r="K54" i="5"/>
  <c r="X54" i="5"/>
  <c r="B54" i="5"/>
  <c r="Z54" i="5"/>
  <c r="G54" i="5"/>
  <c r="J130" i="5"/>
  <c r="L130" i="5" s="1"/>
  <c r="I127" i="5"/>
  <c r="W127" i="5" s="1"/>
  <c r="J131" i="5"/>
  <c r="L131" i="5" s="1"/>
  <c r="Y127" i="5"/>
  <c r="S127" i="5"/>
  <c r="X127" i="5"/>
  <c r="K127" i="5"/>
  <c r="G127" i="5"/>
  <c r="Z127" i="5"/>
  <c r="C127" i="5"/>
  <c r="D127" i="5"/>
  <c r="J129" i="5"/>
  <c r="L129" i="5" s="1"/>
  <c r="H127" i="5"/>
  <c r="J128" i="5"/>
  <c r="L128" i="5" s="1"/>
  <c r="B127" i="5"/>
  <c r="J127" i="5"/>
  <c r="L127" i="5" s="1"/>
  <c r="B7" i="5"/>
  <c r="J7" i="5"/>
  <c r="L7" i="5" s="1"/>
  <c r="K7" i="5"/>
  <c r="J11" i="5"/>
  <c r="L11" i="5" s="1"/>
  <c r="J10" i="5"/>
  <c r="C7" i="5"/>
  <c r="Z7" i="5"/>
  <c r="D7" i="5"/>
  <c r="J8" i="5"/>
  <c r="J9" i="5"/>
  <c r="S59" i="5"/>
  <c r="K59" i="5"/>
  <c r="I59" i="5"/>
  <c r="X59" i="5"/>
  <c r="H59" i="5"/>
  <c r="C59" i="5"/>
  <c r="G59" i="5"/>
  <c r="D59" i="5"/>
  <c r="Y59" i="5"/>
  <c r="B59" i="5"/>
  <c r="Z59" i="5"/>
  <c r="Z24" i="5"/>
  <c r="D24" i="5"/>
  <c r="C24" i="5"/>
  <c r="B24" i="5"/>
  <c r="K24" i="5"/>
  <c r="N26" i="5" s="1"/>
  <c r="C175" i="5"/>
  <c r="H175" i="5"/>
  <c r="X175" i="5"/>
  <c r="G175" i="5"/>
  <c r="D175" i="5"/>
  <c r="I175" i="5"/>
  <c r="AA175" i="5" s="1"/>
  <c r="S175" i="5"/>
  <c r="Y175" i="5"/>
  <c r="B175" i="5"/>
  <c r="K175" i="5"/>
  <c r="Z175" i="5"/>
  <c r="K19" i="5"/>
  <c r="B19" i="5"/>
  <c r="C19" i="5"/>
  <c r="D19" i="5"/>
  <c r="Z19" i="5"/>
  <c r="X172" i="5"/>
  <c r="H172" i="5"/>
  <c r="G172" i="5"/>
  <c r="J175" i="5"/>
  <c r="L175" i="5" s="1"/>
  <c r="S172" i="5"/>
  <c r="I172" i="5"/>
  <c r="W172" i="5" s="1"/>
  <c r="K172" i="5"/>
  <c r="J176" i="5"/>
  <c r="N176" i="5" s="1"/>
  <c r="Y172" i="5"/>
  <c r="J174" i="5"/>
  <c r="L174" i="5" s="1"/>
  <c r="Z172" i="5"/>
  <c r="D172" i="5"/>
  <c r="C172" i="5"/>
  <c r="B172" i="5"/>
  <c r="J173" i="5"/>
  <c r="L173" i="5" s="1"/>
  <c r="J172" i="5"/>
  <c r="L172" i="5" s="1"/>
  <c r="I146" i="5"/>
  <c r="S146" i="5"/>
  <c r="D146" i="5"/>
  <c r="B146" i="5"/>
  <c r="K146" i="5"/>
  <c r="Y146" i="5"/>
  <c r="C146" i="5"/>
  <c r="H146" i="5"/>
  <c r="Z146" i="5"/>
  <c r="X146" i="5"/>
  <c r="G146" i="5"/>
  <c r="B28" i="5"/>
  <c r="Z28" i="5"/>
  <c r="D28" i="5"/>
  <c r="C28" i="5"/>
  <c r="K28" i="5"/>
  <c r="Y109" i="5"/>
  <c r="D109" i="5"/>
  <c r="H109" i="5"/>
  <c r="C109" i="5"/>
  <c r="X109" i="5"/>
  <c r="S109" i="5"/>
  <c r="G109" i="5"/>
  <c r="K109" i="5"/>
  <c r="P111" i="5" s="1"/>
  <c r="B109" i="5"/>
  <c r="Z109" i="5"/>
  <c r="I109" i="5"/>
  <c r="K61" i="5"/>
  <c r="B61" i="5"/>
  <c r="Z61" i="5"/>
  <c r="I61" i="5"/>
  <c r="Y61" i="5"/>
  <c r="S61" i="5"/>
  <c r="H61" i="5"/>
  <c r="X61" i="5"/>
  <c r="C61" i="5"/>
  <c r="G61" i="5"/>
  <c r="D61" i="5"/>
  <c r="Y135" i="5"/>
  <c r="Z135" i="5"/>
  <c r="X135" i="5"/>
  <c r="S135" i="5"/>
  <c r="I135" i="5"/>
  <c r="D135" i="5"/>
  <c r="B135" i="5"/>
  <c r="C135" i="5"/>
  <c r="H135" i="5"/>
  <c r="K135" i="5"/>
  <c r="N133" i="5" s="1"/>
  <c r="G135" i="5"/>
  <c r="B137" i="5"/>
  <c r="Y137" i="5"/>
  <c r="J137" i="5"/>
  <c r="L137" i="5" s="1"/>
  <c r="X137" i="5"/>
  <c r="J140" i="5"/>
  <c r="L140" i="5" s="1"/>
  <c r="J139" i="5"/>
  <c r="L139" i="5" s="1"/>
  <c r="D137" i="5"/>
  <c r="H137" i="5"/>
  <c r="K137" i="5"/>
  <c r="Z137" i="5"/>
  <c r="C137" i="5"/>
  <c r="I137" i="5"/>
  <c r="G137" i="5"/>
  <c r="J141" i="5"/>
  <c r="L141" i="5" s="1"/>
  <c r="J138" i="5"/>
  <c r="L138" i="5" s="1"/>
  <c r="S137" i="5"/>
  <c r="G129" i="5"/>
  <c r="X129" i="5"/>
  <c r="C129" i="5"/>
  <c r="I129" i="5"/>
  <c r="S129" i="5"/>
  <c r="K129" i="5"/>
  <c r="B129" i="5"/>
  <c r="Z129" i="5"/>
  <c r="D129" i="5"/>
  <c r="H129" i="5"/>
  <c r="Y129" i="5"/>
  <c r="C178" i="5"/>
  <c r="K178" i="5"/>
  <c r="H178" i="5"/>
  <c r="X178" i="5"/>
  <c r="D178" i="5"/>
  <c r="B178" i="5"/>
  <c r="I178" i="5"/>
  <c r="Y178" i="5"/>
  <c r="G178" i="5"/>
  <c r="S178" i="5"/>
  <c r="Z178" i="5"/>
  <c r="Y180" i="5"/>
  <c r="H180" i="5"/>
  <c r="X180" i="5"/>
  <c r="I180" i="5"/>
  <c r="G180" i="5"/>
  <c r="D180" i="5"/>
  <c r="B180" i="5"/>
  <c r="Z180" i="5"/>
  <c r="K180" i="5"/>
  <c r="O180" i="5" s="1"/>
  <c r="S180" i="5"/>
  <c r="C180" i="5"/>
  <c r="K173" i="5"/>
  <c r="Y173" i="5"/>
  <c r="D173" i="5"/>
  <c r="Z173" i="5"/>
  <c r="C173" i="5"/>
  <c r="G173" i="5"/>
  <c r="S173" i="5"/>
  <c r="I173" i="5"/>
  <c r="X173" i="5"/>
  <c r="H173" i="5"/>
  <c r="B173" i="5"/>
  <c r="B69" i="5"/>
  <c r="Z69" i="5"/>
  <c r="Y69" i="5"/>
  <c r="D69" i="5"/>
  <c r="H69" i="5"/>
  <c r="X69" i="5"/>
  <c r="G69" i="5"/>
  <c r="C69" i="5"/>
  <c r="I69" i="5"/>
  <c r="W69" i="5" s="1"/>
  <c r="S69" i="5"/>
  <c r="K69" i="5"/>
  <c r="Y98" i="5"/>
  <c r="B98" i="5"/>
  <c r="H98" i="5"/>
  <c r="Z98" i="5"/>
  <c r="X98" i="5"/>
  <c r="I98" i="5"/>
  <c r="W98" i="5" s="1"/>
  <c r="G98" i="5"/>
  <c r="D98" i="5"/>
  <c r="C98" i="5"/>
  <c r="S98" i="5"/>
  <c r="K98" i="5"/>
  <c r="Y154" i="5"/>
  <c r="H154" i="5"/>
  <c r="X154" i="5"/>
  <c r="Z154" i="5"/>
  <c r="G154" i="5"/>
  <c r="I154" i="5"/>
  <c r="S154" i="5"/>
  <c r="D154" i="5"/>
  <c r="C154" i="5"/>
  <c r="B154" i="5"/>
  <c r="K154" i="5"/>
  <c r="K22" i="5"/>
  <c r="C22" i="5"/>
  <c r="B22" i="5"/>
  <c r="Z22" i="5"/>
  <c r="J26" i="5"/>
  <c r="J23" i="5"/>
  <c r="D22" i="5"/>
  <c r="J22" i="5"/>
  <c r="L22" i="5" s="1"/>
  <c r="J24" i="5"/>
  <c r="J25" i="5"/>
  <c r="X76" i="5"/>
  <c r="D76" i="5"/>
  <c r="H76" i="5"/>
  <c r="S76" i="5"/>
  <c r="Y76" i="5"/>
  <c r="K76" i="5"/>
  <c r="M76" i="5" s="1"/>
  <c r="I76" i="5"/>
  <c r="Z76" i="5"/>
  <c r="G76" i="5"/>
  <c r="B76" i="5"/>
  <c r="C76" i="5"/>
  <c r="H140" i="5"/>
  <c r="Z140" i="5"/>
  <c r="K140" i="5"/>
  <c r="N139" i="5" s="1"/>
  <c r="I140" i="5"/>
  <c r="S140" i="5"/>
  <c r="G140" i="5"/>
  <c r="Y140" i="5"/>
  <c r="C140" i="5"/>
  <c r="B140" i="5"/>
  <c r="X140" i="5"/>
  <c r="D140" i="5"/>
  <c r="H96" i="5"/>
  <c r="X96" i="5"/>
  <c r="G96" i="5"/>
  <c r="D96" i="5"/>
  <c r="S96" i="5"/>
  <c r="I96" i="5"/>
  <c r="Y96" i="5"/>
  <c r="K96" i="5"/>
  <c r="N96" i="5" s="1"/>
  <c r="B96" i="5"/>
  <c r="C96" i="5"/>
  <c r="Z96" i="5"/>
  <c r="Y78" i="5"/>
  <c r="H78" i="5"/>
  <c r="C78" i="5"/>
  <c r="X78" i="5"/>
  <c r="S78" i="5"/>
  <c r="G78" i="5"/>
  <c r="K78" i="5"/>
  <c r="O80" i="5" s="1"/>
  <c r="D78" i="5"/>
  <c r="B78" i="5"/>
  <c r="Z78" i="5"/>
  <c r="I78" i="5"/>
  <c r="C9" i="5"/>
  <c r="K9" i="5"/>
  <c r="Z9" i="5"/>
  <c r="D9" i="5"/>
  <c r="S9" i="5" s="1"/>
  <c r="B9" i="5"/>
  <c r="J197" i="5"/>
  <c r="L197" i="5" s="1"/>
  <c r="Y197" i="5"/>
  <c r="Z197" i="5"/>
  <c r="D197" i="5"/>
  <c r="X197" i="5"/>
  <c r="B197" i="5"/>
  <c r="J201" i="5"/>
  <c r="L201" i="5" s="1"/>
  <c r="G197" i="5"/>
  <c r="J198" i="5"/>
  <c r="L198" i="5" s="1"/>
  <c r="H197" i="5"/>
  <c r="J199" i="5"/>
  <c r="L199" i="5" s="1"/>
  <c r="C197" i="5"/>
  <c r="I197" i="5"/>
  <c r="J200" i="5"/>
  <c r="L200" i="5" s="1"/>
  <c r="K197" i="5"/>
  <c r="M200" i="5" s="1"/>
  <c r="S197" i="5"/>
  <c r="Z157" i="5"/>
  <c r="H157" i="5"/>
  <c r="I157" i="5"/>
  <c r="J158" i="5"/>
  <c r="L158" i="5" s="1"/>
  <c r="G157" i="5"/>
  <c r="S157" i="5"/>
  <c r="J159" i="5"/>
  <c r="L159" i="5" s="1"/>
  <c r="C157" i="5"/>
  <c r="J157" i="5"/>
  <c r="L157" i="5" s="1"/>
  <c r="Y157" i="5"/>
  <c r="K157" i="5"/>
  <c r="D157" i="5"/>
  <c r="J160" i="5"/>
  <c r="L160" i="5" s="1"/>
  <c r="B157" i="5"/>
  <c r="J161" i="5"/>
  <c r="L161" i="5" s="1"/>
  <c r="X157" i="5"/>
  <c r="B99" i="5"/>
  <c r="Z99" i="5"/>
  <c r="X99" i="5"/>
  <c r="Y99" i="5"/>
  <c r="G99" i="5"/>
  <c r="I99" i="5"/>
  <c r="D99" i="5"/>
  <c r="H99" i="5"/>
  <c r="C99" i="5"/>
  <c r="K99" i="5"/>
  <c r="S99" i="5"/>
  <c r="B144" i="5"/>
  <c r="D144" i="5"/>
  <c r="X144" i="5"/>
  <c r="C144" i="5"/>
  <c r="Z144" i="5"/>
  <c r="K144" i="5"/>
  <c r="H144" i="5"/>
  <c r="Y144" i="5"/>
  <c r="I144" i="5"/>
  <c r="G144" i="5"/>
  <c r="S144" i="5"/>
  <c r="K163" i="5"/>
  <c r="B163" i="5"/>
  <c r="I163" i="5"/>
  <c r="Y163" i="5"/>
  <c r="X163" i="5"/>
  <c r="S163" i="5"/>
  <c r="Z163" i="5"/>
  <c r="G163" i="5"/>
  <c r="D163" i="5"/>
  <c r="H163" i="5"/>
  <c r="C163" i="5"/>
  <c r="I91" i="5"/>
  <c r="X91" i="5"/>
  <c r="H91" i="5"/>
  <c r="D91" i="5"/>
  <c r="Y91" i="5"/>
  <c r="C91" i="5"/>
  <c r="B91" i="5"/>
  <c r="Z91" i="5"/>
  <c r="G91" i="5"/>
  <c r="S91" i="5"/>
  <c r="K91" i="5"/>
  <c r="D39" i="5"/>
  <c r="S39" i="5" s="1"/>
  <c r="K39" i="5"/>
  <c r="B39" i="5"/>
  <c r="C39" i="5"/>
  <c r="Z39" i="5"/>
  <c r="Y73" i="5"/>
  <c r="B73" i="5"/>
  <c r="H73" i="5"/>
  <c r="X73" i="5"/>
  <c r="G73" i="5"/>
  <c r="D73" i="5"/>
  <c r="S73" i="5"/>
  <c r="K73" i="5"/>
  <c r="Z73" i="5"/>
  <c r="C73" i="5"/>
  <c r="I73" i="5"/>
  <c r="Z194" i="5"/>
  <c r="Y194" i="5"/>
  <c r="I194" i="5"/>
  <c r="B194" i="5"/>
  <c r="X194" i="5"/>
  <c r="S194" i="5"/>
  <c r="G194" i="5"/>
  <c r="D194" i="5"/>
  <c r="C194" i="5"/>
  <c r="K194" i="5"/>
  <c r="H194" i="5"/>
  <c r="D124" i="5"/>
  <c r="G124" i="5"/>
  <c r="C124" i="5"/>
  <c r="Y124" i="5"/>
  <c r="S124" i="5"/>
  <c r="X124" i="5"/>
  <c r="K124" i="5"/>
  <c r="B124" i="5"/>
  <c r="H124" i="5"/>
  <c r="I124" i="5"/>
  <c r="Z124" i="5"/>
  <c r="K171" i="5"/>
  <c r="B171" i="5"/>
  <c r="I171" i="5"/>
  <c r="AA171" i="5" s="1"/>
  <c r="Y171" i="5"/>
  <c r="X171" i="5"/>
  <c r="S171" i="5"/>
  <c r="C171" i="5"/>
  <c r="Z171" i="5"/>
  <c r="G171" i="5"/>
  <c r="H171" i="5"/>
  <c r="D171" i="5"/>
  <c r="H181" i="5"/>
  <c r="D181" i="5"/>
  <c r="I181" i="5"/>
  <c r="C181" i="5"/>
  <c r="X181" i="5"/>
  <c r="B181" i="5"/>
  <c r="Y181" i="5"/>
  <c r="Z181" i="5"/>
  <c r="G181" i="5"/>
  <c r="K181" i="5"/>
  <c r="P181" i="5" s="1"/>
  <c r="S181" i="5"/>
  <c r="D159" i="5"/>
  <c r="Z159" i="5"/>
  <c r="I159" i="5"/>
  <c r="C159" i="5"/>
  <c r="S159" i="5"/>
  <c r="Y159" i="5"/>
  <c r="B159" i="5"/>
  <c r="G159" i="5"/>
  <c r="K159" i="5"/>
  <c r="X159" i="5"/>
  <c r="H159" i="5"/>
  <c r="S52" i="5"/>
  <c r="H52" i="5"/>
  <c r="K52" i="5"/>
  <c r="X52" i="5"/>
  <c r="J56" i="5"/>
  <c r="L56" i="5" s="1"/>
  <c r="J53" i="5"/>
  <c r="L53" i="5" s="1"/>
  <c r="J55" i="5"/>
  <c r="L55" i="5" s="1"/>
  <c r="J52" i="5"/>
  <c r="L52" i="5" s="1"/>
  <c r="J54" i="5"/>
  <c r="L54" i="5" s="1"/>
  <c r="Y52" i="5"/>
  <c r="Z52" i="5"/>
  <c r="I52" i="5"/>
  <c r="B52" i="5"/>
  <c r="G52" i="5"/>
  <c r="C52" i="5"/>
  <c r="D52" i="5"/>
  <c r="X95" i="5"/>
  <c r="S95" i="5"/>
  <c r="G95" i="5"/>
  <c r="B95" i="5"/>
  <c r="C95" i="5"/>
  <c r="Z95" i="5"/>
  <c r="H95" i="5"/>
  <c r="D95" i="5"/>
  <c r="K95" i="5"/>
  <c r="I95" i="5"/>
  <c r="AA95" i="5" s="1"/>
  <c r="Y95" i="5"/>
  <c r="I60" i="5"/>
  <c r="H60" i="5"/>
  <c r="C60" i="5"/>
  <c r="Y60" i="5"/>
  <c r="S60" i="5"/>
  <c r="X60" i="5"/>
  <c r="Z60" i="5"/>
  <c r="D60" i="5"/>
  <c r="K60" i="5"/>
  <c r="M61" i="5" s="1"/>
  <c r="B60" i="5"/>
  <c r="G60" i="5"/>
  <c r="X141" i="5"/>
  <c r="B141" i="5"/>
  <c r="G141" i="5"/>
  <c r="Y141" i="5"/>
  <c r="H141" i="5"/>
  <c r="Z141" i="5"/>
  <c r="K141" i="5"/>
  <c r="D141" i="5"/>
  <c r="C141" i="5"/>
  <c r="S141" i="5"/>
  <c r="I141" i="5"/>
  <c r="D10" i="5"/>
  <c r="C10" i="5"/>
  <c r="K10" i="5"/>
  <c r="N10" i="5" s="1"/>
  <c r="B10" i="5"/>
  <c r="Z10" i="5"/>
  <c r="D35" i="5"/>
  <c r="C35" i="5"/>
  <c r="K35" i="5"/>
  <c r="B35" i="5"/>
  <c r="Z35" i="5"/>
  <c r="I35" i="5"/>
  <c r="AA35" i="5" s="1"/>
  <c r="C66" i="5"/>
  <c r="S66" i="5"/>
  <c r="Y66" i="5"/>
  <c r="B66" i="5"/>
  <c r="H66" i="5"/>
  <c r="Z66" i="5"/>
  <c r="D66" i="5"/>
  <c r="I66" i="5"/>
  <c r="AA66" i="5" s="1"/>
  <c r="X66" i="5"/>
  <c r="K66" i="5"/>
  <c r="G66" i="5"/>
  <c r="K176" i="5"/>
  <c r="H176" i="5"/>
  <c r="B176" i="5"/>
  <c r="D176" i="5"/>
  <c r="G176" i="5"/>
  <c r="C176" i="5"/>
  <c r="S176" i="5"/>
  <c r="Y176" i="5"/>
  <c r="X176" i="5"/>
  <c r="Z176" i="5"/>
  <c r="I176" i="5"/>
  <c r="W176" i="5" s="1"/>
  <c r="B46" i="5"/>
  <c r="C46" i="5"/>
  <c r="Z46" i="5"/>
  <c r="I46" i="5"/>
  <c r="Y46" i="5"/>
  <c r="H46" i="5"/>
  <c r="K46" i="5"/>
  <c r="X46" i="5"/>
  <c r="D46" i="5"/>
  <c r="S46" i="5"/>
  <c r="G46" i="5"/>
  <c r="S118" i="5"/>
  <c r="G118" i="5"/>
  <c r="K118" i="5"/>
  <c r="D118" i="5"/>
  <c r="Z118" i="5"/>
  <c r="I118" i="5"/>
  <c r="C118" i="5"/>
  <c r="X118" i="5"/>
  <c r="B118" i="5"/>
  <c r="H118" i="5"/>
  <c r="Y118" i="5"/>
  <c r="B26" i="5"/>
  <c r="Z26" i="5"/>
  <c r="D26" i="5"/>
  <c r="C26" i="5"/>
  <c r="K26" i="5"/>
  <c r="J46" i="5"/>
  <c r="L46" i="5" s="1"/>
  <c r="B42" i="5"/>
  <c r="J45" i="5"/>
  <c r="L45" i="5" s="1"/>
  <c r="J42" i="5"/>
  <c r="L42" i="5" s="1"/>
  <c r="J44" i="5"/>
  <c r="L44" i="5" s="1"/>
  <c r="Y42" i="5"/>
  <c r="C42" i="5"/>
  <c r="I42" i="5"/>
  <c r="G42" i="5"/>
  <c r="K42" i="5"/>
  <c r="H42" i="5"/>
  <c r="X42" i="5"/>
  <c r="D42" i="5"/>
  <c r="Z42" i="5"/>
  <c r="S42" i="5"/>
  <c r="J43" i="5"/>
  <c r="L43" i="5" s="1"/>
  <c r="C29" i="5"/>
  <c r="B29" i="5"/>
  <c r="Z29" i="5"/>
  <c r="K29" i="5"/>
  <c r="D29" i="5"/>
  <c r="X185" i="5"/>
  <c r="D185" i="5"/>
  <c r="H185" i="5"/>
  <c r="K185" i="5"/>
  <c r="Y185" i="5"/>
  <c r="B185" i="5"/>
  <c r="I185" i="5"/>
  <c r="S185" i="5"/>
  <c r="C185" i="5"/>
  <c r="G185" i="5"/>
  <c r="Z185" i="5"/>
  <c r="I143" i="5"/>
  <c r="C143" i="5"/>
  <c r="S143" i="5"/>
  <c r="Y143" i="5"/>
  <c r="B143" i="5"/>
  <c r="H143" i="5"/>
  <c r="K143" i="5"/>
  <c r="N142" i="5" s="1"/>
  <c r="X143" i="5"/>
  <c r="G143" i="5"/>
  <c r="D143" i="5"/>
  <c r="Z143" i="5"/>
  <c r="S201" i="5"/>
  <c r="K201" i="5"/>
  <c r="O201" i="5" s="1"/>
  <c r="Y201" i="5"/>
  <c r="I201" i="5"/>
  <c r="AA201" i="5" s="1"/>
  <c r="H201" i="5"/>
  <c r="C201" i="5"/>
  <c r="D201" i="5"/>
  <c r="X201" i="5"/>
  <c r="G201" i="5"/>
  <c r="B201" i="5"/>
  <c r="Z201" i="5"/>
  <c r="Y125" i="5"/>
  <c r="D125" i="5"/>
  <c r="H125" i="5"/>
  <c r="S125" i="5"/>
  <c r="X125" i="5"/>
  <c r="K125" i="5"/>
  <c r="I125" i="5"/>
  <c r="W125" i="5" s="1"/>
  <c r="C125" i="5"/>
  <c r="B125" i="5"/>
  <c r="Z125" i="5"/>
  <c r="G125" i="5"/>
  <c r="B136" i="5"/>
  <c r="Y136" i="5"/>
  <c r="C136" i="5"/>
  <c r="I136" i="5"/>
  <c r="H136" i="5"/>
  <c r="K136" i="5"/>
  <c r="O136" i="5" s="1"/>
  <c r="Z136" i="5"/>
  <c r="G136" i="5"/>
  <c r="D136" i="5"/>
  <c r="X136" i="5"/>
  <c r="S136" i="5"/>
  <c r="Z150" i="5"/>
  <c r="X150" i="5"/>
  <c r="I150" i="5"/>
  <c r="W150" i="5" s="1"/>
  <c r="G150" i="5"/>
  <c r="Y150" i="5"/>
  <c r="H150" i="5"/>
  <c r="S150" i="5"/>
  <c r="C150" i="5"/>
  <c r="B150" i="5"/>
  <c r="K150" i="5"/>
  <c r="D150" i="5"/>
  <c r="I45" i="5"/>
  <c r="Y45" i="5"/>
  <c r="H45" i="5"/>
  <c r="C45" i="5"/>
  <c r="X45" i="5"/>
  <c r="S45" i="5"/>
  <c r="G45" i="5"/>
  <c r="Z45" i="5"/>
  <c r="D45" i="5"/>
  <c r="K45" i="5"/>
  <c r="B45" i="5"/>
  <c r="D33" i="5"/>
  <c r="C33" i="5"/>
  <c r="K33" i="5"/>
  <c r="N34" i="5" s="1"/>
  <c r="B33" i="5"/>
  <c r="Z33" i="5"/>
  <c r="J85" i="5"/>
  <c r="L85" i="5" s="1"/>
  <c r="J82" i="5"/>
  <c r="L82" i="5" s="1"/>
  <c r="D82" i="5"/>
  <c r="I82" i="5"/>
  <c r="Y82" i="5"/>
  <c r="C82" i="5"/>
  <c r="H82" i="5"/>
  <c r="J83" i="5"/>
  <c r="L83" i="5" s="1"/>
  <c r="J86" i="5"/>
  <c r="L86" i="5" s="1"/>
  <c r="B82" i="5"/>
  <c r="S82" i="5"/>
  <c r="K82" i="5"/>
  <c r="Z82" i="5"/>
  <c r="X82" i="5"/>
  <c r="G82" i="5"/>
  <c r="J84" i="5"/>
  <c r="L84" i="5" s="1"/>
  <c r="G104" i="5"/>
  <c r="D104" i="5"/>
  <c r="Z104" i="5"/>
  <c r="K104" i="5"/>
  <c r="I104" i="5"/>
  <c r="C104" i="5"/>
  <c r="X104" i="5"/>
  <c r="H104" i="5"/>
  <c r="S104" i="5"/>
  <c r="Y104" i="5"/>
  <c r="B104" i="5"/>
  <c r="S55" i="5"/>
  <c r="I55" i="5"/>
  <c r="K55" i="5"/>
  <c r="M55" i="5" s="1"/>
  <c r="Z55" i="5"/>
  <c r="Y55" i="5"/>
  <c r="X55" i="5"/>
  <c r="C55" i="5"/>
  <c r="D55" i="5"/>
  <c r="H55" i="5"/>
  <c r="B55" i="5"/>
  <c r="G55" i="5"/>
  <c r="K195" i="5"/>
  <c r="B195" i="5"/>
  <c r="Z195" i="5"/>
  <c r="I195" i="5"/>
  <c r="Y195" i="5"/>
  <c r="X195" i="5"/>
  <c r="D195" i="5"/>
  <c r="G195" i="5"/>
  <c r="S195" i="5"/>
  <c r="H195" i="5"/>
  <c r="C195" i="5"/>
  <c r="Y44" i="5"/>
  <c r="D44" i="5"/>
  <c r="H44" i="5"/>
  <c r="S44" i="5"/>
  <c r="G44" i="5"/>
  <c r="K44" i="5"/>
  <c r="B44" i="5"/>
  <c r="Z44" i="5"/>
  <c r="X44" i="5"/>
  <c r="C44" i="5"/>
  <c r="I44" i="5"/>
  <c r="X165" i="5"/>
  <c r="B165" i="5"/>
  <c r="G165" i="5"/>
  <c r="Y165" i="5"/>
  <c r="H165" i="5"/>
  <c r="I165" i="5"/>
  <c r="C165" i="5"/>
  <c r="K165" i="5"/>
  <c r="S165" i="5"/>
  <c r="D165" i="5"/>
  <c r="Z165" i="5"/>
  <c r="H105" i="5"/>
  <c r="G105" i="5"/>
  <c r="D105" i="5"/>
  <c r="I105" i="5"/>
  <c r="K105" i="5"/>
  <c r="Z105" i="5"/>
  <c r="X105" i="5"/>
  <c r="C105" i="5"/>
  <c r="B105" i="5"/>
  <c r="Y105" i="5"/>
  <c r="S105" i="5"/>
  <c r="Z202" i="5"/>
  <c r="C202" i="5"/>
  <c r="I202" i="5"/>
  <c r="J202" i="5"/>
  <c r="L202" i="5" s="1"/>
  <c r="X202" i="5"/>
  <c r="Y202" i="5"/>
  <c r="G202" i="5"/>
  <c r="S202" i="5"/>
  <c r="J206" i="5"/>
  <c r="L206" i="5" s="1"/>
  <c r="K202" i="5"/>
  <c r="J203" i="5"/>
  <c r="L203" i="5" s="1"/>
  <c r="H202" i="5"/>
  <c r="J204" i="5"/>
  <c r="L204" i="5" s="1"/>
  <c r="B202" i="5"/>
  <c r="D202" i="5"/>
  <c r="J205" i="5"/>
  <c r="L205" i="5" s="1"/>
  <c r="B84" i="5"/>
  <c r="Z84" i="5"/>
  <c r="H84" i="5"/>
  <c r="D84" i="5"/>
  <c r="G84" i="5"/>
  <c r="K84" i="5"/>
  <c r="M84" i="5" s="1"/>
  <c r="X84" i="5"/>
  <c r="C84" i="5"/>
  <c r="I84" i="5"/>
  <c r="S84" i="5"/>
  <c r="Y84" i="5"/>
  <c r="Y198" i="5"/>
  <c r="H198" i="5"/>
  <c r="D198" i="5"/>
  <c r="G198" i="5"/>
  <c r="S198" i="5"/>
  <c r="C198" i="5"/>
  <c r="K198" i="5"/>
  <c r="X198" i="5"/>
  <c r="B198" i="5"/>
  <c r="Z198" i="5"/>
  <c r="I198" i="5"/>
  <c r="AA198" i="5" s="1"/>
  <c r="I205" i="5"/>
  <c r="X205" i="5"/>
  <c r="C205" i="5"/>
  <c r="D205" i="5"/>
  <c r="S205" i="5"/>
  <c r="Y205" i="5"/>
  <c r="Z205" i="5"/>
  <c r="H205" i="5"/>
  <c r="K205" i="5"/>
  <c r="B205" i="5"/>
  <c r="G205" i="5"/>
  <c r="J162" i="5"/>
  <c r="L162" i="5" s="1"/>
  <c r="B162" i="5"/>
  <c r="K162" i="5"/>
  <c r="O166" i="5" s="1"/>
  <c r="J166" i="5"/>
  <c r="L166" i="5" s="1"/>
  <c r="I162" i="5"/>
  <c r="AA162" i="5" s="1"/>
  <c r="H162" i="5"/>
  <c r="J165" i="5"/>
  <c r="L165" i="5" s="1"/>
  <c r="X162" i="5"/>
  <c r="C162" i="5"/>
  <c r="S162" i="5"/>
  <c r="Z162" i="5"/>
  <c r="J164" i="5"/>
  <c r="L164" i="5" s="1"/>
  <c r="Y162" i="5"/>
  <c r="D162" i="5"/>
  <c r="G162" i="5"/>
  <c r="J163" i="5"/>
  <c r="L163" i="5" s="1"/>
  <c r="I93" i="5"/>
  <c r="Y93" i="5"/>
  <c r="D93" i="5"/>
  <c r="H93" i="5"/>
  <c r="C93" i="5"/>
  <c r="G93" i="5"/>
  <c r="S93" i="5"/>
  <c r="X93" i="5"/>
  <c r="K93" i="5"/>
  <c r="B93" i="5"/>
  <c r="Z93" i="5"/>
  <c r="I68" i="5"/>
  <c r="Y68" i="5"/>
  <c r="C68" i="5"/>
  <c r="H68" i="5"/>
  <c r="S68" i="5"/>
  <c r="G68" i="5"/>
  <c r="Z68" i="5"/>
  <c r="K68" i="5"/>
  <c r="P69" i="5" s="1"/>
  <c r="B68" i="5"/>
  <c r="X68" i="5"/>
  <c r="D68" i="5"/>
  <c r="H169" i="5"/>
  <c r="D169" i="5"/>
  <c r="G169" i="5"/>
  <c r="S169" i="5"/>
  <c r="Y169" i="5"/>
  <c r="K169" i="5"/>
  <c r="X169" i="5"/>
  <c r="B169" i="5"/>
  <c r="C169" i="5"/>
  <c r="Z169" i="5"/>
  <c r="I169" i="5"/>
  <c r="Z86" i="5"/>
  <c r="I86" i="5"/>
  <c r="H86" i="5"/>
  <c r="C86" i="5"/>
  <c r="X86" i="5"/>
  <c r="B86" i="5"/>
  <c r="D86" i="5"/>
  <c r="S86" i="5"/>
  <c r="K86" i="5"/>
  <c r="G86" i="5"/>
  <c r="Y86" i="5"/>
  <c r="I88" i="5"/>
  <c r="AA88" i="5" s="1"/>
  <c r="S88" i="5"/>
  <c r="Y88" i="5"/>
  <c r="K88" i="5"/>
  <c r="X88" i="5"/>
  <c r="G88" i="5"/>
  <c r="Z88" i="5"/>
  <c r="B88" i="5"/>
  <c r="C88" i="5"/>
  <c r="H88" i="5"/>
  <c r="D88" i="5"/>
  <c r="I51" i="5"/>
  <c r="X51" i="5"/>
  <c r="C51" i="5"/>
  <c r="G51" i="5"/>
  <c r="S51" i="5"/>
  <c r="Y51" i="5"/>
  <c r="K51" i="5"/>
  <c r="B51" i="5"/>
  <c r="H51" i="5"/>
  <c r="D51" i="5"/>
  <c r="Z51" i="5"/>
  <c r="K179" i="5"/>
  <c r="N179" i="5" s="1"/>
  <c r="B179" i="5"/>
  <c r="Z179" i="5"/>
  <c r="I179" i="5"/>
  <c r="Y179" i="5"/>
  <c r="X179" i="5"/>
  <c r="D179" i="5"/>
  <c r="H179" i="5"/>
  <c r="C179" i="5"/>
  <c r="S179" i="5"/>
  <c r="G179" i="5"/>
  <c r="Z89" i="5"/>
  <c r="B89" i="5"/>
  <c r="I89" i="5"/>
  <c r="S89" i="5"/>
  <c r="Y89" i="5"/>
  <c r="K89" i="5"/>
  <c r="P89" i="5" s="1"/>
  <c r="H89" i="5"/>
  <c r="X89" i="5"/>
  <c r="G89" i="5"/>
  <c r="D89" i="5"/>
  <c r="C89" i="5"/>
  <c r="S94" i="5"/>
  <c r="G94" i="5"/>
  <c r="B94" i="5"/>
  <c r="Z94" i="5"/>
  <c r="H94" i="5"/>
  <c r="I94" i="5"/>
  <c r="Y94" i="5"/>
  <c r="D94" i="5"/>
  <c r="K94" i="5"/>
  <c r="C94" i="5"/>
  <c r="X94" i="5"/>
  <c r="J19" i="5"/>
  <c r="I19" i="5" s="1"/>
  <c r="C17" i="5"/>
  <c r="K17" i="5"/>
  <c r="B17" i="5"/>
  <c r="D17" i="5"/>
  <c r="J20" i="5"/>
  <c r="L20" i="5" s="1"/>
  <c r="J18" i="5"/>
  <c r="Z17" i="5"/>
  <c r="J21" i="5"/>
  <c r="J17" i="5"/>
  <c r="C32" i="5"/>
  <c r="J33" i="5"/>
  <c r="K32" i="5"/>
  <c r="I32" i="5" s="1"/>
  <c r="W32" i="5" s="1"/>
  <c r="X32" i="5" s="1"/>
  <c r="Z32" i="5"/>
  <c r="J32" i="5"/>
  <c r="J36" i="5"/>
  <c r="B32" i="5"/>
  <c r="D32" i="5"/>
  <c r="S32" i="5" s="1"/>
  <c r="J34" i="5"/>
  <c r="J35" i="5"/>
  <c r="L35" i="5" s="1"/>
  <c r="G106" i="5"/>
  <c r="D106" i="5"/>
  <c r="C106" i="5"/>
  <c r="S106" i="5"/>
  <c r="K106" i="5"/>
  <c r="I106" i="5"/>
  <c r="W106" i="5" s="1"/>
  <c r="Y106" i="5"/>
  <c r="H106" i="5"/>
  <c r="X106" i="5"/>
  <c r="B106" i="5"/>
  <c r="Z106" i="5"/>
  <c r="J93" i="5"/>
  <c r="L93" i="5" s="1"/>
  <c r="G92" i="5"/>
  <c r="S92" i="5"/>
  <c r="Y92" i="5"/>
  <c r="J96" i="5"/>
  <c r="L96" i="5" s="1"/>
  <c r="B92" i="5"/>
  <c r="J95" i="5"/>
  <c r="L95" i="5" s="1"/>
  <c r="J92" i="5"/>
  <c r="L92" i="5" s="1"/>
  <c r="C92" i="5"/>
  <c r="H92" i="5"/>
  <c r="X92" i="5"/>
  <c r="I92" i="5"/>
  <c r="D92" i="5"/>
  <c r="Z92" i="5"/>
  <c r="J94" i="5"/>
  <c r="L94" i="5" s="1"/>
  <c r="K92" i="5"/>
  <c r="Z164" i="5"/>
  <c r="X164" i="5"/>
  <c r="I164" i="5"/>
  <c r="W164" i="5" s="1"/>
  <c r="S164" i="5"/>
  <c r="C164" i="5"/>
  <c r="K164" i="5"/>
  <c r="H164" i="5"/>
  <c r="B164" i="5"/>
  <c r="D164" i="5"/>
  <c r="Y164" i="5"/>
  <c r="G164" i="5"/>
  <c r="K12" i="5"/>
  <c r="B12" i="5"/>
  <c r="J15" i="5"/>
  <c r="L15" i="5" s="1"/>
  <c r="Z12" i="5"/>
  <c r="D12" i="5"/>
  <c r="I12" i="5"/>
  <c r="J13" i="5"/>
  <c r="J14" i="5"/>
  <c r="M14" i="5" s="1"/>
  <c r="C12" i="5"/>
  <c r="J12" i="5"/>
  <c r="J16" i="5"/>
  <c r="L16" i="5" s="1"/>
  <c r="C166" i="5"/>
  <c r="B166" i="5"/>
  <c r="Z166" i="5"/>
  <c r="X166" i="5"/>
  <c r="I166" i="5"/>
  <c r="AA166" i="5" s="1"/>
  <c r="G166" i="5"/>
  <c r="S166" i="5"/>
  <c r="K166" i="5"/>
  <c r="H166" i="5"/>
  <c r="D166" i="5"/>
  <c r="Y166" i="5"/>
  <c r="Z120" i="5"/>
  <c r="B120" i="5"/>
  <c r="I120" i="5"/>
  <c r="S120" i="5"/>
  <c r="Y120" i="5"/>
  <c r="K120" i="5"/>
  <c r="H120" i="5"/>
  <c r="X120" i="5"/>
  <c r="G120" i="5"/>
  <c r="D120" i="5"/>
  <c r="C120" i="5"/>
  <c r="G113" i="5"/>
  <c r="D113" i="5"/>
  <c r="C113" i="5"/>
  <c r="Z113" i="5"/>
  <c r="K113" i="5"/>
  <c r="N115" i="5" s="1"/>
  <c r="I113" i="5"/>
  <c r="B113" i="5"/>
  <c r="X113" i="5"/>
  <c r="S113" i="5"/>
  <c r="H113" i="5"/>
  <c r="Y113" i="5"/>
  <c r="K25" i="5"/>
  <c r="B25" i="5"/>
  <c r="C25" i="5"/>
  <c r="D25" i="5"/>
  <c r="S25" i="5" s="1"/>
  <c r="Z25" i="5"/>
  <c r="K147" i="5"/>
  <c r="G147" i="5"/>
  <c r="B147" i="5"/>
  <c r="D147" i="5"/>
  <c r="H147" i="5"/>
  <c r="I147" i="5"/>
  <c r="J149" i="5"/>
  <c r="L149" i="5" s="1"/>
  <c r="J151" i="5"/>
  <c r="L151" i="5" s="1"/>
  <c r="S147" i="5"/>
  <c r="X147" i="5"/>
  <c r="C147" i="5"/>
  <c r="J148" i="5"/>
  <c r="L148" i="5" s="1"/>
  <c r="J147" i="5"/>
  <c r="L147" i="5" s="1"/>
  <c r="J150" i="5"/>
  <c r="L150" i="5" s="1"/>
  <c r="Y147" i="5"/>
  <c r="Z147" i="5"/>
  <c r="B117" i="5"/>
  <c r="J121" i="5"/>
  <c r="L121" i="5" s="1"/>
  <c r="J120" i="5"/>
  <c r="L120" i="5" s="1"/>
  <c r="J117" i="5"/>
  <c r="L117" i="5" s="1"/>
  <c r="D117" i="5"/>
  <c r="Z117" i="5"/>
  <c r="J119" i="5"/>
  <c r="L119" i="5" s="1"/>
  <c r="I117" i="5"/>
  <c r="C117" i="5"/>
  <c r="Y117" i="5"/>
  <c r="G117" i="5"/>
  <c r="X117" i="5"/>
  <c r="J118" i="5"/>
  <c r="L118" i="5" s="1"/>
  <c r="H117" i="5"/>
  <c r="S117" i="5"/>
  <c r="K117" i="5"/>
  <c r="C191" i="5"/>
  <c r="S191" i="5"/>
  <c r="Y191" i="5"/>
  <c r="B191" i="5"/>
  <c r="X191" i="5"/>
  <c r="G191" i="5"/>
  <c r="I191" i="5"/>
  <c r="AA191" i="5" s="1"/>
  <c r="D191" i="5"/>
  <c r="H191" i="5"/>
  <c r="Z191" i="5"/>
  <c r="K191" i="5"/>
  <c r="X90" i="5"/>
  <c r="Z90" i="5"/>
  <c r="G90" i="5"/>
  <c r="C90" i="5"/>
  <c r="S90" i="5"/>
  <c r="H90" i="5"/>
  <c r="I90" i="5"/>
  <c r="K90" i="5"/>
  <c r="Y90" i="5"/>
  <c r="D90" i="5"/>
  <c r="S28" i="5" s="1"/>
  <c r="B90" i="5"/>
  <c r="J186" i="5"/>
  <c r="L186" i="5" s="1"/>
  <c r="X182" i="5"/>
  <c r="J183" i="5"/>
  <c r="L183" i="5" s="1"/>
  <c r="G182" i="5"/>
  <c r="D182" i="5"/>
  <c r="C182" i="5"/>
  <c r="Z182" i="5"/>
  <c r="B182" i="5"/>
  <c r="H182" i="5"/>
  <c r="J182" i="5"/>
  <c r="L182" i="5" s="1"/>
  <c r="Y182" i="5"/>
  <c r="J185" i="5"/>
  <c r="L185" i="5" s="1"/>
  <c r="S182" i="5"/>
  <c r="J184" i="5"/>
  <c r="L184" i="5" s="1"/>
  <c r="I182" i="5"/>
  <c r="AA182" i="5" s="1"/>
  <c r="K182" i="5"/>
  <c r="C13" i="5"/>
  <c r="B13" i="5"/>
  <c r="Z13" i="5"/>
  <c r="K13" i="5"/>
  <c r="P15" i="5" s="1"/>
  <c r="D13" i="5"/>
  <c r="Z70" i="5"/>
  <c r="I70" i="5"/>
  <c r="Y70" i="5"/>
  <c r="H70" i="5"/>
  <c r="C70" i="5"/>
  <c r="X70" i="5"/>
  <c r="B70" i="5"/>
  <c r="G70" i="5"/>
  <c r="D70" i="5"/>
  <c r="S70" i="5"/>
  <c r="K70" i="5"/>
  <c r="S168" i="5"/>
  <c r="Y168" i="5"/>
  <c r="K168" i="5"/>
  <c r="H168" i="5"/>
  <c r="X168" i="5"/>
  <c r="G168" i="5"/>
  <c r="I168" i="5"/>
  <c r="W168" i="5" s="1"/>
  <c r="C168" i="5"/>
  <c r="Z168" i="5"/>
  <c r="B168" i="5"/>
  <c r="D168" i="5"/>
  <c r="I100" i="5"/>
  <c r="AA100" i="5" s="1"/>
  <c r="Y100" i="5"/>
  <c r="D100" i="5"/>
  <c r="X100" i="5"/>
  <c r="C100" i="5"/>
  <c r="H100" i="5"/>
  <c r="S100" i="5"/>
  <c r="G100" i="5"/>
  <c r="K100" i="5"/>
  <c r="B100" i="5"/>
  <c r="Z100" i="5"/>
  <c r="K177" i="5"/>
  <c r="N177" i="5" s="1"/>
  <c r="H177" i="5"/>
  <c r="B177" i="5"/>
  <c r="G177" i="5"/>
  <c r="J177" i="5"/>
  <c r="L177" i="5" s="1"/>
  <c r="C177" i="5"/>
  <c r="J181" i="5"/>
  <c r="L181" i="5" s="1"/>
  <c r="J179" i="5"/>
  <c r="L179" i="5" s="1"/>
  <c r="J180" i="5"/>
  <c r="L180" i="5" s="1"/>
  <c r="Z177" i="5"/>
  <c r="S177" i="5"/>
  <c r="I177" i="5"/>
  <c r="X177" i="5"/>
  <c r="J178" i="5"/>
  <c r="L178" i="5" s="1"/>
  <c r="D177" i="5"/>
  <c r="Y177" i="5"/>
  <c r="Z102" i="5"/>
  <c r="J105" i="5"/>
  <c r="L105" i="5" s="1"/>
  <c r="J104" i="5"/>
  <c r="O104" i="5" s="1"/>
  <c r="I102" i="5"/>
  <c r="J103" i="5"/>
  <c r="L103" i="5" s="1"/>
  <c r="H102" i="5"/>
  <c r="S102" i="5"/>
  <c r="X102" i="5"/>
  <c r="J102" i="5"/>
  <c r="P102" i="5" s="1"/>
  <c r="J106" i="5"/>
  <c r="L106" i="5" s="1"/>
  <c r="C102" i="5"/>
  <c r="K102" i="5"/>
  <c r="B102" i="5"/>
  <c r="D102" i="5"/>
  <c r="Y102" i="5"/>
  <c r="G102" i="5"/>
  <c r="K130" i="5"/>
  <c r="H130" i="5"/>
  <c r="G130" i="5"/>
  <c r="Z130" i="5"/>
  <c r="D130" i="5"/>
  <c r="C130" i="5"/>
  <c r="Y130" i="5"/>
  <c r="I130" i="5"/>
  <c r="S130" i="5"/>
  <c r="X130" i="5"/>
  <c r="B130" i="5"/>
  <c r="S108" i="5"/>
  <c r="Y108" i="5"/>
  <c r="K108" i="5"/>
  <c r="B108" i="5"/>
  <c r="Z108" i="5"/>
  <c r="I108" i="5"/>
  <c r="W108" i="5" s="1"/>
  <c r="D108" i="5"/>
  <c r="C108" i="5"/>
  <c r="X108" i="5"/>
  <c r="G108" i="5"/>
  <c r="H108" i="5"/>
  <c r="G128" i="5"/>
  <c r="S128" i="5"/>
  <c r="Z128" i="5"/>
  <c r="K128" i="5"/>
  <c r="I128" i="5"/>
  <c r="W128" i="5" s="1"/>
  <c r="B128" i="5"/>
  <c r="C128" i="5"/>
  <c r="Y128" i="5"/>
  <c r="D128" i="5"/>
  <c r="X128" i="5"/>
  <c r="H128" i="5"/>
  <c r="S203" i="5"/>
  <c r="K203" i="5"/>
  <c r="B203" i="5"/>
  <c r="Z203" i="5"/>
  <c r="Y203" i="5"/>
  <c r="I203" i="5"/>
  <c r="X203" i="5"/>
  <c r="G203" i="5"/>
  <c r="H203" i="5"/>
  <c r="C203" i="5"/>
  <c r="D203" i="5"/>
  <c r="L21" i="5"/>
  <c r="I34" i="5"/>
  <c r="L29" i="5"/>
  <c r="W34" i="5"/>
  <c r="X34" i="5" s="1"/>
  <c r="AA34" i="5"/>
  <c r="F186" i="9"/>
  <c r="E186" i="9"/>
  <c r="B186" i="9"/>
  <c r="D186" i="9"/>
  <c r="F135" i="9"/>
  <c r="E135" i="9"/>
  <c r="D135" i="9"/>
  <c r="B135" i="9"/>
  <c r="E180" i="9"/>
  <c r="D180" i="9"/>
  <c r="B180" i="9"/>
  <c r="F180" i="9"/>
  <c r="AA199" i="5"/>
  <c r="W199" i="5"/>
  <c r="AA153" i="5"/>
  <c r="W153" i="5"/>
  <c r="AA163" i="5"/>
  <c r="W163" i="5"/>
  <c r="W181" i="5"/>
  <c r="AA181" i="5"/>
  <c r="AA46" i="5"/>
  <c r="W46" i="5"/>
  <c r="W81" i="5"/>
  <c r="AA81" i="5"/>
  <c r="W124" i="5"/>
  <c r="AA124" i="5"/>
  <c r="P134" i="5"/>
  <c r="F176" i="9"/>
  <c r="E176" i="9"/>
  <c r="D176" i="9"/>
  <c r="B176" i="9"/>
  <c r="F44" i="9"/>
  <c r="E44" i="9"/>
  <c r="D44" i="9"/>
  <c r="B44" i="9"/>
  <c r="F67" i="9"/>
  <c r="E67" i="9"/>
  <c r="D67" i="9"/>
  <c r="B67" i="9"/>
  <c r="F136" i="9"/>
  <c r="E136" i="9"/>
  <c r="D136" i="9"/>
  <c r="B136" i="9"/>
  <c r="F127" i="9"/>
  <c r="E127" i="9"/>
  <c r="D127" i="9"/>
  <c r="B127" i="9"/>
  <c r="F152" i="9"/>
  <c r="E152" i="9"/>
  <c r="D152" i="9"/>
  <c r="B152" i="9"/>
  <c r="F181" i="9"/>
  <c r="E181" i="9"/>
  <c r="D181" i="9"/>
  <c r="B181" i="9"/>
  <c r="E133" i="9"/>
  <c r="D133" i="9"/>
  <c r="B133" i="9"/>
  <c r="F133" i="9"/>
  <c r="D164" i="9"/>
  <c r="B164" i="9"/>
  <c r="E164" i="9"/>
  <c r="F164" i="9"/>
  <c r="B70" i="9"/>
  <c r="F70" i="9"/>
  <c r="E70" i="9"/>
  <c r="D70" i="9"/>
  <c r="F88" i="9"/>
  <c r="D88" i="9"/>
  <c r="B88" i="9"/>
  <c r="E88" i="9"/>
  <c r="B138" i="9"/>
  <c r="F138" i="9"/>
  <c r="E138" i="9"/>
  <c r="D138" i="9"/>
  <c r="E110" i="9"/>
  <c r="D110" i="9"/>
  <c r="B110" i="9"/>
  <c r="F110" i="9"/>
  <c r="F77" i="9"/>
  <c r="E77" i="9"/>
  <c r="D77" i="9"/>
  <c r="B77" i="9"/>
  <c r="F69" i="9"/>
  <c r="E69" i="9"/>
  <c r="D69" i="9"/>
  <c r="B69" i="9"/>
  <c r="E165" i="9"/>
  <c r="D165" i="9"/>
  <c r="B165" i="9"/>
  <c r="F165" i="9"/>
  <c r="F197" i="9"/>
  <c r="E197" i="9"/>
  <c r="D197" i="9"/>
  <c r="B197" i="9"/>
  <c r="B154" i="9"/>
  <c r="F154" i="9"/>
  <c r="E154" i="9"/>
  <c r="D154" i="9"/>
  <c r="B146" i="9"/>
  <c r="F146" i="9"/>
  <c r="E146" i="9"/>
  <c r="D146" i="9"/>
  <c r="M190" i="5"/>
  <c r="P190" i="5"/>
  <c r="N190" i="5"/>
  <c r="O190" i="5"/>
  <c r="W82" i="5"/>
  <c r="AA82" i="5"/>
  <c r="P71" i="5"/>
  <c r="AA110" i="5"/>
  <c r="W110" i="5"/>
  <c r="W58" i="5"/>
  <c r="AA58" i="5"/>
  <c r="AA63" i="5"/>
  <c r="W63" i="5"/>
  <c r="W184" i="5"/>
  <c r="AA184" i="5"/>
  <c r="AA137" i="5"/>
  <c r="W137" i="5"/>
  <c r="AA77" i="5"/>
  <c r="W77" i="5"/>
  <c r="M204" i="5"/>
  <c r="AA55" i="5"/>
  <c r="W55" i="5"/>
  <c r="P175" i="5"/>
  <c r="O175" i="5"/>
  <c r="M175" i="5"/>
  <c r="N175" i="5"/>
  <c r="AA156" i="5"/>
  <c r="W156" i="5"/>
  <c r="AA147" i="5"/>
  <c r="W147" i="5"/>
  <c r="N189" i="5"/>
  <c r="O189" i="5"/>
  <c r="M189" i="5"/>
  <c r="P189" i="5"/>
  <c r="W59" i="5"/>
  <c r="AA59" i="5"/>
  <c r="W157" i="5"/>
  <c r="AA157" i="5"/>
  <c r="AA170" i="5"/>
  <c r="W170" i="5"/>
  <c r="W133" i="5"/>
  <c r="AA133" i="5"/>
  <c r="W89" i="5"/>
  <c r="AA89" i="5"/>
  <c r="W202" i="5"/>
  <c r="AA202" i="5"/>
  <c r="AA150" i="5"/>
  <c r="P103" i="5"/>
  <c r="O103" i="5"/>
  <c r="N103" i="5"/>
  <c r="M103" i="5"/>
  <c r="N81" i="5"/>
  <c r="AA187" i="5"/>
  <c r="W187" i="5"/>
  <c r="N194" i="5"/>
  <c r="M15" i="5"/>
  <c r="B123" i="9"/>
  <c r="D123" i="9"/>
  <c r="F123" i="9"/>
  <c r="E123" i="9"/>
  <c r="O140" i="5"/>
  <c r="B182" i="9"/>
  <c r="E182" i="9"/>
  <c r="D182" i="9"/>
  <c r="F182" i="9"/>
  <c r="F166" i="9"/>
  <c r="E166" i="9"/>
  <c r="D166" i="9"/>
  <c r="B166" i="9"/>
  <c r="W19" i="5"/>
  <c r="X19" i="5" s="1"/>
  <c r="AA19" i="5"/>
  <c r="N29" i="5"/>
  <c r="AA164" i="5"/>
  <c r="AA102" i="5"/>
  <c r="W102" i="5"/>
  <c r="O94" i="5"/>
  <c r="W48" i="5"/>
  <c r="AA48" i="5"/>
  <c r="AA47" i="5"/>
  <c r="W47" i="5"/>
  <c r="W158" i="5"/>
  <c r="AA158" i="5"/>
  <c r="W49" i="5"/>
  <c r="AA49" i="5"/>
  <c r="P38" i="5"/>
  <c r="O38" i="5"/>
  <c r="N38" i="5"/>
  <c r="M38" i="5"/>
  <c r="Q38" i="5" s="1"/>
  <c r="AA112" i="5"/>
  <c r="W112" i="5"/>
  <c r="W100" i="5"/>
  <c r="M23" i="5"/>
  <c r="I23" i="5"/>
  <c r="W203" i="5"/>
  <c r="AA203" i="5"/>
  <c r="P45" i="5"/>
  <c r="O45" i="5"/>
  <c r="M45" i="5"/>
  <c r="N45" i="5"/>
  <c r="W75" i="5"/>
  <c r="AA75" i="5"/>
  <c r="I15" i="5"/>
  <c r="F85" i="9"/>
  <c r="E85" i="9"/>
  <c r="D85" i="9"/>
  <c r="B85" i="9"/>
  <c r="F74" i="9"/>
  <c r="E74" i="9"/>
  <c r="D74" i="9"/>
  <c r="B74" i="9"/>
  <c r="E73" i="9"/>
  <c r="D73" i="9"/>
  <c r="B73" i="9"/>
  <c r="F73" i="9"/>
  <c r="F143" i="9"/>
  <c r="E143" i="9"/>
  <c r="D143" i="9"/>
  <c r="B143" i="9"/>
  <c r="F119" i="9"/>
  <c r="E119" i="9"/>
  <c r="D119" i="9"/>
  <c r="B119" i="9"/>
  <c r="F83" i="9"/>
  <c r="E83" i="9"/>
  <c r="D83" i="9"/>
  <c r="B83" i="9"/>
  <c r="M11" i="5"/>
  <c r="AA159" i="5"/>
  <c r="W159" i="5"/>
  <c r="F58" i="9"/>
  <c r="E58" i="9"/>
  <c r="D58" i="9"/>
  <c r="B58" i="9"/>
  <c r="F202" i="9"/>
  <c r="E202" i="9"/>
  <c r="B202" i="9"/>
  <c r="D202" i="9"/>
  <c r="F113" i="9"/>
  <c r="E113" i="9"/>
  <c r="B113" i="9"/>
  <c r="D113" i="9"/>
  <c r="F187" i="9"/>
  <c r="D187" i="9"/>
  <c r="B187" i="9"/>
  <c r="E187" i="9"/>
  <c r="F167" i="9"/>
  <c r="E167" i="9"/>
  <c r="D167" i="9"/>
  <c r="B167" i="9"/>
  <c r="F144" i="9"/>
  <c r="E144" i="9"/>
  <c r="D144" i="9"/>
  <c r="B144" i="9"/>
  <c r="F158" i="9"/>
  <c r="E158" i="9"/>
  <c r="D158" i="9"/>
  <c r="B158" i="9"/>
  <c r="D148" i="9"/>
  <c r="B148" i="9"/>
  <c r="E148" i="9"/>
  <c r="F148" i="9"/>
  <c r="D184" i="9"/>
  <c r="F184" i="9"/>
  <c r="E184" i="9"/>
  <c r="B184" i="9"/>
  <c r="B78" i="9"/>
  <c r="F78" i="9"/>
  <c r="E78" i="9"/>
  <c r="D78" i="9"/>
  <c r="F61" i="9"/>
  <c r="E61" i="9"/>
  <c r="D61" i="9"/>
  <c r="B61" i="9"/>
  <c r="E65" i="9"/>
  <c r="D65" i="9"/>
  <c r="B65" i="9"/>
  <c r="F65" i="9"/>
  <c r="B107" i="9"/>
  <c r="F107" i="9"/>
  <c r="E107" i="9"/>
  <c r="D107" i="9"/>
  <c r="F42" i="9"/>
  <c r="E42" i="9"/>
  <c r="D42" i="9"/>
  <c r="B42" i="9"/>
  <c r="E149" i="9"/>
  <c r="D149" i="9"/>
  <c r="B149" i="9"/>
  <c r="F149" i="9"/>
  <c r="B155" i="9"/>
  <c r="D155" i="9"/>
  <c r="F155" i="9"/>
  <c r="E155" i="9"/>
  <c r="B163" i="9"/>
  <c r="D163" i="9"/>
  <c r="F163" i="9"/>
  <c r="E163" i="9"/>
  <c r="D140" i="9"/>
  <c r="B140" i="9"/>
  <c r="E140" i="9"/>
  <c r="F140" i="9"/>
  <c r="F153" i="9"/>
  <c r="E153" i="9"/>
  <c r="B153" i="9"/>
  <c r="D153" i="9"/>
  <c r="W165" i="5"/>
  <c r="AA165" i="5"/>
  <c r="W205" i="5"/>
  <c r="AA205" i="5"/>
  <c r="AA145" i="5"/>
  <c r="W145" i="5"/>
  <c r="W91" i="5"/>
  <c r="AA91" i="5"/>
  <c r="P58" i="5"/>
  <c r="P17" i="5"/>
  <c r="O17" i="5"/>
  <c r="AA119" i="5"/>
  <c r="W119" i="5"/>
  <c r="W174" i="5"/>
  <c r="AA174" i="5"/>
  <c r="AA56" i="5"/>
  <c r="W56" i="5"/>
  <c r="N173" i="5"/>
  <c r="O173" i="5"/>
  <c r="M173" i="5"/>
  <c r="P173" i="5"/>
  <c r="P21" i="5"/>
  <c r="O21" i="5"/>
  <c r="N21" i="5"/>
  <c r="M21" i="5"/>
  <c r="W50" i="5"/>
  <c r="AA50" i="5"/>
  <c r="AA178" i="5"/>
  <c r="W178" i="5"/>
  <c r="AA176" i="5"/>
  <c r="W74" i="5"/>
  <c r="AA74" i="5"/>
  <c r="O72" i="5"/>
  <c r="O42" i="5"/>
  <c r="N42" i="5"/>
  <c r="M42" i="5"/>
  <c r="P42" i="5"/>
  <c r="AA167" i="5"/>
  <c r="W167" i="5"/>
  <c r="AA206" i="5"/>
  <c r="W206" i="5"/>
  <c r="AA148" i="5"/>
  <c r="W148" i="5"/>
  <c r="AA185" i="5"/>
  <c r="W185" i="5"/>
  <c r="M51" i="5"/>
  <c r="P40" i="5"/>
  <c r="O40" i="5"/>
  <c r="N40" i="5"/>
  <c r="M40" i="5"/>
  <c r="I40" i="5"/>
  <c r="P39" i="5"/>
  <c r="O39" i="5"/>
  <c r="N39" i="5"/>
  <c r="AA44" i="5"/>
  <c r="W44" i="5"/>
  <c r="W141" i="5"/>
  <c r="AA141" i="5"/>
  <c r="W57" i="5"/>
  <c r="AA57" i="5"/>
  <c r="AA78" i="5"/>
  <c r="W78" i="5"/>
  <c r="M150" i="5"/>
  <c r="O150" i="5"/>
  <c r="P46" i="5"/>
  <c r="O46" i="5"/>
  <c r="N46" i="5"/>
  <c r="M46" i="5"/>
  <c r="N35" i="5"/>
  <c r="AA101" i="5"/>
  <c r="W101" i="5"/>
  <c r="W114" i="5"/>
  <c r="AA114" i="5"/>
  <c r="P143" i="5"/>
  <c r="AA188" i="5"/>
  <c r="W188" i="5"/>
  <c r="AA179" i="5"/>
  <c r="W179" i="5"/>
  <c r="L31" i="5"/>
  <c r="O85" i="5"/>
  <c r="I20" i="5"/>
  <c r="F68" i="9"/>
  <c r="E68" i="9"/>
  <c r="D68" i="9"/>
  <c r="B68" i="9"/>
  <c r="W171" i="5"/>
  <c r="AA146" i="5"/>
  <c r="W146" i="5"/>
  <c r="O18" i="5"/>
  <c r="N18" i="5"/>
  <c r="M18" i="5"/>
  <c r="P18" i="5"/>
  <c r="P41" i="5"/>
  <c r="O41" i="5"/>
  <c r="N41" i="5"/>
  <c r="M41" i="5"/>
  <c r="E125" i="9"/>
  <c r="D125" i="9"/>
  <c r="B125" i="9"/>
  <c r="F125" i="9"/>
  <c r="E57" i="9"/>
  <c r="D57" i="9"/>
  <c r="B57" i="9"/>
  <c r="F57" i="9"/>
  <c r="B190" i="9"/>
  <c r="F190" i="9"/>
  <c r="E190" i="9"/>
  <c r="D190" i="9"/>
  <c r="F203" i="9"/>
  <c r="D203" i="9"/>
  <c r="B203" i="9"/>
  <c r="E203" i="9"/>
  <c r="F84" i="9"/>
  <c r="E84" i="9"/>
  <c r="D84" i="9"/>
  <c r="B84" i="9"/>
  <c r="E102" i="9"/>
  <c r="D102" i="9"/>
  <c r="B102" i="9"/>
  <c r="F102" i="9"/>
  <c r="F161" i="9"/>
  <c r="E161" i="9"/>
  <c r="B161" i="9"/>
  <c r="D161" i="9"/>
  <c r="B108" i="9"/>
  <c r="D108" i="9"/>
  <c r="E108" i="9"/>
  <c r="F108" i="9"/>
  <c r="B100" i="9"/>
  <c r="F100" i="9"/>
  <c r="E100" i="9"/>
  <c r="D100" i="9"/>
  <c r="D132" i="9"/>
  <c r="B132" i="9"/>
  <c r="E132" i="9"/>
  <c r="F132" i="9"/>
  <c r="F45" i="9"/>
  <c r="E45" i="9"/>
  <c r="D45" i="9"/>
  <c r="B45" i="9"/>
  <c r="B131" i="9"/>
  <c r="D131" i="9"/>
  <c r="F131" i="9"/>
  <c r="E131" i="9"/>
  <c r="F169" i="9"/>
  <c r="E169" i="9"/>
  <c r="B169" i="9"/>
  <c r="D169" i="9"/>
  <c r="B63" i="9"/>
  <c r="F63" i="9"/>
  <c r="D63" i="9"/>
  <c r="E63" i="9"/>
  <c r="E157" i="9"/>
  <c r="D157" i="9"/>
  <c r="B157" i="9"/>
  <c r="F157" i="9"/>
  <c r="B171" i="9"/>
  <c r="D171" i="9"/>
  <c r="E171" i="9"/>
  <c r="F171" i="9"/>
  <c r="F159" i="9"/>
  <c r="E159" i="9"/>
  <c r="D159" i="9"/>
  <c r="B159" i="9"/>
  <c r="F160" i="9"/>
  <c r="E160" i="9"/>
  <c r="D160" i="9"/>
  <c r="B160" i="9"/>
  <c r="F89" i="9"/>
  <c r="E89" i="9"/>
  <c r="D89" i="9"/>
  <c r="B89" i="9"/>
  <c r="F103" i="9"/>
  <c r="E103" i="9"/>
  <c r="D103" i="9"/>
  <c r="B103" i="9"/>
  <c r="B179" i="9"/>
  <c r="D179" i="9"/>
  <c r="F179" i="9"/>
  <c r="E179" i="9"/>
  <c r="F105" i="9"/>
  <c r="E105" i="9"/>
  <c r="D105" i="9"/>
  <c r="B105" i="9"/>
  <c r="F174" i="9"/>
  <c r="E174" i="9"/>
  <c r="D174" i="9"/>
  <c r="B174" i="9"/>
  <c r="F195" i="9"/>
  <c r="D195" i="9"/>
  <c r="B195" i="9"/>
  <c r="E195" i="9"/>
  <c r="F59" i="9"/>
  <c r="E59" i="9"/>
  <c r="D59" i="9"/>
  <c r="B59" i="9"/>
  <c r="W83" i="5"/>
  <c r="AA83" i="5"/>
  <c r="L41" i="5"/>
  <c r="M82" i="5"/>
  <c r="M12" i="5"/>
  <c r="P12" i="5"/>
  <c r="O12" i="5"/>
  <c r="N12" i="5"/>
  <c r="O110" i="5"/>
  <c r="P14" i="5"/>
  <c r="O14" i="5"/>
  <c r="P155" i="5"/>
  <c r="AA204" i="5"/>
  <c r="W204" i="5"/>
  <c r="W76" i="5"/>
  <c r="AA76" i="5"/>
  <c r="P60" i="5"/>
  <c r="W189" i="5"/>
  <c r="AA189" i="5"/>
  <c r="W72" i="5"/>
  <c r="I13" i="5"/>
  <c r="P157" i="5"/>
  <c r="W65" i="5"/>
  <c r="AA65" i="5"/>
  <c r="W97" i="5"/>
  <c r="AA97" i="5"/>
  <c r="M86" i="5"/>
  <c r="W139" i="5"/>
  <c r="W160" i="5"/>
  <c r="AA160" i="5"/>
  <c r="W43" i="5"/>
  <c r="AA43" i="5"/>
  <c r="W121" i="5"/>
  <c r="AA121" i="5"/>
  <c r="L34" i="5"/>
  <c r="P26" i="5"/>
  <c r="O151" i="5"/>
  <c r="N151" i="5"/>
  <c r="AA196" i="5"/>
  <c r="W196" i="5"/>
  <c r="AA169" i="5"/>
  <c r="W169" i="5"/>
  <c r="P187" i="5"/>
  <c r="O187" i="5"/>
  <c r="N187" i="5"/>
  <c r="M187" i="5"/>
  <c r="P98" i="5"/>
  <c r="O98" i="5"/>
  <c r="N98" i="5"/>
  <c r="M98" i="5"/>
  <c r="P16" i="5"/>
  <c r="O16" i="5"/>
  <c r="N16" i="5"/>
  <c r="M16" i="5"/>
  <c r="R16" i="5" s="1"/>
  <c r="B139" i="9"/>
  <c r="D139" i="9"/>
  <c r="E139" i="9"/>
  <c r="F139" i="9"/>
  <c r="B55" i="9"/>
  <c r="F55" i="9"/>
  <c r="E55" i="9"/>
  <c r="D55" i="9"/>
  <c r="AA180" i="5"/>
  <c r="W180" i="5"/>
  <c r="AA104" i="5"/>
  <c r="W104" i="5"/>
  <c r="W90" i="5"/>
  <c r="AA90" i="5"/>
  <c r="W51" i="5"/>
  <c r="AA51" i="5"/>
  <c r="P141" i="5"/>
  <c r="AA111" i="5"/>
  <c r="W111" i="5"/>
  <c r="D80" i="9"/>
  <c r="B80" i="9"/>
  <c r="F80" i="9"/>
  <c r="E80" i="9"/>
  <c r="F121" i="9"/>
  <c r="E121" i="9"/>
  <c r="B121" i="9"/>
  <c r="D121" i="9"/>
  <c r="B147" i="9"/>
  <c r="D147" i="9"/>
  <c r="F147" i="9"/>
  <c r="E147" i="9"/>
  <c r="F120" i="9"/>
  <c r="E120" i="9"/>
  <c r="D120" i="9"/>
  <c r="B120" i="9"/>
  <c r="D172" i="9"/>
  <c r="B172" i="9"/>
  <c r="E172" i="9"/>
  <c r="F172" i="9"/>
  <c r="B92" i="9"/>
  <c r="F92" i="9"/>
  <c r="E92" i="9"/>
  <c r="D92" i="9"/>
  <c r="D40" i="9"/>
  <c r="B40" i="9"/>
  <c r="E40" i="9"/>
  <c r="F40" i="9"/>
  <c r="B91" i="9"/>
  <c r="F91" i="9"/>
  <c r="E91" i="9"/>
  <c r="D91" i="9"/>
  <c r="B198" i="9"/>
  <c r="F198" i="9"/>
  <c r="E198" i="9"/>
  <c r="D198" i="9"/>
  <c r="B54" i="9"/>
  <c r="F54" i="9"/>
  <c r="E54" i="9"/>
  <c r="D54" i="9"/>
  <c r="B46" i="9"/>
  <c r="F46" i="9"/>
  <c r="E46" i="9"/>
  <c r="D46" i="9"/>
  <c r="E188" i="9"/>
  <c r="D188" i="9"/>
  <c r="B188" i="9"/>
  <c r="F188" i="9"/>
  <c r="B199" i="9"/>
  <c r="F199" i="9"/>
  <c r="E199" i="9"/>
  <c r="D199" i="9"/>
  <c r="F111" i="9"/>
  <c r="E111" i="9"/>
  <c r="D111" i="9"/>
  <c r="B111" i="9"/>
  <c r="F128" i="9"/>
  <c r="E128" i="9"/>
  <c r="D128" i="9"/>
  <c r="B128" i="9"/>
  <c r="F168" i="9"/>
  <c r="E168" i="9"/>
  <c r="D168" i="9"/>
  <c r="B168" i="9"/>
  <c r="F90" i="9"/>
  <c r="E90" i="9"/>
  <c r="D90" i="9"/>
  <c r="B90" i="9"/>
  <c r="E193" i="9"/>
  <c r="D193" i="9"/>
  <c r="B193" i="9"/>
  <c r="F193" i="9"/>
  <c r="D72" i="9"/>
  <c r="B72" i="9"/>
  <c r="E72" i="9"/>
  <c r="F72" i="9"/>
  <c r="E117" i="9"/>
  <c r="D117" i="9"/>
  <c r="B117" i="9"/>
  <c r="F117" i="9"/>
  <c r="F98" i="9"/>
  <c r="E98" i="9"/>
  <c r="D98" i="9"/>
  <c r="B98" i="9"/>
  <c r="F50" i="9"/>
  <c r="E50" i="9"/>
  <c r="D50" i="9"/>
  <c r="B50" i="9"/>
  <c r="F114" i="9"/>
  <c r="E114" i="9"/>
  <c r="D114" i="9"/>
  <c r="B114" i="9"/>
  <c r="F129" i="9"/>
  <c r="E129" i="9"/>
  <c r="B129" i="9"/>
  <c r="D129" i="9"/>
  <c r="D192" i="9"/>
  <c r="F192" i="9"/>
  <c r="E192" i="9"/>
  <c r="B192" i="9"/>
  <c r="D200" i="9"/>
  <c r="F200" i="9"/>
  <c r="E200" i="9"/>
  <c r="B200" i="9"/>
  <c r="B170" i="9"/>
  <c r="F170" i="9"/>
  <c r="E170" i="9"/>
  <c r="D170" i="9"/>
  <c r="E185" i="9"/>
  <c r="D185" i="9"/>
  <c r="B185" i="9"/>
  <c r="F185" i="9"/>
  <c r="F53" i="9"/>
  <c r="E53" i="9"/>
  <c r="D53" i="9"/>
  <c r="B53" i="9"/>
  <c r="D64" i="9"/>
  <c r="B64" i="9"/>
  <c r="F64" i="9"/>
  <c r="E64" i="9"/>
  <c r="W116" i="5"/>
  <c r="AA116" i="5"/>
  <c r="N19" i="5"/>
  <c r="M19" i="5"/>
  <c r="P19" i="5"/>
  <c r="O19" i="5"/>
  <c r="I8" i="5"/>
  <c r="P37" i="5"/>
  <c r="O37" i="5"/>
  <c r="N37" i="5"/>
  <c r="I7" i="5"/>
  <c r="I11" i="5"/>
  <c r="AA64" i="5"/>
  <c r="W64" i="5"/>
  <c r="W192" i="5"/>
  <c r="W68" i="5"/>
  <c r="AA68" i="5"/>
  <c r="L18" i="5"/>
  <c r="W200" i="5"/>
  <c r="AA200" i="5"/>
  <c r="AA183" i="5"/>
  <c r="W183" i="5"/>
  <c r="M174" i="5"/>
  <c r="P174" i="5"/>
  <c r="N174" i="5"/>
  <c r="O174" i="5"/>
  <c r="N77" i="5"/>
  <c r="O181" i="5"/>
  <c r="N125" i="5"/>
  <c r="AA186" i="5"/>
  <c r="W186" i="5"/>
  <c r="P105" i="5"/>
  <c r="O105" i="5"/>
  <c r="N105" i="5"/>
  <c r="M105" i="5"/>
  <c r="W105" i="5"/>
  <c r="AA105" i="5"/>
  <c r="W152" i="5"/>
  <c r="AA152" i="5"/>
  <c r="W115" i="5"/>
  <c r="AA115" i="5"/>
  <c r="M146" i="5"/>
  <c r="W107" i="5"/>
  <c r="AA107" i="5"/>
  <c r="AA177" i="5"/>
  <c r="W177" i="5"/>
  <c r="AA61" i="5"/>
  <c r="W61" i="5"/>
  <c r="AA132" i="5"/>
  <c r="W132" i="5"/>
  <c r="N100" i="5"/>
  <c r="M100" i="5"/>
  <c r="P100" i="5"/>
  <c r="O100" i="5"/>
  <c r="W99" i="5"/>
  <c r="AA99" i="5"/>
  <c r="W41" i="5"/>
  <c r="AA41" i="5"/>
  <c r="W134" i="5"/>
  <c r="AA134" i="5"/>
  <c r="I16" i="5"/>
  <c r="P106" i="5"/>
  <c r="O106" i="5"/>
  <c r="N106" i="5"/>
  <c r="M106" i="5"/>
  <c r="B62" i="9"/>
  <c r="F62" i="9"/>
  <c r="E62" i="9"/>
  <c r="D62" i="9"/>
  <c r="B93" i="9"/>
  <c r="F93" i="9"/>
  <c r="E93" i="9"/>
  <c r="D93" i="9"/>
  <c r="B115" i="9"/>
  <c r="D115" i="9"/>
  <c r="F115" i="9"/>
  <c r="E115" i="9"/>
  <c r="O66" i="5"/>
  <c r="O148" i="5"/>
  <c r="N148" i="5"/>
  <c r="R189" i="5"/>
  <c r="M122" i="5"/>
  <c r="D116" i="9"/>
  <c r="B116" i="9"/>
  <c r="E116" i="9"/>
  <c r="F116" i="9"/>
  <c r="F205" i="9"/>
  <c r="E205" i="9"/>
  <c r="D205" i="9"/>
  <c r="B205" i="9"/>
  <c r="D124" i="9"/>
  <c r="B124" i="9"/>
  <c r="E124" i="9"/>
  <c r="F124" i="9"/>
  <c r="F150" i="9"/>
  <c r="E150" i="9"/>
  <c r="D150" i="9"/>
  <c r="B150" i="9"/>
  <c r="F96" i="9"/>
  <c r="E96" i="9"/>
  <c r="D96" i="9"/>
  <c r="B96" i="9"/>
  <c r="D101" i="9"/>
  <c r="B101" i="9"/>
  <c r="E101" i="9"/>
  <c r="F101" i="9"/>
  <c r="F137" i="9"/>
  <c r="E137" i="9"/>
  <c r="B137" i="9"/>
  <c r="D137" i="9"/>
  <c r="F145" i="9"/>
  <c r="E145" i="9"/>
  <c r="B145" i="9"/>
  <c r="D145" i="9"/>
  <c r="B87" i="9"/>
  <c r="F87" i="9"/>
  <c r="E87" i="9"/>
  <c r="D87" i="9"/>
  <c r="F177" i="9"/>
  <c r="E177" i="9"/>
  <c r="B177" i="9"/>
  <c r="D177" i="9"/>
  <c r="B130" i="9"/>
  <c r="F130" i="9"/>
  <c r="D130" i="9"/>
  <c r="E130" i="9"/>
  <c r="B178" i="9"/>
  <c r="F178" i="9"/>
  <c r="E178" i="9"/>
  <c r="D178" i="9"/>
  <c r="B206" i="9"/>
  <c r="F206" i="9"/>
  <c r="E206" i="9"/>
  <c r="D206" i="9"/>
  <c r="E141" i="9"/>
  <c r="D141" i="9"/>
  <c r="B141" i="9"/>
  <c r="F141" i="9"/>
  <c r="B162" i="9"/>
  <c r="F162" i="9"/>
  <c r="D162" i="9"/>
  <c r="E162" i="9"/>
  <c r="E49" i="9"/>
  <c r="D49" i="9"/>
  <c r="B49" i="9"/>
  <c r="F49" i="9"/>
  <c r="D156" i="9"/>
  <c r="B156" i="9"/>
  <c r="E156" i="9"/>
  <c r="F156" i="9"/>
  <c r="E41" i="9"/>
  <c r="D41" i="9"/>
  <c r="B41" i="9"/>
  <c r="F41" i="9"/>
  <c r="E81" i="9"/>
  <c r="D81" i="9"/>
  <c r="B81" i="9"/>
  <c r="F81" i="9"/>
  <c r="F97" i="9"/>
  <c r="E97" i="9"/>
  <c r="D97" i="9"/>
  <c r="B97" i="9"/>
  <c r="F52" i="9"/>
  <c r="E52" i="9"/>
  <c r="D52" i="9"/>
  <c r="B52" i="9"/>
  <c r="F142" i="9"/>
  <c r="E142" i="9"/>
  <c r="D142" i="9"/>
  <c r="B142" i="9"/>
  <c r="F60" i="9"/>
  <c r="E60" i="9"/>
  <c r="D60" i="9"/>
  <c r="B60" i="9"/>
  <c r="F75" i="9"/>
  <c r="E75" i="9"/>
  <c r="D75" i="9"/>
  <c r="B75" i="9"/>
  <c r="F151" i="9"/>
  <c r="E151" i="9"/>
  <c r="D151" i="9"/>
  <c r="B151" i="9"/>
  <c r="F175" i="9"/>
  <c r="E175" i="9"/>
  <c r="D175" i="9"/>
  <c r="B175" i="9"/>
  <c r="F95" i="9"/>
  <c r="E95" i="9"/>
  <c r="D95" i="9"/>
  <c r="B95" i="9"/>
  <c r="N83" i="5"/>
  <c r="AA71" i="5"/>
  <c r="W71" i="5"/>
  <c r="P25" i="5"/>
  <c r="M25" i="5"/>
  <c r="N136" i="5"/>
  <c r="O119" i="5"/>
  <c r="W173" i="5"/>
  <c r="AA173" i="5"/>
  <c r="N50" i="5"/>
  <c r="P50" i="5"/>
  <c r="N62" i="5"/>
  <c r="W42" i="5"/>
  <c r="AA42" i="5"/>
  <c r="W149" i="5"/>
  <c r="AA149" i="5"/>
  <c r="M170" i="5"/>
  <c r="P206" i="5"/>
  <c r="O206" i="5"/>
  <c r="AA138" i="5"/>
  <c r="W138" i="5"/>
  <c r="AA129" i="5"/>
  <c r="W129" i="5"/>
  <c r="O57" i="5"/>
  <c r="M57" i="5"/>
  <c r="P78" i="5"/>
  <c r="N78" i="5"/>
  <c r="M78" i="5"/>
  <c r="AA131" i="5"/>
  <c r="W131" i="5"/>
  <c r="AA154" i="5"/>
  <c r="W154" i="5"/>
  <c r="O120" i="5"/>
  <c r="AA31" i="5"/>
  <c r="W31" i="5"/>
  <c r="AA103" i="5"/>
  <c r="W103" i="5"/>
  <c r="P142" i="5"/>
  <c r="W123" i="5"/>
  <c r="AA123" i="5"/>
  <c r="W122" i="5"/>
  <c r="AA122" i="5"/>
  <c r="M101" i="5"/>
  <c r="Q101" i="5" s="1"/>
  <c r="P101" i="5"/>
  <c r="O101" i="5"/>
  <c r="N101" i="5"/>
  <c r="AA79" i="5"/>
  <c r="W79" i="5"/>
  <c r="M28" i="5"/>
  <c r="AA143" i="5"/>
  <c r="W143" i="5"/>
  <c r="P179" i="5"/>
  <c r="L28" i="5"/>
  <c r="N108" i="5"/>
  <c r="M108" i="5"/>
  <c r="P108" i="5"/>
  <c r="O108" i="5"/>
  <c r="AA194" i="5"/>
  <c r="W194" i="5"/>
  <c r="M20" i="5"/>
  <c r="P20" i="5"/>
  <c r="O20" i="5"/>
  <c r="N20" i="5"/>
  <c r="D94" i="9"/>
  <c r="B94" i="9"/>
  <c r="F94" i="9"/>
  <c r="E94" i="9"/>
  <c r="B99" i="9"/>
  <c r="F99" i="9"/>
  <c r="D99" i="9"/>
  <c r="E99" i="9"/>
  <c r="F51" i="9"/>
  <c r="E51" i="9"/>
  <c r="D51" i="9"/>
  <c r="B51" i="9"/>
  <c r="F104" i="9"/>
  <c r="E104" i="9"/>
  <c r="D104" i="9"/>
  <c r="B104" i="9"/>
  <c r="F134" i="9"/>
  <c r="E134" i="9"/>
  <c r="D134" i="9"/>
  <c r="B134" i="9"/>
  <c r="P22" i="5"/>
  <c r="O22" i="5"/>
  <c r="N22" i="5"/>
  <c r="N165" i="5"/>
  <c r="W67" i="5"/>
  <c r="AA67" i="5"/>
  <c r="N47" i="5"/>
  <c r="AA54" i="5"/>
  <c r="W54" i="5"/>
  <c r="AA93" i="5"/>
  <c r="W93" i="5"/>
  <c r="M169" i="5"/>
  <c r="O169" i="5"/>
  <c r="F82" i="9"/>
  <c r="E82" i="9"/>
  <c r="D82" i="9"/>
  <c r="B82" i="9"/>
  <c r="B71" i="9"/>
  <c r="F71" i="9"/>
  <c r="E71" i="9"/>
  <c r="D71" i="9"/>
  <c r="F112" i="9"/>
  <c r="E112" i="9"/>
  <c r="D112" i="9"/>
  <c r="B112" i="9"/>
  <c r="E196" i="9"/>
  <c r="D196" i="9"/>
  <c r="B196" i="9"/>
  <c r="F196" i="9"/>
  <c r="B183" i="9"/>
  <c r="F183" i="9"/>
  <c r="E183" i="9"/>
  <c r="D183" i="9"/>
  <c r="B191" i="9"/>
  <c r="F191" i="9"/>
  <c r="E191" i="9"/>
  <c r="D191" i="9"/>
  <c r="F43" i="9"/>
  <c r="E43" i="9"/>
  <c r="D43" i="9"/>
  <c r="B43" i="9"/>
  <c r="F76" i="9"/>
  <c r="E76" i="9"/>
  <c r="D76" i="9"/>
  <c r="B76" i="9"/>
  <c r="F126" i="9"/>
  <c r="E126" i="9"/>
  <c r="D126" i="9"/>
  <c r="B126" i="9"/>
  <c r="E204" i="9"/>
  <c r="D204" i="9"/>
  <c r="B204" i="9"/>
  <c r="F204" i="9"/>
  <c r="F118" i="9"/>
  <c r="E118" i="9"/>
  <c r="D118" i="9"/>
  <c r="B118" i="9"/>
  <c r="F106" i="9"/>
  <c r="B106" i="9"/>
  <c r="E106" i="9"/>
  <c r="D106" i="9"/>
  <c r="B39" i="9"/>
  <c r="F39" i="9"/>
  <c r="E39" i="9"/>
  <c r="D39" i="9"/>
  <c r="D109" i="9"/>
  <c r="B109" i="9"/>
  <c r="F109" i="9"/>
  <c r="E109" i="9"/>
  <c r="E201" i="9"/>
  <c r="D201" i="9"/>
  <c r="B201" i="9"/>
  <c r="F201" i="9"/>
  <c r="B122" i="9"/>
  <c r="F122" i="9"/>
  <c r="E122" i="9"/>
  <c r="D122" i="9"/>
  <c r="F66" i="9"/>
  <c r="E66" i="9"/>
  <c r="D66" i="9"/>
  <c r="B66" i="9"/>
  <c r="D48" i="9"/>
  <c r="B48" i="9"/>
  <c r="F48" i="9"/>
  <c r="E48" i="9"/>
  <c r="B79" i="9"/>
  <c r="F79" i="9"/>
  <c r="E79" i="9"/>
  <c r="D79" i="9"/>
  <c r="F194" i="9"/>
  <c r="E194" i="9"/>
  <c r="B194" i="9"/>
  <c r="D194" i="9"/>
  <c r="E173" i="9"/>
  <c r="D173" i="9"/>
  <c r="B173" i="9"/>
  <c r="F173" i="9"/>
  <c r="B47" i="9"/>
  <c r="F47" i="9"/>
  <c r="E47" i="9"/>
  <c r="D47" i="9"/>
  <c r="B86" i="9"/>
  <c r="F86" i="9"/>
  <c r="E86" i="9"/>
  <c r="D86" i="9"/>
  <c r="F189" i="9"/>
  <c r="E189" i="9"/>
  <c r="D189" i="9"/>
  <c r="B189" i="9"/>
  <c r="D56" i="9"/>
  <c r="B56" i="9"/>
  <c r="F56" i="9"/>
  <c r="E56" i="9"/>
  <c r="W135" i="5"/>
  <c r="AA135" i="5"/>
  <c r="W190" i="5"/>
  <c r="AA190" i="5"/>
  <c r="AA126" i="5"/>
  <c r="W126" i="5"/>
  <c r="W84" i="5"/>
  <c r="AA84" i="5"/>
  <c r="L10" i="5"/>
  <c r="W92" i="5"/>
  <c r="AA92" i="5"/>
  <c r="O172" i="5"/>
  <c r="P172" i="5"/>
  <c r="N172" i="5"/>
  <c r="M172" i="5"/>
  <c r="N145" i="5"/>
  <c r="P145" i="5"/>
  <c r="O145" i="5"/>
  <c r="AA118" i="5"/>
  <c r="W118" i="5"/>
  <c r="AA80" i="5"/>
  <c r="W80" i="5"/>
  <c r="I29" i="5"/>
  <c r="M184" i="5"/>
  <c r="L19" i="5"/>
  <c r="O56" i="5"/>
  <c r="M56" i="5"/>
  <c r="I9" i="5"/>
  <c r="AA94" i="5"/>
  <c r="W94" i="5"/>
  <c r="W144" i="5"/>
  <c r="AA144" i="5"/>
  <c r="P13" i="5"/>
  <c r="O13" i="5"/>
  <c r="N13" i="5"/>
  <c r="M13" i="5"/>
  <c r="M185" i="5"/>
  <c r="W201" i="5"/>
  <c r="O139" i="5"/>
  <c r="M139" i="5"/>
  <c r="AA130" i="5"/>
  <c r="W130" i="5"/>
  <c r="AA140" i="5"/>
  <c r="W140" i="5"/>
  <c r="W195" i="5"/>
  <c r="AA195" i="5"/>
  <c r="M131" i="5"/>
  <c r="AA117" i="5"/>
  <c r="W117" i="5"/>
  <c r="N43" i="5"/>
  <c r="M43" i="5"/>
  <c r="P43" i="5"/>
  <c r="O43" i="5"/>
  <c r="L32" i="5"/>
  <c r="AA120" i="5"/>
  <c r="W120" i="5"/>
  <c r="P31" i="5"/>
  <c r="AA36" i="5"/>
  <c r="W36" i="5"/>
  <c r="AA128" i="5"/>
  <c r="AA151" i="5"/>
  <c r="W151" i="5"/>
  <c r="W142" i="5"/>
  <c r="AA142" i="5"/>
  <c r="W113" i="5"/>
  <c r="AA113" i="5"/>
  <c r="I38" i="5"/>
  <c r="W73" i="5"/>
  <c r="AA73" i="5"/>
  <c r="M161" i="5"/>
  <c r="W198" i="5"/>
  <c r="AA109" i="5"/>
  <c r="W109" i="5"/>
  <c r="O30" i="5"/>
  <c r="AA45" i="5"/>
  <c r="W45" i="5"/>
  <c r="AA96" i="5"/>
  <c r="W96" i="5"/>
  <c r="S20" i="5"/>
  <c r="A84" i="7"/>
  <c r="A102" i="7"/>
  <c r="A143" i="7"/>
  <c r="A92" i="7"/>
  <c r="A26" i="7"/>
  <c r="A123" i="7"/>
  <c r="A191" i="7"/>
  <c r="A24" i="7"/>
  <c r="A61" i="7"/>
  <c r="A85" i="7"/>
  <c r="A90" i="7"/>
  <c r="A36" i="7"/>
  <c r="A133" i="7"/>
  <c r="A83" i="7"/>
  <c r="A107" i="7"/>
  <c r="A202" i="7"/>
  <c r="A104" i="7"/>
  <c r="A130" i="7"/>
  <c r="A55" i="7"/>
  <c r="A50" i="7"/>
  <c r="A51" i="7"/>
  <c r="A187" i="7"/>
  <c r="A56" i="7"/>
  <c r="A76" i="7"/>
  <c r="A150" i="7"/>
  <c r="A122" i="7"/>
  <c r="A193" i="7"/>
  <c r="A164" i="7"/>
  <c r="A42" i="7"/>
  <c r="A201" i="7"/>
  <c r="A197" i="7"/>
  <c r="A48" i="7"/>
  <c r="A180" i="7"/>
  <c r="A72" i="7"/>
  <c r="A183" i="7"/>
  <c r="A173" i="7"/>
  <c r="A139" i="7"/>
  <c r="A112" i="7"/>
  <c r="A18" i="7"/>
  <c r="A65" i="7"/>
  <c r="A41" i="7"/>
  <c r="A57" i="7"/>
  <c r="A47" i="7"/>
  <c r="A141" i="7"/>
  <c r="A15" i="7"/>
  <c r="A106" i="7"/>
  <c r="A74" i="7"/>
  <c r="A177" i="7"/>
  <c r="A170" i="7"/>
  <c r="A46" i="7"/>
  <c r="A54" i="7"/>
  <c r="A200" i="7"/>
  <c r="A111" i="7"/>
  <c r="A186" i="7"/>
  <c r="A160" i="7"/>
  <c r="A129" i="7"/>
  <c r="A108" i="7"/>
  <c r="A91" i="7"/>
  <c r="A158" i="7"/>
  <c r="A67" i="7"/>
  <c r="A118" i="7"/>
  <c r="A195" i="7"/>
  <c r="A163" i="7"/>
  <c r="A59" i="7"/>
  <c r="A165" i="7"/>
  <c r="A27" i="7"/>
  <c r="A33" i="7"/>
  <c r="A146" i="7"/>
  <c r="A45" i="7"/>
  <c r="A87" i="7"/>
  <c r="A13" i="7"/>
  <c r="A49" i="7"/>
  <c r="A194" i="7"/>
  <c r="A178" i="7"/>
  <c r="A53" i="7"/>
  <c r="A100" i="7"/>
  <c r="A166" i="7"/>
  <c r="A28" i="7"/>
  <c r="A22" i="7"/>
  <c r="A7" i="7"/>
  <c r="A171" i="7"/>
  <c r="A71" i="7"/>
  <c r="A70" i="7"/>
  <c r="A155" i="7"/>
  <c r="A80" i="7"/>
  <c r="A184" i="7"/>
  <c r="A63" i="7"/>
  <c r="A88" i="7"/>
  <c r="A185" i="7"/>
  <c r="A136" i="7"/>
  <c r="A119" i="7"/>
  <c r="A97" i="7"/>
  <c r="A157" i="7"/>
  <c r="A204" i="7"/>
  <c r="A198" i="7"/>
  <c r="A168" i="7"/>
  <c r="A125" i="7"/>
  <c r="A144" i="7"/>
  <c r="A23" i="7"/>
  <c r="A75" i="7"/>
  <c r="A121" i="7"/>
  <c r="A196" i="7"/>
  <c r="A78" i="7"/>
  <c r="A38" i="7"/>
  <c r="A206" i="7"/>
  <c r="A68" i="7"/>
  <c r="A161" i="7"/>
  <c r="A8" i="7"/>
  <c r="A142" i="7"/>
  <c r="A35" i="7"/>
  <c r="A188" i="7"/>
  <c r="A181" i="7"/>
  <c r="A203" i="7"/>
  <c r="A127" i="7"/>
  <c r="A140" i="7"/>
  <c r="A16" i="7"/>
  <c r="A189" i="7"/>
  <c r="A77" i="7"/>
  <c r="A14" i="7"/>
  <c r="A175" i="7"/>
  <c r="A172" i="7"/>
  <c r="A120" i="7"/>
  <c r="A148" i="7"/>
  <c r="A101" i="7"/>
  <c r="A39" i="7"/>
  <c r="A17" i="7"/>
  <c r="A34" i="7"/>
  <c r="A162" i="7"/>
  <c r="A103" i="7"/>
  <c r="A25" i="7"/>
  <c r="A96" i="7"/>
  <c r="A98" i="7"/>
  <c r="A21" i="7"/>
  <c r="A40" i="7"/>
  <c r="A190" i="7"/>
  <c r="A20" i="7"/>
  <c r="A153" i="7"/>
  <c r="A99" i="7"/>
  <c r="A152" i="7"/>
  <c r="A132" i="7"/>
  <c r="A116" i="7"/>
  <c r="A9" i="7"/>
  <c r="A86" i="7"/>
  <c r="A95" i="7"/>
  <c r="A205" i="7"/>
  <c r="A159" i="7"/>
  <c r="A62" i="7"/>
  <c r="A126" i="7"/>
  <c r="A58" i="7"/>
  <c r="A73" i="7"/>
  <c r="A64" i="7"/>
  <c r="A114" i="7"/>
  <c r="A156" i="7"/>
  <c r="A31" i="7"/>
  <c r="A30" i="7"/>
  <c r="A37" i="7"/>
  <c r="A19" i="7"/>
  <c r="A43" i="7"/>
  <c r="A138" i="7"/>
  <c r="A115" i="7"/>
  <c r="A117" i="7"/>
  <c r="A60" i="7"/>
  <c r="A11" i="7"/>
  <c r="A154" i="7"/>
  <c r="A149" i="7"/>
  <c r="A113" i="7"/>
  <c r="A44" i="7"/>
  <c r="A199" i="7"/>
  <c r="A93" i="7"/>
  <c r="A147" i="7"/>
  <c r="A131" i="7"/>
  <c r="A81" i="7"/>
  <c r="A66" i="7"/>
  <c r="A135" i="7"/>
  <c r="A12" i="7"/>
  <c r="A192" i="7"/>
  <c r="A137" i="7"/>
  <c r="A105" i="7"/>
  <c r="A82" i="7"/>
  <c r="A69" i="7"/>
  <c r="A145" i="7"/>
  <c r="A169" i="7"/>
  <c r="A179" i="7"/>
  <c r="A89" i="7"/>
  <c r="A10" i="7"/>
  <c r="A167" i="7"/>
  <c r="A182" i="7"/>
  <c r="A94" i="7"/>
  <c r="A32" i="7"/>
  <c r="A29" i="7"/>
  <c r="A79" i="7"/>
  <c r="A151" i="7"/>
  <c r="A124" i="7"/>
  <c r="A174" i="7"/>
  <c r="A109" i="7"/>
  <c r="A176" i="7"/>
  <c r="A110" i="7"/>
  <c r="A128" i="7"/>
  <c r="A52" i="7"/>
  <c r="A134" i="7"/>
  <c r="C166" i="12"/>
  <c r="C105" i="12"/>
  <c r="C7" i="12"/>
  <c r="C51" i="12"/>
  <c r="C88" i="12"/>
  <c r="C24" i="12"/>
  <c r="C71" i="12"/>
  <c r="C243" i="12"/>
  <c r="C195" i="12"/>
  <c r="C108" i="12"/>
  <c r="C220" i="12"/>
  <c r="C215" i="12"/>
  <c r="C94" i="12"/>
  <c r="C218" i="12"/>
  <c r="C42" i="12"/>
  <c r="C207" i="12"/>
  <c r="C152" i="12"/>
  <c r="C115" i="12"/>
  <c r="C245" i="12"/>
  <c r="C257" i="12"/>
  <c r="C236" i="12"/>
  <c r="C167" i="12"/>
  <c r="C44" i="12"/>
  <c r="C232" i="12"/>
  <c r="C255" i="12"/>
  <c r="C204" i="12"/>
  <c r="C254" i="12"/>
  <c r="C49" i="12"/>
  <c r="C174" i="12"/>
  <c r="C156" i="12"/>
  <c r="C15" i="12"/>
  <c r="C205" i="12"/>
  <c r="C20" i="12"/>
  <c r="C139" i="12"/>
  <c r="C92" i="12"/>
  <c r="C168" i="12"/>
  <c r="C17" i="12"/>
  <c r="C180" i="12"/>
  <c r="C170" i="12"/>
  <c r="C157" i="12"/>
  <c r="C244" i="12"/>
  <c r="C213" i="12"/>
  <c r="C57" i="12"/>
  <c r="C153" i="12"/>
  <c r="C18" i="12"/>
  <c r="C192" i="12"/>
  <c r="C59" i="12"/>
  <c r="C120" i="12"/>
  <c r="C181" i="12"/>
  <c r="C55" i="12"/>
  <c r="C216" i="12"/>
  <c r="C52" i="12"/>
  <c r="C130" i="12"/>
  <c r="C154" i="12"/>
  <c r="C79" i="12"/>
  <c r="C137" i="12"/>
  <c r="C117" i="12"/>
  <c r="C87" i="12"/>
  <c r="C81" i="12"/>
  <c r="C179" i="12"/>
  <c r="C89" i="12"/>
  <c r="C70" i="12"/>
  <c r="C36" i="12"/>
  <c r="C56" i="12"/>
  <c r="C211" i="12"/>
  <c r="C28" i="12"/>
  <c r="C96" i="12"/>
  <c r="C32" i="12"/>
  <c r="C85" i="12"/>
  <c r="C251" i="12"/>
  <c r="C201" i="12"/>
  <c r="C112" i="12"/>
  <c r="C12" i="12"/>
  <c r="C226" i="12"/>
  <c r="C246" i="12"/>
  <c r="C37" i="12"/>
  <c r="C78" i="12"/>
  <c r="C177" i="12"/>
  <c r="C131" i="12"/>
  <c r="C214" i="12"/>
  <c r="C47" i="12"/>
  <c r="C169" i="12"/>
  <c r="C221" i="12"/>
  <c r="C34" i="12"/>
  <c r="C77" i="12"/>
  <c r="C219" i="12"/>
  <c r="C171" i="12"/>
  <c r="C76" i="12"/>
  <c r="C135" i="12"/>
  <c r="C128" i="12"/>
  <c r="C248" i="12"/>
  <c r="C136" i="12"/>
  <c r="C93" i="12"/>
  <c r="C162" i="12"/>
  <c r="C209" i="12"/>
  <c r="C250" i="12"/>
  <c r="C41" i="12"/>
  <c r="C233" i="12"/>
  <c r="C116" i="12"/>
  <c r="C234" i="12"/>
  <c r="C45" i="12"/>
  <c r="C223" i="12"/>
  <c r="C159" i="12"/>
  <c r="C113" i="12"/>
  <c r="C187" i="12"/>
  <c r="C107" i="12"/>
  <c r="C151" i="12"/>
  <c r="C202" i="12"/>
  <c r="C13" i="12"/>
  <c r="C132" i="12"/>
  <c r="C208" i="12"/>
  <c r="C54" i="12"/>
  <c r="C145" i="12"/>
  <c r="C123" i="12"/>
  <c r="C129" i="12"/>
  <c r="C237" i="12"/>
  <c r="C74" i="12"/>
  <c r="C196" i="12"/>
  <c r="C149" i="12"/>
  <c r="C229" i="12"/>
  <c r="C241" i="12"/>
  <c r="C238" i="12"/>
  <c r="C63" i="12"/>
  <c r="C178" i="12"/>
  <c r="C8" i="12"/>
  <c r="C164" i="12"/>
  <c r="C146" i="12"/>
  <c r="C222" i="12"/>
  <c r="C247" i="12"/>
  <c r="C126" i="12"/>
  <c r="C163" i="12"/>
  <c r="C203" i="12"/>
  <c r="C228" i="12"/>
  <c r="C103" i="12"/>
  <c r="C253" i="12"/>
  <c r="C242" i="12"/>
  <c r="C147" i="12"/>
  <c r="C53" i="12"/>
  <c r="C106" i="12"/>
  <c r="C231" i="12"/>
  <c r="C176" i="12"/>
  <c r="C188" i="12"/>
  <c r="C25" i="12"/>
  <c r="C185" i="12"/>
  <c r="C240" i="12"/>
  <c r="C50" i="12"/>
  <c r="C95" i="12"/>
  <c r="C142" i="12"/>
  <c r="C172" i="12"/>
  <c r="C160" i="12"/>
  <c r="C9" i="12"/>
  <c r="C198" i="12"/>
  <c r="C175" i="12"/>
  <c r="C39" i="12"/>
  <c r="C84" i="12"/>
  <c r="C199" i="12"/>
  <c r="C144" i="12"/>
  <c r="C97" i="12"/>
  <c r="C191" i="12"/>
  <c r="C10" i="12"/>
  <c r="C91" i="12"/>
  <c r="C141" i="12"/>
  <c r="C100" i="12"/>
  <c r="C183" i="12"/>
  <c r="C127" i="12"/>
  <c r="C104" i="12"/>
  <c r="C66" i="12"/>
  <c r="C30" i="12"/>
  <c r="C230" i="12"/>
  <c r="C27" i="12"/>
  <c r="C197" i="12"/>
  <c r="C118" i="12"/>
  <c r="C133" i="12"/>
  <c r="C189" i="12"/>
  <c r="C122" i="12"/>
  <c r="C35" i="12"/>
  <c r="C227" i="12"/>
  <c r="C190" i="12"/>
  <c r="C249" i="12"/>
  <c r="C86" i="12"/>
  <c r="C119" i="12"/>
  <c r="C124" i="12"/>
  <c r="C239" i="12"/>
  <c r="C184" i="12"/>
  <c r="C194" i="12"/>
  <c r="C33" i="12"/>
  <c r="C193" i="12"/>
  <c r="C256" i="12"/>
  <c r="C58" i="12"/>
  <c r="C109" i="12"/>
  <c r="C121" i="12"/>
  <c r="C173" i="12"/>
  <c r="C186" i="12"/>
  <c r="C22" i="12"/>
  <c r="C72" i="12"/>
  <c r="C60" i="12"/>
  <c r="C225" i="12"/>
  <c r="C14" i="12"/>
  <c r="C134" i="12"/>
  <c r="C64" i="12"/>
  <c r="C143" i="12"/>
  <c r="C19" i="12"/>
  <c r="C161" i="12"/>
  <c r="C212" i="12"/>
  <c r="C26" i="12"/>
  <c r="C62" i="12"/>
  <c r="C114" i="12"/>
  <c r="C182" i="12"/>
  <c r="C140" i="12"/>
  <c r="C23" i="12"/>
  <c r="C67" i="12"/>
  <c r="C61" i="12"/>
  <c r="C155" i="12"/>
  <c r="C206" i="12"/>
  <c r="C224" i="12"/>
  <c r="C102" i="12"/>
  <c r="C252" i="12"/>
  <c r="C99" i="12"/>
  <c r="C48" i="12"/>
  <c r="C38" i="12"/>
  <c r="C150" i="12"/>
  <c r="C165" i="12"/>
  <c r="C90" i="12"/>
  <c r="C31" i="12"/>
  <c r="C138" i="12"/>
  <c r="C40" i="12"/>
  <c r="C11" i="12"/>
  <c r="C69" i="12"/>
  <c r="C75" i="12"/>
  <c r="C125" i="12"/>
  <c r="C82" i="12"/>
  <c r="C148" i="12"/>
  <c r="C158" i="12"/>
  <c r="C101" i="12"/>
  <c r="C200" i="12"/>
  <c r="C43" i="12"/>
  <c r="C80" i="12"/>
  <c r="C16" i="12"/>
  <c r="C68" i="12"/>
  <c r="C235" i="12"/>
  <c r="C73" i="12"/>
  <c r="C98" i="12"/>
  <c r="C29" i="12"/>
  <c r="C210" i="12"/>
  <c r="C217" i="12"/>
  <c r="C21" i="12"/>
  <c r="C65" i="12"/>
  <c r="C46" i="12"/>
  <c r="C83" i="12"/>
  <c r="Q61" i="5" l="1"/>
  <c r="P200" i="5"/>
  <c r="N147" i="5"/>
  <c r="AA168" i="5"/>
  <c r="W62" i="5"/>
  <c r="P203" i="5"/>
  <c r="N205" i="5"/>
  <c r="O204" i="5"/>
  <c r="R204" i="5" s="1"/>
  <c r="N203" i="5"/>
  <c r="O205" i="5"/>
  <c r="P204" i="5"/>
  <c r="O203" i="5"/>
  <c r="M205" i="5"/>
  <c r="L17" i="5"/>
  <c r="M17" i="5"/>
  <c r="P30" i="5"/>
  <c r="N161" i="5"/>
  <c r="N185" i="5"/>
  <c r="O115" i="5"/>
  <c r="N56" i="5"/>
  <c r="I17" i="5"/>
  <c r="M47" i="5"/>
  <c r="O165" i="5"/>
  <c r="O179" i="5"/>
  <c r="M142" i="5"/>
  <c r="P120" i="5"/>
  <c r="O78" i="5"/>
  <c r="N57" i="5"/>
  <c r="N206" i="5"/>
  <c r="M62" i="5"/>
  <c r="M203" i="5"/>
  <c r="O146" i="5"/>
  <c r="P182" i="5"/>
  <c r="P158" i="5"/>
  <c r="P65" i="5"/>
  <c r="W175" i="5"/>
  <c r="O82" i="5"/>
  <c r="AA108" i="5"/>
  <c r="N143" i="5"/>
  <c r="O35" i="5"/>
  <c r="O23" i="5"/>
  <c r="M160" i="5"/>
  <c r="M183" i="5"/>
  <c r="O97" i="5"/>
  <c r="N204" i="5"/>
  <c r="AA172" i="5"/>
  <c r="P128" i="5"/>
  <c r="M130" i="5"/>
  <c r="Q130" i="5" s="1"/>
  <c r="N128" i="5"/>
  <c r="O130" i="5"/>
  <c r="P129" i="5"/>
  <c r="M128" i="5"/>
  <c r="N130" i="5"/>
  <c r="O129" i="5"/>
  <c r="M129" i="5"/>
  <c r="M113" i="5"/>
  <c r="R113" i="5" s="1"/>
  <c r="P112" i="5"/>
  <c r="N112" i="5"/>
  <c r="O113" i="5"/>
  <c r="AA12" i="5"/>
  <c r="W12" i="5"/>
  <c r="X12" i="5" s="1"/>
  <c r="W136" i="5"/>
  <c r="AA136" i="5"/>
  <c r="P201" i="5"/>
  <c r="R201" i="5" s="1"/>
  <c r="N201" i="5"/>
  <c r="P9" i="5"/>
  <c r="O9" i="5"/>
  <c r="N9" i="5"/>
  <c r="M9" i="5"/>
  <c r="P140" i="5"/>
  <c r="O137" i="5"/>
  <c r="N140" i="5"/>
  <c r="N137" i="5"/>
  <c r="M140" i="5"/>
  <c r="O138" i="5"/>
  <c r="O141" i="5"/>
  <c r="N138" i="5"/>
  <c r="M141" i="5"/>
  <c r="M137" i="5"/>
  <c r="O154" i="5"/>
  <c r="R154" i="5" s="1"/>
  <c r="N154" i="5"/>
  <c r="M154" i="5"/>
  <c r="S37" i="5"/>
  <c r="S30" i="5"/>
  <c r="S21" i="5"/>
  <c r="S38" i="5"/>
  <c r="S13" i="5"/>
  <c r="S40" i="5"/>
  <c r="P171" i="5"/>
  <c r="O170" i="5"/>
  <c r="O171" i="5"/>
  <c r="N170" i="5"/>
  <c r="N171" i="5"/>
  <c r="O168" i="5"/>
  <c r="M171" i="5"/>
  <c r="N168" i="5"/>
  <c r="M167" i="5"/>
  <c r="M168" i="5"/>
  <c r="L188" i="5"/>
  <c r="P188" i="5"/>
  <c r="N188" i="5"/>
  <c r="M188" i="5"/>
  <c r="N153" i="5"/>
  <c r="P153" i="5"/>
  <c r="O155" i="5"/>
  <c r="O153" i="5"/>
  <c r="N155" i="5"/>
  <c r="O156" i="5"/>
  <c r="O152" i="5"/>
  <c r="P48" i="5"/>
  <c r="P49" i="5"/>
  <c r="O48" i="5"/>
  <c r="Q48" i="5" s="1"/>
  <c r="N51" i="5"/>
  <c r="O49" i="5"/>
  <c r="N48" i="5"/>
  <c r="M48" i="5"/>
  <c r="P51" i="5"/>
  <c r="M49" i="5"/>
  <c r="Q49" i="5" s="1"/>
  <c r="O51" i="5"/>
  <c r="O50" i="5"/>
  <c r="R50" i="5" s="1"/>
  <c r="N131" i="5"/>
  <c r="P139" i="5"/>
  <c r="O76" i="5"/>
  <c r="P184" i="5"/>
  <c r="M127" i="5"/>
  <c r="N169" i="5"/>
  <c r="M89" i="5"/>
  <c r="O47" i="5"/>
  <c r="R47" i="5" s="1"/>
  <c r="M22" i="5"/>
  <c r="W53" i="5"/>
  <c r="P202" i="5"/>
  <c r="P57" i="5"/>
  <c r="M206" i="5"/>
  <c r="M156" i="5"/>
  <c r="W95" i="5"/>
  <c r="P75" i="5"/>
  <c r="Q75" i="5" s="1"/>
  <c r="R100" i="5"/>
  <c r="M67" i="5"/>
  <c r="W66" i="5"/>
  <c r="N141" i="5"/>
  <c r="N49" i="5"/>
  <c r="P86" i="5"/>
  <c r="O157" i="5"/>
  <c r="N60" i="5"/>
  <c r="Q60" i="5" s="1"/>
  <c r="P137" i="5"/>
  <c r="W191" i="5"/>
  <c r="M8" i="5"/>
  <c r="M111" i="5"/>
  <c r="M138" i="5"/>
  <c r="P133" i="5"/>
  <c r="M59" i="5"/>
  <c r="AA106" i="5"/>
  <c r="M109" i="5"/>
  <c r="P132" i="5"/>
  <c r="P29" i="5"/>
  <c r="W166" i="5"/>
  <c r="P81" i="5"/>
  <c r="M134" i="5"/>
  <c r="M177" i="5"/>
  <c r="P177" i="5"/>
  <c r="O177" i="5"/>
  <c r="M52" i="5"/>
  <c r="P52" i="5"/>
  <c r="O52" i="5"/>
  <c r="O55" i="5"/>
  <c r="N52" i="5"/>
  <c r="P53" i="5"/>
  <c r="Q53" i="5" s="1"/>
  <c r="N55" i="5"/>
  <c r="R55" i="5" s="1"/>
  <c r="M53" i="5"/>
  <c r="P55" i="5"/>
  <c r="N53" i="5"/>
  <c r="P95" i="5"/>
  <c r="N94" i="5"/>
  <c r="R94" i="5" s="1"/>
  <c r="P92" i="5"/>
  <c r="N93" i="5"/>
  <c r="O95" i="5"/>
  <c r="Q95" i="5" s="1"/>
  <c r="M94" i="5"/>
  <c r="O92" i="5"/>
  <c r="O93" i="5"/>
  <c r="N95" i="5"/>
  <c r="M95" i="5"/>
  <c r="P96" i="5"/>
  <c r="O96" i="5"/>
  <c r="R96" i="5" s="1"/>
  <c r="M96" i="5"/>
  <c r="P94" i="5"/>
  <c r="N92" i="5"/>
  <c r="M93" i="5"/>
  <c r="M36" i="5"/>
  <c r="P36" i="5"/>
  <c r="O36" i="5"/>
  <c r="N36" i="5"/>
  <c r="Q36" i="5" s="1"/>
  <c r="M73" i="5"/>
  <c r="N196" i="5"/>
  <c r="P47" i="5"/>
  <c r="M202" i="5"/>
  <c r="N44" i="5"/>
  <c r="N167" i="5"/>
  <c r="N156" i="5"/>
  <c r="W182" i="5"/>
  <c r="N199" i="5"/>
  <c r="N75" i="5"/>
  <c r="N114" i="5"/>
  <c r="N70" i="5"/>
  <c r="N159" i="5"/>
  <c r="M27" i="5"/>
  <c r="P130" i="5"/>
  <c r="M88" i="5"/>
  <c r="R88" i="5" s="1"/>
  <c r="P8" i="5"/>
  <c r="P138" i="5"/>
  <c r="O59" i="5"/>
  <c r="N198" i="5"/>
  <c r="AA125" i="5"/>
  <c r="N118" i="5"/>
  <c r="N68" i="5"/>
  <c r="AA98" i="5"/>
  <c r="W162" i="5"/>
  <c r="M162" i="5"/>
  <c r="M166" i="5"/>
  <c r="P166" i="5"/>
  <c r="O162" i="5"/>
  <c r="N166" i="5"/>
  <c r="N162" i="5"/>
  <c r="W197" i="5"/>
  <c r="AA197" i="5"/>
  <c r="M178" i="5"/>
  <c r="O178" i="5"/>
  <c r="N63" i="5"/>
  <c r="P62" i="5"/>
  <c r="M63" i="5"/>
  <c r="P66" i="5"/>
  <c r="P64" i="5"/>
  <c r="R64" i="5" s="1"/>
  <c r="O62" i="5"/>
  <c r="O65" i="5"/>
  <c r="N66" i="5"/>
  <c r="N64" i="5"/>
  <c r="N65" i="5"/>
  <c r="M66" i="5"/>
  <c r="M64" i="5"/>
  <c r="P63" i="5"/>
  <c r="R63" i="5" s="1"/>
  <c r="N69" i="5"/>
  <c r="P76" i="5"/>
  <c r="N184" i="5"/>
  <c r="N127" i="5"/>
  <c r="N89" i="5"/>
  <c r="M54" i="5"/>
  <c r="N73" i="5"/>
  <c r="M31" i="5"/>
  <c r="R31" i="5" s="1"/>
  <c r="P131" i="5"/>
  <c r="O69" i="5"/>
  <c r="N164" i="5"/>
  <c r="O184" i="5"/>
  <c r="M145" i="5"/>
  <c r="O127" i="5"/>
  <c r="P196" i="5"/>
  <c r="O89" i="5"/>
  <c r="Q89" i="5" s="1"/>
  <c r="O28" i="5"/>
  <c r="N202" i="5"/>
  <c r="O44" i="5"/>
  <c r="N54" i="5"/>
  <c r="O167" i="5"/>
  <c r="P156" i="5"/>
  <c r="M102" i="5"/>
  <c r="P205" i="5"/>
  <c r="Q205" i="5" s="1"/>
  <c r="N61" i="5"/>
  <c r="P114" i="5"/>
  <c r="P70" i="5"/>
  <c r="N144" i="5"/>
  <c r="P77" i="5"/>
  <c r="AA69" i="5"/>
  <c r="N113" i="5"/>
  <c r="W161" i="5"/>
  <c r="S23" i="5"/>
  <c r="P93" i="5"/>
  <c r="P117" i="5"/>
  <c r="O149" i="5"/>
  <c r="P162" i="5"/>
  <c r="N17" i="5"/>
  <c r="AA127" i="5"/>
  <c r="M112" i="5"/>
  <c r="P168" i="5"/>
  <c r="M99" i="5"/>
  <c r="M176" i="5"/>
  <c r="M80" i="5"/>
  <c r="O99" i="5"/>
  <c r="AA86" i="5"/>
  <c r="W86" i="5"/>
  <c r="P74" i="5"/>
  <c r="P72" i="5"/>
  <c r="O74" i="5"/>
  <c r="N72" i="5"/>
  <c r="Q72" i="5" s="1"/>
  <c r="M72" i="5"/>
  <c r="O75" i="5"/>
  <c r="M75" i="5"/>
  <c r="O193" i="5"/>
  <c r="O192" i="5"/>
  <c r="P195" i="5"/>
  <c r="N192" i="5"/>
  <c r="O194" i="5"/>
  <c r="N195" i="5"/>
  <c r="M192" i="5"/>
  <c r="P194" i="5"/>
  <c r="M195" i="5"/>
  <c r="Q195" i="5" s="1"/>
  <c r="N193" i="5"/>
  <c r="S8" i="5"/>
  <c r="P87" i="5"/>
  <c r="M91" i="5"/>
  <c r="O87" i="5"/>
  <c r="P90" i="5"/>
  <c r="P91" i="5"/>
  <c r="N87" i="5"/>
  <c r="Q87" i="5" s="1"/>
  <c r="O90" i="5"/>
  <c r="M87" i="5"/>
  <c r="N90" i="5"/>
  <c r="O88" i="5"/>
  <c r="M90" i="5"/>
  <c r="N88" i="5"/>
  <c r="O91" i="5"/>
  <c r="O126" i="5"/>
  <c r="R126" i="5" s="1"/>
  <c r="N126" i="5"/>
  <c r="M126" i="5"/>
  <c r="L191" i="5"/>
  <c r="P191" i="5"/>
  <c r="O191" i="5"/>
  <c r="N191" i="5"/>
  <c r="Q191" i="5" s="1"/>
  <c r="O199" i="5"/>
  <c r="M199" i="5"/>
  <c r="R199" i="5" s="1"/>
  <c r="M118" i="5"/>
  <c r="O117" i="5"/>
  <c r="N117" i="5"/>
  <c r="P119" i="5"/>
  <c r="O121" i="5"/>
  <c r="N121" i="5"/>
  <c r="M119" i="5"/>
  <c r="O118" i="5"/>
  <c r="Q118" i="5" s="1"/>
  <c r="M117" i="5"/>
  <c r="N158" i="5"/>
  <c r="O159" i="5"/>
  <c r="O158" i="5"/>
  <c r="M159" i="5"/>
  <c r="O160" i="5"/>
  <c r="N160" i="5"/>
  <c r="P160" i="5"/>
  <c r="R160" i="5" s="1"/>
  <c r="N157" i="5"/>
  <c r="R157" i="5" s="1"/>
  <c r="M157" i="5"/>
  <c r="M158" i="5"/>
  <c r="N124" i="5"/>
  <c r="M125" i="5"/>
  <c r="M124" i="5"/>
  <c r="P125" i="5"/>
  <c r="O124" i="5"/>
  <c r="O125" i="5"/>
  <c r="O122" i="5"/>
  <c r="N122" i="5"/>
  <c r="O131" i="5"/>
  <c r="M164" i="5"/>
  <c r="M30" i="5"/>
  <c r="O161" i="5"/>
  <c r="O73" i="5"/>
  <c r="Q73" i="5" s="1"/>
  <c r="N31" i="5"/>
  <c r="P115" i="5"/>
  <c r="N76" i="5"/>
  <c r="R76" i="5" s="1"/>
  <c r="P164" i="5"/>
  <c r="P127" i="5"/>
  <c r="M196" i="5"/>
  <c r="R196" i="5" s="1"/>
  <c r="O142" i="5"/>
  <c r="M120" i="5"/>
  <c r="O202" i="5"/>
  <c r="P44" i="5"/>
  <c r="O54" i="5"/>
  <c r="P167" i="5"/>
  <c r="M152" i="5"/>
  <c r="M74" i="5"/>
  <c r="W87" i="5"/>
  <c r="N129" i="5"/>
  <c r="N91" i="5"/>
  <c r="M180" i="5"/>
  <c r="O63" i="5"/>
  <c r="P113" i="5"/>
  <c r="P124" i="5"/>
  <c r="S24" i="5"/>
  <c r="M121" i="5"/>
  <c r="M193" i="5"/>
  <c r="R193" i="5" s="1"/>
  <c r="O112" i="5"/>
  <c r="P79" i="5"/>
  <c r="M104" i="5"/>
  <c r="O188" i="5"/>
  <c r="P192" i="5"/>
  <c r="L102" i="5"/>
  <c r="N102" i="5"/>
  <c r="O102" i="5"/>
  <c r="R102" i="5" s="1"/>
  <c r="AA70" i="5"/>
  <c r="W70" i="5"/>
  <c r="O71" i="5"/>
  <c r="M68" i="5"/>
  <c r="R68" i="5" s="1"/>
  <c r="O67" i="5"/>
  <c r="N71" i="5"/>
  <c r="P68" i="5"/>
  <c r="N67" i="5"/>
  <c r="Q67" i="5" s="1"/>
  <c r="M71" i="5"/>
  <c r="O68" i="5"/>
  <c r="P67" i="5"/>
  <c r="O70" i="5"/>
  <c r="M70" i="5"/>
  <c r="P33" i="5"/>
  <c r="L33" i="5"/>
  <c r="M35" i="5"/>
  <c r="M34" i="5"/>
  <c r="O33" i="5"/>
  <c r="P35" i="5"/>
  <c r="P34" i="5"/>
  <c r="P32" i="5"/>
  <c r="N33" i="5"/>
  <c r="M33" i="5"/>
  <c r="N32" i="5"/>
  <c r="I33" i="5"/>
  <c r="M32" i="5"/>
  <c r="O34" i="5"/>
  <c r="M29" i="5"/>
  <c r="P27" i="5"/>
  <c r="O27" i="5"/>
  <c r="O29" i="5"/>
  <c r="R29" i="5" s="1"/>
  <c r="N27" i="5"/>
  <c r="N182" i="5"/>
  <c r="M186" i="5"/>
  <c r="O182" i="5"/>
  <c r="P186" i="5"/>
  <c r="P183" i="5"/>
  <c r="O186" i="5"/>
  <c r="O183" i="5"/>
  <c r="R183" i="5" s="1"/>
  <c r="N186" i="5"/>
  <c r="N183" i="5"/>
  <c r="M182" i="5"/>
  <c r="O123" i="5"/>
  <c r="N123" i="5"/>
  <c r="M123" i="5"/>
  <c r="P123" i="5"/>
  <c r="N30" i="5"/>
  <c r="P161" i="5"/>
  <c r="P73" i="5"/>
  <c r="O31" i="5"/>
  <c r="M69" i="5"/>
  <c r="P185" i="5"/>
  <c r="O164" i="5"/>
  <c r="P165" i="5"/>
  <c r="M179" i="5"/>
  <c r="R179" i="5" s="1"/>
  <c r="P28" i="5"/>
  <c r="N120" i="5"/>
  <c r="M44" i="5"/>
  <c r="P54" i="5"/>
  <c r="P170" i="5"/>
  <c r="R170" i="5" s="1"/>
  <c r="P152" i="5"/>
  <c r="N74" i="5"/>
  <c r="N119" i="5"/>
  <c r="O32" i="5"/>
  <c r="W88" i="5"/>
  <c r="M197" i="5"/>
  <c r="M153" i="5"/>
  <c r="O128" i="5"/>
  <c r="P121" i="5"/>
  <c r="P193" i="5"/>
  <c r="O195" i="5"/>
  <c r="O53" i="5"/>
  <c r="M201" i="5"/>
  <c r="W35" i="5"/>
  <c r="X35" i="5" s="1"/>
  <c r="M165" i="5"/>
  <c r="N152" i="5"/>
  <c r="N197" i="5"/>
  <c r="M65" i="5"/>
  <c r="P154" i="5"/>
  <c r="M92" i="5"/>
  <c r="P10" i="5"/>
  <c r="L104" i="5"/>
  <c r="P104" i="5"/>
  <c r="N104" i="5"/>
  <c r="L14" i="5"/>
  <c r="I14" i="5"/>
  <c r="N14" i="5"/>
  <c r="Q14" i="5" s="1"/>
  <c r="N84" i="5"/>
  <c r="O83" i="5"/>
  <c r="M85" i="5"/>
  <c r="P84" i="5"/>
  <c r="O86" i="5"/>
  <c r="M83" i="5"/>
  <c r="P85" i="5"/>
  <c r="O84" i="5"/>
  <c r="R84" i="5" s="1"/>
  <c r="P82" i="5"/>
  <c r="N86" i="5"/>
  <c r="P83" i="5"/>
  <c r="N85" i="5"/>
  <c r="N82" i="5"/>
  <c r="M136" i="5"/>
  <c r="R136" i="5" s="1"/>
  <c r="P136" i="5"/>
  <c r="P144" i="5"/>
  <c r="N146" i="5"/>
  <c r="M144" i="5"/>
  <c r="O143" i="5"/>
  <c r="M143" i="5"/>
  <c r="O144" i="5"/>
  <c r="P146" i="5"/>
  <c r="O10" i="5"/>
  <c r="M10" i="5"/>
  <c r="O58" i="5"/>
  <c r="P59" i="5"/>
  <c r="O60" i="5"/>
  <c r="O61" i="5"/>
  <c r="N58" i="5"/>
  <c r="M58" i="5"/>
  <c r="N59" i="5"/>
  <c r="M60" i="5"/>
  <c r="P61" i="5"/>
  <c r="W60" i="5"/>
  <c r="AA60" i="5"/>
  <c r="AA52" i="5"/>
  <c r="W52" i="5"/>
  <c r="N181" i="5"/>
  <c r="M181" i="5"/>
  <c r="P163" i="5"/>
  <c r="O163" i="5"/>
  <c r="N163" i="5"/>
  <c r="M163" i="5"/>
  <c r="O200" i="5"/>
  <c r="N200" i="5"/>
  <c r="M198" i="5"/>
  <c r="O197" i="5"/>
  <c r="P198" i="5"/>
  <c r="P197" i="5"/>
  <c r="O198" i="5"/>
  <c r="M81" i="5"/>
  <c r="O79" i="5"/>
  <c r="N79" i="5"/>
  <c r="M79" i="5"/>
  <c r="P80" i="5"/>
  <c r="M77" i="5"/>
  <c r="Q77" i="5" s="1"/>
  <c r="N80" i="5"/>
  <c r="O81" i="5"/>
  <c r="O77" i="5"/>
  <c r="I25" i="5"/>
  <c r="L25" i="5"/>
  <c r="P180" i="5"/>
  <c r="N180" i="5"/>
  <c r="Q138" i="5"/>
  <c r="O134" i="5"/>
  <c r="M135" i="5"/>
  <c r="N132" i="5"/>
  <c r="M133" i="5"/>
  <c r="R133" i="5" s="1"/>
  <c r="N135" i="5"/>
  <c r="M132" i="5"/>
  <c r="P135" i="5"/>
  <c r="O135" i="5"/>
  <c r="Q135" i="5" s="1"/>
  <c r="N134" i="5"/>
  <c r="O132" i="5"/>
  <c r="O133" i="5"/>
  <c r="O109" i="5"/>
  <c r="N109" i="5"/>
  <c r="O111" i="5"/>
  <c r="N111" i="5"/>
  <c r="L176" i="5"/>
  <c r="O176" i="5"/>
  <c r="P176" i="5"/>
  <c r="P24" i="5"/>
  <c r="O25" i="5"/>
  <c r="O24" i="5"/>
  <c r="N25" i="5"/>
  <c r="N24" i="5"/>
  <c r="M24" i="5"/>
  <c r="P23" i="5"/>
  <c r="O26" i="5"/>
  <c r="N23" i="5"/>
  <c r="I24" i="5"/>
  <c r="M26" i="5"/>
  <c r="L9" i="5"/>
  <c r="I27" i="5"/>
  <c r="L27" i="5"/>
  <c r="Q59" i="5"/>
  <c r="AA155" i="5"/>
  <c r="W155" i="5"/>
  <c r="N116" i="5"/>
  <c r="M116" i="5"/>
  <c r="P116" i="5"/>
  <c r="O116" i="5"/>
  <c r="AA85" i="5"/>
  <c r="W85" i="5"/>
  <c r="M114" i="5"/>
  <c r="O114" i="5"/>
  <c r="I30" i="5"/>
  <c r="L30" i="5"/>
  <c r="S15" i="5"/>
  <c r="I37" i="5"/>
  <c r="M37" i="5"/>
  <c r="Q37" i="5" s="1"/>
  <c r="H37" i="5" s="1"/>
  <c r="G37" i="5" s="1"/>
  <c r="L37" i="5"/>
  <c r="M39" i="5"/>
  <c r="I39" i="5"/>
  <c r="N110" i="5"/>
  <c r="M110" i="5"/>
  <c r="P110" i="5"/>
  <c r="O11" i="5"/>
  <c r="O8" i="5"/>
  <c r="Q8" i="5" s="1"/>
  <c r="H8" i="5" s="1"/>
  <c r="P11" i="5"/>
  <c r="N8" i="5"/>
  <c r="P7" i="5"/>
  <c r="O7" i="5"/>
  <c r="L8" i="5"/>
  <c r="M7" i="5"/>
  <c r="R7" i="5" s="1"/>
  <c r="N11" i="5"/>
  <c r="R11" i="5" s="1"/>
  <c r="AA193" i="5"/>
  <c r="W193" i="5"/>
  <c r="M148" i="5"/>
  <c r="N149" i="5"/>
  <c r="M149" i="5"/>
  <c r="R149" i="5" s="1"/>
  <c r="P150" i="5"/>
  <c r="P147" i="5"/>
  <c r="P149" i="5"/>
  <c r="N150" i="5"/>
  <c r="O147" i="5"/>
  <c r="P151" i="5"/>
  <c r="M147" i="5"/>
  <c r="M151" i="5"/>
  <c r="P148" i="5"/>
  <c r="P97" i="5"/>
  <c r="Q190" i="5"/>
  <c r="N99" i="5"/>
  <c r="Q99" i="5" s="1"/>
  <c r="Q17" i="5"/>
  <c r="M107" i="5"/>
  <c r="S7" i="5"/>
  <c r="P99" i="5"/>
  <c r="N15" i="5"/>
  <c r="M97" i="5"/>
  <c r="Q174" i="5"/>
  <c r="O15" i="5"/>
  <c r="R15" i="5" s="1"/>
  <c r="N97" i="5"/>
  <c r="AA32" i="5"/>
  <c r="S134" i="7"/>
  <c r="Y134" i="7"/>
  <c r="K134" i="7"/>
  <c r="X134" i="7"/>
  <c r="G134" i="7"/>
  <c r="D134" i="7"/>
  <c r="C134" i="7"/>
  <c r="B134" i="7"/>
  <c r="I134" i="7"/>
  <c r="Z134" i="7"/>
  <c r="H134" i="7"/>
  <c r="Y52" i="7"/>
  <c r="S52" i="7"/>
  <c r="J56" i="7"/>
  <c r="L56" i="7" s="1"/>
  <c r="C52" i="7"/>
  <c r="D52" i="7"/>
  <c r="J52" i="7"/>
  <c r="L52" i="7" s="1"/>
  <c r="J53" i="7"/>
  <c r="L53" i="7" s="1"/>
  <c r="Z52" i="7"/>
  <c r="K52" i="7"/>
  <c r="I52" i="7"/>
  <c r="B52" i="7"/>
  <c r="X52" i="7"/>
  <c r="H52" i="7"/>
  <c r="G52" i="7"/>
  <c r="J55" i="7"/>
  <c r="L55" i="7" s="1"/>
  <c r="J54" i="7"/>
  <c r="L54" i="7" s="1"/>
  <c r="K128" i="7"/>
  <c r="X128" i="7"/>
  <c r="G128" i="7"/>
  <c r="C128" i="7"/>
  <c r="Z128" i="7"/>
  <c r="S128" i="7"/>
  <c r="B128" i="7"/>
  <c r="Y128" i="7"/>
  <c r="H128" i="7"/>
  <c r="D128" i="7"/>
  <c r="I128" i="7"/>
  <c r="AA128" i="7" s="1"/>
  <c r="C110" i="7"/>
  <c r="Z110" i="7"/>
  <c r="X110" i="7"/>
  <c r="K110" i="7"/>
  <c r="G110" i="7"/>
  <c r="Y110" i="7"/>
  <c r="S110" i="7"/>
  <c r="I110" i="7"/>
  <c r="H110" i="7"/>
  <c r="D110" i="7"/>
  <c r="B110" i="7"/>
  <c r="Z176" i="7"/>
  <c r="C176" i="7"/>
  <c r="K176" i="7"/>
  <c r="S176" i="7"/>
  <c r="H176" i="7"/>
  <c r="G176" i="7"/>
  <c r="X176" i="7"/>
  <c r="B176" i="7"/>
  <c r="I176" i="7"/>
  <c r="D176" i="7"/>
  <c r="Y176" i="7"/>
  <c r="C109" i="7"/>
  <c r="K109" i="7"/>
  <c r="X109" i="7"/>
  <c r="B109" i="7"/>
  <c r="S109" i="7"/>
  <c r="I109" i="7"/>
  <c r="G109" i="7"/>
  <c r="H109" i="7"/>
  <c r="Y109" i="7"/>
  <c r="Z109" i="7"/>
  <c r="D109" i="7"/>
  <c r="H174" i="7"/>
  <c r="G174" i="7"/>
  <c r="Z174" i="7"/>
  <c r="D174" i="7"/>
  <c r="Y174" i="7"/>
  <c r="C174" i="7"/>
  <c r="S174" i="7"/>
  <c r="B174" i="7"/>
  <c r="X174" i="7"/>
  <c r="I174" i="7"/>
  <c r="K174" i="7"/>
  <c r="H124" i="7"/>
  <c r="K124" i="7"/>
  <c r="C124" i="7"/>
  <c r="X124" i="7"/>
  <c r="G124" i="7"/>
  <c r="Z124" i="7"/>
  <c r="I124" i="7"/>
  <c r="B124" i="7"/>
  <c r="S124" i="7"/>
  <c r="D124" i="7"/>
  <c r="Y124" i="7"/>
  <c r="C151" i="7"/>
  <c r="G151" i="7"/>
  <c r="S151" i="7"/>
  <c r="H151" i="7"/>
  <c r="Z151" i="7"/>
  <c r="X151" i="7"/>
  <c r="D151" i="7"/>
  <c r="K151" i="7"/>
  <c r="B151" i="7"/>
  <c r="I151" i="7"/>
  <c r="Y151" i="7"/>
  <c r="S79" i="7"/>
  <c r="K79" i="7"/>
  <c r="B79" i="7"/>
  <c r="Y79" i="7"/>
  <c r="X79" i="7"/>
  <c r="H79" i="7"/>
  <c r="G79" i="7"/>
  <c r="D79" i="7"/>
  <c r="C79" i="7"/>
  <c r="I79" i="7"/>
  <c r="Z79" i="7"/>
  <c r="B29" i="7"/>
  <c r="D29" i="7"/>
  <c r="K29" i="7"/>
  <c r="Z29" i="7"/>
  <c r="C29" i="7"/>
  <c r="K32" i="7"/>
  <c r="B32" i="7"/>
  <c r="J34" i="7"/>
  <c r="C32" i="7"/>
  <c r="J32" i="7"/>
  <c r="Z32" i="7"/>
  <c r="J36" i="7"/>
  <c r="J35" i="7"/>
  <c r="D32" i="7"/>
  <c r="J33" i="7"/>
  <c r="H94" i="7"/>
  <c r="Z94" i="7"/>
  <c r="X94" i="7"/>
  <c r="I94" i="7"/>
  <c r="W94" i="7" s="1"/>
  <c r="C94" i="7"/>
  <c r="Y94" i="7"/>
  <c r="G94" i="7"/>
  <c r="D94" i="7"/>
  <c r="K94" i="7"/>
  <c r="S94" i="7"/>
  <c r="B94" i="7"/>
  <c r="J183" i="7"/>
  <c r="D182" i="7"/>
  <c r="B182" i="7"/>
  <c r="J185" i="7"/>
  <c r="L185" i="7" s="1"/>
  <c r="G182" i="7"/>
  <c r="J186" i="7"/>
  <c r="L186" i="7" s="1"/>
  <c r="C182" i="7"/>
  <c r="J184" i="7"/>
  <c r="L184" i="7" s="1"/>
  <c r="S182" i="7"/>
  <c r="Z182" i="7"/>
  <c r="H182" i="7"/>
  <c r="I182" i="7"/>
  <c r="J182" i="7"/>
  <c r="L182" i="7" s="1"/>
  <c r="K182" i="7"/>
  <c r="X182" i="7"/>
  <c r="Y182" i="7"/>
  <c r="K167" i="7"/>
  <c r="X167" i="7"/>
  <c r="B167" i="7"/>
  <c r="Y167" i="7"/>
  <c r="Z167" i="7"/>
  <c r="J170" i="7"/>
  <c r="L170" i="7" s="1"/>
  <c r="I167" i="7"/>
  <c r="J169" i="7"/>
  <c r="L169" i="7" s="1"/>
  <c r="H167" i="7"/>
  <c r="C167" i="7"/>
  <c r="G167" i="7"/>
  <c r="J168" i="7"/>
  <c r="L168" i="7" s="1"/>
  <c r="S167" i="7"/>
  <c r="J167" i="7"/>
  <c r="L167" i="7" s="1"/>
  <c r="J171" i="7"/>
  <c r="L171" i="7" s="1"/>
  <c r="D167" i="7"/>
  <c r="C10" i="7"/>
  <c r="K10" i="7"/>
  <c r="B10" i="7"/>
  <c r="Z10" i="7"/>
  <c r="D10" i="7"/>
  <c r="B89" i="7"/>
  <c r="Y89" i="7"/>
  <c r="Z89" i="7"/>
  <c r="I89" i="7"/>
  <c r="H89" i="7"/>
  <c r="X89" i="7"/>
  <c r="D89" i="7"/>
  <c r="G89" i="7"/>
  <c r="C89" i="7"/>
  <c r="S89" i="7"/>
  <c r="K89" i="7"/>
  <c r="K179" i="7"/>
  <c r="H179" i="7"/>
  <c r="S179" i="7"/>
  <c r="C179" i="7"/>
  <c r="I179" i="7"/>
  <c r="G179" i="7"/>
  <c r="D179" i="7"/>
  <c r="Z179" i="7"/>
  <c r="B179" i="7"/>
  <c r="Y179" i="7"/>
  <c r="X179" i="7"/>
  <c r="X169" i="7"/>
  <c r="B169" i="7"/>
  <c r="D169" i="7"/>
  <c r="S169" i="7"/>
  <c r="K169" i="7"/>
  <c r="Z169" i="7"/>
  <c r="I169" i="7"/>
  <c r="Y169" i="7"/>
  <c r="C169" i="7"/>
  <c r="H169" i="7"/>
  <c r="G169" i="7"/>
  <c r="I145" i="7"/>
  <c r="X145" i="7"/>
  <c r="B145" i="7"/>
  <c r="Z145" i="7"/>
  <c r="Y145" i="7"/>
  <c r="H145" i="7"/>
  <c r="G145" i="7"/>
  <c r="S145" i="7"/>
  <c r="C145" i="7"/>
  <c r="D145" i="7"/>
  <c r="K145" i="7"/>
  <c r="C69" i="7"/>
  <c r="H69" i="7"/>
  <c r="Y69" i="7"/>
  <c r="X69" i="7"/>
  <c r="G69" i="7"/>
  <c r="D69" i="7"/>
  <c r="K69" i="7"/>
  <c r="Z69" i="7"/>
  <c r="I69" i="7"/>
  <c r="S69" i="7"/>
  <c r="B69" i="7"/>
  <c r="K82" i="7"/>
  <c r="G82" i="7"/>
  <c r="Z82" i="7"/>
  <c r="J86" i="7"/>
  <c r="L86" i="7" s="1"/>
  <c r="I82" i="7"/>
  <c r="Y82" i="7"/>
  <c r="J84" i="7"/>
  <c r="L84" i="7" s="1"/>
  <c r="H82" i="7"/>
  <c r="C82" i="7"/>
  <c r="X82" i="7"/>
  <c r="J83" i="7"/>
  <c r="L83" i="7" s="1"/>
  <c r="J85" i="7"/>
  <c r="L85" i="7" s="1"/>
  <c r="S82" i="7"/>
  <c r="B82" i="7"/>
  <c r="J82" i="7"/>
  <c r="L82" i="7" s="1"/>
  <c r="D82" i="7"/>
  <c r="Z105" i="7"/>
  <c r="D105" i="7"/>
  <c r="G105" i="7"/>
  <c r="Y105" i="7"/>
  <c r="X105" i="7"/>
  <c r="I105" i="7"/>
  <c r="C105" i="7"/>
  <c r="K105" i="7"/>
  <c r="S105" i="7"/>
  <c r="H105" i="7"/>
  <c r="B105" i="7"/>
  <c r="K137" i="7"/>
  <c r="G137" i="7"/>
  <c r="I137" i="7"/>
  <c r="J141" i="7"/>
  <c r="L141" i="7" s="1"/>
  <c r="J138" i="7"/>
  <c r="L138" i="7" s="1"/>
  <c r="J139" i="7"/>
  <c r="L139" i="7" s="1"/>
  <c r="S137" i="7"/>
  <c r="C137" i="7"/>
  <c r="B137" i="7"/>
  <c r="J140" i="7"/>
  <c r="L140" i="7" s="1"/>
  <c r="J137" i="7"/>
  <c r="L137" i="7" s="1"/>
  <c r="D137" i="7"/>
  <c r="Y137" i="7"/>
  <c r="H137" i="7"/>
  <c r="X137" i="7"/>
  <c r="Z137" i="7"/>
  <c r="J196" i="7"/>
  <c r="L196" i="7" s="1"/>
  <c r="B192" i="7"/>
  <c r="I192" i="7"/>
  <c r="J194" i="7"/>
  <c r="L194" i="7" s="1"/>
  <c r="X192" i="7"/>
  <c r="S192" i="7"/>
  <c r="G192" i="7"/>
  <c r="J195" i="7"/>
  <c r="L195" i="7" s="1"/>
  <c r="D192" i="7"/>
  <c r="C192" i="7"/>
  <c r="Z192" i="7"/>
  <c r="Y192" i="7"/>
  <c r="H192" i="7"/>
  <c r="K192" i="7"/>
  <c r="J192" i="7"/>
  <c r="L192" i="7" s="1"/>
  <c r="J193" i="7"/>
  <c r="L193" i="7" s="1"/>
  <c r="D12" i="7"/>
  <c r="J16" i="7"/>
  <c r="I16" i="7" s="1"/>
  <c r="J14" i="7"/>
  <c r="K12" i="7"/>
  <c r="B12" i="7"/>
  <c r="J12" i="7"/>
  <c r="Z12" i="7"/>
  <c r="C12" i="7"/>
  <c r="J15" i="7"/>
  <c r="J13" i="7"/>
  <c r="S135" i="7"/>
  <c r="Y135" i="7"/>
  <c r="Z135" i="7"/>
  <c r="K135" i="7"/>
  <c r="B135" i="7"/>
  <c r="I135" i="7"/>
  <c r="H135" i="7"/>
  <c r="G135" i="7"/>
  <c r="C135" i="7"/>
  <c r="X135" i="7"/>
  <c r="D135" i="7"/>
  <c r="Z66" i="7"/>
  <c r="H66" i="7"/>
  <c r="K66" i="7"/>
  <c r="B66" i="7"/>
  <c r="I66" i="7"/>
  <c r="Y66" i="7"/>
  <c r="X66" i="7"/>
  <c r="D66" i="7"/>
  <c r="C66" i="7"/>
  <c r="S66" i="7"/>
  <c r="G66" i="7"/>
  <c r="S81" i="7"/>
  <c r="X81" i="7"/>
  <c r="I81" i="7"/>
  <c r="Z81" i="7"/>
  <c r="Y81" i="7"/>
  <c r="H81" i="7"/>
  <c r="G81" i="7"/>
  <c r="C81" i="7"/>
  <c r="D81" i="7"/>
  <c r="K81" i="7"/>
  <c r="B81" i="7"/>
  <c r="H131" i="7"/>
  <c r="Y131" i="7"/>
  <c r="X131" i="7"/>
  <c r="G131" i="7"/>
  <c r="Z131" i="7"/>
  <c r="I131" i="7"/>
  <c r="C131" i="7"/>
  <c r="B131" i="7"/>
  <c r="S131" i="7"/>
  <c r="K131" i="7"/>
  <c r="D131" i="7"/>
  <c r="J150" i="7"/>
  <c r="L150" i="7" s="1"/>
  <c r="J148" i="7"/>
  <c r="L148" i="7" s="1"/>
  <c r="H147" i="7"/>
  <c r="S147" i="7"/>
  <c r="G147" i="7"/>
  <c r="J151" i="7"/>
  <c r="L151" i="7" s="1"/>
  <c r="D147" i="7"/>
  <c r="J147" i="7"/>
  <c r="L147" i="7" s="1"/>
  <c r="I147" i="7"/>
  <c r="J149" i="7"/>
  <c r="L149" i="7" s="1"/>
  <c r="Z147" i="7"/>
  <c r="X147" i="7"/>
  <c r="B147" i="7"/>
  <c r="K147" i="7"/>
  <c r="C147" i="7"/>
  <c r="Y147" i="7"/>
  <c r="Y93" i="7"/>
  <c r="K93" i="7"/>
  <c r="D93" i="7"/>
  <c r="H93" i="7"/>
  <c r="X93" i="7"/>
  <c r="G93" i="7"/>
  <c r="C93" i="7"/>
  <c r="S93" i="7"/>
  <c r="Z93" i="7"/>
  <c r="I93" i="7"/>
  <c r="B93" i="7"/>
  <c r="Y199" i="7"/>
  <c r="S199" i="7"/>
  <c r="H199" i="7"/>
  <c r="X199" i="7"/>
  <c r="G199" i="7"/>
  <c r="D199" i="7"/>
  <c r="K199" i="7"/>
  <c r="I199" i="7"/>
  <c r="Z199" i="7"/>
  <c r="C199" i="7"/>
  <c r="B199" i="7"/>
  <c r="K44" i="7"/>
  <c r="Z44" i="7"/>
  <c r="B44" i="7"/>
  <c r="I44" i="7"/>
  <c r="D44" i="7"/>
  <c r="Y44" i="7"/>
  <c r="C44" i="7"/>
  <c r="H44" i="7"/>
  <c r="X44" i="7"/>
  <c r="G44" i="7"/>
  <c r="S44" i="7"/>
  <c r="G113" i="7"/>
  <c r="D113" i="7"/>
  <c r="Y113" i="7"/>
  <c r="Z113" i="7"/>
  <c r="I113" i="7"/>
  <c r="K113" i="7"/>
  <c r="C113" i="7"/>
  <c r="S113" i="7"/>
  <c r="B113" i="7"/>
  <c r="X113" i="7"/>
  <c r="H113" i="7"/>
  <c r="G149" i="7"/>
  <c r="Z149" i="7"/>
  <c r="D149" i="7"/>
  <c r="I149" i="7"/>
  <c r="H149" i="7"/>
  <c r="C149" i="7"/>
  <c r="S149" i="7"/>
  <c r="K149" i="7"/>
  <c r="B149" i="7"/>
  <c r="Y149" i="7"/>
  <c r="X149" i="7"/>
  <c r="Z154" i="7"/>
  <c r="B154" i="7"/>
  <c r="I154" i="7"/>
  <c r="D154" i="7"/>
  <c r="H154" i="7"/>
  <c r="X154" i="7"/>
  <c r="S154" i="7"/>
  <c r="K154" i="7"/>
  <c r="C154" i="7"/>
  <c r="G154" i="7"/>
  <c r="Y154" i="7"/>
  <c r="D11" i="7"/>
  <c r="C11" i="7"/>
  <c r="B11" i="7"/>
  <c r="Z11" i="7"/>
  <c r="K11" i="7"/>
  <c r="X60" i="7"/>
  <c r="G60" i="7"/>
  <c r="B60" i="7"/>
  <c r="Z60" i="7"/>
  <c r="C60" i="7"/>
  <c r="Y60" i="7"/>
  <c r="H60" i="7"/>
  <c r="D60" i="7"/>
  <c r="S60" i="7"/>
  <c r="K60" i="7"/>
  <c r="I60" i="7"/>
  <c r="J118" i="7"/>
  <c r="L118" i="7" s="1"/>
  <c r="J119" i="7"/>
  <c r="L119" i="7" s="1"/>
  <c r="X117" i="7"/>
  <c r="B117" i="7"/>
  <c r="Y117" i="7"/>
  <c r="H117" i="7"/>
  <c r="G117" i="7"/>
  <c r="J117" i="7"/>
  <c r="L117" i="7" s="1"/>
  <c r="J121" i="7"/>
  <c r="L121" i="7" s="1"/>
  <c r="I117" i="7"/>
  <c r="J120" i="7"/>
  <c r="L120" i="7" s="1"/>
  <c r="Z117" i="7"/>
  <c r="D117" i="7"/>
  <c r="S117" i="7"/>
  <c r="C117" i="7"/>
  <c r="K117" i="7"/>
  <c r="Z115" i="7"/>
  <c r="B115" i="7"/>
  <c r="H115" i="7"/>
  <c r="D115" i="7"/>
  <c r="C115" i="7"/>
  <c r="S115" i="7"/>
  <c r="K115" i="7"/>
  <c r="I115" i="7"/>
  <c r="X115" i="7"/>
  <c r="Y115" i="7"/>
  <c r="G115" i="7"/>
  <c r="Z138" i="7"/>
  <c r="B138" i="7"/>
  <c r="Y138" i="7"/>
  <c r="H138" i="7"/>
  <c r="X138" i="7"/>
  <c r="G138" i="7"/>
  <c r="K138" i="7"/>
  <c r="S138" i="7"/>
  <c r="D138" i="7"/>
  <c r="I138" i="7"/>
  <c r="C138" i="7"/>
  <c r="Z43" i="7"/>
  <c r="H43" i="7"/>
  <c r="K43" i="7"/>
  <c r="B43" i="7"/>
  <c r="I43" i="7"/>
  <c r="Y43" i="7"/>
  <c r="X43" i="7"/>
  <c r="S43" i="7"/>
  <c r="G43" i="7"/>
  <c r="C43" i="7"/>
  <c r="D43" i="7"/>
  <c r="Z19" i="7"/>
  <c r="C19" i="7"/>
  <c r="D19" i="7"/>
  <c r="B19" i="7"/>
  <c r="K19" i="7"/>
  <c r="J37" i="7"/>
  <c r="Z37" i="7"/>
  <c r="C37" i="7"/>
  <c r="K37" i="7"/>
  <c r="J39" i="7"/>
  <c r="J38" i="7"/>
  <c r="B37" i="7"/>
  <c r="J41" i="7"/>
  <c r="J40" i="7"/>
  <c r="D37" i="7"/>
  <c r="C30" i="7"/>
  <c r="D30" i="7"/>
  <c r="Z30" i="7"/>
  <c r="K30" i="7"/>
  <c r="B30" i="7"/>
  <c r="H31" i="7"/>
  <c r="Z31" i="7"/>
  <c r="X31" i="7"/>
  <c r="D31" i="7"/>
  <c r="I31" i="7"/>
  <c r="W31" i="7" s="1"/>
  <c r="S31" i="7"/>
  <c r="K31" i="7"/>
  <c r="B31" i="7"/>
  <c r="Y31" i="7"/>
  <c r="G31" i="7"/>
  <c r="C31" i="7"/>
  <c r="Z156" i="7"/>
  <c r="I156" i="7"/>
  <c r="W156" i="7" s="1"/>
  <c r="X156" i="7"/>
  <c r="B156" i="7"/>
  <c r="H156" i="7"/>
  <c r="G156" i="7"/>
  <c r="D156" i="7"/>
  <c r="C156" i="7"/>
  <c r="K156" i="7"/>
  <c r="S156" i="7"/>
  <c r="Y156" i="7"/>
  <c r="S114" i="7"/>
  <c r="G114" i="7"/>
  <c r="Z114" i="7"/>
  <c r="C114" i="7"/>
  <c r="I114" i="7"/>
  <c r="Y114" i="7"/>
  <c r="H114" i="7"/>
  <c r="K114" i="7"/>
  <c r="D114" i="7"/>
  <c r="X114" i="7"/>
  <c r="B114" i="7"/>
  <c r="X64" i="7"/>
  <c r="S64" i="7"/>
  <c r="Y64" i="7"/>
  <c r="K64" i="7"/>
  <c r="B64" i="7"/>
  <c r="Z64" i="7"/>
  <c r="I64" i="7"/>
  <c r="G64" i="7"/>
  <c r="D64" i="7"/>
  <c r="C64" i="7"/>
  <c r="H64" i="7"/>
  <c r="I73" i="7"/>
  <c r="AA73" i="7" s="1"/>
  <c r="C73" i="7"/>
  <c r="X73" i="7"/>
  <c r="S73" i="7"/>
  <c r="K73" i="7"/>
  <c r="B73" i="7"/>
  <c r="Z73" i="7"/>
  <c r="Y73" i="7"/>
  <c r="D73" i="7"/>
  <c r="H73" i="7"/>
  <c r="G73" i="7"/>
  <c r="B58" i="7"/>
  <c r="Y58" i="7"/>
  <c r="Z58" i="7"/>
  <c r="I58" i="7"/>
  <c r="H58" i="7"/>
  <c r="X58" i="7"/>
  <c r="G58" i="7"/>
  <c r="C58" i="7"/>
  <c r="K58" i="7"/>
  <c r="S58" i="7"/>
  <c r="D58" i="7"/>
  <c r="G126" i="7"/>
  <c r="H126" i="7"/>
  <c r="Z126" i="7"/>
  <c r="Y126" i="7"/>
  <c r="B126" i="7"/>
  <c r="I126" i="7"/>
  <c r="K126" i="7"/>
  <c r="C126" i="7"/>
  <c r="D126" i="7"/>
  <c r="X126" i="7"/>
  <c r="S126" i="7"/>
  <c r="Y62" i="7"/>
  <c r="C62" i="7"/>
  <c r="H62" i="7"/>
  <c r="J63" i="7"/>
  <c r="L63" i="7" s="1"/>
  <c r="J66" i="7"/>
  <c r="L66" i="7" s="1"/>
  <c r="B62" i="7"/>
  <c r="J65" i="7"/>
  <c r="L65" i="7" s="1"/>
  <c r="D62" i="7"/>
  <c r="J64" i="7"/>
  <c r="L64" i="7" s="1"/>
  <c r="S62" i="7"/>
  <c r="Z62" i="7"/>
  <c r="G62" i="7"/>
  <c r="K62" i="7"/>
  <c r="J62" i="7"/>
  <c r="L62" i="7" s="1"/>
  <c r="X62" i="7"/>
  <c r="I62" i="7"/>
  <c r="Y159" i="7"/>
  <c r="S159" i="7"/>
  <c r="G159" i="7"/>
  <c r="K159" i="7"/>
  <c r="B159" i="7"/>
  <c r="Z159" i="7"/>
  <c r="I159" i="7"/>
  <c r="X159" i="7"/>
  <c r="D159" i="7"/>
  <c r="C159" i="7"/>
  <c r="H159" i="7"/>
  <c r="B205" i="7"/>
  <c r="Z205" i="7"/>
  <c r="H205" i="7"/>
  <c r="K205" i="7"/>
  <c r="I205" i="7"/>
  <c r="AA205" i="7" s="1"/>
  <c r="Y205" i="7"/>
  <c r="X205" i="7"/>
  <c r="D205" i="7"/>
  <c r="C205" i="7"/>
  <c r="S205" i="7"/>
  <c r="G205" i="7"/>
  <c r="D95" i="7"/>
  <c r="I95" i="7"/>
  <c r="K95" i="7"/>
  <c r="X95" i="7"/>
  <c r="G95" i="7"/>
  <c r="C95" i="7"/>
  <c r="S95" i="7"/>
  <c r="B95" i="7"/>
  <c r="Y95" i="7"/>
  <c r="H95" i="7"/>
  <c r="Z95" i="7"/>
  <c r="D86" i="7"/>
  <c r="K86" i="7"/>
  <c r="Y86" i="7"/>
  <c r="I86" i="7"/>
  <c r="H86" i="7"/>
  <c r="X86" i="7"/>
  <c r="G86" i="7"/>
  <c r="C86" i="7"/>
  <c r="S86" i="7"/>
  <c r="B86" i="7"/>
  <c r="Z86" i="7"/>
  <c r="D9" i="7"/>
  <c r="B9" i="7"/>
  <c r="Z9" i="7"/>
  <c r="C9" i="7"/>
  <c r="K9" i="7"/>
  <c r="H116" i="7"/>
  <c r="K116" i="7"/>
  <c r="C116" i="7"/>
  <c r="Z116" i="7"/>
  <c r="I116" i="7"/>
  <c r="B116" i="7"/>
  <c r="S116" i="7"/>
  <c r="D116" i="7"/>
  <c r="X116" i="7"/>
  <c r="Y116" i="7"/>
  <c r="G116" i="7"/>
  <c r="J136" i="7"/>
  <c r="L136" i="7" s="1"/>
  <c r="K132" i="7"/>
  <c r="J134" i="7"/>
  <c r="L134" i="7" s="1"/>
  <c r="D132" i="7"/>
  <c r="C132" i="7"/>
  <c r="X132" i="7"/>
  <c r="B132" i="7"/>
  <c r="G132" i="7"/>
  <c r="Z132" i="7"/>
  <c r="I132" i="7"/>
  <c r="S132" i="7"/>
  <c r="Y132" i="7"/>
  <c r="J133" i="7"/>
  <c r="L133" i="7" s="1"/>
  <c r="H132" i="7"/>
  <c r="J132" i="7"/>
  <c r="L132" i="7" s="1"/>
  <c r="J135" i="7"/>
  <c r="L135" i="7" s="1"/>
  <c r="B152" i="7"/>
  <c r="G152" i="7"/>
  <c r="J152" i="7"/>
  <c r="L152" i="7" s="1"/>
  <c r="J156" i="7"/>
  <c r="J154" i="7"/>
  <c r="L154" i="7" s="1"/>
  <c r="I152" i="7"/>
  <c r="C152" i="7"/>
  <c r="Y152" i="7"/>
  <c r="J155" i="7"/>
  <c r="L155" i="7" s="1"/>
  <c r="D152" i="7"/>
  <c r="X152" i="7"/>
  <c r="J153" i="7"/>
  <c r="K152" i="7"/>
  <c r="S152" i="7"/>
  <c r="H152" i="7"/>
  <c r="Z152" i="7"/>
  <c r="Y99" i="7"/>
  <c r="B99" i="7"/>
  <c r="I99" i="7"/>
  <c r="H99" i="7"/>
  <c r="K99" i="7"/>
  <c r="S99" i="7"/>
  <c r="G99" i="7"/>
  <c r="D99" i="7"/>
  <c r="X99" i="7"/>
  <c r="Z99" i="7"/>
  <c r="C99" i="7"/>
  <c r="X153" i="7"/>
  <c r="B153" i="7"/>
  <c r="D153" i="7"/>
  <c r="S153" i="7"/>
  <c r="K153" i="7"/>
  <c r="Z153" i="7"/>
  <c r="I153" i="7"/>
  <c r="Y153" i="7"/>
  <c r="H153" i="7"/>
  <c r="C153" i="7"/>
  <c r="G153" i="7"/>
  <c r="K20" i="7"/>
  <c r="C20" i="7"/>
  <c r="Z20" i="7"/>
  <c r="B20" i="7"/>
  <c r="D20" i="7"/>
  <c r="B190" i="7"/>
  <c r="C190" i="7"/>
  <c r="Y190" i="7"/>
  <c r="H190" i="7"/>
  <c r="X190" i="7"/>
  <c r="G190" i="7"/>
  <c r="D190" i="7"/>
  <c r="S190" i="7"/>
  <c r="K190" i="7"/>
  <c r="Z190" i="7"/>
  <c r="I190" i="7"/>
  <c r="D40" i="7"/>
  <c r="C40" i="7"/>
  <c r="K40" i="7"/>
  <c r="B40" i="7"/>
  <c r="Z40" i="7"/>
  <c r="Z21" i="7"/>
  <c r="K21" i="7"/>
  <c r="D21" i="7"/>
  <c r="C21" i="7"/>
  <c r="B21" i="7"/>
  <c r="B98" i="7"/>
  <c r="C98" i="7"/>
  <c r="X98" i="7"/>
  <c r="H98" i="7"/>
  <c r="Z98" i="7"/>
  <c r="G98" i="7"/>
  <c r="I98" i="7"/>
  <c r="S98" i="7"/>
  <c r="K98" i="7"/>
  <c r="D98" i="7"/>
  <c r="Y98" i="7"/>
  <c r="K96" i="7"/>
  <c r="B96" i="7"/>
  <c r="I96" i="7"/>
  <c r="Y96" i="7"/>
  <c r="X96" i="7"/>
  <c r="G96" i="7"/>
  <c r="D96" i="7"/>
  <c r="C96" i="7"/>
  <c r="H96" i="7"/>
  <c r="Z96" i="7"/>
  <c r="S96" i="7"/>
  <c r="K25" i="7"/>
  <c r="D25" i="7"/>
  <c r="C25" i="7"/>
  <c r="B25" i="7"/>
  <c r="Z25" i="7"/>
  <c r="I25" i="7"/>
  <c r="D103" i="7"/>
  <c r="H103" i="7"/>
  <c r="X103" i="7"/>
  <c r="I103" i="7"/>
  <c r="G103" i="7"/>
  <c r="C103" i="7"/>
  <c r="Z103" i="7"/>
  <c r="Y103" i="7"/>
  <c r="B103" i="7"/>
  <c r="S103" i="7"/>
  <c r="K103" i="7"/>
  <c r="H162" i="7"/>
  <c r="J165" i="7"/>
  <c r="L165" i="7" s="1"/>
  <c r="X162" i="7"/>
  <c r="J164" i="7"/>
  <c r="L164" i="7" s="1"/>
  <c r="S162" i="7"/>
  <c r="J162" i="7"/>
  <c r="L162" i="7" s="1"/>
  <c r="K162" i="7"/>
  <c r="I162" i="7"/>
  <c r="D162" i="7"/>
  <c r="Y162" i="7"/>
  <c r="C162" i="7"/>
  <c r="G162" i="7"/>
  <c r="J166" i="7"/>
  <c r="L166" i="7" s="1"/>
  <c r="J163" i="7"/>
  <c r="L163" i="7" s="1"/>
  <c r="Z162" i="7"/>
  <c r="B162" i="7"/>
  <c r="K34" i="7"/>
  <c r="B34" i="7"/>
  <c r="Z34" i="7"/>
  <c r="D34" i="7"/>
  <c r="C34" i="7"/>
  <c r="K17" i="7"/>
  <c r="J19" i="7"/>
  <c r="J18" i="7"/>
  <c r="D17" i="7"/>
  <c r="C17" i="7"/>
  <c r="B17" i="7"/>
  <c r="J17" i="7"/>
  <c r="Z17" i="7"/>
  <c r="I17" i="7"/>
  <c r="J20" i="7"/>
  <c r="L20" i="7" s="1"/>
  <c r="J21" i="7"/>
  <c r="K39" i="7"/>
  <c r="B39" i="7"/>
  <c r="D39" i="7"/>
  <c r="C39" i="7"/>
  <c r="Z39" i="7"/>
  <c r="Y101" i="7"/>
  <c r="I101" i="7"/>
  <c r="X101" i="7"/>
  <c r="B101" i="7"/>
  <c r="K101" i="7"/>
  <c r="S101" i="7"/>
  <c r="H101" i="7"/>
  <c r="D101" i="7"/>
  <c r="Z101" i="7"/>
  <c r="C101" i="7"/>
  <c r="G101" i="7"/>
  <c r="H148" i="7"/>
  <c r="S148" i="7"/>
  <c r="D148" i="7"/>
  <c r="K148" i="7"/>
  <c r="Y148" i="7"/>
  <c r="X148" i="7"/>
  <c r="G148" i="7"/>
  <c r="C148" i="7"/>
  <c r="I148" i="7"/>
  <c r="Z148" i="7"/>
  <c r="B148" i="7"/>
  <c r="D120" i="7"/>
  <c r="S120" i="7"/>
  <c r="X120" i="7"/>
  <c r="Y120" i="7"/>
  <c r="H120" i="7"/>
  <c r="I120" i="7"/>
  <c r="G120" i="7"/>
  <c r="Z120" i="7"/>
  <c r="C120" i="7"/>
  <c r="K120" i="7"/>
  <c r="O121" i="7" s="1"/>
  <c r="B120" i="7"/>
  <c r="J176" i="7"/>
  <c r="L176" i="7" s="1"/>
  <c r="J172" i="7"/>
  <c r="L172" i="7" s="1"/>
  <c r="X172" i="7"/>
  <c r="B172" i="7"/>
  <c r="D172" i="7"/>
  <c r="J173" i="7"/>
  <c r="L173" i="7" s="1"/>
  <c r="J174" i="7"/>
  <c r="K172" i="7"/>
  <c r="O172" i="7" s="1"/>
  <c r="J175" i="7"/>
  <c r="L175" i="7" s="1"/>
  <c r="C172" i="7"/>
  <c r="Y172" i="7"/>
  <c r="Z172" i="7"/>
  <c r="H172" i="7"/>
  <c r="I172" i="7"/>
  <c r="G172" i="7"/>
  <c r="S172" i="7"/>
  <c r="Y175" i="7"/>
  <c r="S175" i="7"/>
  <c r="K175" i="7"/>
  <c r="B175" i="7"/>
  <c r="I175" i="7"/>
  <c r="H175" i="7"/>
  <c r="G175" i="7"/>
  <c r="D175" i="7"/>
  <c r="X175" i="7"/>
  <c r="Z175" i="7"/>
  <c r="C175" i="7"/>
  <c r="B14" i="7"/>
  <c r="C14" i="7"/>
  <c r="Z14" i="7"/>
  <c r="D14" i="7"/>
  <c r="S12" i="7" s="1"/>
  <c r="K14" i="7"/>
  <c r="N13" i="7" s="1"/>
  <c r="J80" i="7"/>
  <c r="L80" i="7" s="1"/>
  <c r="J78" i="7"/>
  <c r="L78" i="7" s="1"/>
  <c r="Z77" i="7"/>
  <c r="D77" i="7"/>
  <c r="H77" i="7"/>
  <c r="J77" i="7"/>
  <c r="L77" i="7" s="1"/>
  <c r="J79" i="7"/>
  <c r="L79" i="7" s="1"/>
  <c r="C77" i="7"/>
  <c r="S77" i="7"/>
  <c r="I77" i="7"/>
  <c r="K77" i="7"/>
  <c r="Y77" i="7"/>
  <c r="B77" i="7"/>
  <c r="X77" i="7"/>
  <c r="G77" i="7"/>
  <c r="J81" i="7"/>
  <c r="L81" i="7" s="1"/>
  <c r="S189" i="7"/>
  <c r="G189" i="7"/>
  <c r="K189" i="7"/>
  <c r="D189" i="7"/>
  <c r="X189" i="7"/>
  <c r="B189" i="7"/>
  <c r="Z189" i="7"/>
  <c r="I189" i="7"/>
  <c r="Y189" i="7"/>
  <c r="H189" i="7"/>
  <c r="C189" i="7"/>
  <c r="Z16" i="7"/>
  <c r="D16" i="7"/>
  <c r="C16" i="7"/>
  <c r="K16" i="7"/>
  <c r="O13" i="7" s="1"/>
  <c r="B16" i="7"/>
  <c r="I140" i="7"/>
  <c r="X140" i="7"/>
  <c r="K140" i="7"/>
  <c r="Y140" i="7"/>
  <c r="H140" i="7"/>
  <c r="G140" i="7"/>
  <c r="D140" i="7"/>
  <c r="C140" i="7"/>
  <c r="Z140" i="7"/>
  <c r="S140" i="7"/>
  <c r="B140" i="7"/>
  <c r="C127" i="7"/>
  <c r="X127" i="7"/>
  <c r="J130" i="7"/>
  <c r="L130" i="7" s="1"/>
  <c r="I127" i="7"/>
  <c r="AA127" i="7" s="1"/>
  <c r="D127" i="7"/>
  <c r="J131" i="7"/>
  <c r="L131" i="7" s="1"/>
  <c r="J129" i="7"/>
  <c r="L129" i="7" s="1"/>
  <c r="J127" i="7"/>
  <c r="L127" i="7" s="1"/>
  <c r="J128" i="7"/>
  <c r="L128" i="7" s="1"/>
  <c r="S127" i="7"/>
  <c r="B127" i="7"/>
  <c r="Z127" i="7"/>
  <c r="H127" i="7"/>
  <c r="Y127" i="7"/>
  <c r="G127" i="7"/>
  <c r="K127" i="7"/>
  <c r="C203" i="7"/>
  <c r="Y203" i="7"/>
  <c r="S203" i="7"/>
  <c r="X203" i="7"/>
  <c r="K203" i="7"/>
  <c r="N203" i="7" s="1"/>
  <c r="B203" i="7"/>
  <c r="Z203" i="7"/>
  <c r="G203" i="7"/>
  <c r="D203" i="7"/>
  <c r="I203" i="7"/>
  <c r="H203" i="7"/>
  <c r="Y181" i="7"/>
  <c r="G181" i="7"/>
  <c r="K181" i="7"/>
  <c r="B181" i="7"/>
  <c r="H181" i="7"/>
  <c r="X181" i="7"/>
  <c r="Z181" i="7"/>
  <c r="C181" i="7"/>
  <c r="I181" i="7"/>
  <c r="W181" i="7" s="1"/>
  <c r="S181" i="7"/>
  <c r="D181" i="7"/>
  <c r="Y188" i="7"/>
  <c r="C188" i="7"/>
  <c r="X188" i="7"/>
  <c r="S188" i="7"/>
  <c r="K188" i="7"/>
  <c r="Z188" i="7"/>
  <c r="I188" i="7"/>
  <c r="H188" i="7"/>
  <c r="D188" i="7"/>
  <c r="G188" i="7"/>
  <c r="B188" i="7"/>
  <c r="B35" i="7"/>
  <c r="D35" i="7"/>
  <c r="Z35" i="7"/>
  <c r="C35" i="7"/>
  <c r="K35" i="7"/>
  <c r="J145" i="7"/>
  <c r="L145" i="7" s="1"/>
  <c r="J142" i="7"/>
  <c r="L142" i="7" s="1"/>
  <c r="C142" i="7"/>
  <c r="Z142" i="7"/>
  <c r="J143" i="7"/>
  <c r="L143" i="7" s="1"/>
  <c r="Y142" i="7"/>
  <c r="S142" i="7"/>
  <c r="I142" i="7"/>
  <c r="J146" i="7"/>
  <c r="L146" i="7" s="1"/>
  <c r="D142" i="7"/>
  <c r="K142" i="7"/>
  <c r="B142" i="7"/>
  <c r="X142" i="7"/>
  <c r="G142" i="7"/>
  <c r="H142" i="7"/>
  <c r="J144" i="7"/>
  <c r="L144" i="7" s="1"/>
  <c r="K8" i="7"/>
  <c r="Z8" i="7"/>
  <c r="D8" i="7"/>
  <c r="C8" i="7"/>
  <c r="B8" i="7"/>
  <c r="Y161" i="7"/>
  <c r="S161" i="7"/>
  <c r="G161" i="7"/>
  <c r="K161" i="7"/>
  <c r="B161" i="7"/>
  <c r="Z161" i="7"/>
  <c r="I161" i="7"/>
  <c r="H161" i="7"/>
  <c r="X161" i="7"/>
  <c r="C161" i="7"/>
  <c r="D161" i="7"/>
  <c r="H68" i="7"/>
  <c r="D68" i="7"/>
  <c r="S68" i="7"/>
  <c r="K68" i="7"/>
  <c r="B68" i="7"/>
  <c r="Z68" i="7"/>
  <c r="C68" i="7"/>
  <c r="I68" i="7"/>
  <c r="Y68" i="7"/>
  <c r="X68" i="7"/>
  <c r="G68" i="7"/>
  <c r="H206" i="7"/>
  <c r="K206" i="7"/>
  <c r="C206" i="7"/>
  <c r="D206" i="7"/>
  <c r="S206" i="7"/>
  <c r="B206" i="7"/>
  <c r="Z206" i="7"/>
  <c r="I206" i="7"/>
  <c r="X206" i="7"/>
  <c r="G206" i="7"/>
  <c r="Y206" i="7"/>
  <c r="Z38" i="7"/>
  <c r="K38" i="7"/>
  <c r="B38" i="7"/>
  <c r="D38" i="7"/>
  <c r="C38" i="7"/>
  <c r="X78" i="7"/>
  <c r="I78" i="7"/>
  <c r="C78" i="7"/>
  <c r="Y78" i="7"/>
  <c r="H78" i="7"/>
  <c r="G78" i="7"/>
  <c r="D78" i="7"/>
  <c r="S78" i="7"/>
  <c r="K78" i="7"/>
  <c r="B78" i="7"/>
  <c r="Z78" i="7"/>
  <c r="K196" i="7"/>
  <c r="I196" i="7"/>
  <c r="X196" i="7"/>
  <c r="D196" i="7"/>
  <c r="G196" i="7"/>
  <c r="C196" i="7"/>
  <c r="S196" i="7"/>
  <c r="B196" i="7"/>
  <c r="Z196" i="7"/>
  <c r="Y196" i="7"/>
  <c r="H196" i="7"/>
  <c r="K121" i="7"/>
  <c r="Y121" i="7"/>
  <c r="G121" i="7"/>
  <c r="C121" i="7"/>
  <c r="H121" i="7"/>
  <c r="S121" i="7"/>
  <c r="B121" i="7"/>
  <c r="I121" i="7"/>
  <c r="X121" i="7"/>
  <c r="D121" i="7"/>
  <c r="Z121" i="7"/>
  <c r="Y75" i="7"/>
  <c r="S75" i="7"/>
  <c r="G75" i="7"/>
  <c r="Z75" i="7"/>
  <c r="I75" i="7"/>
  <c r="H75" i="7"/>
  <c r="X75" i="7"/>
  <c r="C75" i="7"/>
  <c r="B75" i="7"/>
  <c r="K75" i="7"/>
  <c r="O76" i="7" s="1"/>
  <c r="D75" i="7"/>
  <c r="K23" i="7"/>
  <c r="B23" i="7"/>
  <c r="C23" i="7"/>
  <c r="Z23" i="7"/>
  <c r="D23" i="7"/>
  <c r="C144" i="7"/>
  <c r="D144" i="7"/>
  <c r="B144" i="7"/>
  <c r="Y144" i="7"/>
  <c r="H144" i="7"/>
  <c r="G144" i="7"/>
  <c r="X144" i="7"/>
  <c r="S144" i="7"/>
  <c r="Z144" i="7"/>
  <c r="I144" i="7"/>
  <c r="AA144" i="7" s="1"/>
  <c r="K144" i="7"/>
  <c r="H125" i="7"/>
  <c r="D125" i="7"/>
  <c r="C125" i="7"/>
  <c r="B125" i="7"/>
  <c r="Y125" i="7"/>
  <c r="I125" i="7"/>
  <c r="Z125" i="7"/>
  <c r="X125" i="7"/>
  <c r="K125" i="7"/>
  <c r="G125" i="7"/>
  <c r="S125" i="7"/>
  <c r="Y168" i="7"/>
  <c r="H168" i="7"/>
  <c r="X168" i="7"/>
  <c r="C168" i="7"/>
  <c r="G168" i="7"/>
  <c r="K168" i="7"/>
  <c r="B168" i="7"/>
  <c r="Z168" i="7"/>
  <c r="I168" i="7"/>
  <c r="D168" i="7"/>
  <c r="S168" i="7"/>
  <c r="X198" i="7"/>
  <c r="S198" i="7"/>
  <c r="G198" i="7"/>
  <c r="B198" i="7"/>
  <c r="C198" i="7"/>
  <c r="Z198" i="7"/>
  <c r="Y198" i="7"/>
  <c r="H198" i="7"/>
  <c r="D198" i="7"/>
  <c r="K198" i="7"/>
  <c r="N200" i="7" s="1"/>
  <c r="I198" i="7"/>
  <c r="I204" i="7"/>
  <c r="C204" i="7"/>
  <c r="G204" i="7"/>
  <c r="Y204" i="7"/>
  <c r="H204" i="7"/>
  <c r="X204" i="7"/>
  <c r="D204" i="7"/>
  <c r="S204" i="7"/>
  <c r="Z204" i="7"/>
  <c r="K204" i="7"/>
  <c r="B204" i="7"/>
  <c r="J160" i="7"/>
  <c r="L160" i="7" s="1"/>
  <c r="Y157" i="7"/>
  <c r="C157" i="7"/>
  <c r="I157" i="7"/>
  <c r="G157" i="7"/>
  <c r="H157" i="7"/>
  <c r="J161" i="7"/>
  <c r="L161" i="7" s="1"/>
  <c r="J157" i="7"/>
  <c r="L157" i="7" s="1"/>
  <c r="D157" i="7"/>
  <c r="Z157" i="7"/>
  <c r="J159" i="7"/>
  <c r="L159" i="7" s="1"/>
  <c r="J158" i="7"/>
  <c r="L158" i="7" s="1"/>
  <c r="B157" i="7"/>
  <c r="X157" i="7"/>
  <c r="S157" i="7"/>
  <c r="K157" i="7"/>
  <c r="S97" i="7"/>
  <c r="B97" i="7"/>
  <c r="H97" i="7"/>
  <c r="X97" i="7"/>
  <c r="C97" i="7"/>
  <c r="I97" i="7"/>
  <c r="G97" i="7"/>
  <c r="K97" i="7"/>
  <c r="Z97" i="7"/>
  <c r="D97" i="7"/>
  <c r="J98" i="7"/>
  <c r="L98" i="7" s="1"/>
  <c r="J97" i="7"/>
  <c r="L97" i="7" s="1"/>
  <c r="Y97" i="7"/>
  <c r="J99" i="7"/>
  <c r="L99" i="7" s="1"/>
  <c r="J100" i="7"/>
  <c r="L100" i="7" s="1"/>
  <c r="J101" i="7"/>
  <c r="L101" i="7" s="1"/>
  <c r="B119" i="7"/>
  <c r="Z119" i="7"/>
  <c r="I119" i="7"/>
  <c r="AA119" i="7" s="1"/>
  <c r="Y119" i="7"/>
  <c r="D119" i="7"/>
  <c r="X119" i="7"/>
  <c r="H119" i="7"/>
  <c r="S119" i="7"/>
  <c r="K119" i="7"/>
  <c r="G119" i="7"/>
  <c r="C119" i="7"/>
  <c r="S136" i="7"/>
  <c r="X136" i="7"/>
  <c r="Z136" i="7"/>
  <c r="H136" i="7"/>
  <c r="D136" i="7"/>
  <c r="G136" i="7"/>
  <c r="C136" i="7"/>
  <c r="K136" i="7"/>
  <c r="B136" i="7"/>
  <c r="Y136" i="7"/>
  <c r="I136" i="7"/>
  <c r="K185" i="7"/>
  <c r="C185" i="7"/>
  <c r="S185" i="7"/>
  <c r="B185" i="7"/>
  <c r="X185" i="7"/>
  <c r="G185" i="7"/>
  <c r="Z185" i="7"/>
  <c r="I185" i="7"/>
  <c r="Y185" i="7"/>
  <c r="H185" i="7"/>
  <c r="D185" i="7"/>
  <c r="S88" i="7"/>
  <c r="H88" i="7"/>
  <c r="Z88" i="7"/>
  <c r="K88" i="7"/>
  <c r="B88" i="7"/>
  <c r="I88" i="7"/>
  <c r="X88" i="7"/>
  <c r="G88" i="7"/>
  <c r="D88" i="7"/>
  <c r="C88" i="7"/>
  <c r="Y88" i="7"/>
  <c r="G63" i="7"/>
  <c r="Z63" i="7"/>
  <c r="S63" i="7"/>
  <c r="K63" i="7"/>
  <c r="B63" i="7"/>
  <c r="Y63" i="7"/>
  <c r="H63" i="7"/>
  <c r="I63" i="7"/>
  <c r="X63" i="7"/>
  <c r="D63" i="7"/>
  <c r="C63" i="7"/>
  <c r="H184" i="7"/>
  <c r="K184" i="7"/>
  <c r="D184" i="7"/>
  <c r="C184" i="7"/>
  <c r="X184" i="7"/>
  <c r="G184" i="7"/>
  <c r="S184" i="7"/>
  <c r="Z184" i="7"/>
  <c r="Y184" i="7"/>
  <c r="I184" i="7"/>
  <c r="B184" i="7"/>
  <c r="C80" i="7"/>
  <c r="Y80" i="7"/>
  <c r="B80" i="7"/>
  <c r="Z80" i="7"/>
  <c r="I80" i="7"/>
  <c r="X80" i="7"/>
  <c r="G80" i="7"/>
  <c r="H80" i="7"/>
  <c r="D80" i="7"/>
  <c r="K80" i="7"/>
  <c r="N79" i="7" s="1"/>
  <c r="S80" i="7"/>
  <c r="H155" i="7"/>
  <c r="D155" i="7"/>
  <c r="S155" i="7"/>
  <c r="K155" i="7"/>
  <c r="C155" i="7"/>
  <c r="Z155" i="7"/>
  <c r="B155" i="7"/>
  <c r="I155" i="7"/>
  <c r="Y155" i="7"/>
  <c r="X155" i="7"/>
  <c r="G155" i="7"/>
  <c r="D70" i="7"/>
  <c r="K70" i="7"/>
  <c r="C70" i="7"/>
  <c r="S70" i="7"/>
  <c r="B70" i="7"/>
  <c r="Z70" i="7"/>
  <c r="Y70" i="7"/>
  <c r="I70" i="7"/>
  <c r="H70" i="7"/>
  <c r="X70" i="7"/>
  <c r="G70" i="7"/>
  <c r="Y71" i="7"/>
  <c r="X71" i="7"/>
  <c r="H71" i="7"/>
  <c r="C71" i="7"/>
  <c r="Z71" i="7"/>
  <c r="I71" i="7"/>
  <c r="G71" i="7"/>
  <c r="D71" i="7"/>
  <c r="K71" i="7"/>
  <c r="O71" i="7" s="1"/>
  <c r="B71" i="7"/>
  <c r="S71" i="7"/>
  <c r="G171" i="7"/>
  <c r="D171" i="7"/>
  <c r="Z171" i="7"/>
  <c r="B171" i="7"/>
  <c r="I171" i="7"/>
  <c r="W171" i="7" s="1"/>
  <c r="S171" i="7"/>
  <c r="Y171" i="7"/>
  <c r="X171" i="7"/>
  <c r="H171" i="7"/>
  <c r="C171" i="7"/>
  <c r="K171" i="7"/>
  <c r="C7" i="7"/>
  <c r="I7" i="7"/>
  <c r="W7" i="7" s="1"/>
  <c r="X7" i="7" s="1"/>
  <c r="B7" i="7"/>
  <c r="J8" i="7"/>
  <c r="K7" i="7"/>
  <c r="J7" i="7"/>
  <c r="Z7" i="7"/>
  <c r="J11" i="7"/>
  <c r="L11" i="7" s="1"/>
  <c r="J9" i="7"/>
  <c r="J10" i="7"/>
  <c r="D7" i="7"/>
  <c r="J23" i="7"/>
  <c r="J25" i="7"/>
  <c r="J26" i="7"/>
  <c r="J24" i="7"/>
  <c r="Z22" i="7"/>
  <c r="D22" i="7"/>
  <c r="C22" i="7"/>
  <c r="J22" i="7"/>
  <c r="B22" i="7"/>
  <c r="K22" i="7"/>
  <c r="K28" i="7"/>
  <c r="C28" i="7"/>
  <c r="Z28" i="7"/>
  <c r="B28" i="7"/>
  <c r="D28" i="7"/>
  <c r="S166" i="7"/>
  <c r="Y166" i="7"/>
  <c r="X166" i="7"/>
  <c r="K166" i="7"/>
  <c r="B166" i="7"/>
  <c r="G166" i="7"/>
  <c r="I166" i="7"/>
  <c r="H166" i="7"/>
  <c r="D166" i="7"/>
  <c r="C166" i="7"/>
  <c r="Z166" i="7"/>
  <c r="I100" i="7"/>
  <c r="C100" i="7"/>
  <c r="B100" i="7"/>
  <c r="X100" i="7"/>
  <c r="K100" i="7"/>
  <c r="M97" i="7" s="1"/>
  <c r="G100" i="7"/>
  <c r="Z100" i="7"/>
  <c r="H100" i="7"/>
  <c r="S100" i="7"/>
  <c r="D100" i="7"/>
  <c r="Y100" i="7"/>
  <c r="D53" i="7"/>
  <c r="I53" i="7"/>
  <c r="W53" i="7" s="1"/>
  <c r="K53" i="7"/>
  <c r="P54" i="7" s="1"/>
  <c r="R54" i="7" s="1"/>
  <c r="Y53" i="7"/>
  <c r="H53" i="7"/>
  <c r="X53" i="7"/>
  <c r="G53" i="7"/>
  <c r="C53" i="7"/>
  <c r="S53" i="7"/>
  <c r="Z53" i="7"/>
  <c r="B53" i="7"/>
  <c r="X178" i="7"/>
  <c r="H178" i="7"/>
  <c r="B178" i="7"/>
  <c r="G178" i="7"/>
  <c r="S178" i="7"/>
  <c r="K178" i="7"/>
  <c r="Z178" i="7"/>
  <c r="Y178" i="7"/>
  <c r="I178" i="7"/>
  <c r="D178" i="7"/>
  <c r="C178" i="7"/>
  <c r="G194" i="7"/>
  <c r="Y194" i="7"/>
  <c r="S194" i="7"/>
  <c r="D194" i="7"/>
  <c r="C194" i="7"/>
  <c r="K194" i="7"/>
  <c r="B194" i="7"/>
  <c r="I194" i="7"/>
  <c r="X194" i="7"/>
  <c r="H194" i="7"/>
  <c r="Z194" i="7"/>
  <c r="X49" i="7"/>
  <c r="D49" i="7"/>
  <c r="H49" i="7"/>
  <c r="K49" i="7"/>
  <c r="S49" i="7"/>
  <c r="B49" i="7"/>
  <c r="Z49" i="7"/>
  <c r="I49" i="7"/>
  <c r="G49" i="7"/>
  <c r="C49" i="7"/>
  <c r="Y49" i="7"/>
  <c r="Z13" i="7"/>
  <c r="D13" i="7"/>
  <c r="K13" i="7"/>
  <c r="B13" i="7"/>
  <c r="C13" i="7"/>
  <c r="J90" i="7"/>
  <c r="L90" i="7" s="1"/>
  <c r="J87" i="7"/>
  <c r="L87" i="7" s="1"/>
  <c r="D87" i="7"/>
  <c r="Y87" i="7"/>
  <c r="J89" i="7"/>
  <c r="L89" i="7" s="1"/>
  <c r="H87" i="7"/>
  <c r="C87" i="7"/>
  <c r="I87" i="7"/>
  <c r="J88" i="7"/>
  <c r="L88" i="7" s="1"/>
  <c r="Z87" i="7"/>
  <c r="X87" i="7"/>
  <c r="G87" i="7"/>
  <c r="S87" i="7"/>
  <c r="J91" i="7"/>
  <c r="L91" i="7" s="1"/>
  <c r="K87" i="7"/>
  <c r="B87" i="7"/>
  <c r="G45" i="7"/>
  <c r="Z45" i="7"/>
  <c r="C45" i="7"/>
  <c r="H45" i="7"/>
  <c r="X45" i="7"/>
  <c r="D45" i="7"/>
  <c r="K45" i="7"/>
  <c r="B45" i="7"/>
  <c r="I45" i="7"/>
  <c r="W45" i="7" s="1"/>
  <c r="Y45" i="7"/>
  <c r="S45" i="7"/>
  <c r="I146" i="7"/>
  <c r="C146" i="7"/>
  <c r="X146" i="7"/>
  <c r="D146" i="7"/>
  <c r="Z146" i="7"/>
  <c r="Y146" i="7"/>
  <c r="H146" i="7"/>
  <c r="G146" i="7"/>
  <c r="S146" i="7"/>
  <c r="K146" i="7"/>
  <c r="B146" i="7"/>
  <c r="D33" i="7"/>
  <c r="Z33" i="7"/>
  <c r="C33" i="7"/>
  <c r="K33" i="7"/>
  <c r="I33" i="7" s="1"/>
  <c r="B33" i="7"/>
  <c r="K27" i="7"/>
  <c r="D27" i="7"/>
  <c r="J29" i="7"/>
  <c r="C27" i="7"/>
  <c r="J30" i="7"/>
  <c r="L30" i="7" s="1"/>
  <c r="J28" i="7"/>
  <c r="L28" i="7" s="1"/>
  <c r="J31" i="7"/>
  <c r="J27" i="7"/>
  <c r="B27" i="7"/>
  <c r="Z27" i="7"/>
  <c r="X165" i="7"/>
  <c r="H165" i="7"/>
  <c r="C165" i="7"/>
  <c r="S165" i="7"/>
  <c r="K165" i="7"/>
  <c r="M165" i="7" s="1"/>
  <c r="B165" i="7"/>
  <c r="Y165" i="7"/>
  <c r="I165" i="7"/>
  <c r="D165" i="7"/>
  <c r="Z165" i="7"/>
  <c r="G165" i="7"/>
  <c r="Y59" i="7"/>
  <c r="B59" i="7"/>
  <c r="Z59" i="7"/>
  <c r="I59" i="7"/>
  <c r="H59" i="7"/>
  <c r="G59" i="7"/>
  <c r="K59" i="7"/>
  <c r="X59" i="7"/>
  <c r="D59" i="7"/>
  <c r="S59" i="7"/>
  <c r="C59" i="7"/>
  <c r="G163" i="7"/>
  <c r="Z163" i="7"/>
  <c r="C163" i="7"/>
  <c r="D163" i="7"/>
  <c r="K163" i="7"/>
  <c r="B163" i="7"/>
  <c r="S163" i="7"/>
  <c r="I163" i="7"/>
  <c r="Y163" i="7"/>
  <c r="H163" i="7"/>
  <c r="X163" i="7"/>
  <c r="D195" i="7"/>
  <c r="G195" i="7"/>
  <c r="K195" i="7"/>
  <c r="O194" i="7" s="1"/>
  <c r="C195" i="7"/>
  <c r="S195" i="7"/>
  <c r="B195" i="7"/>
  <c r="Z195" i="7"/>
  <c r="I195" i="7"/>
  <c r="H195" i="7"/>
  <c r="X195" i="7"/>
  <c r="Y195" i="7"/>
  <c r="I118" i="7"/>
  <c r="H118" i="7"/>
  <c r="D118" i="7"/>
  <c r="B118" i="7"/>
  <c r="G118" i="7"/>
  <c r="Z118" i="7"/>
  <c r="Y118" i="7"/>
  <c r="S118" i="7"/>
  <c r="K118" i="7"/>
  <c r="N121" i="7" s="1"/>
  <c r="C118" i="7"/>
  <c r="X118" i="7"/>
  <c r="S67" i="7"/>
  <c r="X67" i="7"/>
  <c r="K67" i="7"/>
  <c r="M70" i="7" s="1"/>
  <c r="G67" i="7"/>
  <c r="J67" i="7"/>
  <c r="J70" i="7"/>
  <c r="L70" i="7" s="1"/>
  <c r="Z67" i="7"/>
  <c r="D67" i="7"/>
  <c r="Y67" i="7"/>
  <c r="H67" i="7"/>
  <c r="J71" i="7"/>
  <c r="L71" i="7" s="1"/>
  <c r="J68" i="7"/>
  <c r="L68" i="7" s="1"/>
  <c r="J69" i="7"/>
  <c r="L69" i="7" s="1"/>
  <c r="B67" i="7"/>
  <c r="C67" i="7"/>
  <c r="I67" i="7"/>
  <c r="S158" i="7"/>
  <c r="Z158" i="7"/>
  <c r="K158" i="7"/>
  <c r="G158" i="7"/>
  <c r="Y158" i="7"/>
  <c r="I158" i="7"/>
  <c r="H158" i="7"/>
  <c r="D158" i="7"/>
  <c r="C158" i="7"/>
  <c r="B158" i="7"/>
  <c r="X158" i="7"/>
  <c r="H91" i="7"/>
  <c r="K91" i="7"/>
  <c r="M91" i="7" s="1"/>
  <c r="C91" i="7"/>
  <c r="D91" i="7"/>
  <c r="S91" i="7"/>
  <c r="B91" i="7"/>
  <c r="Z91" i="7"/>
  <c r="I91" i="7"/>
  <c r="AA91" i="7" s="1"/>
  <c r="G91" i="7"/>
  <c r="Y91" i="7"/>
  <c r="X91" i="7"/>
  <c r="Z108" i="7"/>
  <c r="K108" i="7"/>
  <c r="H108" i="7"/>
  <c r="I108" i="7"/>
  <c r="S108" i="7"/>
  <c r="D108" i="7"/>
  <c r="C108" i="7"/>
  <c r="Y108" i="7"/>
  <c r="X108" i="7"/>
  <c r="G108" i="7"/>
  <c r="B108" i="7"/>
  <c r="X129" i="7"/>
  <c r="G129" i="7"/>
  <c r="B129" i="7"/>
  <c r="Z129" i="7"/>
  <c r="C129" i="7"/>
  <c r="H129" i="7"/>
  <c r="Y129" i="7"/>
  <c r="S129" i="7"/>
  <c r="D129" i="7"/>
  <c r="K129" i="7"/>
  <c r="I129" i="7"/>
  <c r="H160" i="7"/>
  <c r="D160" i="7"/>
  <c r="C160" i="7"/>
  <c r="X160" i="7"/>
  <c r="S160" i="7"/>
  <c r="G160" i="7"/>
  <c r="Z160" i="7"/>
  <c r="B160" i="7"/>
  <c r="I160" i="7"/>
  <c r="AA160" i="7" s="1"/>
  <c r="K160" i="7"/>
  <c r="M160" i="7" s="1"/>
  <c r="Y160" i="7"/>
  <c r="I186" i="7"/>
  <c r="G186" i="7"/>
  <c r="D186" i="7"/>
  <c r="B186" i="7"/>
  <c r="Z186" i="7"/>
  <c r="Y186" i="7"/>
  <c r="H186" i="7"/>
  <c r="C186" i="7"/>
  <c r="X186" i="7"/>
  <c r="S186" i="7"/>
  <c r="K186" i="7"/>
  <c r="Y111" i="7"/>
  <c r="B111" i="7"/>
  <c r="I111" i="7"/>
  <c r="AA111" i="7" s="1"/>
  <c r="G111" i="7"/>
  <c r="Z111" i="7"/>
  <c r="D111" i="7"/>
  <c r="X111" i="7"/>
  <c r="K111" i="7"/>
  <c r="S111" i="7"/>
  <c r="C111" i="7"/>
  <c r="H111" i="7"/>
  <c r="X200" i="7"/>
  <c r="G200" i="7"/>
  <c r="Z200" i="7"/>
  <c r="B200" i="7"/>
  <c r="S200" i="7"/>
  <c r="I200" i="7"/>
  <c r="Y200" i="7"/>
  <c r="H200" i="7"/>
  <c r="D200" i="7"/>
  <c r="C200" i="7"/>
  <c r="K200" i="7"/>
  <c r="K54" i="7"/>
  <c r="Y54" i="7"/>
  <c r="B54" i="7"/>
  <c r="I54" i="7"/>
  <c r="H54" i="7"/>
  <c r="G54" i="7"/>
  <c r="D54" i="7"/>
  <c r="C54" i="7"/>
  <c r="S54" i="7"/>
  <c r="Z54" i="7"/>
  <c r="X54" i="7"/>
  <c r="I46" i="7"/>
  <c r="G46" i="7"/>
  <c r="Y46" i="7"/>
  <c r="S46" i="7"/>
  <c r="H46" i="7"/>
  <c r="X46" i="7"/>
  <c r="D46" i="7"/>
  <c r="Z46" i="7"/>
  <c r="K46" i="7"/>
  <c r="B46" i="7"/>
  <c r="C46" i="7"/>
  <c r="Z170" i="7"/>
  <c r="B170" i="7"/>
  <c r="H170" i="7"/>
  <c r="D170" i="7"/>
  <c r="C170" i="7"/>
  <c r="I170" i="7"/>
  <c r="Y170" i="7"/>
  <c r="X170" i="7"/>
  <c r="G170" i="7"/>
  <c r="S170" i="7"/>
  <c r="K170" i="7"/>
  <c r="H177" i="7"/>
  <c r="J181" i="7"/>
  <c r="L181" i="7" s="1"/>
  <c r="X177" i="7"/>
  <c r="D177" i="7"/>
  <c r="J179" i="7"/>
  <c r="L179" i="7" s="1"/>
  <c r="J180" i="7"/>
  <c r="L180" i="7" s="1"/>
  <c r="C177" i="7"/>
  <c r="Z177" i="7"/>
  <c r="K177" i="7"/>
  <c r="Y177" i="7"/>
  <c r="G177" i="7"/>
  <c r="J178" i="7"/>
  <c r="L178" i="7" s="1"/>
  <c r="I177" i="7"/>
  <c r="AA177" i="7" s="1"/>
  <c r="S177" i="7"/>
  <c r="B177" i="7"/>
  <c r="J177" i="7"/>
  <c r="L177" i="7" s="1"/>
  <c r="B74" i="7"/>
  <c r="Y74" i="7"/>
  <c r="G74" i="7"/>
  <c r="C74" i="7"/>
  <c r="D74" i="7"/>
  <c r="S74" i="7"/>
  <c r="K74" i="7"/>
  <c r="Z74" i="7"/>
  <c r="I74" i="7"/>
  <c r="H74" i="7"/>
  <c r="X74" i="7"/>
  <c r="C106" i="7"/>
  <c r="Z106" i="7"/>
  <c r="X106" i="7"/>
  <c r="G106" i="7"/>
  <c r="I106" i="7"/>
  <c r="K106" i="7"/>
  <c r="B106" i="7"/>
  <c r="D106" i="7"/>
  <c r="Y106" i="7"/>
  <c r="H106" i="7"/>
  <c r="S106" i="7"/>
  <c r="D15" i="7"/>
  <c r="C15" i="7"/>
  <c r="K15" i="7"/>
  <c r="B15" i="7"/>
  <c r="Z15" i="7"/>
  <c r="S141" i="7"/>
  <c r="Y141" i="7"/>
  <c r="X141" i="7"/>
  <c r="Z141" i="7"/>
  <c r="G141" i="7"/>
  <c r="D141" i="7"/>
  <c r="C141" i="7"/>
  <c r="K141" i="7"/>
  <c r="H141" i="7"/>
  <c r="I141" i="7"/>
  <c r="B141" i="7"/>
  <c r="G47" i="7"/>
  <c r="K47" i="7"/>
  <c r="J51" i="7"/>
  <c r="L51" i="7" s="1"/>
  <c r="B47" i="7"/>
  <c r="J49" i="7"/>
  <c r="L49" i="7" s="1"/>
  <c r="J47" i="7"/>
  <c r="L47" i="7" s="1"/>
  <c r="H47" i="7"/>
  <c r="X47" i="7"/>
  <c r="I47" i="7"/>
  <c r="J50" i="7"/>
  <c r="L50" i="7" s="1"/>
  <c r="Z47" i="7"/>
  <c r="D47" i="7"/>
  <c r="C47" i="7"/>
  <c r="J48" i="7"/>
  <c r="L48" i="7" s="1"/>
  <c r="S47" i="7"/>
  <c r="Y47" i="7"/>
  <c r="S57" i="7"/>
  <c r="J61" i="7"/>
  <c r="L61" i="7" s="1"/>
  <c r="J57" i="7"/>
  <c r="L57" i="7" s="1"/>
  <c r="J60" i="7"/>
  <c r="L60" i="7" s="1"/>
  <c r="Z57" i="7"/>
  <c r="D57" i="7"/>
  <c r="I57" i="7"/>
  <c r="W57" i="7" s="1"/>
  <c r="B57" i="7"/>
  <c r="Y57" i="7"/>
  <c r="X57" i="7"/>
  <c r="J59" i="7"/>
  <c r="L59" i="7" s="1"/>
  <c r="G57" i="7"/>
  <c r="C57" i="7"/>
  <c r="J58" i="7"/>
  <c r="L58" i="7" s="1"/>
  <c r="K57" i="7"/>
  <c r="O57" i="7" s="1"/>
  <c r="H57" i="7"/>
  <c r="K41" i="7"/>
  <c r="I41" i="7"/>
  <c r="H41" i="7"/>
  <c r="D41" i="7"/>
  <c r="G41" i="7"/>
  <c r="C41" i="7"/>
  <c r="S41" i="7"/>
  <c r="B41" i="7"/>
  <c r="Z41" i="7"/>
  <c r="Y41" i="7"/>
  <c r="X41" i="7"/>
  <c r="Y65" i="7"/>
  <c r="S65" i="7"/>
  <c r="G65" i="7"/>
  <c r="D65" i="7"/>
  <c r="S40" i="7" s="1"/>
  <c r="C65" i="7"/>
  <c r="K65" i="7"/>
  <c r="B65" i="7"/>
  <c r="Z65" i="7"/>
  <c r="H65" i="7"/>
  <c r="I65" i="7"/>
  <c r="X65" i="7"/>
  <c r="K18" i="7"/>
  <c r="O17" i="7" s="1"/>
  <c r="Z18" i="7"/>
  <c r="B18" i="7"/>
  <c r="D18" i="7"/>
  <c r="C18" i="7"/>
  <c r="K112" i="7"/>
  <c r="G112" i="7"/>
  <c r="D112" i="7"/>
  <c r="Z112" i="7"/>
  <c r="J113" i="7"/>
  <c r="L113" i="7" s="1"/>
  <c r="J116" i="7"/>
  <c r="L116" i="7" s="1"/>
  <c r="S112" i="7"/>
  <c r="Y112" i="7"/>
  <c r="B112" i="7"/>
  <c r="C112" i="7"/>
  <c r="J115" i="7"/>
  <c r="L115" i="7" s="1"/>
  <c r="X112" i="7"/>
  <c r="J112" i="7"/>
  <c r="L112" i="7" s="1"/>
  <c r="I112" i="7"/>
  <c r="H112" i="7"/>
  <c r="J114" i="7"/>
  <c r="L114" i="7" s="1"/>
  <c r="Z139" i="7"/>
  <c r="B139" i="7"/>
  <c r="H139" i="7"/>
  <c r="X139" i="7"/>
  <c r="G139" i="7"/>
  <c r="D139" i="7"/>
  <c r="C139" i="7"/>
  <c r="S139" i="7"/>
  <c r="Y139" i="7"/>
  <c r="K139" i="7"/>
  <c r="I139" i="7"/>
  <c r="AA139" i="7" s="1"/>
  <c r="K173" i="7"/>
  <c r="B173" i="7"/>
  <c r="G173" i="7"/>
  <c r="I173" i="7"/>
  <c r="S173" i="7"/>
  <c r="Y173" i="7"/>
  <c r="H173" i="7"/>
  <c r="Z173" i="7"/>
  <c r="X173" i="7"/>
  <c r="D173" i="7"/>
  <c r="C173" i="7"/>
  <c r="D183" i="7"/>
  <c r="K183" i="7"/>
  <c r="Z183" i="7"/>
  <c r="B183" i="7"/>
  <c r="I183" i="7"/>
  <c r="AA183" i="7" s="1"/>
  <c r="Y183" i="7"/>
  <c r="H183" i="7"/>
  <c r="G183" i="7"/>
  <c r="X183" i="7"/>
  <c r="S183" i="7"/>
  <c r="C183" i="7"/>
  <c r="S72" i="7"/>
  <c r="Y72" i="7"/>
  <c r="K72" i="7"/>
  <c r="H72" i="7"/>
  <c r="J74" i="7"/>
  <c r="L74" i="7" s="1"/>
  <c r="G72" i="7"/>
  <c r="C72" i="7"/>
  <c r="B72" i="7"/>
  <c r="J72" i="7"/>
  <c r="L72" i="7" s="1"/>
  <c r="J76" i="7"/>
  <c r="L76" i="7" s="1"/>
  <c r="Z72" i="7"/>
  <c r="J75" i="7"/>
  <c r="L75" i="7" s="1"/>
  <c r="I72" i="7"/>
  <c r="D72" i="7"/>
  <c r="X72" i="7"/>
  <c r="J73" i="7"/>
  <c r="L73" i="7" s="1"/>
  <c r="D180" i="7"/>
  <c r="S180" i="7"/>
  <c r="C180" i="7"/>
  <c r="K180" i="7"/>
  <c r="Z180" i="7"/>
  <c r="I180" i="7"/>
  <c r="H180" i="7"/>
  <c r="X180" i="7"/>
  <c r="B180" i="7"/>
  <c r="Y180" i="7"/>
  <c r="G180" i="7"/>
  <c r="B48" i="7"/>
  <c r="I48" i="7"/>
  <c r="D48" i="7"/>
  <c r="Y48" i="7"/>
  <c r="C48" i="7"/>
  <c r="S48" i="7"/>
  <c r="K48" i="7"/>
  <c r="O50" i="7" s="1"/>
  <c r="X48" i="7"/>
  <c r="H48" i="7"/>
  <c r="Z48" i="7"/>
  <c r="G48" i="7"/>
  <c r="Z197" i="7"/>
  <c r="D197" i="7"/>
  <c r="J199" i="7"/>
  <c r="L199" i="7" s="1"/>
  <c r="I197" i="7"/>
  <c r="AA197" i="7" s="1"/>
  <c r="S197" i="7"/>
  <c r="X197" i="7"/>
  <c r="B197" i="7"/>
  <c r="J197" i="7"/>
  <c r="L197" i="7" s="1"/>
  <c r="Y197" i="7"/>
  <c r="H197" i="7"/>
  <c r="G197" i="7"/>
  <c r="C197" i="7"/>
  <c r="K197" i="7"/>
  <c r="J201" i="7"/>
  <c r="L201" i="7" s="1"/>
  <c r="J200" i="7"/>
  <c r="L200" i="7" s="1"/>
  <c r="J198" i="7"/>
  <c r="L198" i="7" s="1"/>
  <c r="C201" i="7"/>
  <c r="Y201" i="7"/>
  <c r="B201" i="7"/>
  <c r="G201" i="7"/>
  <c r="D201" i="7"/>
  <c r="S201" i="7"/>
  <c r="K201" i="7"/>
  <c r="I201" i="7"/>
  <c r="H201" i="7"/>
  <c r="X201" i="7"/>
  <c r="Z201" i="7"/>
  <c r="J42" i="7"/>
  <c r="L42" i="7" s="1"/>
  <c r="Z42" i="7"/>
  <c r="G42" i="7"/>
  <c r="J43" i="7"/>
  <c r="L43" i="7" s="1"/>
  <c r="H42" i="7"/>
  <c r="J45" i="7"/>
  <c r="L45" i="7" s="1"/>
  <c r="J44" i="7"/>
  <c r="L44" i="7" s="1"/>
  <c r="D42" i="7"/>
  <c r="C42" i="7"/>
  <c r="J46" i="7"/>
  <c r="L46" i="7" s="1"/>
  <c r="S42" i="7"/>
  <c r="X42" i="7"/>
  <c r="K42" i="7"/>
  <c r="B42" i="7"/>
  <c r="Y42" i="7"/>
  <c r="I42" i="7"/>
  <c r="G164" i="7"/>
  <c r="C164" i="7"/>
  <c r="Z164" i="7"/>
  <c r="I164" i="7"/>
  <c r="D164" i="7"/>
  <c r="K164" i="7"/>
  <c r="S164" i="7"/>
  <c r="Y164" i="7"/>
  <c r="H164" i="7"/>
  <c r="X164" i="7"/>
  <c r="B164" i="7"/>
  <c r="H193" i="7"/>
  <c r="I193" i="7"/>
  <c r="X193" i="7"/>
  <c r="Z193" i="7"/>
  <c r="D193" i="7"/>
  <c r="C193" i="7"/>
  <c r="S193" i="7"/>
  <c r="K193" i="7"/>
  <c r="Y193" i="7"/>
  <c r="B193" i="7"/>
  <c r="G193" i="7"/>
  <c r="J122" i="7"/>
  <c r="L122" i="7" s="1"/>
  <c r="K122" i="7"/>
  <c r="Y122" i="7"/>
  <c r="G122" i="7"/>
  <c r="Z122" i="7"/>
  <c r="X122" i="7"/>
  <c r="I122" i="7"/>
  <c r="D122" i="7"/>
  <c r="H122" i="7"/>
  <c r="C122" i="7"/>
  <c r="J126" i="7"/>
  <c r="L126" i="7" s="1"/>
  <c r="J124" i="7"/>
  <c r="L124" i="7" s="1"/>
  <c r="J123" i="7"/>
  <c r="L123" i="7" s="1"/>
  <c r="B122" i="7"/>
  <c r="S122" i="7"/>
  <c r="J125" i="7"/>
  <c r="L125" i="7" s="1"/>
  <c r="D150" i="7"/>
  <c r="Y150" i="7"/>
  <c r="C150" i="7"/>
  <c r="I150" i="7"/>
  <c r="K150" i="7"/>
  <c r="B150" i="7"/>
  <c r="G150" i="7"/>
  <c r="Z150" i="7"/>
  <c r="H150" i="7"/>
  <c r="S150" i="7"/>
  <c r="X150" i="7"/>
  <c r="G76" i="7"/>
  <c r="I76" i="7"/>
  <c r="B76" i="7"/>
  <c r="Z76" i="7"/>
  <c r="Y76" i="7"/>
  <c r="H76" i="7"/>
  <c r="X76" i="7"/>
  <c r="S76" i="7"/>
  <c r="K76" i="7"/>
  <c r="C76" i="7"/>
  <c r="D76" i="7"/>
  <c r="C56" i="7"/>
  <c r="Y56" i="7"/>
  <c r="B56" i="7"/>
  <c r="Z56" i="7"/>
  <c r="I56" i="7"/>
  <c r="W56" i="7" s="1"/>
  <c r="X56" i="7"/>
  <c r="G56" i="7"/>
  <c r="H56" i="7"/>
  <c r="D56" i="7"/>
  <c r="S56" i="7"/>
  <c r="K56" i="7"/>
  <c r="J191" i="7"/>
  <c r="L191" i="7" s="1"/>
  <c r="K187" i="7"/>
  <c r="N187" i="7" s="1"/>
  <c r="J190" i="7"/>
  <c r="L190" i="7" s="1"/>
  <c r="Y187" i="7"/>
  <c r="B187" i="7"/>
  <c r="H187" i="7"/>
  <c r="D187" i="7"/>
  <c r="S187" i="7"/>
  <c r="J189" i="7"/>
  <c r="L189" i="7" s="1"/>
  <c r="C187" i="7"/>
  <c r="J187" i="7"/>
  <c r="L187" i="7" s="1"/>
  <c r="G187" i="7"/>
  <c r="Z187" i="7"/>
  <c r="X187" i="7"/>
  <c r="I187" i="7"/>
  <c r="J188" i="7"/>
  <c r="L188" i="7" s="1"/>
  <c r="Z51" i="7"/>
  <c r="I51" i="7"/>
  <c r="AA51" i="7" s="1"/>
  <c r="Y51" i="7"/>
  <c r="H51" i="7"/>
  <c r="X51" i="7"/>
  <c r="S51" i="7"/>
  <c r="K51" i="7"/>
  <c r="B51" i="7"/>
  <c r="G51" i="7"/>
  <c r="D51" i="7"/>
  <c r="C51" i="7"/>
  <c r="Z50" i="7"/>
  <c r="H50" i="7"/>
  <c r="I50" i="7"/>
  <c r="Y50" i="7"/>
  <c r="X50" i="7"/>
  <c r="G50" i="7"/>
  <c r="C50" i="7"/>
  <c r="D50" i="7"/>
  <c r="S50" i="7"/>
  <c r="K50" i="7"/>
  <c r="B50" i="7"/>
  <c r="K55" i="7"/>
  <c r="O54" i="7" s="1"/>
  <c r="G55" i="7"/>
  <c r="Z55" i="7"/>
  <c r="D55" i="7"/>
  <c r="C55" i="7"/>
  <c r="Y55" i="7"/>
  <c r="H55" i="7"/>
  <c r="X55" i="7"/>
  <c r="S55" i="7"/>
  <c r="B55" i="7"/>
  <c r="I55" i="7"/>
  <c r="Z130" i="7"/>
  <c r="X130" i="7"/>
  <c r="H130" i="7"/>
  <c r="D130" i="7"/>
  <c r="C130" i="7"/>
  <c r="I130" i="7"/>
  <c r="Y130" i="7"/>
  <c r="S130" i="7"/>
  <c r="K130" i="7"/>
  <c r="O127" i="7" s="1"/>
  <c r="B130" i="7"/>
  <c r="G130" i="7"/>
  <c r="I104" i="7"/>
  <c r="S104" i="7"/>
  <c r="Y104" i="7"/>
  <c r="K104" i="7"/>
  <c r="B104" i="7"/>
  <c r="D104" i="7"/>
  <c r="X104" i="7"/>
  <c r="H104" i="7"/>
  <c r="G104" i="7"/>
  <c r="Z104" i="7"/>
  <c r="C104" i="7"/>
  <c r="X202" i="7"/>
  <c r="S202" i="7"/>
  <c r="J205" i="7"/>
  <c r="L205" i="7" s="1"/>
  <c r="I202" i="7"/>
  <c r="D202" i="7"/>
  <c r="H202" i="7"/>
  <c r="J204" i="7"/>
  <c r="L204" i="7" s="1"/>
  <c r="Z202" i="7"/>
  <c r="K202" i="7"/>
  <c r="B202" i="7"/>
  <c r="Y202" i="7"/>
  <c r="G202" i="7"/>
  <c r="J206" i="7"/>
  <c r="L206" i="7" s="1"/>
  <c r="C202" i="7"/>
  <c r="J203" i="7"/>
  <c r="L203" i="7" s="1"/>
  <c r="J202" i="7"/>
  <c r="L202" i="7" s="1"/>
  <c r="S107" i="7"/>
  <c r="Z107" i="7"/>
  <c r="J107" i="7"/>
  <c r="L107" i="7" s="1"/>
  <c r="D107" i="7"/>
  <c r="I107" i="7"/>
  <c r="J109" i="7"/>
  <c r="L109" i="7" s="1"/>
  <c r="G107" i="7"/>
  <c r="J111" i="7"/>
  <c r="L111" i="7" s="1"/>
  <c r="Y107" i="7"/>
  <c r="J108" i="7"/>
  <c r="L108" i="7" s="1"/>
  <c r="H107" i="7"/>
  <c r="J110" i="7"/>
  <c r="L110" i="7" s="1"/>
  <c r="K107" i="7"/>
  <c r="X107" i="7"/>
  <c r="C107" i="7"/>
  <c r="B107" i="7"/>
  <c r="X83" i="7"/>
  <c r="B83" i="7"/>
  <c r="D83" i="7"/>
  <c r="Z83" i="7"/>
  <c r="I83" i="7"/>
  <c r="Y83" i="7"/>
  <c r="H83" i="7"/>
  <c r="G83" i="7"/>
  <c r="S83" i="7"/>
  <c r="K83" i="7"/>
  <c r="C83" i="7"/>
  <c r="S133" i="7"/>
  <c r="X133" i="7"/>
  <c r="H133" i="7"/>
  <c r="Z133" i="7"/>
  <c r="G133" i="7"/>
  <c r="D133" i="7"/>
  <c r="C133" i="7"/>
  <c r="B133" i="7"/>
  <c r="Y133" i="7"/>
  <c r="I133" i="7"/>
  <c r="K133" i="7"/>
  <c r="G36" i="7"/>
  <c r="Z36" i="7"/>
  <c r="B36" i="7"/>
  <c r="D36" i="7"/>
  <c r="C36" i="7"/>
  <c r="I36" i="7"/>
  <c r="Y36" i="7"/>
  <c r="H36" i="7"/>
  <c r="X36" i="7"/>
  <c r="S36" i="7"/>
  <c r="K36" i="7"/>
  <c r="H90" i="7"/>
  <c r="K90" i="7"/>
  <c r="P88" i="7" s="1"/>
  <c r="D90" i="7"/>
  <c r="C90" i="7"/>
  <c r="S90" i="7"/>
  <c r="B90" i="7"/>
  <c r="Z90" i="7"/>
  <c r="I90" i="7"/>
  <c r="X90" i="7"/>
  <c r="Y90" i="7"/>
  <c r="G90" i="7"/>
  <c r="C85" i="7"/>
  <c r="H85" i="7"/>
  <c r="G85" i="7"/>
  <c r="D85" i="7"/>
  <c r="S85" i="7"/>
  <c r="K85" i="7"/>
  <c r="I85" i="7"/>
  <c r="W85" i="7" s="1"/>
  <c r="Z85" i="7"/>
  <c r="Y85" i="7"/>
  <c r="B85" i="7"/>
  <c r="X85" i="7"/>
  <c r="D61" i="7"/>
  <c r="C61" i="7"/>
  <c r="Z61" i="7"/>
  <c r="B61" i="7"/>
  <c r="I61" i="7"/>
  <c r="S61" i="7"/>
  <c r="Y61" i="7"/>
  <c r="K61" i="7"/>
  <c r="H61" i="7"/>
  <c r="X61" i="7"/>
  <c r="G61" i="7"/>
  <c r="D24" i="7"/>
  <c r="S33" i="7" s="1"/>
  <c r="C24" i="7"/>
  <c r="K24" i="7"/>
  <c r="Z24" i="7"/>
  <c r="B24" i="7"/>
  <c r="X191" i="7"/>
  <c r="G191" i="7"/>
  <c r="D191" i="7"/>
  <c r="I191" i="7"/>
  <c r="B191" i="7"/>
  <c r="C191" i="7"/>
  <c r="S191" i="7"/>
  <c r="Z191" i="7"/>
  <c r="H191" i="7"/>
  <c r="K191" i="7"/>
  <c r="Y191" i="7"/>
  <c r="H123" i="7"/>
  <c r="X123" i="7"/>
  <c r="B123" i="7"/>
  <c r="S123" i="7"/>
  <c r="I123" i="7"/>
  <c r="Y123" i="7"/>
  <c r="G123" i="7"/>
  <c r="D123" i="7"/>
  <c r="C123" i="7"/>
  <c r="K123" i="7"/>
  <c r="Z123" i="7"/>
  <c r="K26" i="7"/>
  <c r="I26" i="7" s="1"/>
  <c r="B26" i="7"/>
  <c r="D26" i="7"/>
  <c r="C26" i="7"/>
  <c r="Z26" i="7"/>
  <c r="Y92" i="7"/>
  <c r="S92" i="7"/>
  <c r="J96" i="7"/>
  <c r="L96" i="7" s="1"/>
  <c r="C92" i="7"/>
  <c r="H92" i="7"/>
  <c r="J94" i="7"/>
  <c r="L94" i="7" s="1"/>
  <c r="X92" i="7"/>
  <c r="G92" i="7"/>
  <c r="J95" i="7"/>
  <c r="L95" i="7" s="1"/>
  <c r="J92" i="7"/>
  <c r="L92" i="7" s="1"/>
  <c r="J93" i="7"/>
  <c r="L93" i="7" s="1"/>
  <c r="D92" i="7"/>
  <c r="K92" i="7"/>
  <c r="Z92" i="7"/>
  <c r="I92" i="7"/>
  <c r="B92" i="7"/>
  <c r="K143" i="7"/>
  <c r="N143" i="7" s="1"/>
  <c r="H143" i="7"/>
  <c r="B143" i="7"/>
  <c r="Z143" i="7"/>
  <c r="I143" i="7"/>
  <c r="G143" i="7"/>
  <c r="D143" i="7"/>
  <c r="X143" i="7"/>
  <c r="S143" i="7"/>
  <c r="Y143" i="7"/>
  <c r="C143" i="7"/>
  <c r="G102" i="7"/>
  <c r="C102" i="7"/>
  <c r="X102" i="7"/>
  <c r="Z102" i="7"/>
  <c r="J102" i="7"/>
  <c r="B102" i="7"/>
  <c r="J104" i="7"/>
  <c r="L104" i="7" s="1"/>
  <c r="K102" i="7"/>
  <c r="I102" i="7"/>
  <c r="H102" i="7"/>
  <c r="J103" i="7"/>
  <c r="L103" i="7" s="1"/>
  <c r="Y102" i="7"/>
  <c r="J105" i="7"/>
  <c r="L105" i="7" s="1"/>
  <c r="D102" i="7"/>
  <c r="S102" i="7"/>
  <c r="J106" i="7"/>
  <c r="L106" i="7" s="1"/>
  <c r="Y84" i="7"/>
  <c r="C84" i="7"/>
  <c r="G84" i="7"/>
  <c r="Z84" i="7"/>
  <c r="I84" i="7"/>
  <c r="H84" i="7"/>
  <c r="X84" i="7"/>
  <c r="D84" i="7"/>
  <c r="S84" i="7"/>
  <c r="K84" i="7"/>
  <c r="B84" i="7"/>
  <c r="Q97" i="5"/>
  <c r="R145" i="5"/>
  <c r="R105" i="5"/>
  <c r="R91" i="5"/>
  <c r="Q98" i="5"/>
  <c r="Q155" i="5"/>
  <c r="R14" i="5"/>
  <c r="Q29" i="5"/>
  <c r="Q86" i="5"/>
  <c r="Q175" i="5"/>
  <c r="R83" i="5"/>
  <c r="R66" i="5"/>
  <c r="R106" i="5"/>
  <c r="Q203" i="5"/>
  <c r="Q197" i="5"/>
  <c r="R200" i="5"/>
  <c r="R167" i="5"/>
  <c r="R176" i="5"/>
  <c r="R185" i="5"/>
  <c r="Q55" i="5"/>
  <c r="R78" i="5"/>
  <c r="R184" i="5"/>
  <c r="Q206" i="5"/>
  <c r="Q115" i="5"/>
  <c r="R72" i="5"/>
  <c r="R148" i="5"/>
  <c r="Q100" i="5"/>
  <c r="Q187" i="5"/>
  <c r="Q151" i="5"/>
  <c r="Q128" i="5"/>
  <c r="N178" i="5"/>
  <c r="N107" i="5"/>
  <c r="R180" i="5"/>
  <c r="P109" i="5"/>
  <c r="P178" i="5"/>
  <c r="Q194" i="5"/>
  <c r="O107" i="5"/>
  <c r="Q52" i="5"/>
  <c r="S19" i="5"/>
  <c r="S33" i="5"/>
  <c r="S17" i="5"/>
  <c r="H17" i="5" s="1"/>
  <c r="S29" i="5"/>
  <c r="S14" i="5"/>
  <c r="H14" i="5" s="1"/>
  <c r="G14" i="5" s="1"/>
  <c r="S35" i="5"/>
  <c r="L26" i="5"/>
  <c r="I26" i="5"/>
  <c r="S26" i="5"/>
  <c r="R82" i="5"/>
  <c r="R117" i="5"/>
  <c r="R168" i="5"/>
  <c r="R103" i="5"/>
  <c r="P107" i="5"/>
  <c r="Q154" i="5"/>
  <c r="Q186" i="5"/>
  <c r="Q116" i="5"/>
  <c r="L13" i="5"/>
  <c r="Q13" i="5" s="1"/>
  <c r="L23" i="5"/>
  <c r="R23" i="5" s="1"/>
  <c r="S11" i="5"/>
  <c r="S16" i="5"/>
  <c r="L24" i="5"/>
  <c r="S10" i="5"/>
  <c r="S18" i="5"/>
  <c r="S27" i="5"/>
  <c r="S22" i="5"/>
  <c r="S34" i="5"/>
  <c r="L40" i="5"/>
  <c r="Q40" i="5" s="1"/>
  <c r="S12" i="5"/>
  <c r="I18" i="5"/>
  <c r="I21" i="5"/>
  <c r="L12" i="5"/>
  <c r="I10" i="5"/>
  <c r="I28" i="5"/>
  <c r="L36" i="5"/>
  <c r="I22" i="5"/>
  <c r="L39" i="5"/>
  <c r="R39" i="5" s="1"/>
  <c r="R127" i="5"/>
  <c r="Q20" i="5"/>
  <c r="Q44" i="5"/>
  <c r="R54" i="5"/>
  <c r="R152" i="5"/>
  <c r="Q136" i="5"/>
  <c r="Q200" i="5"/>
  <c r="R25" i="5"/>
  <c r="Q180" i="5"/>
  <c r="R130" i="5"/>
  <c r="Q147" i="5"/>
  <c r="Q51" i="5"/>
  <c r="R162" i="5"/>
  <c r="R58" i="5"/>
  <c r="R123" i="5"/>
  <c r="Q11" i="5"/>
  <c r="R45" i="5"/>
  <c r="R109" i="5"/>
  <c r="Q123" i="5"/>
  <c r="R90" i="5"/>
  <c r="R80" i="5"/>
  <c r="R56" i="5"/>
  <c r="Q165" i="5"/>
  <c r="Q167" i="5"/>
  <c r="R156" i="5"/>
  <c r="Q114" i="5"/>
  <c r="Q159" i="5"/>
  <c r="R197" i="5"/>
  <c r="R141" i="5"/>
  <c r="Q104" i="5"/>
  <c r="R190" i="5"/>
  <c r="I34" i="7"/>
  <c r="Q131" i="5"/>
  <c r="Q69" i="5"/>
  <c r="R169" i="5"/>
  <c r="Q179" i="5"/>
  <c r="R101" i="5"/>
  <c r="Q78" i="5"/>
  <c r="R44" i="5"/>
  <c r="Q156" i="5"/>
  <c r="Q148" i="5"/>
  <c r="Q16" i="5"/>
  <c r="H16" i="5" s="1"/>
  <c r="G16" i="5" s="1"/>
  <c r="Q158" i="5"/>
  <c r="R128" i="5"/>
  <c r="R143" i="5"/>
  <c r="Q117" i="5"/>
  <c r="Q133" i="5"/>
  <c r="R42" i="5"/>
  <c r="R59" i="5"/>
  <c r="R173" i="5"/>
  <c r="Q189" i="5"/>
  <c r="R9" i="5"/>
  <c r="Q139" i="5"/>
  <c r="Q184" i="5"/>
  <c r="R172" i="5"/>
  <c r="R57" i="5"/>
  <c r="R158" i="5"/>
  <c r="R110" i="5"/>
  <c r="R85" i="5"/>
  <c r="Q143" i="5"/>
  <c r="R111" i="5"/>
  <c r="Q121" i="5"/>
  <c r="R46" i="5"/>
  <c r="R92" i="5"/>
  <c r="Q132" i="5"/>
  <c r="R38" i="5"/>
  <c r="R166" i="5"/>
  <c r="Q68" i="5"/>
  <c r="R99" i="5"/>
  <c r="Q103" i="5"/>
  <c r="R71" i="5"/>
  <c r="R95" i="5"/>
  <c r="I38" i="7"/>
  <c r="R43" i="5"/>
  <c r="R165" i="5"/>
  <c r="Q142" i="5"/>
  <c r="Q57" i="5"/>
  <c r="R206" i="5"/>
  <c r="Q62" i="5"/>
  <c r="Q122" i="5"/>
  <c r="R61" i="5"/>
  <c r="R75" i="5"/>
  <c r="R203" i="5"/>
  <c r="R86" i="5"/>
  <c r="Q157" i="5"/>
  <c r="R153" i="5"/>
  <c r="R150" i="5"/>
  <c r="R17" i="5"/>
  <c r="R161" i="5"/>
  <c r="Q76" i="5"/>
  <c r="Q164" i="5"/>
  <c r="R20" i="5"/>
  <c r="R108" i="5"/>
  <c r="R62" i="5"/>
  <c r="R74" i="5"/>
  <c r="R119" i="5"/>
  <c r="R122" i="5"/>
  <c r="Q66" i="5"/>
  <c r="R70" i="5"/>
  <c r="Q105" i="5"/>
  <c r="R181" i="5"/>
  <c r="R77" i="5"/>
  <c r="Q182" i="5"/>
  <c r="R98" i="5"/>
  <c r="R151" i="5"/>
  <c r="R65" i="5"/>
  <c r="R137" i="5"/>
  <c r="Q84" i="5"/>
  <c r="Q111" i="5"/>
  <c r="Q150" i="5"/>
  <c r="R21" i="5"/>
  <c r="Q166" i="5"/>
  <c r="R175" i="5"/>
  <c r="Q79" i="5"/>
  <c r="Q134" i="5"/>
  <c r="R188" i="5"/>
  <c r="L23" i="7"/>
  <c r="R69" i="5"/>
  <c r="R115" i="5"/>
  <c r="Q202" i="5"/>
  <c r="Q54" i="5"/>
  <c r="Q170" i="5"/>
  <c r="Q25" i="5"/>
  <c r="Q83" i="5"/>
  <c r="R49" i="5"/>
  <c r="R174" i="5"/>
  <c r="Q82" i="5"/>
  <c r="Q113" i="5"/>
  <c r="R186" i="5"/>
  <c r="R79" i="5"/>
  <c r="Q81" i="5"/>
  <c r="R191" i="5"/>
  <c r="Q7" i="5"/>
  <c r="R192" i="5"/>
  <c r="I27" i="7"/>
  <c r="G17" i="5"/>
  <c r="AA26" i="7"/>
  <c r="W26" i="7"/>
  <c r="X26" i="7" s="1"/>
  <c r="R13" i="5"/>
  <c r="Q50" i="5"/>
  <c r="Q65" i="5"/>
  <c r="M150" i="7"/>
  <c r="O72" i="7"/>
  <c r="P13" i="7"/>
  <c r="AA60" i="7"/>
  <c r="W60" i="7"/>
  <c r="W54" i="7"/>
  <c r="AA54" i="7"/>
  <c r="AA34" i="7"/>
  <c r="W34" i="7"/>
  <c r="X34" i="7" s="1"/>
  <c r="W185" i="7"/>
  <c r="AA185" i="7"/>
  <c r="P203" i="7"/>
  <c r="O96" i="7"/>
  <c r="P96" i="7"/>
  <c r="O122" i="7"/>
  <c r="W112" i="7"/>
  <c r="AA112" i="7"/>
  <c r="W194" i="7"/>
  <c r="AA194" i="7"/>
  <c r="O70" i="7"/>
  <c r="N70" i="7"/>
  <c r="M21" i="7"/>
  <c r="P114" i="7"/>
  <c r="N114" i="7"/>
  <c r="W64" i="7"/>
  <c r="AA64" i="7"/>
  <c r="P89" i="7"/>
  <c r="AA115" i="7"/>
  <c r="W115" i="7"/>
  <c r="M166" i="7"/>
  <c r="P166" i="7"/>
  <c r="AA120" i="7"/>
  <c r="W120" i="7"/>
  <c r="P42" i="7"/>
  <c r="O42" i="7"/>
  <c r="W173" i="7"/>
  <c r="AA173" i="7"/>
  <c r="P191" i="7"/>
  <c r="N191" i="7"/>
  <c r="Q56" i="5"/>
  <c r="R28" i="5"/>
  <c r="Q28" i="5"/>
  <c r="Q108" i="5"/>
  <c r="R33" i="5"/>
  <c r="Q33" i="5"/>
  <c r="H33" i="5" s="1"/>
  <c r="Q185" i="5"/>
  <c r="P172" i="7"/>
  <c r="O32" i="7"/>
  <c r="N32" i="7"/>
  <c r="AA131" i="7"/>
  <c r="W131" i="7"/>
  <c r="W127" i="7"/>
  <c r="W202" i="7"/>
  <c r="AA202" i="7"/>
  <c r="W164" i="7"/>
  <c r="AA164" i="7"/>
  <c r="AA102" i="7"/>
  <c r="W102" i="7"/>
  <c r="O52" i="7"/>
  <c r="M52" i="7"/>
  <c r="AA81" i="7"/>
  <c r="W81" i="7"/>
  <c r="AA137" i="7"/>
  <c r="W137" i="7"/>
  <c r="AA76" i="7"/>
  <c r="W76" i="7"/>
  <c r="AA113" i="7"/>
  <c r="W113" i="7"/>
  <c r="P8" i="7"/>
  <c r="O8" i="7"/>
  <c r="N8" i="7"/>
  <c r="M8" i="7"/>
  <c r="Q94" i="5"/>
  <c r="Q188" i="5"/>
  <c r="R81" i="5"/>
  <c r="W33" i="5"/>
  <c r="X33" i="5" s="1"/>
  <c r="Y32" i="5" s="1"/>
  <c r="AA33" i="5"/>
  <c r="Q109" i="5"/>
  <c r="Q169" i="5"/>
  <c r="Q43" i="5"/>
  <c r="AA7" i="5"/>
  <c r="W7" i="5"/>
  <c r="X7" i="5" s="1"/>
  <c r="W8" i="5"/>
  <c r="X8" i="5" s="1"/>
  <c r="AA8" i="5"/>
  <c r="Q80" i="5"/>
  <c r="Q21" i="5"/>
  <c r="R131" i="5"/>
  <c r="H7" i="5"/>
  <c r="R202" i="5"/>
  <c r="Q45" i="5"/>
  <c r="Q91" i="5"/>
  <c r="M110" i="7"/>
  <c r="P110" i="7"/>
  <c r="AA31" i="7"/>
  <c r="O149" i="7"/>
  <c r="O106" i="7"/>
  <c r="N106" i="7"/>
  <c r="M106" i="7"/>
  <c r="P106" i="7"/>
  <c r="W132" i="7"/>
  <c r="AA132" i="7"/>
  <c r="W128" i="7"/>
  <c r="N102" i="7"/>
  <c r="AA121" i="7"/>
  <c r="W121" i="7"/>
  <c r="P160" i="7"/>
  <c r="AA138" i="7"/>
  <c r="W138" i="7"/>
  <c r="W133" i="7"/>
  <c r="AA133" i="7"/>
  <c r="AA175" i="7"/>
  <c r="W175" i="7"/>
  <c r="L40" i="7"/>
  <c r="P76" i="7"/>
  <c r="AA152" i="7"/>
  <c r="W152" i="7"/>
  <c r="W87" i="7"/>
  <c r="AA87" i="7"/>
  <c r="L31" i="7"/>
  <c r="W176" i="7"/>
  <c r="AA176" i="7"/>
  <c r="O36" i="7"/>
  <c r="M36" i="7"/>
  <c r="AA74" i="7"/>
  <c r="W74" i="7"/>
  <c r="W91" i="7"/>
  <c r="W140" i="7"/>
  <c r="AA140" i="7"/>
  <c r="W78" i="7"/>
  <c r="AA78" i="7"/>
  <c r="AA204" i="7"/>
  <c r="W204" i="7"/>
  <c r="O181" i="7"/>
  <c r="N153" i="7"/>
  <c r="P124" i="7"/>
  <c r="O124" i="7"/>
  <c r="AA145" i="7"/>
  <c r="W145" i="7"/>
  <c r="AA90" i="7"/>
  <c r="W90" i="7"/>
  <c r="AA151" i="7"/>
  <c r="W151" i="7"/>
  <c r="W47" i="7"/>
  <c r="AA47" i="7"/>
  <c r="P200" i="7"/>
  <c r="O200" i="7"/>
  <c r="W200" i="7"/>
  <c r="AA200" i="7"/>
  <c r="L13" i="7"/>
  <c r="H25" i="5"/>
  <c r="AA38" i="5"/>
  <c r="W38" i="5"/>
  <c r="X38" i="5" s="1"/>
  <c r="W9" i="5"/>
  <c r="X9" i="5" s="1"/>
  <c r="AA9" i="5"/>
  <c r="W16" i="5"/>
  <c r="X16" i="5" s="1"/>
  <c r="AA16" i="5"/>
  <c r="R195" i="5"/>
  <c r="R8" i="5"/>
  <c r="R178" i="5"/>
  <c r="Q161" i="5"/>
  <c r="Q71" i="5"/>
  <c r="Q106" i="5"/>
  <c r="R182" i="5"/>
  <c r="Q9" i="5"/>
  <c r="H9" i="5" s="1"/>
  <c r="Q46" i="5"/>
  <c r="Q85" i="5"/>
  <c r="Q23" i="5"/>
  <c r="H23" i="5" s="1"/>
  <c r="R114" i="5"/>
  <c r="Q39" i="5"/>
  <c r="Q149" i="5"/>
  <c r="W150" i="7"/>
  <c r="AA150" i="7"/>
  <c r="O189" i="7"/>
  <c r="P111" i="7"/>
  <c r="O111" i="7"/>
  <c r="W55" i="7"/>
  <c r="AA55" i="7"/>
  <c r="N18" i="7"/>
  <c r="AA52" i="7"/>
  <c r="W52" i="7"/>
  <c r="AA92" i="7"/>
  <c r="W92" i="7"/>
  <c r="N175" i="7"/>
  <c r="O175" i="7"/>
  <c r="M175" i="7"/>
  <c r="P175" i="7"/>
  <c r="L41" i="7"/>
  <c r="P85" i="7"/>
  <c r="P198" i="7"/>
  <c r="O198" i="7"/>
  <c r="M198" i="7"/>
  <c r="L21" i="7"/>
  <c r="AA206" i="7"/>
  <c r="W206" i="7"/>
  <c r="W148" i="7"/>
  <c r="AA148" i="7"/>
  <c r="W86" i="7"/>
  <c r="AA86" i="7"/>
  <c r="AA107" i="7"/>
  <c r="W107" i="7"/>
  <c r="P43" i="7"/>
  <c r="O43" i="7"/>
  <c r="N43" i="7"/>
  <c r="M43" i="7"/>
  <c r="L7" i="7"/>
  <c r="AA170" i="7"/>
  <c r="W170" i="7"/>
  <c r="P9" i="7"/>
  <c r="O9" i="7"/>
  <c r="N9" i="7"/>
  <c r="M9" i="7"/>
  <c r="N30" i="7"/>
  <c r="P30" i="7"/>
  <c r="AA56" i="7"/>
  <c r="AA161" i="7"/>
  <c r="W161" i="7"/>
  <c r="AA182" i="7"/>
  <c r="W182" i="7"/>
  <c r="O165" i="7"/>
  <c r="N165" i="7"/>
  <c r="O186" i="7"/>
  <c r="N186" i="7"/>
  <c r="M186" i="7"/>
  <c r="P186" i="7"/>
  <c r="L22" i="7"/>
  <c r="I22" i="7"/>
  <c r="AA188" i="7"/>
  <c r="W188" i="7"/>
  <c r="I29" i="7"/>
  <c r="W77" i="7"/>
  <c r="AA77" i="7"/>
  <c r="AA13" i="5"/>
  <c r="W13" i="5"/>
  <c r="X13" i="5" s="1"/>
  <c r="Q181" i="5"/>
  <c r="Q58" i="5"/>
  <c r="R22" i="5"/>
  <c r="Q22" i="5"/>
  <c r="H22" i="5" s="1"/>
  <c r="R19" i="5"/>
  <c r="Q19" i="5"/>
  <c r="H19" i="5" s="1"/>
  <c r="AA29" i="5"/>
  <c r="W29" i="5"/>
  <c r="X29" i="5" s="1"/>
  <c r="R142" i="5"/>
  <c r="R18" i="5"/>
  <c r="Q18" i="5"/>
  <c r="H18" i="5" s="1"/>
  <c r="Q172" i="5"/>
  <c r="R155" i="5"/>
  <c r="W24" i="5"/>
  <c r="X24" i="5" s="1"/>
  <c r="AA24" i="5"/>
  <c r="H38" i="5"/>
  <c r="AA15" i="5"/>
  <c r="W15" i="5"/>
  <c r="X15" i="5" s="1"/>
  <c r="Q42" i="5"/>
  <c r="Q141" i="5"/>
  <c r="P97" i="7"/>
  <c r="O97" i="7"/>
  <c r="AA106" i="7"/>
  <c r="W106" i="7"/>
  <c r="N54" i="7"/>
  <c r="M54" i="7"/>
  <c r="W174" i="7"/>
  <c r="AA174" i="7"/>
  <c r="W180" i="7"/>
  <c r="AA180" i="7"/>
  <c r="P34" i="7"/>
  <c r="M34" i="7"/>
  <c r="O34" i="7"/>
  <c r="N34" i="7"/>
  <c r="M202" i="7"/>
  <c r="P202" i="7"/>
  <c r="M24" i="7"/>
  <c r="O24" i="7"/>
  <c r="P24" i="7"/>
  <c r="N24" i="7"/>
  <c r="N138" i="7"/>
  <c r="M138" i="7"/>
  <c r="AA100" i="7"/>
  <c r="W100" i="7"/>
  <c r="AA94" i="7"/>
  <c r="AA154" i="7"/>
  <c r="W154" i="7"/>
  <c r="AA159" i="7"/>
  <c r="W159" i="7"/>
  <c r="AA75" i="7"/>
  <c r="W75" i="7"/>
  <c r="M130" i="7"/>
  <c r="AA169" i="7"/>
  <c r="W169" i="7"/>
  <c r="N73" i="7"/>
  <c r="O73" i="7"/>
  <c r="P53" i="7"/>
  <c r="N53" i="7"/>
  <c r="M53" i="7"/>
  <c r="I30" i="7"/>
  <c r="M20" i="7"/>
  <c r="P116" i="7"/>
  <c r="O116" i="7"/>
  <c r="N116" i="7"/>
  <c r="M116" i="7"/>
  <c r="W155" i="7"/>
  <c r="AA155" i="7"/>
  <c r="M64" i="7"/>
  <c r="O64" i="7"/>
  <c r="P63" i="7"/>
  <c r="O22" i="7"/>
  <c r="P22" i="7"/>
  <c r="N22" i="7"/>
  <c r="M22" i="7"/>
  <c r="W104" i="7"/>
  <c r="AA104" i="7"/>
  <c r="N11" i="7"/>
  <c r="M11" i="7"/>
  <c r="P11" i="7"/>
  <c r="O11" i="7"/>
  <c r="AA68" i="7"/>
  <c r="W68" i="7"/>
  <c r="O157" i="7"/>
  <c r="M157" i="7"/>
  <c r="P157" i="7"/>
  <c r="AA184" i="7"/>
  <c r="W184" i="7"/>
  <c r="W71" i="7"/>
  <c r="AA71" i="7"/>
  <c r="L14" i="7"/>
  <c r="N158" i="7"/>
  <c r="M158" i="7"/>
  <c r="O158" i="7"/>
  <c r="P158" i="7"/>
  <c r="I39" i="7"/>
  <c r="R27" i="5"/>
  <c r="Q27" i="5"/>
  <c r="H27" i="5" s="1"/>
  <c r="Q74" i="5"/>
  <c r="Q173" i="5"/>
  <c r="AA37" i="5"/>
  <c r="W37" i="5"/>
  <c r="X37" i="5" s="1"/>
  <c r="W193" i="7"/>
  <c r="AA193" i="7"/>
  <c r="AA129" i="7"/>
  <c r="W129" i="7"/>
  <c r="P123" i="7"/>
  <c r="O123" i="7"/>
  <c r="M123" i="7"/>
  <c r="AA168" i="7"/>
  <c r="W168" i="7"/>
  <c r="W72" i="7"/>
  <c r="AA72" i="7"/>
  <c r="AA97" i="7"/>
  <c r="W97" i="7"/>
  <c r="P26" i="7"/>
  <c r="M26" i="7"/>
  <c r="O26" i="7"/>
  <c r="N26" i="7"/>
  <c r="W149" i="7"/>
  <c r="AA149" i="7"/>
  <c r="M180" i="7"/>
  <c r="P180" i="7"/>
  <c r="O180" i="7"/>
  <c r="S34" i="7"/>
  <c r="P185" i="7"/>
  <c r="O185" i="7"/>
  <c r="N185" i="7"/>
  <c r="M185" i="7"/>
  <c r="P121" i="7"/>
  <c r="M121" i="7"/>
  <c r="N179" i="7"/>
  <c r="N183" i="7"/>
  <c r="M183" i="7"/>
  <c r="O183" i="7"/>
  <c r="W101" i="7"/>
  <c r="AA101" i="7"/>
  <c r="W69" i="7"/>
  <c r="AA69" i="7"/>
  <c r="O100" i="7"/>
  <c r="P100" i="7"/>
  <c r="W147" i="7"/>
  <c r="AA147" i="7"/>
  <c r="P137" i="7"/>
  <c r="O137" i="7"/>
  <c r="N137" i="7"/>
  <c r="M137" i="7"/>
  <c r="W126" i="7"/>
  <c r="AA126" i="7"/>
  <c r="P10" i="7"/>
  <c r="W119" i="7"/>
  <c r="AA44" i="7"/>
  <c r="W44" i="7"/>
  <c r="W17" i="7"/>
  <c r="X17" i="7" s="1"/>
  <c r="AA17" i="7"/>
  <c r="O117" i="7"/>
  <c r="N117" i="7"/>
  <c r="M117" i="7"/>
  <c r="P117" i="7"/>
  <c r="AA27" i="7"/>
  <c r="W27" i="7"/>
  <c r="X27" i="7" s="1"/>
  <c r="W163" i="7"/>
  <c r="AA163" i="7"/>
  <c r="P7" i="7"/>
  <c r="O7" i="7"/>
  <c r="N7" i="7"/>
  <c r="M7" i="7"/>
  <c r="P170" i="7"/>
  <c r="O170" i="7"/>
  <c r="N170" i="7"/>
  <c r="M170" i="7"/>
  <c r="P74" i="7"/>
  <c r="O74" i="7"/>
  <c r="W109" i="7"/>
  <c r="AA109" i="7"/>
  <c r="AA196" i="7"/>
  <c r="W196" i="7"/>
  <c r="P91" i="7"/>
  <c r="O91" i="7"/>
  <c r="W192" i="7"/>
  <c r="AA192" i="7"/>
  <c r="AA114" i="7"/>
  <c r="W114" i="7"/>
  <c r="P78" i="7"/>
  <c r="O78" i="7"/>
  <c r="N78" i="7"/>
  <c r="M78" i="7"/>
  <c r="P155" i="7"/>
  <c r="O155" i="7"/>
  <c r="N155" i="7"/>
  <c r="M155" i="7"/>
  <c r="M204" i="7"/>
  <c r="P204" i="7"/>
  <c r="O204" i="7"/>
  <c r="N204" i="7"/>
  <c r="AA98" i="7"/>
  <c r="W98" i="7"/>
  <c r="I35" i="7"/>
  <c r="O141" i="7"/>
  <c r="N141" i="7"/>
  <c r="M141" i="7"/>
  <c r="P141" i="7"/>
  <c r="L25" i="7"/>
  <c r="L24" i="7"/>
  <c r="AA84" i="7"/>
  <c r="W84" i="7"/>
  <c r="P68" i="7"/>
  <c r="O68" i="7"/>
  <c r="N68" i="7"/>
  <c r="M68" i="7"/>
  <c r="W124" i="7"/>
  <c r="AA124" i="7"/>
  <c r="AA83" i="7"/>
  <c r="W83" i="7"/>
  <c r="W166" i="7"/>
  <c r="AA166" i="7"/>
  <c r="W80" i="7"/>
  <c r="AA80" i="7"/>
  <c r="W48" i="7"/>
  <c r="AA48" i="7"/>
  <c r="M90" i="7"/>
  <c r="N90" i="7"/>
  <c r="P29" i="7"/>
  <c r="O29" i="7"/>
  <c r="M29" i="7"/>
  <c r="N29" i="7"/>
  <c r="W125" i="7"/>
  <c r="AA125" i="7"/>
  <c r="AA42" i="7"/>
  <c r="W42" i="7"/>
  <c r="M151" i="7"/>
  <c r="N151" i="7"/>
  <c r="P151" i="7"/>
  <c r="O151" i="7"/>
  <c r="W118" i="7"/>
  <c r="AA118" i="7"/>
  <c r="O173" i="7"/>
  <c r="N173" i="7"/>
  <c r="M173" i="7"/>
  <c r="P173" i="7"/>
  <c r="R187" i="5"/>
  <c r="R163" i="5"/>
  <c r="Q127" i="5"/>
  <c r="R34" i="5"/>
  <c r="Q34" i="5"/>
  <c r="H34" i="5" s="1"/>
  <c r="H40" i="5"/>
  <c r="H13" i="5"/>
  <c r="Q70" i="5"/>
  <c r="W25" i="5"/>
  <c r="X25" i="5" s="1"/>
  <c r="AA25" i="5"/>
  <c r="Q153" i="5"/>
  <c r="R121" i="5"/>
  <c r="Q137" i="5"/>
  <c r="Q196" i="5"/>
  <c r="Q183" i="5"/>
  <c r="Q15" i="5"/>
  <c r="H15" i="5" s="1"/>
  <c r="R73" i="5"/>
  <c r="R194" i="5"/>
  <c r="AA14" i="5"/>
  <c r="W14" i="5"/>
  <c r="X14" i="5" s="1"/>
  <c r="W172" i="7"/>
  <c r="AA172" i="7"/>
  <c r="W187" i="7"/>
  <c r="AA187" i="7"/>
  <c r="AA123" i="7"/>
  <c r="W123" i="7"/>
  <c r="P105" i="7"/>
  <c r="O105" i="7"/>
  <c r="N105" i="7"/>
  <c r="M105" i="7"/>
  <c r="AA167" i="7"/>
  <c r="W167" i="7"/>
  <c r="I13" i="7"/>
  <c r="N33" i="7"/>
  <c r="O33" i="7"/>
  <c r="M33" i="7"/>
  <c r="P33" i="7"/>
  <c r="P162" i="7"/>
  <c r="O162" i="7"/>
  <c r="N162" i="7"/>
  <c r="M162" i="7"/>
  <c r="R162" i="7" s="1"/>
  <c r="AA162" i="7"/>
  <c r="W162" i="7"/>
  <c r="AA59" i="7"/>
  <c r="W59" i="7"/>
  <c r="I23" i="7"/>
  <c r="N25" i="7"/>
  <c r="P25" i="7"/>
  <c r="O25" i="7"/>
  <c r="M25" i="7"/>
  <c r="M133" i="7"/>
  <c r="P133" i="7"/>
  <c r="P46" i="7"/>
  <c r="R46" i="7" s="1"/>
  <c r="O46" i="7"/>
  <c r="N46" i="7"/>
  <c r="M46" i="7"/>
  <c r="P37" i="7"/>
  <c r="O37" i="7"/>
  <c r="N37" i="7"/>
  <c r="M37" i="7"/>
  <c r="P152" i="7"/>
  <c r="M152" i="7"/>
  <c r="N152" i="7"/>
  <c r="O152" i="7"/>
  <c r="P154" i="7"/>
  <c r="O154" i="7"/>
  <c r="N154" i="7"/>
  <c r="M154" i="7"/>
  <c r="W203" i="7"/>
  <c r="AA203" i="7"/>
  <c r="W79" i="7"/>
  <c r="AA79" i="7"/>
  <c r="W88" i="7"/>
  <c r="AA88" i="7"/>
  <c r="P38" i="7"/>
  <c r="O38" i="7"/>
  <c r="N38" i="7"/>
  <c r="M38" i="7"/>
  <c r="I40" i="7"/>
  <c r="AA41" i="7"/>
  <c r="W41" i="7"/>
  <c r="P206" i="7"/>
  <c r="O206" i="7"/>
  <c r="N206" i="7"/>
  <c r="M206" i="7"/>
  <c r="P86" i="7"/>
  <c r="O86" i="7"/>
  <c r="N86" i="7"/>
  <c r="M86" i="7"/>
  <c r="AA66" i="7"/>
  <c r="W66" i="7"/>
  <c r="W103" i="7"/>
  <c r="AA103" i="7"/>
  <c r="N56" i="7"/>
  <c r="M56" i="7"/>
  <c r="O56" i="7"/>
  <c r="P56" i="7"/>
  <c r="I20" i="7"/>
  <c r="I14" i="7"/>
  <c r="W70" i="7"/>
  <c r="AA70" i="7"/>
  <c r="P161" i="7"/>
  <c r="O161" i="7"/>
  <c r="M161" i="7"/>
  <c r="N161" i="7"/>
  <c r="AA136" i="7"/>
  <c r="W136" i="7"/>
  <c r="P45" i="7"/>
  <c r="O45" i="7"/>
  <c r="N45" i="7"/>
  <c r="M45" i="7"/>
  <c r="AA58" i="7"/>
  <c r="W58" i="7"/>
  <c r="AA89" i="7"/>
  <c r="W89" i="7"/>
  <c r="W95" i="7"/>
  <c r="AA95" i="7"/>
  <c r="L26" i="7"/>
  <c r="P84" i="7"/>
  <c r="O84" i="7"/>
  <c r="N84" i="7"/>
  <c r="M84" i="7"/>
  <c r="W195" i="7"/>
  <c r="AA195" i="7"/>
  <c r="W201" i="7"/>
  <c r="AA201" i="7"/>
  <c r="P120" i="7"/>
  <c r="M120" i="7"/>
  <c r="O120" i="7"/>
  <c r="N120" i="7"/>
  <c r="L12" i="7"/>
  <c r="L15" i="7"/>
  <c r="AA49" i="7"/>
  <c r="W49" i="7"/>
  <c r="W17" i="5"/>
  <c r="X17" i="5" s="1"/>
  <c r="AA17" i="5"/>
  <c r="W11" i="5"/>
  <c r="X11" i="5" s="1"/>
  <c r="AA11" i="5"/>
  <c r="H39" i="5"/>
  <c r="Q47" i="5"/>
  <c r="R41" i="5"/>
  <c r="Q41" i="5"/>
  <c r="Q63" i="5"/>
  <c r="AA20" i="5"/>
  <c r="W20" i="5"/>
  <c r="X20" i="5" s="1"/>
  <c r="W40" i="5"/>
  <c r="X40" i="5" s="1"/>
  <c r="Y40" i="5" s="1"/>
  <c r="AA40" i="5"/>
  <c r="Q145" i="5"/>
  <c r="Q168" i="5"/>
  <c r="R40" i="5"/>
  <c r="R134" i="5"/>
  <c r="Q92" i="5"/>
  <c r="R139" i="5"/>
  <c r="AA110" i="7"/>
  <c r="W110" i="7"/>
  <c r="O193" i="7"/>
  <c r="N193" i="7"/>
  <c r="AA67" i="7"/>
  <c r="W67" i="7"/>
  <c r="AA105" i="7"/>
  <c r="W105" i="7"/>
  <c r="L32" i="7"/>
  <c r="M132" i="7"/>
  <c r="P128" i="7"/>
  <c r="O55" i="7"/>
  <c r="N55" i="7"/>
  <c r="M55" i="7"/>
  <c r="P55" i="7"/>
  <c r="Q106" i="7"/>
  <c r="R106" i="7"/>
  <c r="W142" i="7"/>
  <c r="AA142" i="7"/>
  <c r="P142" i="7"/>
  <c r="W179" i="7"/>
  <c r="AA179" i="7"/>
  <c r="M101" i="7"/>
  <c r="O101" i="7"/>
  <c r="S24" i="7"/>
  <c r="P93" i="7"/>
  <c r="O93" i="7"/>
  <c r="N93" i="7"/>
  <c r="M93" i="7"/>
  <c r="AA143" i="7"/>
  <c r="W143" i="7"/>
  <c r="Q54" i="7"/>
  <c r="W46" i="7"/>
  <c r="AA46" i="7"/>
  <c r="W178" i="7"/>
  <c r="AA178" i="7"/>
  <c r="W62" i="7"/>
  <c r="AA62" i="7"/>
  <c r="P94" i="7"/>
  <c r="O94" i="7"/>
  <c r="N94" i="7"/>
  <c r="M94" i="7"/>
  <c r="R94" i="7" s="1"/>
  <c r="P177" i="7"/>
  <c r="O177" i="7"/>
  <c r="N177" i="7"/>
  <c r="M177" i="7"/>
  <c r="P113" i="7"/>
  <c r="O113" i="7"/>
  <c r="N113" i="7"/>
  <c r="M113" i="7"/>
  <c r="R113" i="7" s="1"/>
  <c r="P51" i="7"/>
  <c r="P87" i="7"/>
  <c r="P61" i="7"/>
  <c r="W96" i="7"/>
  <c r="AA96" i="7"/>
  <c r="P15" i="7"/>
  <c r="O15" i="7"/>
  <c r="N15" i="7"/>
  <c r="M15" i="7"/>
  <c r="I15" i="7"/>
  <c r="P44" i="7"/>
  <c r="O44" i="7"/>
  <c r="N44" i="7"/>
  <c r="M44" i="7"/>
  <c r="R44" i="7" s="1"/>
  <c r="S38" i="7"/>
  <c r="M159" i="7"/>
  <c r="P159" i="7"/>
  <c r="O159" i="7"/>
  <c r="AA135" i="7"/>
  <c r="W135" i="7"/>
  <c r="P75" i="7"/>
  <c r="O75" i="7"/>
  <c r="N75" i="7"/>
  <c r="P169" i="7"/>
  <c r="O169" i="7"/>
  <c r="N169" i="7"/>
  <c r="M169" i="7"/>
  <c r="AA190" i="7"/>
  <c r="W190" i="7"/>
  <c r="P163" i="7"/>
  <c r="O163" i="7"/>
  <c r="N163" i="7"/>
  <c r="M163" i="7"/>
  <c r="P144" i="7"/>
  <c r="M144" i="7"/>
  <c r="AA122" i="7"/>
  <c r="W122" i="7"/>
  <c r="M112" i="7"/>
  <c r="P112" i="7"/>
  <c r="N112" i="7"/>
  <c r="O112" i="7"/>
  <c r="P82" i="7"/>
  <c r="O82" i="7"/>
  <c r="M82" i="7"/>
  <c r="N82" i="7"/>
  <c r="L8" i="7"/>
  <c r="N109" i="7"/>
  <c r="P109" i="7"/>
  <c r="M109" i="7"/>
  <c r="O109" i="7"/>
  <c r="AA50" i="7"/>
  <c r="W50" i="7"/>
  <c r="W116" i="7"/>
  <c r="AA116" i="7"/>
  <c r="P140" i="7"/>
  <c r="O140" i="7"/>
  <c r="N140" i="7"/>
  <c r="M140" i="7"/>
  <c r="AA99" i="7"/>
  <c r="W99" i="7"/>
  <c r="AA108" i="7"/>
  <c r="W108" i="7"/>
  <c r="W165" i="7"/>
  <c r="AA165" i="7"/>
  <c r="W63" i="7"/>
  <c r="AA63" i="7"/>
  <c r="AA65" i="7"/>
  <c r="W65" i="7"/>
  <c r="AA153" i="7"/>
  <c r="W153" i="7"/>
  <c r="W157" i="7"/>
  <c r="AA157" i="7"/>
  <c r="P184" i="7"/>
  <c r="M184" i="7"/>
  <c r="O184" i="7"/>
  <c r="N184" i="7"/>
  <c r="I19" i="7"/>
  <c r="O47" i="7"/>
  <c r="L16" i="7"/>
  <c r="N118" i="7"/>
  <c r="M118" i="7"/>
  <c r="O118" i="7"/>
  <c r="P118" i="7"/>
  <c r="P77" i="7"/>
  <c r="O77" i="7"/>
  <c r="N77" i="7"/>
  <c r="M77" i="7"/>
  <c r="W158" i="7"/>
  <c r="AA158" i="7"/>
  <c r="AA191" i="7"/>
  <c r="W191" i="7"/>
  <c r="H20" i="5"/>
  <c r="R147" i="5"/>
  <c r="H28" i="5"/>
  <c r="R10" i="5"/>
  <c r="Q10" i="5"/>
  <c r="H10" i="5" s="1"/>
  <c r="H21" i="5"/>
  <c r="Q31" i="5"/>
  <c r="AA23" i="5"/>
  <c r="W23" i="5"/>
  <c r="X23" i="5" s="1"/>
  <c r="AA39" i="5"/>
  <c r="W39" i="5"/>
  <c r="X39" i="5" s="1"/>
  <c r="N129" i="7"/>
  <c r="M129" i="7"/>
  <c r="P168" i="7"/>
  <c r="M168" i="7"/>
  <c r="O168" i="7"/>
  <c r="N168" i="7"/>
  <c r="AA189" i="7"/>
  <c r="W189" i="7"/>
  <c r="P164" i="7"/>
  <c r="O164" i="7"/>
  <c r="N164" i="7"/>
  <c r="M164" i="7"/>
  <c r="W93" i="7"/>
  <c r="AA93" i="7"/>
  <c r="N23" i="7"/>
  <c r="P23" i="7"/>
  <c r="O23" i="7"/>
  <c r="M23" i="7"/>
  <c r="I37" i="7"/>
  <c r="AA198" i="7"/>
  <c r="W198" i="7"/>
  <c r="W134" i="7"/>
  <c r="AA134" i="7"/>
  <c r="P171" i="7"/>
  <c r="O171" i="7"/>
  <c r="N171" i="7"/>
  <c r="M171" i="7"/>
  <c r="W61" i="7"/>
  <c r="AA61" i="7"/>
  <c r="M119" i="7"/>
  <c r="N119" i="7"/>
  <c r="P119" i="7"/>
  <c r="O119" i="7"/>
  <c r="P199" i="7"/>
  <c r="O199" i="7"/>
  <c r="N199" i="7"/>
  <c r="M199" i="7"/>
  <c r="AA199" i="7"/>
  <c r="W199" i="7"/>
  <c r="W117" i="7"/>
  <c r="AA117" i="7"/>
  <c r="W38" i="7"/>
  <c r="X38" i="7" s="1"/>
  <c r="AA38" i="7"/>
  <c r="O27" i="7"/>
  <c r="N27" i="7"/>
  <c r="M27" i="7"/>
  <c r="P27" i="7"/>
  <c r="M176" i="7"/>
  <c r="P176" i="7"/>
  <c r="O176" i="7"/>
  <c r="N176" i="7"/>
  <c r="AA130" i="7"/>
  <c r="W130" i="7"/>
  <c r="P148" i="7"/>
  <c r="O148" i="7"/>
  <c r="N148" i="7"/>
  <c r="M148" i="7"/>
  <c r="AA43" i="7"/>
  <c r="W43" i="7"/>
  <c r="N103" i="7"/>
  <c r="P103" i="7"/>
  <c r="O103" i="7"/>
  <c r="M103" i="7"/>
  <c r="AA36" i="7"/>
  <c r="W36" i="7"/>
  <c r="I9" i="7"/>
  <c r="P196" i="7"/>
  <c r="O196" i="7"/>
  <c r="N196" i="7"/>
  <c r="P99" i="7"/>
  <c r="M99" i="7"/>
  <c r="N99" i="7"/>
  <c r="O182" i="7"/>
  <c r="N182" i="7"/>
  <c r="P182" i="7"/>
  <c r="M182" i="7"/>
  <c r="Q182" i="7" s="1"/>
  <c r="P35" i="7"/>
  <c r="O35" i="7"/>
  <c r="M35" i="7"/>
  <c r="N35" i="7"/>
  <c r="O108" i="7"/>
  <c r="P108" i="7"/>
  <c r="N108" i="7"/>
  <c r="M108" i="7"/>
  <c r="Q108" i="7" s="1"/>
  <c r="W186" i="7"/>
  <c r="AA186" i="7"/>
  <c r="M104" i="7"/>
  <c r="P104" i="7"/>
  <c r="N104" i="7"/>
  <c r="O104" i="7"/>
  <c r="P115" i="7"/>
  <c r="O115" i="7"/>
  <c r="P83" i="7"/>
  <c r="O83" i="7"/>
  <c r="N83" i="7"/>
  <c r="M83" i="7"/>
  <c r="P201" i="7"/>
  <c r="O201" i="7"/>
  <c r="N201" i="7"/>
  <c r="M201" i="7"/>
  <c r="P139" i="7"/>
  <c r="O139" i="7"/>
  <c r="N139" i="7"/>
  <c r="M139" i="7"/>
  <c r="N80" i="7"/>
  <c r="M80" i="7"/>
  <c r="O80" i="7"/>
  <c r="P80" i="7"/>
  <c r="M19" i="7"/>
  <c r="AA146" i="7"/>
  <c r="W146" i="7"/>
  <c r="M12" i="7"/>
  <c r="P12" i="7"/>
  <c r="O12" i="7"/>
  <c r="N12" i="7"/>
  <c r="P197" i="7"/>
  <c r="O197" i="7"/>
  <c r="N197" i="7"/>
  <c r="M197" i="7"/>
  <c r="O39" i="7"/>
  <c r="N39" i="7"/>
  <c r="M39" i="7"/>
  <c r="P39" i="7"/>
  <c r="A83" i="8"/>
  <c r="A16" i="8"/>
  <c r="A125" i="8"/>
  <c r="A165" i="8"/>
  <c r="A61" i="8"/>
  <c r="A161" i="8"/>
  <c r="A22" i="8"/>
  <c r="A194" i="8"/>
  <c r="A189" i="8"/>
  <c r="A127" i="8"/>
  <c r="A144" i="8"/>
  <c r="A172" i="8"/>
  <c r="A106" i="8"/>
  <c r="A164" i="8"/>
  <c r="A123" i="8"/>
  <c r="A187" i="8"/>
  <c r="A136" i="8"/>
  <c r="A47" i="8"/>
  <c r="A85" i="8"/>
  <c r="A179" i="8"/>
  <c r="A52" i="8"/>
  <c r="A57" i="8"/>
  <c r="A20" i="8"/>
  <c r="A167" i="8"/>
  <c r="A24" i="8"/>
  <c r="A46" i="8"/>
  <c r="A80" i="8"/>
  <c r="A75" i="8"/>
  <c r="A150" i="8"/>
  <c r="A67" i="8"/>
  <c r="A19" i="8"/>
  <c r="A186" i="8"/>
  <c r="A184" i="8"/>
  <c r="A133" i="8"/>
  <c r="A183" i="8"/>
  <c r="A199" i="8"/>
  <c r="A142" i="8"/>
  <c r="A53" i="8"/>
  <c r="A8" i="8"/>
  <c r="A145" i="8"/>
  <c r="A113" i="8"/>
  <c r="A128" i="8"/>
  <c r="A131" i="8"/>
  <c r="A32" i="8"/>
  <c r="A81" i="8"/>
  <c r="A55" i="8"/>
  <c r="A157" i="8"/>
  <c r="A205" i="8"/>
  <c r="A115" i="8"/>
  <c r="A88" i="8"/>
  <c r="A65" i="8"/>
  <c r="A43" i="8"/>
  <c r="A69" i="8"/>
  <c r="A38" i="8"/>
  <c r="A23" i="8"/>
  <c r="A143" i="8"/>
  <c r="A173" i="8"/>
  <c r="A124" i="8"/>
  <c r="A118" i="8"/>
  <c r="A100" i="8"/>
  <c r="A84" i="8"/>
  <c r="A95" i="8"/>
  <c r="A147" i="8"/>
  <c r="A178" i="8"/>
  <c r="A54" i="8"/>
  <c r="A159" i="8"/>
  <c r="A135" i="8"/>
  <c r="A177" i="8"/>
  <c r="A96" i="8"/>
  <c r="A87" i="8"/>
  <c r="A181" i="8"/>
  <c r="A170" i="8"/>
  <c r="A15" i="8"/>
  <c r="A152" i="8"/>
  <c r="A51" i="8"/>
  <c r="A21" i="8"/>
  <c r="A200" i="8"/>
  <c r="A11" i="8"/>
  <c r="A48" i="8"/>
  <c r="A140" i="8"/>
  <c r="A64" i="8"/>
  <c r="A121" i="8"/>
  <c r="A119" i="8"/>
  <c r="A197" i="8"/>
  <c r="A141" i="8"/>
  <c r="A39" i="8"/>
  <c r="A50" i="8"/>
  <c r="A103" i="8"/>
  <c r="A63" i="8"/>
  <c r="A132" i="8"/>
  <c r="A45" i="8"/>
  <c r="A76" i="8"/>
  <c r="A78" i="8"/>
  <c r="A28" i="8"/>
  <c r="A117" i="8"/>
  <c r="A120" i="8"/>
  <c r="A180" i="8"/>
  <c r="A156" i="8"/>
  <c r="A42" i="8"/>
  <c r="A7" i="8"/>
  <c r="A29" i="8"/>
  <c r="A101" i="8"/>
  <c r="A40" i="8"/>
  <c r="A99" i="8"/>
  <c r="A182" i="8"/>
  <c r="A134" i="8"/>
  <c r="A109" i="8"/>
  <c r="A86" i="8"/>
  <c r="A27" i="8"/>
  <c r="A91" i="8"/>
  <c r="A175" i="8"/>
  <c r="A185" i="8"/>
  <c r="A203" i="8"/>
  <c r="A149" i="8"/>
  <c r="A13" i="8"/>
  <c r="A116" i="8"/>
  <c r="A171" i="8"/>
  <c r="A37" i="8"/>
  <c r="A56" i="8"/>
  <c r="A137" i="8"/>
  <c r="A59" i="8"/>
  <c r="A17" i="8"/>
  <c r="A174" i="8"/>
  <c r="A94" i="8"/>
  <c r="A105" i="8"/>
  <c r="A98" i="8"/>
  <c r="A158" i="8"/>
  <c r="A138" i="8"/>
  <c r="A102" i="8"/>
  <c r="A114" i="8"/>
  <c r="A14" i="8"/>
  <c r="A58" i="8"/>
  <c r="A190" i="8"/>
  <c r="A30" i="8"/>
  <c r="A10" i="8"/>
  <c r="A198" i="8"/>
  <c r="A25" i="8"/>
  <c r="A163" i="8"/>
  <c r="A196" i="8"/>
  <c r="A202" i="8"/>
  <c r="A41" i="8"/>
  <c r="A77" i="8"/>
  <c r="A12" i="8"/>
  <c r="A36" i="8"/>
  <c r="A79" i="8"/>
  <c r="A192" i="8"/>
  <c r="A168" i="8"/>
  <c r="A49" i="8"/>
  <c r="A108" i="8"/>
  <c r="A166" i="8"/>
  <c r="A73" i="8"/>
  <c r="A148" i="8"/>
  <c r="A31" i="8"/>
  <c r="A206" i="8"/>
  <c r="A62" i="8"/>
  <c r="A60" i="8"/>
  <c r="A193" i="8"/>
  <c r="A35" i="8"/>
  <c r="A66" i="8"/>
  <c r="A191" i="8"/>
  <c r="A9" i="8"/>
  <c r="A188" i="8"/>
  <c r="A126" i="8"/>
  <c r="A74" i="8"/>
  <c r="A151" i="8"/>
  <c r="A162" i="8"/>
  <c r="A34" i="8"/>
  <c r="A112" i="8"/>
  <c r="A70" i="8"/>
  <c r="A154" i="8"/>
  <c r="A18" i="8"/>
  <c r="A92" i="8"/>
  <c r="A204" i="8"/>
  <c r="A195" i="8"/>
  <c r="A68" i="8"/>
  <c r="A82" i="8"/>
  <c r="A90" i="8"/>
  <c r="A155" i="8"/>
  <c r="A26" i="8"/>
  <c r="A72" i="8"/>
  <c r="A33" i="8"/>
  <c r="A122" i="8"/>
  <c r="A104" i="8"/>
  <c r="A97" i="8"/>
  <c r="A160" i="8"/>
  <c r="A176" i="8"/>
  <c r="A146" i="8"/>
  <c r="A129" i="8"/>
  <c r="A107" i="8"/>
  <c r="A93" i="8"/>
  <c r="A169" i="8"/>
  <c r="A201" i="8"/>
  <c r="A89" i="8"/>
  <c r="A130" i="8"/>
  <c r="A153" i="8"/>
  <c r="A139" i="8"/>
  <c r="A44" i="8"/>
  <c r="A71" i="8"/>
  <c r="R112" i="5" l="1"/>
  <c r="Q112" i="5"/>
  <c r="P59" i="7"/>
  <c r="M115" i="7"/>
  <c r="P129" i="7"/>
  <c r="N47" i="7"/>
  <c r="O144" i="7"/>
  <c r="O61" i="7"/>
  <c r="O51" i="7"/>
  <c r="M128" i="7"/>
  <c r="R128" i="7" s="1"/>
  <c r="M193" i="7"/>
  <c r="P145" i="7"/>
  <c r="N91" i="7"/>
  <c r="Q91" i="7" s="1"/>
  <c r="M74" i="7"/>
  <c r="N100" i="7"/>
  <c r="P69" i="7"/>
  <c r="M179" i="7"/>
  <c r="N20" i="7"/>
  <c r="Q20" i="7" s="1"/>
  <c r="H20" i="7" s="1"/>
  <c r="G20" i="7" s="1"/>
  <c r="W51" i="7"/>
  <c r="M189" i="7"/>
  <c r="O60" i="7"/>
  <c r="M191" i="7"/>
  <c r="N42" i="7"/>
  <c r="W139" i="7"/>
  <c r="N89" i="7"/>
  <c r="S27" i="7"/>
  <c r="H27" i="7" s="1"/>
  <c r="G27" i="7" s="1"/>
  <c r="Q26" i="5"/>
  <c r="R26" i="5"/>
  <c r="R140" i="5"/>
  <c r="Q140" i="5"/>
  <c r="Q146" i="5"/>
  <c r="R146" i="5"/>
  <c r="S16" i="7"/>
  <c r="P21" i="7"/>
  <c r="Q64" i="5"/>
  <c r="O49" i="7"/>
  <c r="N48" i="7"/>
  <c r="P50" i="7"/>
  <c r="O48" i="7"/>
  <c r="M49" i="7"/>
  <c r="Q49" i="7" s="1"/>
  <c r="M50" i="7"/>
  <c r="L67" i="7"/>
  <c r="N67" i="7"/>
  <c r="N192" i="7"/>
  <c r="M192" i="7"/>
  <c r="N195" i="7"/>
  <c r="P195" i="7"/>
  <c r="N194" i="7"/>
  <c r="O98" i="7"/>
  <c r="N98" i="7"/>
  <c r="M98" i="7"/>
  <c r="N97" i="7"/>
  <c r="O10" i="7"/>
  <c r="L10" i="7"/>
  <c r="M135" i="7"/>
  <c r="M134" i="7"/>
  <c r="N135" i="7"/>
  <c r="O134" i="7"/>
  <c r="P136" i="7"/>
  <c r="P135" i="7"/>
  <c r="P134" i="7"/>
  <c r="M136" i="7"/>
  <c r="O135" i="7"/>
  <c r="N136" i="7"/>
  <c r="N76" i="7"/>
  <c r="M76" i="7"/>
  <c r="R76" i="7" s="1"/>
  <c r="N72" i="7"/>
  <c r="M72" i="7"/>
  <c r="P72" i="7"/>
  <c r="P73" i="7"/>
  <c r="P16" i="7"/>
  <c r="N14" i="7"/>
  <c r="O16" i="7"/>
  <c r="M16" i="7"/>
  <c r="L174" i="7"/>
  <c r="N174" i="7"/>
  <c r="M174" i="7"/>
  <c r="P174" i="7"/>
  <c r="W25" i="7"/>
  <c r="X25" i="7" s="1"/>
  <c r="AA25" i="7"/>
  <c r="M95" i="7"/>
  <c r="P95" i="7"/>
  <c r="P92" i="7"/>
  <c r="O92" i="7"/>
  <c r="M92" i="7"/>
  <c r="M96" i="7"/>
  <c r="N190" i="7"/>
  <c r="M190" i="7"/>
  <c r="Q190" i="7" s="1"/>
  <c r="L153" i="7"/>
  <c r="P153" i="7"/>
  <c r="O153" i="7"/>
  <c r="M153" i="7"/>
  <c r="L156" i="7"/>
  <c r="P156" i="7"/>
  <c r="O156" i="7"/>
  <c r="M156" i="7"/>
  <c r="N62" i="7"/>
  <c r="O65" i="7"/>
  <c r="M62" i="7"/>
  <c r="N63" i="7"/>
  <c r="N64" i="7"/>
  <c r="M63" i="7"/>
  <c r="P66" i="7"/>
  <c r="M66" i="7"/>
  <c r="M65" i="7"/>
  <c r="O41" i="7"/>
  <c r="M41" i="7"/>
  <c r="M40" i="7"/>
  <c r="P138" i="7"/>
  <c r="O138" i="7"/>
  <c r="O150" i="7"/>
  <c r="O147" i="7"/>
  <c r="N149" i="7"/>
  <c r="P150" i="7"/>
  <c r="N147" i="7"/>
  <c r="M149" i="7"/>
  <c r="M147" i="7"/>
  <c r="P149" i="7"/>
  <c r="P81" i="7"/>
  <c r="N81" i="7"/>
  <c r="R81" i="7" s="1"/>
  <c r="O81" i="7"/>
  <c r="AA82" i="7"/>
  <c r="W82" i="7"/>
  <c r="M181" i="7"/>
  <c r="N180" i="7"/>
  <c r="O178" i="7"/>
  <c r="N178" i="7"/>
  <c r="P178" i="7"/>
  <c r="P181" i="7"/>
  <c r="M167" i="7"/>
  <c r="N167" i="7"/>
  <c r="P167" i="7"/>
  <c r="O167" i="7"/>
  <c r="L183" i="7"/>
  <c r="P183" i="7"/>
  <c r="N31" i="7"/>
  <c r="P28" i="7"/>
  <c r="M31" i="7"/>
  <c r="N28" i="7"/>
  <c r="O30" i="7"/>
  <c r="P31" i="7"/>
  <c r="O28" i="7"/>
  <c r="M30" i="7"/>
  <c r="M111" i="7"/>
  <c r="M107" i="7"/>
  <c r="N107" i="7"/>
  <c r="O110" i="7"/>
  <c r="N111" i="7"/>
  <c r="R198" i="5"/>
  <c r="Q198" i="5"/>
  <c r="R60" i="5"/>
  <c r="Q144" i="5"/>
  <c r="R144" i="5"/>
  <c r="R30" i="5"/>
  <c r="Q30" i="5"/>
  <c r="H30" i="5" s="1"/>
  <c r="Q129" i="5"/>
  <c r="R129" i="5"/>
  <c r="O19" i="7"/>
  <c r="W177" i="7"/>
  <c r="Q88" i="5"/>
  <c r="Q199" i="5"/>
  <c r="O90" i="7"/>
  <c r="N188" i="7"/>
  <c r="S11" i="7"/>
  <c r="M10" i="7"/>
  <c r="S9" i="7"/>
  <c r="M73" i="7"/>
  <c r="R73" i="7" s="1"/>
  <c r="N134" i="7"/>
  <c r="O192" i="7"/>
  <c r="M17" i="7"/>
  <c r="S13" i="7"/>
  <c r="S29" i="7"/>
  <c r="N96" i="7"/>
  <c r="L102" i="7"/>
  <c r="M102" i="7"/>
  <c r="Q102" i="7" s="1"/>
  <c r="O102" i="7"/>
  <c r="P102" i="7"/>
  <c r="O85" i="7"/>
  <c r="N85" i="7"/>
  <c r="M85" i="7"/>
  <c r="O125" i="7"/>
  <c r="N124" i="7"/>
  <c r="M126" i="7"/>
  <c r="P122" i="7"/>
  <c r="N125" i="7"/>
  <c r="M124" i="7"/>
  <c r="O126" i="7"/>
  <c r="N123" i="7"/>
  <c r="N122" i="7"/>
  <c r="M125" i="7"/>
  <c r="P126" i="7"/>
  <c r="M122" i="7"/>
  <c r="P125" i="7"/>
  <c r="Q102" i="5"/>
  <c r="P58" i="7"/>
  <c r="O58" i="7"/>
  <c r="M58" i="7"/>
  <c r="P60" i="7"/>
  <c r="N60" i="7"/>
  <c r="Q32" i="5"/>
  <c r="H32" i="5" s="1"/>
  <c r="R32" i="5"/>
  <c r="Q120" i="5"/>
  <c r="R120" i="5"/>
  <c r="R67" i="5"/>
  <c r="P143" i="7"/>
  <c r="M143" i="7"/>
  <c r="Q143" i="7" s="1"/>
  <c r="O146" i="7"/>
  <c r="N189" i="7"/>
  <c r="M187" i="7"/>
  <c r="P187" i="7"/>
  <c r="O187" i="7"/>
  <c r="R187" i="7" s="1"/>
  <c r="O191" i="7"/>
  <c r="R191" i="7" s="1"/>
  <c r="P189" i="7"/>
  <c r="O129" i="7"/>
  <c r="R129" i="7" s="1"/>
  <c r="P193" i="7"/>
  <c r="P19" i="7"/>
  <c r="M196" i="7"/>
  <c r="N131" i="7"/>
  <c r="N87" i="7"/>
  <c r="S23" i="7"/>
  <c r="P101" i="7"/>
  <c r="M142" i="7"/>
  <c r="N132" i="7"/>
  <c r="M205" i="7"/>
  <c r="N133" i="7"/>
  <c r="Q133" i="7" s="1"/>
  <c r="N57" i="7"/>
  <c r="P90" i="7"/>
  <c r="R90" i="7" s="1"/>
  <c r="O188" i="7"/>
  <c r="N10" i="7"/>
  <c r="Q180" i="7"/>
  <c r="W197" i="7"/>
  <c r="O63" i="7"/>
  <c r="AA53" i="7"/>
  <c r="W144" i="7"/>
  <c r="N95" i="7"/>
  <c r="AA181" i="7"/>
  <c r="P192" i="7"/>
  <c r="W205" i="7"/>
  <c r="O174" i="7"/>
  <c r="M146" i="7"/>
  <c r="N65" i="7"/>
  <c r="N156" i="7"/>
  <c r="N110" i="7"/>
  <c r="Q110" i="7" s="1"/>
  <c r="O31" i="7"/>
  <c r="P48" i="7"/>
  <c r="M14" i="7"/>
  <c r="W73" i="7"/>
  <c r="N150" i="7"/>
  <c r="L37" i="7"/>
  <c r="R36" i="5"/>
  <c r="O59" i="7"/>
  <c r="Q59" i="7" s="1"/>
  <c r="M42" i="7"/>
  <c r="N88" i="7"/>
  <c r="L18" i="7"/>
  <c r="M18" i="7"/>
  <c r="P18" i="7"/>
  <c r="P20" i="7"/>
  <c r="O18" i="7"/>
  <c r="O20" i="7"/>
  <c r="N21" i="7"/>
  <c r="P17" i="7"/>
  <c r="I18" i="7"/>
  <c r="N17" i="7"/>
  <c r="W141" i="7"/>
  <c r="AA141" i="7"/>
  <c r="Q177" i="5"/>
  <c r="R177" i="5"/>
  <c r="M87" i="7"/>
  <c r="M131" i="7"/>
  <c r="O87" i="7"/>
  <c r="N101" i="7"/>
  <c r="N142" i="7"/>
  <c r="O132" i="7"/>
  <c r="S10" i="7"/>
  <c r="N205" i="7"/>
  <c r="R205" i="7" s="1"/>
  <c r="O133" i="7"/>
  <c r="W183" i="7"/>
  <c r="P57" i="7"/>
  <c r="M145" i="7"/>
  <c r="P188" i="7"/>
  <c r="M69" i="7"/>
  <c r="Q185" i="7"/>
  <c r="AA45" i="7"/>
  <c r="O107" i="7"/>
  <c r="AA156" i="7"/>
  <c r="O95" i="7"/>
  <c r="P98" i="7"/>
  <c r="P40" i="7"/>
  <c r="AA85" i="7"/>
  <c r="N146" i="7"/>
  <c r="P65" i="7"/>
  <c r="O79" i="7"/>
  <c r="O62" i="7"/>
  <c r="W111" i="7"/>
  <c r="P49" i="7"/>
  <c r="M48" i="7"/>
  <c r="S35" i="7"/>
  <c r="AA7" i="7"/>
  <c r="AA171" i="7"/>
  <c r="N166" i="7"/>
  <c r="Q166" i="7" s="1"/>
  <c r="Q24" i="5"/>
  <c r="H24" i="5" s="1"/>
  <c r="R24" i="5"/>
  <c r="R93" i="5"/>
  <c r="Q93" i="5"/>
  <c r="N58" i="7"/>
  <c r="O131" i="7"/>
  <c r="P47" i="7"/>
  <c r="M61" i="7"/>
  <c r="M51" i="7"/>
  <c r="W160" i="7"/>
  <c r="N128" i="7"/>
  <c r="P132" i="7"/>
  <c r="R70" i="7"/>
  <c r="O205" i="7"/>
  <c r="M57" i="7"/>
  <c r="N145" i="7"/>
  <c r="M188" i="7"/>
  <c r="N69" i="7"/>
  <c r="O179" i="7"/>
  <c r="P107" i="7"/>
  <c r="Q96" i="5"/>
  <c r="P194" i="7"/>
  <c r="O40" i="7"/>
  <c r="P146" i="7"/>
  <c r="M28" i="7"/>
  <c r="O190" i="7"/>
  <c r="P62" i="7"/>
  <c r="N49" i="7"/>
  <c r="O195" i="7"/>
  <c r="O136" i="7"/>
  <c r="R136" i="7" s="1"/>
  <c r="N66" i="7"/>
  <c r="P41" i="7"/>
  <c r="R205" i="5"/>
  <c r="R35" i="5"/>
  <c r="Q35" i="5"/>
  <c r="R124" i="5"/>
  <c r="Q124" i="5"/>
  <c r="Q160" i="5"/>
  <c r="N19" i="7"/>
  <c r="R89" i="5"/>
  <c r="Q72" i="7"/>
  <c r="P130" i="7"/>
  <c r="M127" i="7"/>
  <c r="N130" i="7"/>
  <c r="N127" i="7"/>
  <c r="O130" i="7"/>
  <c r="O142" i="7"/>
  <c r="Q80" i="7"/>
  <c r="N115" i="7"/>
  <c r="O99" i="7"/>
  <c r="P131" i="7"/>
  <c r="M47" i="7"/>
  <c r="N144" i="7"/>
  <c r="M75" i="7"/>
  <c r="Q75" i="7" s="1"/>
  <c r="N159" i="7"/>
  <c r="N61" i="7"/>
  <c r="N51" i="7"/>
  <c r="Q51" i="7" s="1"/>
  <c r="O128" i="7"/>
  <c r="I28" i="7"/>
  <c r="P205" i="7"/>
  <c r="O145" i="7"/>
  <c r="R68" i="7"/>
  <c r="Q204" i="7"/>
  <c r="Q78" i="7"/>
  <c r="N74" i="7"/>
  <c r="Q74" i="7" s="1"/>
  <c r="M100" i="7"/>
  <c r="Q100" i="7" s="1"/>
  <c r="O69" i="7"/>
  <c r="P179" i="7"/>
  <c r="P64" i="7"/>
  <c r="N126" i="7"/>
  <c r="M81" i="7"/>
  <c r="P127" i="7"/>
  <c r="Q193" i="5"/>
  <c r="M194" i="7"/>
  <c r="N40" i="7"/>
  <c r="M67" i="7"/>
  <c r="N181" i="7"/>
  <c r="N50" i="7"/>
  <c r="P190" i="7"/>
  <c r="N16" i="7"/>
  <c r="M178" i="7"/>
  <c r="O143" i="7"/>
  <c r="AA57" i="7"/>
  <c r="M60" i="7"/>
  <c r="P147" i="7"/>
  <c r="M195" i="7"/>
  <c r="O66" i="7"/>
  <c r="N41" i="7"/>
  <c r="N92" i="7"/>
  <c r="R37" i="5"/>
  <c r="Q126" i="5"/>
  <c r="N36" i="7"/>
  <c r="N52" i="7"/>
  <c r="P32" i="7"/>
  <c r="O166" i="7"/>
  <c r="M89" i="7"/>
  <c r="I21" i="7"/>
  <c r="AA21" i="7" s="1"/>
  <c r="P70" i="7"/>
  <c r="Q70" i="7" s="1"/>
  <c r="R107" i="5"/>
  <c r="Q178" i="5"/>
  <c r="L9" i="7"/>
  <c r="I32" i="7"/>
  <c r="W27" i="5"/>
  <c r="X27" i="5" s="1"/>
  <c r="AA27" i="5"/>
  <c r="Q119" i="5"/>
  <c r="R171" i="5"/>
  <c r="Q171" i="5"/>
  <c r="Q192" i="5"/>
  <c r="R118" i="5"/>
  <c r="P36" i="7"/>
  <c r="P52" i="7"/>
  <c r="M32" i="7"/>
  <c r="S39" i="7"/>
  <c r="P71" i="7"/>
  <c r="S37" i="7"/>
  <c r="L29" i="7"/>
  <c r="R116" i="5"/>
  <c r="Q152" i="5"/>
  <c r="Q125" i="5"/>
  <c r="R125" i="5"/>
  <c r="Q90" i="5"/>
  <c r="Q162" i="5"/>
  <c r="R159" i="5"/>
  <c r="R51" i="5"/>
  <c r="Q204" i="5"/>
  <c r="N202" i="7"/>
  <c r="Q202" i="7" s="1"/>
  <c r="O67" i="7"/>
  <c r="S8" i="7"/>
  <c r="P79" i="7"/>
  <c r="N160" i="7"/>
  <c r="M59" i="7"/>
  <c r="M172" i="7"/>
  <c r="M71" i="7"/>
  <c r="O21" i="7"/>
  <c r="Q21" i="7" s="1"/>
  <c r="H21" i="7" s="1"/>
  <c r="G21" i="7" s="1"/>
  <c r="O14" i="7"/>
  <c r="O88" i="7"/>
  <c r="O203" i="7"/>
  <c r="I11" i="7"/>
  <c r="I12" i="7"/>
  <c r="Q110" i="5"/>
  <c r="AA30" i="5"/>
  <c r="W30" i="5"/>
  <c r="X30" i="5" s="1"/>
  <c r="Y30" i="5" s="1"/>
  <c r="R48" i="5"/>
  <c r="R97" i="5"/>
  <c r="N157" i="7"/>
  <c r="O53" i="7"/>
  <c r="O202" i="7"/>
  <c r="P165" i="7"/>
  <c r="R165" i="7" s="1"/>
  <c r="N198" i="7"/>
  <c r="P67" i="7"/>
  <c r="M200" i="7"/>
  <c r="S22" i="7"/>
  <c r="M79" i="7"/>
  <c r="O160" i="7"/>
  <c r="N59" i="7"/>
  <c r="N172" i="7"/>
  <c r="N71" i="7"/>
  <c r="O114" i="7"/>
  <c r="R114" i="7" s="1"/>
  <c r="P14" i="7"/>
  <c r="M88" i="7"/>
  <c r="M203" i="7"/>
  <c r="M13" i="7"/>
  <c r="R104" i="5"/>
  <c r="Q176" i="5"/>
  <c r="R164" i="5"/>
  <c r="R52" i="5"/>
  <c r="R138" i="5"/>
  <c r="O89" i="7"/>
  <c r="M114" i="7"/>
  <c r="L27" i="7"/>
  <c r="Q27" i="7" s="1"/>
  <c r="R135" i="5"/>
  <c r="Q163" i="5"/>
  <c r="Q201" i="5"/>
  <c r="R87" i="5"/>
  <c r="R53" i="5"/>
  <c r="R132" i="5"/>
  <c r="G71" i="8"/>
  <c r="B71" i="8"/>
  <c r="D71" i="8"/>
  <c r="K71" i="8"/>
  <c r="Z71" i="8"/>
  <c r="I71" i="8"/>
  <c r="W71" i="8" s="1"/>
  <c r="X71" i="8"/>
  <c r="S71" i="8"/>
  <c r="C71" i="8"/>
  <c r="Y71" i="8"/>
  <c r="H71" i="8"/>
  <c r="Y44" i="8"/>
  <c r="S44" i="8"/>
  <c r="X44" i="8"/>
  <c r="B44" i="8"/>
  <c r="G44" i="8"/>
  <c r="D44" i="8"/>
  <c r="H44" i="8"/>
  <c r="I44" i="8"/>
  <c r="C44" i="8"/>
  <c r="Z44" i="8"/>
  <c r="K44" i="8"/>
  <c r="P44" i="8" s="1"/>
  <c r="Z139" i="8"/>
  <c r="H139" i="8"/>
  <c r="D139" i="8"/>
  <c r="C139" i="8"/>
  <c r="S139" i="8"/>
  <c r="K139" i="8"/>
  <c r="B139" i="8"/>
  <c r="I139" i="8"/>
  <c r="AA139" i="8" s="1"/>
  <c r="Y139" i="8"/>
  <c r="X139" i="8"/>
  <c r="G139" i="8"/>
  <c r="K153" i="8"/>
  <c r="H153" i="8"/>
  <c r="I153" i="8"/>
  <c r="X153" i="8"/>
  <c r="Z153" i="8"/>
  <c r="G153" i="8"/>
  <c r="D153" i="8"/>
  <c r="B153" i="8"/>
  <c r="Y153" i="8"/>
  <c r="C153" i="8"/>
  <c r="S153" i="8"/>
  <c r="K130" i="8"/>
  <c r="I130" i="8"/>
  <c r="W130" i="8" s="1"/>
  <c r="D130" i="8"/>
  <c r="Y130" i="8"/>
  <c r="C130" i="8"/>
  <c r="H130" i="8"/>
  <c r="Z130" i="8"/>
  <c r="S130" i="8"/>
  <c r="B130" i="8"/>
  <c r="X130" i="8"/>
  <c r="G130" i="8"/>
  <c r="S89" i="8"/>
  <c r="Y89" i="8"/>
  <c r="B89" i="8"/>
  <c r="H89" i="8"/>
  <c r="I89" i="8"/>
  <c r="X89" i="8"/>
  <c r="Z89" i="8"/>
  <c r="G89" i="8"/>
  <c r="K89" i="8"/>
  <c r="D89" i="8"/>
  <c r="C89" i="8"/>
  <c r="H201" i="8"/>
  <c r="X201" i="8"/>
  <c r="K201" i="8"/>
  <c r="D201" i="8"/>
  <c r="Y201" i="8"/>
  <c r="C201" i="8"/>
  <c r="S201" i="8"/>
  <c r="B201" i="8"/>
  <c r="Z201" i="8"/>
  <c r="I201" i="8"/>
  <c r="G201" i="8"/>
  <c r="Y169" i="8"/>
  <c r="B169" i="8"/>
  <c r="X169" i="8"/>
  <c r="Z169" i="8"/>
  <c r="G169" i="8"/>
  <c r="D169" i="8"/>
  <c r="C169" i="8"/>
  <c r="I169" i="8"/>
  <c r="H169" i="8"/>
  <c r="S169" i="8"/>
  <c r="K169" i="8"/>
  <c r="C93" i="8"/>
  <c r="X93" i="8"/>
  <c r="K93" i="8"/>
  <c r="D93" i="8"/>
  <c r="B93" i="8"/>
  <c r="Z93" i="8"/>
  <c r="S93" i="8"/>
  <c r="H93" i="8"/>
  <c r="G93" i="8"/>
  <c r="I93" i="8"/>
  <c r="Y93" i="8"/>
  <c r="Z107" i="8"/>
  <c r="J109" i="8"/>
  <c r="L109" i="8" s="1"/>
  <c r="H107" i="8"/>
  <c r="J108" i="8"/>
  <c r="L108" i="8" s="1"/>
  <c r="J111" i="8"/>
  <c r="L111" i="8" s="1"/>
  <c r="I107" i="8"/>
  <c r="J110" i="8"/>
  <c r="L110" i="8" s="1"/>
  <c r="G107" i="8"/>
  <c r="J107" i="8"/>
  <c r="L107" i="8" s="1"/>
  <c r="K107" i="8"/>
  <c r="C107" i="8"/>
  <c r="D107" i="8"/>
  <c r="Y107" i="8"/>
  <c r="B107" i="8"/>
  <c r="X107" i="8"/>
  <c r="S107" i="8"/>
  <c r="S129" i="8"/>
  <c r="G129" i="8"/>
  <c r="Z129" i="8"/>
  <c r="C129" i="8"/>
  <c r="D129" i="8"/>
  <c r="K129" i="8"/>
  <c r="B129" i="8"/>
  <c r="I129" i="8"/>
  <c r="Y129" i="8"/>
  <c r="H129" i="8"/>
  <c r="X129" i="8"/>
  <c r="Y146" i="8"/>
  <c r="S146" i="8"/>
  <c r="K146" i="8"/>
  <c r="X146" i="8"/>
  <c r="Z146" i="8"/>
  <c r="G146" i="8"/>
  <c r="B146" i="8"/>
  <c r="H146" i="8"/>
  <c r="D146" i="8"/>
  <c r="C146" i="8"/>
  <c r="I146" i="8"/>
  <c r="C176" i="8"/>
  <c r="Y176" i="8"/>
  <c r="S176" i="8"/>
  <c r="Z176" i="8"/>
  <c r="I176" i="8"/>
  <c r="AA176" i="8" s="1"/>
  <c r="H176" i="8"/>
  <c r="X176" i="8"/>
  <c r="G176" i="8"/>
  <c r="D176" i="8"/>
  <c r="K176" i="8"/>
  <c r="B176" i="8"/>
  <c r="X160" i="8"/>
  <c r="Z160" i="8"/>
  <c r="C160" i="8"/>
  <c r="I160" i="8"/>
  <c r="W160" i="8" s="1"/>
  <c r="B160" i="8"/>
  <c r="G160" i="8"/>
  <c r="K160" i="8"/>
  <c r="S160" i="8"/>
  <c r="Y160" i="8"/>
  <c r="H160" i="8"/>
  <c r="D160" i="8"/>
  <c r="G97" i="8"/>
  <c r="X97" i="8"/>
  <c r="J99" i="8"/>
  <c r="L99" i="8" s="1"/>
  <c r="Z97" i="8"/>
  <c r="C97" i="8"/>
  <c r="D97" i="8"/>
  <c r="J100" i="8"/>
  <c r="L100" i="8" s="1"/>
  <c r="J98" i="8"/>
  <c r="L98" i="8" s="1"/>
  <c r="Y97" i="8"/>
  <c r="J97" i="8"/>
  <c r="L97" i="8" s="1"/>
  <c r="H97" i="8"/>
  <c r="I97" i="8"/>
  <c r="S97" i="8"/>
  <c r="J101" i="8"/>
  <c r="L101" i="8" s="1"/>
  <c r="B97" i="8"/>
  <c r="K97" i="8"/>
  <c r="Y104" i="8"/>
  <c r="I104" i="8"/>
  <c r="H104" i="8"/>
  <c r="S104" i="8"/>
  <c r="G104" i="8"/>
  <c r="K104" i="8"/>
  <c r="X104" i="8"/>
  <c r="B104" i="8"/>
  <c r="D104" i="8"/>
  <c r="C104" i="8"/>
  <c r="Z104" i="8"/>
  <c r="Y122" i="8"/>
  <c r="B122" i="8"/>
  <c r="G122" i="8"/>
  <c r="D122" i="8"/>
  <c r="Z122" i="8"/>
  <c r="S122" i="8"/>
  <c r="K122" i="8"/>
  <c r="C122" i="8"/>
  <c r="J122" i="8"/>
  <c r="L122" i="8" s="1"/>
  <c r="J124" i="8"/>
  <c r="L124" i="8" s="1"/>
  <c r="I122" i="8"/>
  <c r="J125" i="8"/>
  <c r="L125" i="8" s="1"/>
  <c r="H122" i="8"/>
  <c r="X122" i="8"/>
  <c r="J126" i="8"/>
  <c r="L126" i="8" s="1"/>
  <c r="J123" i="8"/>
  <c r="L123" i="8" s="1"/>
  <c r="D33" i="8"/>
  <c r="Z33" i="8"/>
  <c r="C33" i="8"/>
  <c r="K33" i="8"/>
  <c r="N32" i="8" s="1"/>
  <c r="B33" i="8"/>
  <c r="I72" i="8"/>
  <c r="AA72" i="8" s="1"/>
  <c r="K72" i="8"/>
  <c r="J76" i="8"/>
  <c r="L76" i="8" s="1"/>
  <c r="G72" i="8"/>
  <c r="J74" i="8"/>
  <c r="L74" i="8" s="1"/>
  <c r="S72" i="8"/>
  <c r="C72" i="8"/>
  <c r="J72" i="8"/>
  <c r="L72" i="8" s="1"/>
  <c r="D72" i="8"/>
  <c r="X72" i="8"/>
  <c r="Z72" i="8"/>
  <c r="B72" i="8"/>
  <c r="Y72" i="8"/>
  <c r="J73" i="8"/>
  <c r="L73" i="8" s="1"/>
  <c r="H72" i="8"/>
  <c r="J75" i="8"/>
  <c r="L75" i="8" s="1"/>
  <c r="C26" i="8"/>
  <c r="Z26" i="8"/>
  <c r="K26" i="8"/>
  <c r="B26" i="8"/>
  <c r="D26" i="8"/>
  <c r="H155" i="8"/>
  <c r="C155" i="8"/>
  <c r="Y155" i="8"/>
  <c r="S155" i="8"/>
  <c r="X155" i="8"/>
  <c r="K155" i="8"/>
  <c r="D155" i="8"/>
  <c r="I155" i="8"/>
  <c r="G155" i="8"/>
  <c r="Z155" i="8"/>
  <c r="B155" i="8"/>
  <c r="K90" i="8"/>
  <c r="I90" i="8"/>
  <c r="X90" i="8"/>
  <c r="H90" i="8"/>
  <c r="G90" i="8"/>
  <c r="Z90" i="8"/>
  <c r="D90" i="8"/>
  <c r="B90" i="8"/>
  <c r="C90" i="8"/>
  <c r="S90" i="8"/>
  <c r="Y90" i="8"/>
  <c r="G82" i="8"/>
  <c r="K82" i="8"/>
  <c r="J86" i="8"/>
  <c r="L86" i="8" s="1"/>
  <c r="B82" i="8"/>
  <c r="J85" i="8"/>
  <c r="L85" i="8" s="1"/>
  <c r="J82" i="8"/>
  <c r="L82" i="8" s="1"/>
  <c r="D82" i="8"/>
  <c r="I82" i="8"/>
  <c r="J84" i="8"/>
  <c r="L84" i="8" s="1"/>
  <c r="H82" i="8"/>
  <c r="C82" i="8"/>
  <c r="Y82" i="8"/>
  <c r="J83" i="8"/>
  <c r="L83" i="8" s="1"/>
  <c r="Z82" i="8"/>
  <c r="X82" i="8"/>
  <c r="S82" i="8"/>
  <c r="B68" i="8"/>
  <c r="Z68" i="8"/>
  <c r="K68" i="8"/>
  <c r="H68" i="8"/>
  <c r="C68" i="8"/>
  <c r="I68" i="8"/>
  <c r="W68" i="8" s="1"/>
  <c r="Y68" i="8"/>
  <c r="S68" i="8"/>
  <c r="X68" i="8"/>
  <c r="G68" i="8"/>
  <c r="D68" i="8"/>
  <c r="G195" i="8"/>
  <c r="Z195" i="8"/>
  <c r="B195" i="8"/>
  <c r="H195" i="8"/>
  <c r="I195" i="8"/>
  <c r="Y195" i="8"/>
  <c r="X195" i="8"/>
  <c r="D195" i="8"/>
  <c r="C195" i="8"/>
  <c r="S195" i="8"/>
  <c r="K195" i="8"/>
  <c r="B204" i="8"/>
  <c r="I204" i="8"/>
  <c r="Y204" i="8"/>
  <c r="H204" i="8"/>
  <c r="D204" i="8"/>
  <c r="Z204" i="8"/>
  <c r="C204" i="8"/>
  <c r="G204" i="8"/>
  <c r="S204" i="8"/>
  <c r="K204" i="8"/>
  <c r="X204" i="8"/>
  <c r="S92" i="8"/>
  <c r="G92" i="8"/>
  <c r="D92" i="8"/>
  <c r="J92" i="8"/>
  <c r="L92" i="8" s="1"/>
  <c r="J96" i="8"/>
  <c r="L96" i="8" s="1"/>
  <c r="Y92" i="8"/>
  <c r="I92" i="8"/>
  <c r="J95" i="8"/>
  <c r="L95" i="8" s="1"/>
  <c r="H92" i="8"/>
  <c r="J94" i="8"/>
  <c r="L94" i="8" s="1"/>
  <c r="X92" i="8"/>
  <c r="C92" i="8"/>
  <c r="J93" i="8"/>
  <c r="L93" i="8" s="1"/>
  <c r="K92" i="8"/>
  <c r="B92" i="8"/>
  <c r="Z92" i="8"/>
  <c r="Z18" i="8"/>
  <c r="K18" i="8"/>
  <c r="B18" i="8"/>
  <c r="D18" i="8"/>
  <c r="C18" i="8"/>
  <c r="S154" i="8"/>
  <c r="B154" i="8"/>
  <c r="H154" i="8"/>
  <c r="X154" i="8"/>
  <c r="Z154" i="8"/>
  <c r="Y154" i="8"/>
  <c r="C154" i="8"/>
  <c r="G154" i="8"/>
  <c r="D154" i="8"/>
  <c r="K154" i="8"/>
  <c r="I154" i="8"/>
  <c r="K70" i="8"/>
  <c r="H70" i="8"/>
  <c r="X70" i="8"/>
  <c r="G70" i="8"/>
  <c r="C70" i="8"/>
  <c r="B70" i="8"/>
  <c r="D70" i="8"/>
  <c r="I70" i="8"/>
  <c r="Y70" i="8"/>
  <c r="S70" i="8"/>
  <c r="Z70" i="8"/>
  <c r="J113" i="8"/>
  <c r="L113" i="8" s="1"/>
  <c r="H112" i="8"/>
  <c r="B112" i="8"/>
  <c r="J116" i="8"/>
  <c r="L116" i="8" s="1"/>
  <c r="J114" i="8"/>
  <c r="L114" i="8" s="1"/>
  <c r="I112" i="8"/>
  <c r="Y112" i="8"/>
  <c r="J115" i="8"/>
  <c r="D112" i="8"/>
  <c r="C112" i="8"/>
  <c r="X112" i="8"/>
  <c r="S112" i="8"/>
  <c r="G112" i="8"/>
  <c r="K112" i="8"/>
  <c r="J112" i="8"/>
  <c r="L112" i="8" s="1"/>
  <c r="Z112" i="8"/>
  <c r="B34" i="8"/>
  <c r="C34" i="8"/>
  <c r="K34" i="8"/>
  <c r="Z34" i="8"/>
  <c r="D34" i="8"/>
  <c r="G162" i="8"/>
  <c r="K162" i="8"/>
  <c r="J165" i="8"/>
  <c r="L165" i="8" s="1"/>
  <c r="J162" i="8"/>
  <c r="L162" i="8" s="1"/>
  <c r="D162" i="8"/>
  <c r="Z162" i="8"/>
  <c r="J164" i="8"/>
  <c r="L164" i="8" s="1"/>
  <c r="Y162" i="8"/>
  <c r="I162" i="8"/>
  <c r="J166" i="8"/>
  <c r="L166" i="8" s="1"/>
  <c r="S162" i="8"/>
  <c r="H162" i="8"/>
  <c r="X162" i="8"/>
  <c r="C162" i="8"/>
  <c r="J163" i="8"/>
  <c r="L163" i="8" s="1"/>
  <c r="B162" i="8"/>
  <c r="G151" i="8"/>
  <c r="C151" i="8"/>
  <c r="Z151" i="8"/>
  <c r="B151" i="8"/>
  <c r="I151" i="8"/>
  <c r="AA151" i="8" s="1"/>
  <c r="S151" i="8"/>
  <c r="Y151" i="8"/>
  <c r="D151" i="8"/>
  <c r="X151" i="8"/>
  <c r="K151" i="8"/>
  <c r="H151" i="8"/>
  <c r="Z74" i="8"/>
  <c r="G74" i="8"/>
  <c r="D74" i="8"/>
  <c r="B74" i="8"/>
  <c r="X74" i="8"/>
  <c r="S74" i="8"/>
  <c r="K74" i="8"/>
  <c r="I74" i="8"/>
  <c r="W74" i="8" s="1"/>
  <c r="H74" i="8"/>
  <c r="Y74" i="8"/>
  <c r="C74" i="8"/>
  <c r="D126" i="8"/>
  <c r="Y126" i="8"/>
  <c r="S126" i="8"/>
  <c r="H126" i="8"/>
  <c r="K126" i="8"/>
  <c r="O126" i="8" s="1"/>
  <c r="B126" i="8"/>
  <c r="X126" i="8"/>
  <c r="I126" i="8"/>
  <c r="W126" i="8" s="1"/>
  <c r="C126" i="8"/>
  <c r="G126" i="8"/>
  <c r="Z126" i="8"/>
  <c r="Z188" i="8"/>
  <c r="S188" i="8"/>
  <c r="C188" i="8"/>
  <c r="X188" i="8"/>
  <c r="B188" i="8"/>
  <c r="K188" i="8"/>
  <c r="H188" i="8"/>
  <c r="G188" i="8"/>
  <c r="I188" i="8"/>
  <c r="D188" i="8"/>
  <c r="Y188" i="8"/>
  <c r="C9" i="8"/>
  <c r="K9" i="8"/>
  <c r="D9" i="8"/>
  <c r="B9" i="8"/>
  <c r="Z9" i="8"/>
  <c r="I191" i="8"/>
  <c r="D191" i="8"/>
  <c r="Z191" i="8"/>
  <c r="C191" i="8"/>
  <c r="Y191" i="8"/>
  <c r="S191" i="8"/>
  <c r="G191" i="8"/>
  <c r="K191" i="8"/>
  <c r="H191" i="8"/>
  <c r="X191" i="8"/>
  <c r="B191" i="8"/>
  <c r="G66" i="8"/>
  <c r="D66" i="8"/>
  <c r="S66" i="8"/>
  <c r="C66" i="8"/>
  <c r="K66" i="8"/>
  <c r="B66" i="8"/>
  <c r="Z66" i="8"/>
  <c r="I66" i="8"/>
  <c r="Y66" i="8"/>
  <c r="X66" i="8"/>
  <c r="H66" i="8"/>
  <c r="D35" i="8"/>
  <c r="B35" i="8"/>
  <c r="Z35" i="8"/>
  <c r="K35" i="8"/>
  <c r="C35" i="8"/>
  <c r="B193" i="8"/>
  <c r="Y193" i="8"/>
  <c r="G193" i="8"/>
  <c r="X193" i="8"/>
  <c r="D193" i="8"/>
  <c r="H193" i="8"/>
  <c r="C193" i="8"/>
  <c r="S193" i="8"/>
  <c r="K193" i="8"/>
  <c r="Z193" i="8"/>
  <c r="I193" i="8"/>
  <c r="G60" i="8"/>
  <c r="Z60" i="8"/>
  <c r="Y60" i="8"/>
  <c r="K60" i="8"/>
  <c r="P59" i="8" s="1"/>
  <c r="C60" i="8"/>
  <c r="H60" i="8"/>
  <c r="D60" i="8"/>
  <c r="B60" i="8"/>
  <c r="S60" i="8"/>
  <c r="I60" i="8"/>
  <c r="X60" i="8"/>
  <c r="J66" i="8"/>
  <c r="I62" i="8"/>
  <c r="J63" i="8"/>
  <c r="L63" i="8" s="1"/>
  <c r="J64" i="8"/>
  <c r="S62" i="8"/>
  <c r="C62" i="8"/>
  <c r="K62" i="8"/>
  <c r="Z62" i="8"/>
  <c r="B62" i="8"/>
  <c r="D62" i="8"/>
  <c r="J65" i="8"/>
  <c r="L65" i="8" s="1"/>
  <c r="J62" i="8"/>
  <c r="X62" i="8"/>
  <c r="G62" i="8"/>
  <c r="Y62" i="8"/>
  <c r="H62" i="8"/>
  <c r="S206" i="8"/>
  <c r="X206" i="8"/>
  <c r="K206" i="8"/>
  <c r="D206" i="8"/>
  <c r="B206" i="8"/>
  <c r="C206" i="8"/>
  <c r="I206" i="8"/>
  <c r="Z206" i="8"/>
  <c r="H206" i="8"/>
  <c r="Y206" i="8"/>
  <c r="G206" i="8"/>
  <c r="S31" i="8"/>
  <c r="H31" i="8"/>
  <c r="B31" i="8"/>
  <c r="Z31" i="8"/>
  <c r="I31" i="8"/>
  <c r="G31" i="8"/>
  <c r="C31" i="8"/>
  <c r="D31" i="8"/>
  <c r="K31" i="8"/>
  <c r="N27" i="8" s="1"/>
  <c r="Y31" i="8"/>
  <c r="X31" i="8"/>
  <c r="Y148" i="8"/>
  <c r="S148" i="8"/>
  <c r="X148" i="8"/>
  <c r="H148" i="8"/>
  <c r="G148" i="8"/>
  <c r="D148" i="8"/>
  <c r="C148" i="8"/>
  <c r="K148" i="8"/>
  <c r="B148" i="8"/>
  <c r="Z148" i="8"/>
  <c r="I148" i="8"/>
  <c r="W148" i="8" s="1"/>
  <c r="B73" i="8"/>
  <c r="X73" i="8"/>
  <c r="I73" i="8"/>
  <c r="S73" i="8"/>
  <c r="C73" i="8"/>
  <c r="K73" i="8"/>
  <c r="D73" i="8"/>
  <c r="Z73" i="8"/>
  <c r="G73" i="8"/>
  <c r="Y73" i="8"/>
  <c r="H73" i="8"/>
  <c r="H166" i="8"/>
  <c r="X166" i="8"/>
  <c r="S166" i="8"/>
  <c r="G166" i="8"/>
  <c r="K166" i="8"/>
  <c r="D166" i="8"/>
  <c r="B166" i="8"/>
  <c r="C166" i="8"/>
  <c r="Z166" i="8"/>
  <c r="I166" i="8"/>
  <c r="Y166" i="8"/>
  <c r="G108" i="8"/>
  <c r="K108" i="8"/>
  <c r="H108" i="8"/>
  <c r="C108" i="8"/>
  <c r="X108" i="8"/>
  <c r="Z108" i="8"/>
  <c r="I108" i="8"/>
  <c r="D108" i="8"/>
  <c r="S108" i="8"/>
  <c r="B108" i="8"/>
  <c r="Y108" i="8"/>
  <c r="K49" i="8"/>
  <c r="C49" i="8"/>
  <c r="Z49" i="8"/>
  <c r="I49" i="8"/>
  <c r="Y49" i="8"/>
  <c r="B49" i="8"/>
  <c r="G49" i="8"/>
  <c r="S49" i="8"/>
  <c r="H49" i="8"/>
  <c r="X49" i="8"/>
  <c r="D49" i="8"/>
  <c r="Z168" i="8"/>
  <c r="S168" i="8"/>
  <c r="H168" i="8"/>
  <c r="D168" i="8"/>
  <c r="B168" i="8"/>
  <c r="I168" i="8"/>
  <c r="W168" i="8" s="1"/>
  <c r="Y168" i="8"/>
  <c r="X168" i="8"/>
  <c r="G168" i="8"/>
  <c r="C168" i="8"/>
  <c r="K168" i="8"/>
  <c r="C192" i="8"/>
  <c r="G192" i="8"/>
  <c r="S192" i="8"/>
  <c r="X192" i="8"/>
  <c r="Z192" i="8"/>
  <c r="K192" i="8"/>
  <c r="I192" i="8"/>
  <c r="B192" i="8"/>
  <c r="J192" i="8"/>
  <c r="Y192" i="8"/>
  <c r="J194" i="8"/>
  <c r="L194" i="8" s="1"/>
  <c r="J196" i="8"/>
  <c r="L196" i="8" s="1"/>
  <c r="H192" i="8"/>
  <c r="J195" i="8"/>
  <c r="L195" i="8" s="1"/>
  <c r="D192" i="8"/>
  <c r="J193" i="8"/>
  <c r="L193" i="8" s="1"/>
  <c r="H79" i="8"/>
  <c r="G79" i="8"/>
  <c r="D79" i="8"/>
  <c r="K79" i="8"/>
  <c r="Z79" i="8"/>
  <c r="X79" i="8"/>
  <c r="S79" i="8"/>
  <c r="I79" i="8"/>
  <c r="Y79" i="8"/>
  <c r="C79" i="8"/>
  <c r="B79" i="8"/>
  <c r="G36" i="8"/>
  <c r="C36" i="8"/>
  <c r="Z36" i="8"/>
  <c r="I36" i="8"/>
  <c r="S36" i="8"/>
  <c r="X36" i="8"/>
  <c r="H36" i="8"/>
  <c r="D36" i="8"/>
  <c r="K36" i="8"/>
  <c r="Y36" i="8"/>
  <c r="B36" i="8"/>
  <c r="C12" i="8"/>
  <c r="K12" i="8"/>
  <c r="J15" i="8"/>
  <c r="J16" i="8"/>
  <c r="J13" i="8"/>
  <c r="Z12" i="8"/>
  <c r="J12" i="8"/>
  <c r="J14" i="8"/>
  <c r="D12" i="8"/>
  <c r="B12" i="8"/>
  <c r="S77" i="8"/>
  <c r="X77" i="8"/>
  <c r="B77" i="8"/>
  <c r="D77" i="8"/>
  <c r="J77" i="8"/>
  <c r="L77" i="8" s="1"/>
  <c r="J81" i="8"/>
  <c r="L81" i="8" s="1"/>
  <c r="Z77" i="8"/>
  <c r="J80" i="8"/>
  <c r="L80" i="8" s="1"/>
  <c r="I77" i="8"/>
  <c r="AA77" i="8" s="1"/>
  <c r="G77" i="8"/>
  <c r="J78" i="8"/>
  <c r="L78" i="8" s="1"/>
  <c r="J79" i="8"/>
  <c r="L79" i="8" s="1"/>
  <c r="C77" i="8"/>
  <c r="K77" i="8"/>
  <c r="Y77" i="8"/>
  <c r="H77" i="8"/>
  <c r="B41" i="8"/>
  <c r="D41" i="8"/>
  <c r="I41" i="8"/>
  <c r="AA41" i="8" s="1"/>
  <c r="Y41" i="8"/>
  <c r="H41" i="8"/>
  <c r="X41" i="8"/>
  <c r="K41" i="8"/>
  <c r="S41" i="8"/>
  <c r="Z41" i="8"/>
  <c r="G41" i="8"/>
  <c r="C41" i="8"/>
  <c r="G202" i="8"/>
  <c r="I202" i="8"/>
  <c r="J203" i="8"/>
  <c r="L203" i="8" s="1"/>
  <c r="H202" i="8"/>
  <c r="S202" i="8"/>
  <c r="D202" i="8"/>
  <c r="K202" i="8"/>
  <c r="C202" i="8"/>
  <c r="J206" i="8"/>
  <c r="L206" i="8" s="1"/>
  <c r="J205" i="8"/>
  <c r="L205" i="8" s="1"/>
  <c r="Z202" i="8"/>
  <c r="X202" i="8"/>
  <c r="B202" i="8"/>
  <c r="J202" i="8"/>
  <c r="L202" i="8" s="1"/>
  <c r="Y202" i="8"/>
  <c r="J204" i="8"/>
  <c r="L204" i="8" s="1"/>
  <c r="I196" i="8"/>
  <c r="B196" i="8"/>
  <c r="H196" i="8"/>
  <c r="X196" i="8"/>
  <c r="G196" i="8"/>
  <c r="S196" i="8"/>
  <c r="Z196" i="8"/>
  <c r="C196" i="8"/>
  <c r="D196" i="8"/>
  <c r="Y196" i="8"/>
  <c r="K196" i="8"/>
  <c r="D163" i="8"/>
  <c r="X163" i="8"/>
  <c r="S163" i="8"/>
  <c r="H163" i="8"/>
  <c r="K163" i="8"/>
  <c r="B163" i="8"/>
  <c r="Z163" i="8"/>
  <c r="G163" i="8"/>
  <c r="C163" i="8"/>
  <c r="I163" i="8"/>
  <c r="Y163" i="8"/>
  <c r="C25" i="8"/>
  <c r="B25" i="8"/>
  <c r="D25" i="8"/>
  <c r="K25" i="8"/>
  <c r="Z25" i="8"/>
  <c r="X198" i="8"/>
  <c r="D198" i="8"/>
  <c r="C198" i="8"/>
  <c r="H198" i="8"/>
  <c r="S198" i="8"/>
  <c r="G198" i="8"/>
  <c r="I198" i="8"/>
  <c r="B198" i="8"/>
  <c r="Z198" i="8"/>
  <c r="Y198" i="8"/>
  <c r="K198" i="8"/>
  <c r="O198" i="8" s="1"/>
  <c r="Z10" i="8"/>
  <c r="K10" i="8"/>
  <c r="B10" i="8"/>
  <c r="D10" i="8"/>
  <c r="C10" i="8"/>
  <c r="B30" i="8"/>
  <c r="C30" i="8"/>
  <c r="D30" i="8"/>
  <c r="K30" i="8"/>
  <c r="Z30" i="8"/>
  <c r="D190" i="8"/>
  <c r="H190" i="8"/>
  <c r="S190" i="8"/>
  <c r="Z190" i="8"/>
  <c r="K190" i="8"/>
  <c r="Y190" i="8"/>
  <c r="I190" i="8"/>
  <c r="G190" i="8"/>
  <c r="C190" i="8"/>
  <c r="B190" i="8"/>
  <c r="X190" i="8"/>
  <c r="H58" i="8"/>
  <c r="X58" i="8"/>
  <c r="I58" i="8"/>
  <c r="C58" i="8"/>
  <c r="Y58" i="8"/>
  <c r="G58" i="8"/>
  <c r="K58" i="8"/>
  <c r="B58" i="8"/>
  <c r="D58" i="8"/>
  <c r="S58" i="8"/>
  <c r="Z58" i="8"/>
  <c r="K14" i="8"/>
  <c r="D14" i="8"/>
  <c r="C14" i="8"/>
  <c r="B14" i="8"/>
  <c r="Z14" i="8"/>
  <c r="I114" i="8"/>
  <c r="D114" i="8"/>
  <c r="H114" i="8"/>
  <c r="X114" i="8"/>
  <c r="G114" i="8"/>
  <c r="Y114" i="8"/>
  <c r="B114" i="8"/>
  <c r="S114" i="8"/>
  <c r="K114" i="8"/>
  <c r="Z114" i="8"/>
  <c r="C114" i="8"/>
  <c r="D102" i="8"/>
  <c r="H102" i="8"/>
  <c r="K102" i="8"/>
  <c r="M102" i="8" s="1"/>
  <c r="C102" i="8"/>
  <c r="S102" i="8"/>
  <c r="B102" i="8"/>
  <c r="I102" i="8"/>
  <c r="J106" i="8"/>
  <c r="L106" i="8" s="1"/>
  <c r="J103" i="8"/>
  <c r="L103" i="8" s="1"/>
  <c r="J105" i="8"/>
  <c r="L105" i="8" s="1"/>
  <c r="Z102" i="8"/>
  <c r="J104" i="8"/>
  <c r="L104" i="8" s="1"/>
  <c r="X102" i="8"/>
  <c r="Y102" i="8"/>
  <c r="G102" i="8"/>
  <c r="J102" i="8"/>
  <c r="L102" i="8" s="1"/>
  <c r="C138" i="8"/>
  <c r="I138" i="8"/>
  <c r="W138" i="8" s="1"/>
  <c r="D138" i="8"/>
  <c r="B138" i="8"/>
  <c r="Y138" i="8"/>
  <c r="H138" i="8"/>
  <c r="G138" i="8"/>
  <c r="K138" i="8"/>
  <c r="P137" i="8" s="1"/>
  <c r="X138" i="8"/>
  <c r="S138" i="8"/>
  <c r="Z138" i="8"/>
  <c r="Z158" i="8"/>
  <c r="H158" i="8"/>
  <c r="D158" i="8"/>
  <c r="S158" i="8"/>
  <c r="C158" i="8"/>
  <c r="K158" i="8"/>
  <c r="B158" i="8"/>
  <c r="I158" i="8"/>
  <c r="AA158" i="8" s="1"/>
  <c r="Y158" i="8"/>
  <c r="X158" i="8"/>
  <c r="G158" i="8"/>
  <c r="B98" i="8"/>
  <c r="C98" i="8"/>
  <c r="S98" i="8"/>
  <c r="G98" i="8"/>
  <c r="X98" i="8"/>
  <c r="H98" i="8"/>
  <c r="Y98" i="8"/>
  <c r="Z98" i="8"/>
  <c r="I98" i="8"/>
  <c r="K98" i="8"/>
  <c r="D98" i="8"/>
  <c r="H105" i="8"/>
  <c r="G105" i="8"/>
  <c r="Z105" i="8"/>
  <c r="D105" i="8"/>
  <c r="Y105" i="8"/>
  <c r="C105" i="8"/>
  <c r="B105" i="8"/>
  <c r="I105" i="8"/>
  <c r="X105" i="8"/>
  <c r="K105" i="8"/>
  <c r="S105" i="8"/>
  <c r="B94" i="8"/>
  <c r="D94" i="8"/>
  <c r="Y94" i="8"/>
  <c r="S94" i="8"/>
  <c r="G94" i="8"/>
  <c r="Z94" i="8"/>
  <c r="I94" i="8"/>
  <c r="W94" i="8" s="1"/>
  <c r="H94" i="8"/>
  <c r="K94" i="8"/>
  <c r="X94" i="8"/>
  <c r="C94" i="8"/>
  <c r="Y174" i="8"/>
  <c r="X174" i="8"/>
  <c r="S174" i="8"/>
  <c r="G174" i="8"/>
  <c r="K174" i="8"/>
  <c r="D174" i="8"/>
  <c r="C174" i="8"/>
  <c r="I174" i="8"/>
  <c r="B174" i="8"/>
  <c r="Z174" i="8"/>
  <c r="H174" i="8"/>
  <c r="J21" i="8"/>
  <c r="I21" i="8" s="1"/>
  <c r="D17" i="8"/>
  <c r="J19" i="8"/>
  <c r="Z17" i="8"/>
  <c r="J18" i="8"/>
  <c r="L18" i="8" s="1"/>
  <c r="B17" i="8"/>
  <c r="J17" i="8"/>
  <c r="C17" i="8"/>
  <c r="K17" i="8"/>
  <c r="M21" i="8" s="1"/>
  <c r="J20" i="8"/>
  <c r="H59" i="8"/>
  <c r="X59" i="8"/>
  <c r="Z59" i="8"/>
  <c r="C59" i="8"/>
  <c r="I59" i="8"/>
  <c r="D59" i="8"/>
  <c r="B59" i="8"/>
  <c r="G59" i="8"/>
  <c r="Y59" i="8"/>
  <c r="K59" i="8"/>
  <c r="S59" i="8"/>
  <c r="Y137" i="8"/>
  <c r="J137" i="8"/>
  <c r="L137" i="8" s="1"/>
  <c r="J141" i="8"/>
  <c r="L141" i="8" s="1"/>
  <c r="I137" i="8"/>
  <c r="W137" i="8" s="1"/>
  <c r="J140" i="8"/>
  <c r="L140" i="8" s="1"/>
  <c r="H137" i="8"/>
  <c r="J138" i="8"/>
  <c r="L138" i="8" s="1"/>
  <c r="Z137" i="8"/>
  <c r="J139" i="8"/>
  <c r="L139" i="8" s="1"/>
  <c r="G137" i="8"/>
  <c r="S137" i="8"/>
  <c r="C137" i="8"/>
  <c r="K137" i="8"/>
  <c r="D137" i="8"/>
  <c r="B137" i="8"/>
  <c r="X137" i="8"/>
  <c r="H56" i="8"/>
  <c r="S56" i="8"/>
  <c r="G56" i="8"/>
  <c r="K56" i="8"/>
  <c r="X56" i="8"/>
  <c r="B56" i="8"/>
  <c r="C56" i="8"/>
  <c r="Y56" i="8"/>
  <c r="Z56" i="8"/>
  <c r="I56" i="8"/>
  <c r="D56" i="8"/>
  <c r="J38" i="8"/>
  <c r="L38" i="8" s="1"/>
  <c r="J41" i="8"/>
  <c r="Z37" i="8"/>
  <c r="J39" i="8"/>
  <c r="J40" i="8"/>
  <c r="D37" i="8"/>
  <c r="C37" i="8"/>
  <c r="K37" i="8"/>
  <c r="B37" i="8"/>
  <c r="J37" i="8"/>
  <c r="K171" i="8"/>
  <c r="Z171" i="8"/>
  <c r="I171" i="8"/>
  <c r="Y171" i="8"/>
  <c r="D171" i="8"/>
  <c r="B171" i="8"/>
  <c r="G171" i="8"/>
  <c r="X171" i="8"/>
  <c r="H171" i="8"/>
  <c r="S171" i="8"/>
  <c r="C171" i="8"/>
  <c r="Y116" i="8"/>
  <c r="K116" i="8"/>
  <c r="H116" i="8"/>
  <c r="B116" i="8"/>
  <c r="X116" i="8"/>
  <c r="S116" i="8"/>
  <c r="G116" i="8"/>
  <c r="D116" i="8"/>
  <c r="C116" i="8"/>
  <c r="Z116" i="8"/>
  <c r="I116" i="8"/>
  <c r="W116" i="8" s="1"/>
  <c r="Z13" i="8"/>
  <c r="C13" i="8"/>
  <c r="B13" i="8"/>
  <c r="D13" i="8"/>
  <c r="K13" i="8"/>
  <c r="S149" i="8"/>
  <c r="G149" i="8"/>
  <c r="B149" i="8"/>
  <c r="Z149" i="8"/>
  <c r="I149" i="8"/>
  <c r="Y149" i="8"/>
  <c r="D149" i="8"/>
  <c r="C149" i="8"/>
  <c r="K149" i="8"/>
  <c r="O149" i="8" s="1"/>
  <c r="H149" i="8"/>
  <c r="X149" i="8"/>
  <c r="Y203" i="8"/>
  <c r="K203" i="8"/>
  <c r="X203" i="8"/>
  <c r="G203" i="8"/>
  <c r="D203" i="8"/>
  <c r="C203" i="8"/>
  <c r="I203" i="8"/>
  <c r="S203" i="8"/>
  <c r="Z203" i="8"/>
  <c r="H203" i="8"/>
  <c r="B203" i="8"/>
  <c r="H185" i="8"/>
  <c r="I185" i="8"/>
  <c r="D185" i="8"/>
  <c r="K185" i="8"/>
  <c r="S185" i="8"/>
  <c r="B185" i="8"/>
  <c r="Z185" i="8"/>
  <c r="Y185" i="8"/>
  <c r="X185" i="8"/>
  <c r="G185" i="8"/>
  <c r="C185" i="8"/>
  <c r="X175" i="8"/>
  <c r="D175" i="8"/>
  <c r="K175" i="8"/>
  <c r="Z175" i="8"/>
  <c r="C175" i="8"/>
  <c r="I175" i="8"/>
  <c r="G175" i="8"/>
  <c r="Y175" i="8"/>
  <c r="H175" i="8"/>
  <c r="B175" i="8"/>
  <c r="S175" i="8"/>
  <c r="S91" i="8"/>
  <c r="X91" i="8"/>
  <c r="B91" i="8"/>
  <c r="Z91" i="8"/>
  <c r="I91" i="8"/>
  <c r="AA91" i="8" s="1"/>
  <c r="K91" i="8"/>
  <c r="Y91" i="8"/>
  <c r="G91" i="8"/>
  <c r="D91" i="8"/>
  <c r="C91" i="8"/>
  <c r="H91" i="8"/>
  <c r="C27" i="8"/>
  <c r="J29" i="8"/>
  <c r="L29" i="8" s="1"/>
  <c r="Z27" i="8"/>
  <c r="K27" i="8"/>
  <c r="J31" i="8"/>
  <c r="L31" i="8" s="1"/>
  <c r="J28" i="8"/>
  <c r="J27" i="8"/>
  <c r="J30" i="8"/>
  <c r="D27" i="8"/>
  <c r="B27" i="8"/>
  <c r="H86" i="8"/>
  <c r="S86" i="8"/>
  <c r="G86" i="8"/>
  <c r="K86" i="8"/>
  <c r="D86" i="8"/>
  <c r="B86" i="8"/>
  <c r="C86" i="8"/>
  <c r="Y86" i="8"/>
  <c r="X86" i="8"/>
  <c r="Z86" i="8"/>
  <c r="I86" i="8"/>
  <c r="B109" i="8"/>
  <c r="G109" i="8"/>
  <c r="I109" i="8"/>
  <c r="S109" i="8"/>
  <c r="D109" i="8"/>
  <c r="C109" i="8"/>
  <c r="K109" i="8"/>
  <c r="Y109" i="8"/>
  <c r="H109" i="8"/>
  <c r="Z109" i="8"/>
  <c r="X109" i="8"/>
  <c r="G134" i="8"/>
  <c r="D134" i="8"/>
  <c r="Y134" i="8"/>
  <c r="C134" i="8"/>
  <c r="I134" i="8"/>
  <c r="AA134" i="8" s="1"/>
  <c r="S134" i="8"/>
  <c r="H134" i="8"/>
  <c r="X134" i="8"/>
  <c r="K134" i="8"/>
  <c r="B134" i="8"/>
  <c r="Z134" i="8"/>
  <c r="K182" i="8"/>
  <c r="G182" i="8"/>
  <c r="J182" i="8"/>
  <c r="L182" i="8" s="1"/>
  <c r="J184" i="8"/>
  <c r="L184" i="8" s="1"/>
  <c r="Z182" i="8"/>
  <c r="D182" i="8"/>
  <c r="I182" i="8"/>
  <c r="C182" i="8"/>
  <c r="J185" i="8"/>
  <c r="L185" i="8" s="1"/>
  <c r="B182" i="8"/>
  <c r="X182" i="8"/>
  <c r="S182" i="8"/>
  <c r="Y182" i="8"/>
  <c r="H182" i="8"/>
  <c r="J186" i="8"/>
  <c r="L186" i="8" s="1"/>
  <c r="J183" i="8"/>
  <c r="L183" i="8" s="1"/>
  <c r="X99" i="8"/>
  <c r="Z99" i="8"/>
  <c r="K99" i="8"/>
  <c r="I99" i="8"/>
  <c r="S99" i="8"/>
  <c r="B99" i="8"/>
  <c r="C99" i="8"/>
  <c r="Y99" i="8"/>
  <c r="H99" i="8"/>
  <c r="G99" i="8"/>
  <c r="D99" i="8"/>
  <c r="K40" i="8"/>
  <c r="B40" i="8"/>
  <c r="Z40" i="8"/>
  <c r="C40" i="8"/>
  <c r="D40" i="8"/>
  <c r="X101" i="8"/>
  <c r="Y101" i="8"/>
  <c r="S101" i="8"/>
  <c r="Z101" i="8"/>
  <c r="H101" i="8"/>
  <c r="D101" i="8"/>
  <c r="C101" i="8"/>
  <c r="B101" i="8"/>
  <c r="K101" i="8"/>
  <c r="I101" i="8"/>
  <c r="G101" i="8"/>
  <c r="C29" i="8"/>
  <c r="K29" i="8"/>
  <c r="Z29" i="8"/>
  <c r="B29" i="8"/>
  <c r="D29" i="8"/>
  <c r="D7" i="8"/>
  <c r="I30" i="3"/>
  <c r="I15" i="3"/>
  <c r="I31" i="3"/>
  <c r="I29" i="3"/>
  <c r="C7" i="8"/>
  <c r="I12" i="3"/>
  <c r="I8" i="3"/>
  <c r="I11" i="3"/>
  <c r="I10" i="3"/>
  <c r="J10" i="8"/>
  <c r="I37" i="3"/>
  <c r="I38" i="3"/>
  <c r="I18" i="3"/>
  <c r="I9" i="3"/>
  <c r="K7" i="8"/>
  <c r="I35" i="3"/>
  <c r="I33" i="3"/>
  <c r="I36" i="3"/>
  <c r="I32" i="3"/>
  <c r="J8" i="8"/>
  <c r="I14" i="3"/>
  <c r="I34" i="3"/>
  <c r="I23" i="3"/>
  <c r="I13" i="3"/>
  <c r="J9" i="8"/>
  <c r="J7" i="8"/>
  <c r="I24" i="3"/>
  <c r="I27" i="3"/>
  <c r="I26" i="3"/>
  <c r="I28" i="3"/>
  <c r="J11" i="8"/>
  <c r="B7" i="8"/>
  <c r="I21" i="3"/>
  <c r="I22" i="3"/>
  <c r="I25" i="3"/>
  <c r="I7" i="3"/>
  <c r="Z7" i="8"/>
  <c r="I16" i="3"/>
  <c r="I19" i="3"/>
  <c r="I17" i="3"/>
  <c r="I20" i="3"/>
  <c r="G42" i="8"/>
  <c r="D42" i="8"/>
  <c r="J42" i="8"/>
  <c r="L42" i="8" s="1"/>
  <c r="J43" i="8"/>
  <c r="L43" i="8" s="1"/>
  <c r="Z42" i="8"/>
  <c r="S42" i="8"/>
  <c r="I42" i="8"/>
  <c r="AA42" i="8" s="1"/>
  <c r="K42" i="8"/>
  <c r="O42" i="8" s="1"/>
  <c r="B42" i="8"/>
  <c r="C42" i="8"/>
  <c r="X42" i="8"/>
  <c r="Y42" i="8"/>
  <c r="H42" i="8"/>
  <c r="J46" i="8"/>
  <c r="L46" i="8" s="1"/>
  <c r="J45" i="8"/>
  <c r="L45" i="8" s="1"/>
  <c r="J44" i="8"/>
  <c r="L44" i="8" s="1"/>
  <c r="I156" i="8"/>
  <c r="D156" i="8"/>
  <c r="H156" i="8"/>
  <c r="C156" i="8"/>
  <c r="G156" i="8"/>
  <c r="S156" i="8"/>
  <c r="X156" i="8"/>
  <c r="Z156" i="8"/>
  <c r="K156" i="8"/>
  <c r="B156" i="8"/>
  <c r="Y156" i="8"/>
  <c r="D180" i="8"/>
  <c r="H180" i="8"/>
  <c r="K180" i="8"/>
  <c r="I180" i="8"/>
  <c r="AA180" i="8" s="1"/>
  <c r="C180" i="8"/>
  <c r="S180" i="8"/>
  <c r="B180" i="8"/>
  <c r="Z180" i="8"/>
  <c r="Y180" i="8"/>
  <c r="G180" i="8"/>
  <c r="X180" i="8"/>
  <c r="K120" i="8"/>
  <c r="X120" i="8"/>
  <c r="B120" i="8"/>
  <c r="Z120" i="8"/>
  <c r="I120" i="8"/>
  <c r="Y120" i="8"/>
  <c r="H120" i="8"/>
  <c r="C120" i="8"/>
  <c r="D120" i="8"/>
  <c r="S120" i="8"/>
  <c r="G120" i="8"/>
  <c r="J121" i="8"/>
  <c r="L121" i="8" s="1"/>
  <c r="B117" i="8"/>
  <c r="J119" i="8"/>
  <c r="L119" i="8" s="1"/>
  <c r="J117" i="8"/>
  <c r="L117" i="8" s="1"/>
  <c r="X117" i="8"/>
  <c r="S117" i="8"/>
  <c r="J120" i="8"/>
  <c r="L120" i="8" s="1"/>
  <c r="Z117" i="8"/>
  <c r="D117" i="8"/>
  <c r="C117" i="8"/>
  <c r="J118" i="8"/>
  <c r="L118" i="8" s="1"/>
  <c r="K117" i="8"/>
  <c r="M119" i="8" s="1"/>
  <c r="Y117" i="8"/>
  <c r="H117" i="8"/>
  <c r="G117" i="8"/>
  <c r="I117" i="8"/>
  <c r="B28" i="8"/>
  <c r="D28" i="8"/>
  <c r="K28" i="8"/>
  <c r="C28" i="8"/>
  <c r="Z28" i="8"/>
  <c r="B78" i="8"/>
  <c r="C78" i="8"/>
  <c r="Y78" i="8"/>
  <c r="S78" i="8"/>
  <c r="G78" i="8"/>
  <c r="K78" i="8"/>
  <c r="Z78" i="8"/>
  <c r="I78" i="8"/>
  <c r="H78" i="8"/>
  <c r="X78" i="8"/>
  <c r="D78" i="8"/>
  <c r="S76" i="8"/>
  <c r="G76" i="8"/>
  <c r="B76" i="8"/>
  <c r="Z76" i="8"/>
  <c r="I76" i="8"/>
  <c r="Y76" i="8"/>
  <c r="C76" i="8"/>
  <c r="D76" i="8"/>
  <c r="K76" i="8"/>
  <c r="H76" i="8"/>
  <c r="X76" i="8"/>
  <c r="K45" i="8"/>
  <c r="X45" i="8"/>
  <c r="H45" i="8"/>
  <c r="C45" i="8"/>
  <c r="Y45" i="8"/>
  <c r="I45" i="8"/>
  <c r="Z45" i="8"/>
  <c r="G45" i="8"/>
  <c r="D45" i="8"/>
  <c r="S45" i="8"/>
  <c r="B45" i="8"/>
  <c r="H132" i="8"/>
  <c r="Z132" i="8"/>
  <c r="G132" i="8"/>
  <c r="S132" i="8"/>
  <c r="J136" i="8"/>
  <c r="L136" i="8" s="1"/>
  <c r="J133" i="8"/>
  <c r="L133" i="8" s="1"/>
  <c r="J135" i="8"/>
  <c r="L135" i="8" s="1"/>
  <c r="K132" i="8"/>
  <c r="J132" i="8"/>
  <c r="L132" i="8" s="1"/>
  <c r="X132" i="8"/>
  <c r="C132" i="8"/>
  <c r="B132" i="8"/>
  <c r="I132" i="8"/>
  <c r="Y132" i="8"/>
  <c r="D132" i="8"/>
  <c r="J134" i="8"/>
  <c r="L134" i="8" s="1"/>
  <c r="C63" i="8"/>
  <c r="I63" i="8"/>
  <c r="H63" i="8"/>
  <c r="G63" i="8"/>
  <c r="D63" i="8"/>
  <c r="X63" i="8"/>
  <c r="S63" i="8"/>
  <c r="B63" i="8"/>
  <c r="Y63" i="8"/>
  <c r="K63" i="8"/>
  <c r="Z63" i="8"/>
  <c r="C103" i="8"/>
  <c r="S103" i="8"/>
  <c r="Z103" i="8"/>
  <c r="H103" i="8"/>
  <c r="D103" i="8"/>
  <c r="Y103" i="8"/>
  <c r="G103" i="8"/>
  <c r="K103" i="8"/>
  <c r="B103" i="8"/>
  <c r="X103" i="8"/>
  <c r="I103" i="8"/>
  <c r="AA103" i="8" s="1"/>
  <c r="H50" i="8"/>
  <c r="S50" i="8"/>
  <c r="I50" i="8"/>
  <c r="AA50" i="8" s="1"/>
  <c r="D50" i="8"/>
  <c r="B50" i="8"/>
  <c r="C50" i="8"/>
  <c r="Z50" i="8"/>
  <c r="Y50" i="8"/>
  <c r="X50" i="8"/>
  <c r="K50" i="8"/>
  <c r="G50" i="8"/>
  <c r="K39" i="8"/>
  <c r="Z39" i="8"/>
  <c r="C39" i="8"/>
  <c r="D39" i="8"/>
  <c r="B39" i="8"/>
  <c r="S141" i="8"/>
  <c r="Y141" i="8"/>
  <c r="B141" i="8"/>
  <c r="Z141" i="8"/>
  <c r="I141" i="8"/>
  <c r="X141" i="8"/>
  <c r="D141" i="8"/>
  <c r="C141" i="8"/>
  <c r="G141" i="8"/>
  <c r="H141" i="8"/>
  <c r="K141" i="8"/>
  <c r="H197" i="8"/>
  <c r="I197" i="8"/>
  <c r="G197" i="8"/>
  <c r="B197" i="8"/>
  <c r="J201" i="8"/>
  <c r="L201" i="8" s="1"/>
  <c r="S197" i="8"/>
  <c r="J200" i="8"/>
  <c r="L200" i="8" s="1"/>
  <c r="J198" i="8"/>
  <c r="L198" i="8" s="1"/>
  <c r="D197" i="8"/>
  <c r="Z197" i="8"/>
  <c r="Y197" i="8"/>
  <c r="X197" i="8"/>
  <c r="K197" i="8"/>
  <c r="M197" i="8" s="1"/>
  <c r="J197" i="8"/>
  <c r="L197" i="8" s="1"/>
  <c r="C197" i="8"/>
  <c r="J199" i="8"/>
  <c r="L199" i="8" s="1"/>
  <c r="Z119" i="8"/>
  <c r="H119" i="8"/>
  <c r="D119" i="8"/>
  <c r="G119" i="8"/>
  <c r="C119" i="8"/>
  <c r="Y119" i="8"/>
  <c r="S119" i="8"/>
  <c r="I119" i="8"/>
  <c r="AA119" i="8" s="1"/>
  <c r="X119" i="8"/>
  <c r="K119" i="8"/>
  <c r="B119" i="8"/>
  <c r="I121" i="8"/>
  <c r="X121" i="8"/>
  <c r="B121" i="8"/>
  <c r="D121" i="8"/>
  <c r="Y121" i="8"/>
  <c r="H121" i="8"/>
  <c r="G121" i="8"/>
  <c r="C121" i="8"/>
  <c r="S121" i="8"/>
  <c r="K121" i="8"/>
  <c r="N121" i="8" s="1"/>
  <c r="Z121" i="8"/>
  <c r="X64" i="8"/>
  <c r="I64" i="8"/>
  <c r="AA64" i="8" s="1"/>
  <c r="S64" i="8"/>
  <c r="Y64" i="8"/>
  <c r="B64" i="8"/>
  <c r="H64" i="8"/>
  <c r="Z64" i="8"/>
  <c r="K64" i="8"/>
  <c r="D64" i="8"/>
  <c r="C64" i="8"/>
  <c r="G64" i="8"/>
  <c r="K140" i="8"/>
  <c r="I140" i="8"/>
  <c r="S140" i="8"/>
  <c r="D140" i="8"/>
  <c r="B140" i="8"/>
  <c r="C140" i="8"/>
  <c r="Z140" i="8"/>
  <c r="Y140" i="8"/>
  <c r="H140" i="8"/>
  <c r="X140" i="8"/>
  <c r="G140" i="8"/>
  <c r="H48" i="8"/>
  <c r="S48" i="8"/>
  <c r="X48" i="8"/>
  <c r="K48" i="8"/>
  <c r="G48" i="8"/>
  <c r="B48" i="8"/>
  <c r="C48" i="8"/>
  <c r="Y48" i="8"/>
  <c r="Z48" i="8"/>
  <c r="I48" i="8"/>
  <c r="D48" i="8"/>
  <c r="D11" i="8"/>
  <c r="Z11" i="8"/>
  <c r="C11" i="8"/>
  <c r="B11" i="8"/>
  <c r="K11" i="8"/>
  <c r="I200" i="8"/>
  <c r="Y200" i="8"/>
  <c r="S200" i="8"/>
  <c r="H200" i="8"/>
  <c r="Z200" i="8"/>
  <c r="D200" i="8"/>
  <c r="C200" i="8"/>
  <c r="K200" i="8"/>
  <c r="B200" i="8"/>
  <c r="G200" i="8"/>
  <c r="X200" i="8"/>
  <c r="B21" i="8"/>
  <c r="C21" i="8"/>
  <c r="K21" i="8"/>
  <c r="Z21" i="8"/>
  <c r="D21" i="8"/>
  <c r="Y51" i="8"/>
  <c r="S51" i="8"/>
  <c r="G51" i="8"/>
  <c r="C51" i="8"/>
  <c r="B51" i="8"/>
  <c r="Z51" i="8"/>
  <c r="I51" i="8"/>
  <c r="H51" i="8"/>
  <c r="X51" i="8"/>
  <c r="D51" i="8"/>
  <c r="K51" i="8"/>
  <c r="I152" i="8"/>
  <c r="J154" i="8"/>
  <c r="L154" i="8" s="1"/>
  <c r="H152" i="8"/>
  <c r="B152" i="8"/>
  <c r="X152" i="8"/>
  <c r="S152" i="8"/>
  <c r="G152" i="8"/>
  <c r="J153" i="8"/>
  <c r="L153" i="8" s="1"/>
  <c r="J156" i="8"/>
  <c r="O156" i="8" s="1"/>
  <c r="C152" i="8"/>
  <c r="Z152" i="8"/>
  <c r="K152" i="8"/>
  <c r="Y152" i="8"/>
  <c r="J155" i="8"/>
  <c r="J152" i="8"/>
  <c r="L152" i="8" s="1"/>
  <c r="D152" i="8"/>
  <c r="Z15" i="8"/>
  <c r="D15" i="8"/>
  <c r="B15" i="8"/>
  <c r="C15" i="8"/>
  <c r="K15" i="8"/>
  <c r="G170" i="8"/>
  <c r="H170" i="8"/>
  <c r="C170" i="8"/>
  <c r="S170" i="8"/>
  <c r="K170" i="8"/>
  <c r="B170" i="8"/>
  <c r="Z170" i="8"/>
  <c r="X170" i="8"/>
  <c r="D170" i="8"/>
  <c r="Y170" i="8"/>
  <c r="I170" i="8"/>
  <c r="W170" i="8" s="1"/>
  <c r="K181" i="8"/>
  <c r="N181" i="8" s="1"/>
  <c r="D181" i="8"/>
  <c r="I181" i="8"/>
  <c r="C181" i="8"/>
  <c r="S181" i="8"/>
  <c r="B181" i="8"/>
  <c r="Z181" i="8"/>
  <c r="Y181" i="8"/>
  <c r="H181" i="8"/>
  <c r="X181" i="8"/>
  <c r="G181" i="8"/>
  <c r="Y87" i="8"/>
  <c r="J88" i="8"/>
  <c r="L88" i="8" s="1"/>
  <c r="G87" i="8"/>
  <c r="K87" i="8"/>
  <c r="Z87" i="8"/>
  <c r="D87" i="8"/>
  <c r="C87" i="8"/>
  <c r="J87" i="8"/>
  <c r="L87" i="8" s="1"/>
  <c r="B87" i="8"/>
  <c r="I87" i="8"/>
  <c r="S87" i="8"/>
  <c r="H87" i="8"/>
  <c r="X87" i="8"/>
  <c r="J91" i="8"/>
  <c r="L91" i="8" s="1"/>
  <c r="J90" i="8"/>
  <c r="L90" i="8" s="1"/>
  <c r="J89" i="8"/>
  <c r="L89" i="8" s="1"/>
  <c r="K96" i="8"/>
  <c r="D96" i="8"/>
  <c r="B96" i="8"/>
  <c r="Z96" i="8"/>
  <c r="Y96" i="8"/>
  <c r="C96" i="8"/>
  <c r="X96" i="8"/>
  <c r="I96" i="8"/>
  <c r="H96" i="8"/>
  <c r="S96" i="8"/>
  <c r="G96" i="8"/>
  <c r="D177" i="8"/>
  <c r="I177" i="8"/>
  <c r="W177" i="8" s="1"/>
  <c r="H177" i="8"/>
  <c r="J178" i="8"/>
  <c r="L178" i="8" s="1"/>
  <c r="J181" i="8"/>
  <c r="L181" i="8" s="1"/>
  <c r="B177" i="8"/>
  <c r="G177" i="8"/>
  <c r="X177" i="8"/>
  <c r="J180" i="8"/>
  <c r="L180" i="8" s="1"/>
  <c r="J179" i="8"/>
  <c r="L179" i="8" s="1"/>
  <c r="C177" i="8"/>
  <c r="S177" i="8"/>
  <c r="K177" i="8"/>
  <c r="Y177" i="8"/>
  <c r="J177" i="8"/>
  <c r="L177" i="8" s="1"/>
  <c r="Z177" i="8"/>
  <c r="K135" i="8"/>
  <c r="Z135" i="8"/>
  <c r="I135" i="8"/>
  <c r="W135" i="8" s="1"/>
  <c r="Y135" i="8"/>
  <c r="X135" i="8"/>
  <c r="S135" i="8"/>
  <c r="B135" i="8"/>
  <c r="H135" i="8"/>
  <c r="C135" i="8"/>
  <c r="G135" i="8"/>
  <c r="D135" i="8"/>
  <c r="Z159" i="8"/>
  <c r="K159" i="8"/>
  <c r="H159" i="8"/>
  <c r="D159" i="8"/>
  <c r="C159" i="8"/>
  <c r="I159" i="8"/>
  <c r="Y159" i="8"/>
  <c r="B159" i="8"/>
  <c r="X159" i="8"/>
  <c r="G159" i="8"/>
  <c r="S159" i="8"/>
  <c r="B54" i="8"/>
  <c r="G54" i="8"/>
  <c r="I54" i="8"/>
  <c r="D54" i="8"/>
  <c r="H54" i="8"/>
  <c r="Z54" i="8"/>
  <c r="K54" i="8"/>
  <c r="C54" i="8"/>
  <c r="S54" i="8"/>
  <c r="X54" i="8"/>
  <c r="Y54" i="8"/>
  <c r="S178" i="8"/>
  <c r="I178" i="8"/>
  <c r="AA178" i="8" s="1"/>
  <c r="D178" i="8"/>
  <c r="Y178" i="8"/>
  <c r="C178" i="8"/>
  <c r="G178" i="8"/>
  <c r="K178" i="8"/>
  <c r="B178" i="8"/>
  <c r="H178" i="8"/>
  <c r="Z178" i="8"/>
  <c r="X178" i="8"/>
  <c r="C147" i="8"/>
  <c r="H147" i="8"/>
  <c r="J148" i="8"/>
  <c r="L148" i="8" s="1"/>
  <c r="G147" i="8"/>
  <c r="S147" i="8"/>
  <c r="Y147" i="8"/>
  <c r="K147" i="8"/>
  <c r="X147" i="8"/>
  <c r="J151" i="8"/>
  <c r="L151" i="8" s="1"/>
  <c r="B147" i="8"/>
  <c r="J150" i="8"/>
  <c r="L150" i="8" s="1"/>
  <c r="Z147" i="8"/>
  <c r="D147" i="8"/>
  <c r="I147" i="8"/>
  <c r="W147" i="8" s="1"/>
  <c r="J149" i="8"/>
  <c r="L149" i="8" s="1"/>
  <c r="J147" i="8"/>
  <c r="L147" i="8" s="1"/>
  <c r="D95" i="8"/>
  <c r="H95" i="8"/>
  <c r="K95" i="8"/>
  <c r="Y95" i="8"/>
  <c r="B95" i="8"/>
  <c r="C95" i="8"/>
  <c r="S95" i="8"/>
  <c r="I95" i="8"/>
  <c r="Z95" i="8"/>
  <c r="X95" i="8"/>
  <c r="G95" i="8"/>
  <c r="I84" i="8"/>
  <c r="W84" i="8" s="1"/>
  <c r="D84" i="8"/>
  <c r="H84" i="8"/>
  <c r="C84" i="8"/>
  <c r="X84" i="8"/>
  <c r="S84" i="8"/>
  <c r="G84" i="8"/>
  <c r="K84" i="8"/>
  <c r="Y84" i="8"/>
  <c r="Z84" i="8"/>
  <c r="B84" i="8"/>
  <c r="X100" i="8"/>
  <c r="Y100" i="8"/>
  <c r="Z100" i="8"/>
  <c r="K100" i="8"/>
  <c r="I100" i="8"/>
  <c r="S100" i="8"/>
  <c r="G100" i="8"/>
  <c r="C100" i="8"/>
  <c r="H100" i="8"/>
  <c r="D100" i="8"/>
  <c r="B100" i="8"/>
  <c r="X118" i="8"/>
  <c r="I118" i="8"/>
  <c r="D118" i="8"/>
  <c r="H118" i="8"/>
  <c r="C118" i="8"/>
  <c r="Z118" i="8"/>
  <c r="Y118" i="8"/>
  <c r="B118" i="8"/>
  <c r="S118" i="8"/>
  <c r="K118" i="8"/>
  <c r="G118" i="8"/>
  <c r="Z124" i="8"/>
  <c r="Y124" i="8"/>
  <c r="B124" i="8"/>
  <c r="H124" i="8"/>
  <c r="S124" i="8"/>
  <c r="X124" i="8"/>
  <c r="K124" i="8"/>
  <c r="G124" i="8"/>
  <c r="I124" i="8"/>
  <c r="D124" i="8"/>
  <c r="C124" i="8"/>
  <c r="B173" i="8"/>
  <c r="Y173" i="8"/>
  <c r="S173" i="8"/>
  <c r="G173" i="8"/>
  <c r="X173" i="8"/>
  <c r="D173" i="8"/>
  <c r="C173" i="8"/>
  <c r="K173" i="8"/>
  <c r="O172" i="8" s="1"/>
  <c r="Z173" i="8"/>
  <c r="I173" i="8"/>
  <c r="H173" i="8"/>
  <c r="G143" i="8"/>
  <c r="B143" i="8"/>
  <c r="Z143" i="8"/>
  <c r="S143" i="8"/>
  <c r="I143" i="8"/>
  <c r="AA143" i="8" s="1"/>
  <c r="C143" i="8"/>
  <c r="Y143" i="8"/>
  <c r="D143" i="8"/>
  <c r="H143" i="8"/>
  <c r="X143" i="8"/>
  <c r="K143" i="8"/>
  <c r="D23" i="8"/>
  <c r="C23" i="8"/>
  <c r="K23" i="8"/>
  <c r="Z23" i="8"/>
  <c r="B23" i="8"/>
  <c r="Z38" i="8"/>
  <c r="D38" i="8"/>
  <c r="C38" i="8"/>
  <c r="K38" i="8"/>
  <c r="B38" i="8"/>
  <c r="H69" i="8"/>
  <c r="G69" i="8"/>
  <c r="C69" i="8"/>
  <c r="Z69" i="8"/>
  <c r="S69" i="8"/>
  <c r="I69" i="8"/>
  <c r="K69" i="8"/>
  <c r="X69" i="8"/>
  <c r="B69" i="8"/>
  <c r="Y69" i="8"/>
  <c r="D69" i="8"/>
  <c r="D43" i="8"/>
  <c r="I43" i="8"/>
  <c r="AA43" i="8" s="1"/>
  <c r="C43" i="8"/>
  <c r="X43" i="8"/>
  <c r="K43" i="8"/>
  <c r="B43" i="8"/>
  <c r="Z43" i="8"/>
  <c r="Y43" i="8"/>
  <c r="H43" i="8"/>
  <c r="G43" i="8"/>
  <c r="S43" i="8"/>
  <c r="G65" i="8"/>
  <c r="S65" i="8"/>
  <c r="K65" i="8"/>
  <c r="B65" i="8"/>
  <c r="D65" i="8"/>
  <c r="X65" i="8"/>
  <c r="I65" i="8"/>
  <c r="AA65" i="8" s="1"/>
  <c r="Z65" i="8"/>
  <c r="Y65" i="8"/>
  <c r="C65" i="8"/>
  <c r="H65" i="8"/>
  <c r="D88" i="8"/>
  <c r="I88" i="8"/>
  <c r="K88" i="8"/>
  <c r="S88" i="8"/>
  <c r="Z88" i="8"/>
  <c r="Y88" i="8"/>
  <c r="H88" i="8"/>
  <c r="X88" i="8"/>
  <c r="G88" i="8"/>
  <c r="C88" i="8"/>
  <c r="B88" i="8"/>
  <c r="G115" i="8"/>
  <c r="K115" i="8"/>
  <c r="Z115" i="8"/>
  <c r="C115" i="8"/>
  <c r="I115" i="8"/>
  <c r="B115" i="8"/>
  <c r="Y115" i="8"/>
  <c r="D115" i="8"/>
  <c r="H115" i="8"/>
  <c r="X115" i="8"/>
  <c r="S115" i="8"/>
  <c r="H205" i="8"/>
  <c r="X205" i="8"/>
  <c r="G205" i="8"/>
  <c r="D205" i="8"/>
  <c r="C205" i="8"/>
  <c r="K205" i="8"/>
  <c r="Z205" i="8"/>
  <c r="B205" i="8"/>
  <c r="I205" i="8"/>
  <c r="S205" i="8"/>
  <c r="Y205" i="8"/>
  <c r="C157" i="8"/>
  <c r="Y157" i="8"/>
  <c r="S157" i="8"/>
  <c r="X157" i="8"/>
  <c r="K157" i="8"/>
  <c r="G157" i="8"/>
  <c r="B157" i="8"/>
  <c r="D157" i="8"/>
  <c r="J157" i="8"/>
  <c r="L157" i="8" s="1"/>
  <c r="H157" i="8"/>
  <c r="J159" i="8"/>
  <c r="L159" i="8" s="1"/>
  <c r="Z157" i="8"/>
  <c r="I157" i="8"/>
  <c r="AA157" i="8" s="1"/>
  <c r="J160" i="8"/>
  <c r="L160" i="8" s="1"/>
  <c r="J161" i="8"/>
  <c r="L161" i="8" s="1"/>
  <c r="J158" i="8"/>
  <c r="L158" i="8" s="1"/>
  <c r="C55" i="8"/>
  <c r="Y55" i="8"/>
  <c r="B55" i="8"/>
  <c r="H55" i="8"/>
  <c r="Z55" i="8"/>
  <c r="I55" i="8"/>
  <c r="K55" i="8"/>
  <c r="G55" i="8"/>
  <c r="X55" i="8"/>
  <c r="D55" i="8"/>
  <c r="S55" i="8"/>
  <c r="H81" i="8"/>
  <c r="I81" i="8"/>
  <c r="AA81" i="8" s="1"/>
  <c r="D81" i="8"/>
  <c r="K81" i="8"/>
  <c r="Z81" i="8"/>
  <c r="Y81" i="8"/>
  <c r="X81" i="8"/>
  <c r="B81" i="8"/>
  <c r="G81" i="8"/>
  <c r="C81" i="8"/>
  <c r="S81" i="8"/>
  <c r="J32" i="8"/>
  <c r="Z32" i="8"/>
  <c r="J35" i="8"/>
  <c r="J34" i="8"/>
  <c r="D32" i="8"/>
  <c r="C32" i="8"/>
  <c r="J36" i="8"/>
  <c r="J33" i="8"/>
  <c r="L33" i="8" s="1"/>
  <c r="K32" i="8"/>
  <c r="B32" i="8"/>
  <c r="G131" i="8"/>
  <c r="Z131" i="8"/>
  <c r="K131" i="8"/>
  <c r="H131" i="8"/>
  <c r="I131" i="8"/>
  <c r="W131" i="8" s="1"/>
  <c r="Y131" i="8"/>
  <c r="X131" i="8"/>
  <c r="D131" i="8"/>
  <c r="S131" i="8"/>
  <c r="C131" i="8"/>
  <c r="B131" i="8"/>
  <c r="S128" i="8"/>
  <c r="G128" i="8"/>
  <c r="B128" i="8"/>
  <c r="Z128" i="8"/>
  <c r="I128" i="8"/>
  <c r="K128" i="8"/>
  <c r="D128" i="8"/>
  <c r="C128" i="8"/>
  <c r="Y128" i="8"/>
  <c r="H128" i="8"/>
  <c r="X128" i="8"/>
  <c r="K113" i="8"/>
  <c r="C113" i="8"/>
  <c r="I113" i="8"/>
  <c r="X113" i="8"/>
  <c r="B113" i="8"/>
  <c r="Z113" i="8"/>
  <c r="Y113" i="8"/>
  <c r="S113" i="8"/>
  <c r="H113" i="8"/>
  <c r="G113" i="8"/>
  <c r="D113" i="8"/>
  <c r="H145" i="8"/>
  <c r="Z145" i="8"/>
  <c r="G145" i="8"/>
  <c r="D145" i="8"/>
  <c r="S145" i="8"/>
  <c r="K145" i="8"/>
  <c r="C145" i="8"/>
  <c r="Y145" i="8"/>
  <c r="X145" i="8"/>
  <c r="I145" i="8"/>
  <c r="AA145" i="8" s="1"/>
  <c r="B145" i="8"/>
  <c r="D8" i="8"/>
  <c r="C8" i="8"/>
  <c r="Z8" i="8"/>
  <c r="K8" i="8"/>
  <c r="B8" i="8"/>
  <c r="C53" i="8"/>
  <c r="S53" i="8"/>
  <c r="K53" i="8"/>
  <c r="B53" i="8"/>
  <c r="Y53" i="8"/>
  <c r="X53" i="8"/>
  <c r="H53" i="8"/>
  <c r="G53" i="8"/>
  <c r="I53" i="8"/>
  <c r="D53" i="8"/>
  <c r="Z53" i="8"/>
  <c r="S142" i="8"/>
  <c r="J146" i="8"/>
  <c r="L146" i="8" s="1"/>
  <c r="J142" i="8"/>
  <c r="L142" i="8" s="1"/>
  <c r="C142" i="8"/>
  <c r="Y142" i="8"/>
  <c r="G142" i="8"/>
  <c r="Z142" i="8"/>
  <c r="I142" i="8"/>
  <c r="H142" i="8"/>
  <c r="X142" i="8"/>
  <c r="D142" i="8"/>
  <c r="J143" i="8"/>
  <c r="L143" i="8" s="1"/>
  <c r="J144" i="8"/>
  <c r="L144" i="8" s="1"/>
  <c r="B142" i="8"/>
  <c r="K142" i="8"/>
  <c r="O146" i="8" s="1"/>
  <c r="J145" i="8"/>
  <c r="L145" i="8" s="1"/>
  <c r="B199" i="8"/>
  <c r="I199" i="8"/>
  <c r="W199" i="8" s="1"/>
  <c r="H199" i="8"/>
  <c r="D199" i="8"/>
  <c r="Z199" i="8"/>
  <c r="Y199" i="8"/>
  <c r="K199" i="8"/>
  <c r="S199" i="8"/>
  <c r="X199" i="8"/>
  <c r="G199" i="8"/>
  <c r="C199" i="8"/>
  <c r="C183" i="8"/>
  <c r="I183" i="8"/>
  <c r="K183" i="8"/>
  <c r="Y183" i="8"/>
  <c r="S183" i="8"/>
  <c r="H183" i="8"/>
  <c r="X183" i="8"/>
  <c r="B183" i="8"/>
  <c r="Z183" i="8"/>
  <c r="D183" i="8"/>
  <c r="G183" i="8"/>
  <c r="D133" i="8"/>
  <c r="I133" i="8"/>
  <c r="S133" i="8"/>
  <c r="K133" i="8"/>
  <c r="B133" i="8"/>
  <c r="Y133" i="8"/>
  <c r="G133" i="8"/>
  <c r="X133" i="8"/>
  <c r="C133" i="8"/>
  <c r="H133" i="8"/>
  <c r="Z133" i="8"/>
  <c r="C184" i="8"/>
  <c r="Z184" i="8"/>
  <c r="B184" i="8"/>
  <c r="I184" i="8"/>
  <c r="K184" i="8"/>
  <c r="Y184" i="8"/>
  <c r="S184" i="8"/>
  <c r="H184" i="8"/>
  <c r="X184" i="8"/>
  <c r="G184" i="8"/>
  <c r="D184" i="8"/>
  <c r="B186" i="8"/>
  <c r="G186" i="8"/>
  <c r="Y186" i="8"/>
  <c r="S186" i="8"/>
  <c r="H186" i="8"/>
  <c r="Z186" i="8"/>
  <c r="I186" i="8"/>
  <c r="X186" i="8"/>
  <c r="D186" i="8"/>
  <c r="C186" i="8"/>
  <c r="K186" i="8"/>
  <c r="M183" i="8" s="1"/>
  <c r="C19" i="8"/>
  <c r="D19" i="8"/>
  <c r="Z19" i="8"/>
  <c r="K19" i="8"/>
  <c r="B19" i="8"/>
  <c r="K67" i="8"/>
  <c r="C67" i="8"/>
  <c r="J70" i="8"/>
  <c r="L70" i="8" s="1"/>
  <c r="H67" i="8"/>
  <c r="D67" i="8"/>
  <c r="X67" i="8"/>
  <c r="J67" i="8"/>
  <c r="L67" i="8" s="1"/>
  <c r="G67" i="8"/>
  <c r="Z67" i="8"/>
  <c r="Y67" i="8"/>
  <c r="S67" i="8"/>
  <c r="J71" i="8"/>
  <c r="L71" i="8" s="1"/>
  <c r="I67" i="8"/>
  <c r="W67" i="8" s="1"/>
  <c r="J69" i="8"/>
  <c r="L69" i="8" s="1"/>
  <c r="B67" i="8"/>
  <c r="J68" i="8"/>
  <c r="L68" i="8" s="1"/>
  <c r="X150" i="8"/>
  <c r="B150" i="8"/>
  <c r="D150" i="8"/>
  <c r="Y150" i="8"/>
  <c r="Z150" i="8"/>
  <c r="I150" i="8"/>
  <c r="H150" i="8"/>
  <c r="G150" i="8"/>
  <c r="C150" i="8"/>
  <c r="S150" i="8"/>
  <c r="K150" i="8"/>
  <c r="N150" i="8" s="1"/>
  <c r="K75" i="8"/>
  <c r="Z75" i="8"/>
  <c r="I75" i="8"/>
  <c r="Y75" i="8"/>
  <c r="B75" i="8"/>
  <c r="D75" i="8"/>
  <c r="X75" i="8"/>
  <c r="C75" i="8"/>
  <c r="H75" i="8"/>
  <c r="S75" i="8"/>
  <c r="G75" i="8"/>
  <c r="Y80" i="8"/>
  <c r="S80" i="8"/>
  <c r="G80" i="8"/>
  <c r="Z80" i="8"/>
  <c r="K80" i="8"/>
  <c r="O80" i="8" s="1"/>
  <c r="I80" i="8"/>
  <c r="H80" i="8"/>
  <c r="X80" i="8"/>
  <c r="D80" i="8"/>
  <c r="C80" i="8"/>
  <c r="B80" i="8"/>
  <c r="C46" i="8"/>
  <c r="Y46" i="8"/>
  <c r="K46" i="8"/>
  <c r="B46" i="8"/>
  <c r="X46" i="8"/>
  <c r="S46" i="8"/>
  <c r="H46" i="8"/>
  <c r="D46" i="8"/>
  <c r="G46" i="8"/>
  <c r="I46" i="8"/>
  <c r="AA46" i="8" s="1"/>
  <c r="Z46" i="8"/>
  <c r="B24" i="8"/>
  <c r="C24" i="8"/>
  <c r="K24" i="8"/>
  <c r="D24" i="8"/>
  <c r="Z24" i="8"/>
  <c r="J171" i="8"/>
  <c r="L171" i="8" s="1"/>
  <c r="B167" i="8"/>
  <c r="Z167" i="8"/>
  <c r="D167" i="8"/>
  <c r="I167" i="8"/>
  <c r="AA167" i="8" s="1"/>
  <c r="S167" i="8"/>
  <c r="Y167" i="8"/>
  <c r="J169" i="8"/>
  <c r="L169" i="8" s="1"/>
  <c r="K167" i="8"/>
  <c r="J167" i="8"/>
  <c r="G167" i="8"/>
  <c r="C167" i="8"/>
  <c r="H167" i="8"/>
  <c r="X167" i="8"/>
  <c r="J170" i="8"/>
  <c r="L170" i="8" s="1"/>
  <c r="J168" i="8"/>
  <c r="L168" i="8" s="1"/>
  <c r="D20" i="8"/>
  <c r="B20" i="8"/>
  <c r="C20" i="8"/>
  <c r="Z20" i="8"/>
  <c r="K20" i="8"/>
  <c r="I20" i="8" s="1"/>
  <c r="B57" i="8"/>
  <c r="G57" i="8"/>
  <c r="J59" i="8"/>
  <c r="L59" i="8" s="1"/>
  <c r="J60" i="8"/>
  <c r="L60" i="8" s="1"/>
  <c r="Z57" i="8"/>
  <c r="J61" i="8"/>
  <c r="L61" i="8" s="1"/>
  <c r="I57" i="8"/>
  <c r="AA57" i="8" s="1"/>
  <c r="D57" i="8"/>
  <c r="Y57" i="8"/>
  <c r="C57" i="8"/>
  <c r="K57" i="8"/>
  <c r="J58" i="8"/>
  <c r="L58" i="8" s="1"/>
  <c r="S57" i="8"/>
  <c r="J57" i="8"/>
  <c r="L57" i="8" s="1"/>
  <c r="H57" i="8"/>
  <c r="X57" i="8"/>
  <c r="J55" i="8"/>
  <c r="L55" i="8" s="1"/>
  <c r="J52" i="8"/>
  <c r="L52" i="8" s="1"/>
  <c r="J54" i="8"/>
  <c r="L54" i="8" s="1"/>
  <c r="S52" i="8"/>
  <c r="Y52" i="8"/>
  <c r="C52" i="8"/>
  <c r="H52" i="8"/>
  <c r="Z52" i="8"/>
  <c r="X52" i="8"/>
  <c r="D52" i="8"/>
  <c r="K52" i="8"/>
  <c r="J53" i="8"/>
  <c r="L53" i="8" s="1"/>
  <c r="B52" i="8"/>
  <c r="G52" i="8"/>
  <c r="J56" i="8"/>
  <c r="L56" i="8" s="1"/>
  <c r="I52" i="8"/>
  <c r="AA52" i="8" s="1"/>
  <c r="C179" i="8"/>
  <c r="X179" i="8"/>
  <c r="K179" i="8"/>
  <c r="B179" i="8"/>
  <c r="Z179" i="8"/>
  <c r="I179" i="8"/>
  <c r="Y179" i="8"/>
  <c r="D179" i="8"/>
  <c r="S179" i="8"/>
  <c r="H179" i="8"/>
  <c r="G179" i="8"/>
  <c r="Y85" i="8"/>
  <c r="H85" i="8"/>
  <c r="C85" i="8"/>
  <c r="X85" i="8"/>
  <c r="S85" i="8"/>
  <c r="G85" i="8"/>
  <c r="K85" i="8"/>
  <c r="D85" i="8"/>
  <c r="B85" i="8"/>
  <c r="Z85" i="8"/>
  <c r="I85" i="8"/>
  <c r="K47" i="8"/>
  <c r="G47" i="8"/>
  <c r="J50" i="8"/>
  <c r="L50" i="8" s="1"/>
  <c r="J47" i="8"/>
  <c r="L47" i="8" s="1"/>
  <c r="D47" i="8"/>
  <c r="Z47" i="8"/>
  <c r="J49" i="8"/>
  <c r="L49" i="8" s="1"/>
  <c r="I47" i="8"/>
  <c r="J51" i="8"/>
  <c r="L51" i="8" s="1"/>
  <c r="Y47" i="8"/>
  <c r="S47" i="8"/>
  <c r="X47" i="8"/>
  <c r="H47" i="8"/>
  <c r="C47" i="8"/>
  <c r="J48" i="8"/>
  <c r="L48" i="8" s="1"/>
  <c r="B47" i="8"/>
  <c r="Y136" i="8"/>
  <c r="C136" i="8"/>
  <c r="D136" i="8"/>
  <c r="S136" i="8"/>
  <c r="X136" i="8"/>
  <c r="K136" i="8"/>
  <c r="G136" i="8"/>
  <c r="I136" i="8"/>
  <c r="B136" i="8"/>
  <c r="Z136" i="8"/>
  <c r="H136" i="8"/>
  <c r="S187" i="8"/>
  <c r="H187" i="8"/>
  <c r="J188" i="8"/>
  <c r="L188" i="8" s="1"/>
  <c r="X187" i="8"/>
  <c r="C187" i="8"/>
  <c r="I187" i="8"/>
  <c r="W187" i="8" s="1"/>
  <c r="J190" i="8"/>
  <c r="L190" i="8" s="1"/>
  <c r="J191" i="8"/>
  <c r="L191" i="8" s="1"/>
  <c r="G187" i="8"/>
  <c r="D187" i="8"/>
  <c r="Y187" i="8"/>
  <c r="J189" i="8"/>
  <c r="L189" i="8" s="1"/>
  <c r="K187" i="8"/>
  <c r="B187" i="8"/>
  <c r="Z187" i="8"/>
  <c r="J187" i="8"/>
  <c r="L187" i="8" s="1"/>
  <c r="C123" i="8"/>
  <c r="Y123" i="8"/>
  <c r="K123" i="8"/>
  <c r="H123" i="8"/>
  <c r="X123" i="8"/>
  <c r="G123" i="8"/>
  <c r="D123" i="8"/>
  <c r="B123" i="8"/>
  <c r="S123" i="8"/>
  <c r="Z123" i="8"/>
  <c r="I123" i="8"/>
  <c r="D164" i="8"/>
  <c r="H164" i="8"/>
  <c r="S164" i="8"/>
  <c r="X164" i="8"/>
  <c r="K164" i="8"/>
  <c r="B164" i="8"/>
  <c r="C164" i="8"/>
  <c r="Y164" i="8"/>
  <c r="Z164" i="8"/>
  <c r="I164" i="8"/>
  <c r="AA164" i="8" s="1"/>
  <c r="G164" i="8"/>
  <c r="Y106" i="8"/>
  <c r="C106" i="8"/>
  <c r="Z106" i="8"/>
  <c r="X106" i="8"/>
  <c r="I106" i="8"/>
  <c r="H106" i="8"/>
  <c r="S106" i="8"/>
  <c r="G106" i="8"/>
  <c r="K106" i="8"/>
  <c r="M106" i="8" s="1"/>
  <c r="B106" i="8"/>
  <c r="D106" i="8"/>
  <c r="J175" i="8"/>
  <c r="L175" i="8" s="1"/>
  <c r="J172" i="8"/>
  <c r="L172" i="8" s="1"/>
  <c r="C172" i="8"/>
  <c r="Y172" i="8"/>
  <c r="K172" i="8"/>
  <c r="X172" i="8"/>
  <c r="J174" i="8"/>
  <c r="L174" i="8" s="1"/>
  <c r="G172" i="8"/>
  <c r="J176" i="8"/>
  <c r="L176" i="8" s="1"/>
  <c r="J173" i="8"/>
  <c r="L173" i="8" s="1"/>
  <c r="D172" i="8"/>
  <c r="S172" i="8"/>
  <c r="B172" i="8"/>
  <c r="Z172" i="8"/>
  <c r="I172" i="8"/>
  <c r="H172" i="8"/>
  <c r="C144" i="8"/>
  <c r="Z144" i="8"/>
  <c r="S144" i="8"/>
  <c r="I144" i="8"/>
  <c r="AA144" i="8" s="1"/>
  <c r="D144" i="8"/>
  <c r="Y144" i="8"/>
  <c r="B144" i="8"/>
  <c r="G144" i="8"/>
  <c r="H144" i="8"/>
  <c r="X144" i="8"/>
  <c r="K144" i="8"/>
  <c r="S127" i="8"/>
  <c r="Y127" i="8"/>
  <c r="B127" i="8"/>
  <c r="H127" i="8"/>
  <c r="J130" i="8"/>
  <c r="L130" i="8" s="1"/>
  <c r="J127" i="8"/>
  <c r="L127" i="8" s="1"/>
  <c r="D127" i="8"/>
  <c r="Z127" i="8"/>
  <c r="I127" i="8"/>
  <c r="AA127" i="8" s="1"/>
  <c r="X127" i="8"/>
  <c r="J128" i="8"/>
  <c r="L128" i="8" s="1"/>
  <c r="C127" i="8"/>
  <c r="K127" i="8"/>
  <c r="J131" i="8"/>
  <c r="L131" i="8" s="1"/>
  <c r="G127" i="8"/>
  <c r="J129" i="8"/>
  <c r="L129" i="8" s="1"/>
  <c r="Z189" i="8"/>
  <c r="I189" i="8"/>
  <c r="W189" i="8" s="1"/>
  <c r="X189" i="8"/>
  <c r="C189" i="8"/>
  <c r="G189" i="8"/>
  <c r="Y189" i="8"/>
  <c r="S189" i="8"/>
  <c r="H189" i="8"/>
  <c r="B189" i="8"/>
  <c r="D189" i="8"/>
  <c r="K189" i="8"/>
  <c r="O189" i="8" s="1"/>
  <c r="I194" i="8"/>
  <c r="Y194" i="8"/>
  <c r="X194" i="8"/>
  <c r="H194" i="8"/>
  <c r="G194" i="8"/>
  <c r="D194" i="8"/>
  <c r="S194" i="8"/>
  <c r="C194" i="8"/>
  <c r="K194" i="8"/>
  <c r="B194" i="8"/>
  <c r="Z194" i="8"/>
  <c r="J25" i="8"/>
  <c r="K22" i="8"/>
  <c r="N23" i="8" s="1"/>
  <c r="C22" i="8"/>
  <c r="B22" i="8"/>
  <c r="J22" i="8"/>
  <c r="Z22" i="8"/>
  <c r="J24" i="8"/>
  <c r="I24" i="8" s="1"/>
  <c r="J23" i="8"/>
  <c r="L23" i="8" s="1"/>
  <c r="J26" i="8"/>
  <c r="L26" i="8" s="1"/>
  <c r="D22" i="8"/>
  <c r="K161" i="8"/>
  <c r="M161" i="8" s="1"/>
  <c r="H161" i="8"/>
  <c r="Z161" i="8"/>
  <c r="X161" i="8"/>
  <c r="I161" i="8"/>
  <c r="G161" i="8"/>
  <c r="D161" i="8"/>
  <c r="B161" i="8"/>
  <c r="Y161" i="8"/>
  <c r="C161" i="8"/>
  <c r="S161" i="8"/>
  <c r="C61" i="8"/>
  <c r="H61" i="8"/>
  <c r="K61" i="8"/>
  <c r="I61" i="8"/>
  <c r="B61" i="8"/>
  <c r="X61" i="8"/>
  <c r="G61" i="8"/>
  <c r="Y61" i="8"/>
  <c r="S61" i="8"/>
  <c r="D61" i="8"/>
  <c r="Z61" i="8"/>
  <c r="Z165" i="8"/>
  <c r="H165" i="8"/>
  <c r="K165" i="8"/>
  <c r="D165" i="8"/>
  <c r="Y165" i="8"/>
  <c r="X165" i="8"/>
  <c r="G165" i="8"/>
  <c r="C165" i="8"/>
  <c r="S165" i="8"/>
  <c r="B165" i="8"/>
  <c r="I165" i="8"/>
  <c r="W165" i="8" s="1"/>
  <c r="X125" i="8"/>
  <c r="H125" i="8"/>
  <c r="G125" i="8"/>
  <c r="Z125" i="8"/>
  <c r="D125" i="8"/>
  <c r="I125" i="8"/>
  <c r="C125" i="8"/>
  <c r="S125" i="8"/>
  <c r="K125" i="8"/>
  <c r="B125" i="8"/>
  <c r="Y125" i="8"/>
  <c r="K16" i="8"/>
  <c r="Z16" i="8"/>
  <c r="C16" i="8"/>
  <c r="B16" i="8"/>
  <c r="D16" i="8"/>
  <c r="S83" i="8"/>
  <c r="Y83" i="8"/>
  <c r="B83" i="8"/>
  <c r="Z83" i="8"/>
  <c r="I83" i="8"/>
  <c r="K83" i="8"/>
  <c r="X83" i="8"/>
  <c r="G83" i="8"/>
  <c r="D83" i="8"/>
  <c r="C83" i="8"/>
  <c r="H83" i="8"/>
  <c r="R42" i="7"/>
  <c r="Q42" i="7"/>
  <c r="R58" i="7"/>
  <c r="Q58" i="7"/>
  <c r="R96" i="7"/>
  <c r="Q96" i="7"/>
  <c r="Q37" i="7"/>
  <c r="H37" i="7" s="1"/>
  <c r="G37" i="7" s="1"/>
  <c r="R37" i="7"/>
  <c r="R175" i="7"/>
  <c r="Q175" i="7"/>
  <c r="R153" i="7"/>
  <c r="Q153" i="7"/>
  <c r="R135" i="7"/>
  <c r="Q135" i="7"/>
  <c r="R167" i="7"/>
  <c r="Q167" i="7"/>
  <c r="R52" i="7"/>
  <c r="Q52" i="7"/>
  <c r="R107" i="7"/>
  <c r="Q30" i="7"/>
  <c r="R30" i="7"/>
  <c r="R159" i="7"/>
  <c r="Y11" i="5"/>
  <c r="Q122" i="7"/>
  <c r="R168" i="7"/>
  <c r="Q160" i="7"/>
  <c r="R88" i="7"/>
  <c r="Q162" i="7"/>
  <c r="R11" i="7"/>
  <c r="R64" i="7"/>
  <c r="R20" i="7"/>
  <c r="R53" i="7"/>
  <c r="Q71" i="7"/>
  <c r="S21" i="7"/>
  <c r="Q128" i="7"/>
  <c r="Q132" i="7"/>
  <c r="R152" i="7"/>
  <c r="Q46" i="7"/>
  <c r="R137" i="7"/>
  <c r="R121" i="7"/>
  <c r="Q127" i="7"/>
  <c r="Q181" i="7"/>
  <c r="Y39" i="5"/>
  <c r="R112" i="7"/>
  <c r="R155" i="7"/>
  <c r="Q170" i="7"/>
  <c r="Y29" i="5"/>
  <c r="S18" i="7"/>
  <c r="R12" i="5"/>
  <c r="Q12" i="5"/>
  <c r="H12" i="5" s="1"/>
  <c r="G12" i="5" s="1"/>
  <c r="R161" i="7"/>
  <c r="R56" i="7"/>
  <c r="S25" i="7"/>
  <c r="W28" i="5"/>
  <c r="X28" i="5" s="1"/>
  <c r="AA28" i="5"/>
  <c r="Q105" i="7"/>
  <c r="R158" i="7"/>
  <c r="Q107" i="7"/>
  <c r="Q191" i="7"/>
  <c r="R89" i="7"/>
  <c r="S28" i="7"/>
  <c r="W22" i="5"/>
  <c r="X22" i="5" s="1"/>
  <c r="AA22" i="5"/>
  <c r="S26" i="7"/>
  <c r="S15" i="7"/>
  <c r="S20" i="7"/>
  <c r="S17" i="7"/>
  <c r="S7" i="7"/>
  <c r="S30" i="7"/>
  <c r="S19" i="7"/>
  <c r="S32" i="7"/>
  <c r="S14" i="7"/>
  <c r="W10" i="5"/>
  <c r="X10" i="5" s="1"/>
  <c r="Y10" i="5" s="1"/>
  <c r="AA10" i="5"/>
  <c r="L33" i="7"/>
  <c r="H35" i="5"/>
  <c r="G35" i="5" s="1"/>
  <c r="W21" i="5"/>
  <c r="X21" i="5" s="1"/>
  <c r="AA21" i="5"/>
  <c r="I24" i="7"/>
  <c r="I8" i="7"/>
  <c r="H11" i="5"/>
  <c r="G11" i="5" s="1"/>
  <c r="W18" i="5"/>
  <c r="X18" i="5" s="1"/>
  <c r="AA18" i="5"/>
  <c r="AA26" i="5"/>
  <c r="W26" i="5"/>
  <c r="X26" i="5" s="1"/>
  <c r="H29" i="5"/>
  <c r="G29" i="5" s="1"/>
  <c r="L19" i="7"/>
  <c r="R19" i="7" s="1"/>
  <c r="L38" i="7"/>
  <c r="L35" i="7"/>
  <c r="R35" i="7" s="1"/>
  <c r="H26" i="5"/>
  <c r="G26" i="5" s="1"/>
  <c r="Q107" i="5"/>
  <c r="L39" i="7"/>
  <c r="Q39" i="7" s="1"/>
  <c r="H39" i="7" s="1"/>
  <c r="I10" i="7"/>
  <c r="L36" i="7"/>
  <c r="L17" i="7"/>
  <c r="L34" i="7"/>
  <c r="R34" i="7" s="1"/>
  <c r="Y35" i="5"/>
  <c r="Q118" i="7"/>
  <c r="R109" i="7"/>
  <c r="R75" i="7"/>
  <c r="Q94" i="7"/>
  <c r="R101" i="7"/>
  <c r="R55" i="7"/>
  <c r="Q45" i="7"/>
  <c r="Q151" i="7"/>
  <c r="R74" i="7"/>
  <c r="R185" i="7"/>
  <c r="Q116" i="7"/>
  <c r="R98" i="7"/>
  <c r="Q89" i="7"/>
  <c r="R71" i="7"/>
  <c r="Q114" i="7"/>
  <c r="R197" i="7"/>
  <c r="Q201" i="7"/>
  <c r="Q119" i="7"/>
  <c r="R118" i="7"/>
  <c r="R132" i="7"/>
  <c r="Y19" i="5"/>
  <c r="R154" i="7"/>
  <c r="Q68" i="7"/>
  <c r="R141" i="7"/>
  <c r="R78" i="7"/>
  <c r="R179" i="7"/>
  <c r="R127" i="7"/>
  <c r="Q98" i="7"/>
  <c r="Q192" i="7"/>
  <c r="R9" i="7"/>
  <c r="Q43" i="7"/>
  <c r="R174" i="7"/>
  <c r="Q156" i="7"/>
  <c r="R143" i="7"/>
  <c r="Q159" i="7"/>
  <c r="Q196" i="7"/>
  <c r="R199" i="7"/>
  <c r="Q77" i="7"/>
  <c r="R144" i="7"/>
  <c r="Q61" i="7"/>
  <c r="R51" i="7"/>
  <c r="Q93" i="7"/>
  <c r="R86" i="7"/>
  <c r="R33" i="7"/>
  <c r="R204" i="7"/>
  <c r="R117" i="7"/>
  <c r="Q95" i="7"/>
  <c r="Q165" i="7"/>
  <c r="R43" i="7"/>
  <c r="R198" i="7"/>
  <c r="Q104" i="7"/>
  <c r="Q35" i="7"/>
  <c r="R99" i="7"/>
  <c r="R148" i="7"/>
  <c r="Q129" i="7"/>
  <c r="Q184" i="7"/>
  <c r="R82" i="7"/>
  <c r="R163" i="7"/>
  <c r="R169" i="7"/>
  <c r="R177" i="7"/>
  <c r="Q84" i="7"/>
  <c r="R170" i="7"/>
  <c r="R63" i="7"/>
  <c r="Q64" i="7"/>
  <c r="Q124" i="7"/>
  <c r="R160" i="7"/>
  <c r="Q48" i="7"/>
  <c r="L32" i="8"/>
  <c r="R83" i="7"/>
  <c r="Q148" i="7"/>
  <c r="Q176" i="7"/>
  <c r="R23" i="7"/>
  <c r="R105" i="7"/>
  <c r="Q131" i="7"/>
  <c r="Q140" i="7"/>
  <c r="Q82" i="7"/>
  <c r="R120" i="7"/>
  <c r="Q86" i="7"/>
  <c r="Q38" i="7"/>
  <c r="H38" i="7" s="1"/>
  <c r="R173" i="7"/>
  <c r="Q145" i="7"/>
  <c r="Q137" i="7"/>
  <c r="R183" i="7"/>
  <c r="Q28" i="7"/>
  <c r="R189" i="7"/>
  <c r="R190" i="7"/>
  <c r="R48" i="7"/>
  <c r="R166" i="7"/>
  <c r="Q139" i="7"/>
  <c r="Q103" i="7"/>
  <c r="R27" i="7"/>
  <c r="Q171" i="7"/>
  <c r="Q164" i="7"/>
  <c r="R206" i="7"/>
  <c r="R29" i="7"/>
  <c r="R145" i="7"/>
  <c r="Q188" i="7"/>
  <c r="Q155" i="7"/>
  <c r="Q123" i="7"/>
  <c r="Q158" i="7"/>
  <c r="R97" i="7"/>
  <c r="Q186" i="7"/>
  <c r="R149" i="7"/>
  <c r="R122" i="7"/>
  <c r="G8" i="5"/>
  <c r="G9" i="5"/>
  <c r="G15" i="5"/>
  <c r="G23" i="5"/>
  <c r="R196" i="7"/>
  <c r="G21" i="5"/>
  <c r="R184" i="7"/>
  <c r="Q177" i="7"/>
  <c r="R151" i="7"/>
  <c r="Q163" i="7"/>
  <c r="G10" i="5"/>
  <c r="R12" i="7"/>
  <c r="Q12" i="7"/>
  <c r="R182" i="7"/>
  <c r="W20" i="7"/>
  <c r="X20" i="7" s="1"/>
  <c r="AA20" i="7"/>
  <c r="R91" i="7"/>
  <c r="R100" i="7"/>
  <c r="G40" i="5"/>
  <c r="R80" i="7"/>
  <c r="AA35" i="7"/>
  <c r="W35" i="7"/>
  <c r="X35" i="7" s="1"/>
  <c r="R95" i="7"/>
  <c r="Q152" i="7"/>
  <c r="G19" i="5"/>
  <c r="R186" i="7"/>
  <c r="R84" i="7"/>
  <c r="Q53" i="7"/>
  <c r="R104" i="7"/>
  <c r="Q97" i="7"/>
  <c r="Y38" i="5"/>
  <c r="R45" i="7"/>
  <c r="R77" i="7"/>
  <c r="H35" i="7"/>
  <c r="G35" i="7" s="1"/>
  <c r="Q117" i="7"/>
  <c r="M75" i="8"/>
  <c r="W53" i="8"/>
  <c r="AA53" i="8"/>
  <c r="P85" i="8"/>
  <c r="R85" i="8" s="1"/>
  <c r="O85" i="8"/>
  <c r="N85" i="8"/>
  <c r="M85" i="8"/>
  <c r="AA63" i="8"/>
  <c r="W63" i="8"/>
  <c r="M92" i="8"/>
  <c r="N92" i="8"/>
  <c r="AA159" i="8"/>
  <c r="W159" i="8"/>
  <c r="AA113" i="8"/>
  <c r="W113" i="8"/>
  <c r="O131" i="8"/>
  <c r="N21" i="8"/>
  <c r="P115" i="8"/>
  <c r="W164" i="8"/>
  <c r="O190" i="8"/>
  <c r="AA149" i="8"/>
  <c r="W149" i="8"/>
  <c r="AA76" i="8"/>
  <c r="W76" i="8"/>
  <c r="AA191" i="8"/>
  <c r="W191" i="8"/>
  <c r="AA62" i="8"/>
  <c r="W62" i="8"/>
  <c r="AA141" i="8"/>
  <c r="W141" i="8"/>
  <c r="AA69" i="8"/>
  <c r="W69" i="8"/>
  <c r="M67" i="8"/>
  <c r="Q197" i="7"/>
  <c r="R26" i="7"/>
  <c r="Q26" i="7"/>
  <c r="H26" i="7" s="1"/>
  <c r="G26" i="7" s="1"/>
  <c r="W40" i="7"/>
  <c r="X40" i="7" s="1"/>
  <c r="Y40" i="7" s="1"/>
  <c r="AA40" i="7"/>
  <c r="Y14" i="5"/>
  <c r="G34" i="5"/>
  <c r="G32" i="5"/>
  <c r="R108" i="7"/>
  <c r="W30" i="7"/>
  <c r="X30" i="7" s="1"/>
  <c r="AA30" i="7"/>
  <c r="Q161" i="7"/>
  <c r="R21" i="7"/>
  <c r="Q206" i="7"/>
  <c r="R164" i="7"/>
  <c r="Q112" i="7"/>
  <c r="Y7" i="5"/>
  <c r="W21" i="7"/>
  <c r="X21" i="7" s="1"/>
  <c r="N194" i="8"/>
  <c r="W66" i="8"/>
  <c r="AA66" i="8"/>
  <c r="N148" i="8"/>
  <c r="AA129" i="8"/>
  <c r="W129" i="8"/>
  <c r="W117" i="8"/>
  <c r="AA117" i="8"/>
  <c r="M112" i="8"/>
  <c r="O112" i="8"/>
  <c r="N112" i="8"/>
  <c r="O25" i="8"/>
  <c r="W195" i="8"/>
  <c r="AA195" i="8"/>
  <c r="W108" i="8"/>
  <c r="AA108" i="8"/>
  <c r="L20" i="8"/>
  <c r="AA172" i="8"/>
  <c r="W172" i="8"/>
  <c r="I14" i="8"/>
  <c r="W134" i="8"/>
  <c r="I34" i="8"/>
  <c r="W77" i="8"/>
  <c r="M84" i="8"/>
  <c r="P84" i="8"/>
  <c r="O84" i="8"/>
  <c r="N84" i="8"/>
  <c r="W89" i="8"/>
  <c r="AA89" i="8"/>
  <c r="W161" i="8"/>
  <c r="AA161" i="8"/>
  <c r="AA99" i="8"/>
  <c r="W99" i="8"/>
  <c r="W171" i="8"/>
  <c r="AA171" i="8"/>
  <c r="W144" i="8"/>
  <c r="N13" i="8"/>
  <c r="P13" i="8"/>
  <c r="O13" i="8"/>
  <c r="W44" i="8"/>
  <c r="AA44" i="8"/>
  <c r="N57" i="8"/>
  <c r="M54" i="8"/>
  <c r="AA174" i="8"/>
  <c r="W174" i="8"/>
  <c r="AA19" i="7"/>
  <c r="W19" i="7"/>
  <c r="X19" i="7" s="1"/>
  <c r="G39" i="5"/>
  <c r="AA13" i="7"/>
  <c r="W13" i="7"/>
  <c r="X13" i="7" s="1"/>
  <c r="G24" i="5"/>
  <c r="R24" i="7"/>
  <c r="Q24" i="7"/>
  <c r="H24" i="7" s="1"/>
  <c r="G24" i="7" s="1"/>
  <c r="Q101" i="7"/>
  <c r="R171" i="7"/>
  <c r="R176" i="7"/>
  <c r="G27" i="5"/>
  <c r="Q199" i="7"/>
  <c r="Q168" i="7"/>
  <c r="Y34" i="5"/>
  <c r="Y15" i="5"/>
  <c r="G18" i="5"/>
  <c r="Y13" i="5"/>
  <c r="R41" i="7"/>
  <c r="Q41" i="7"/>
  <c r="G25" i="5"/>
  <c r="Q109" i="7"/>
  <c r="Q29" i="7"/>
  <c r="H29" i="7" s="1"/>
  <c r="G29" i="7" s="1"/>
  <c r="Q179" i="7"/>
  <c r="Q173" i="7"/>
  <c r="G7" i="5"/>
  <c r="Q23" i="7"/>
  <c r="H23" i="7" s="1"/>
  <c r="G23" i="7" s="1"/>
  <c r="Q9" i="7"/>
  <c r="H9" i="7" s="1"/>
  <c r="O137" i="8"/>
  <c r="AA166" i="8"/>
  <c r="W166" i="8"/>
  <c r="AA105" i="8"/>
  <c r="W105" i="8"/>
  <c r="O33" i="8"/>
  <c r="W88" i="8"/>
  <c r="AA88" i="8"/>
  <c r="O201" i="8"/>
  <c r="AA181" i="8"/>
  <c r="W181" i="8"/>
  <c r="W188" i="8"/>
  <c r="AA188" i="8"/>
  <c r="W43" i="8"/>
  <c r="N87" i="8"/>
  <c r="M16" i="8"/>
  <c r="P16" i="8"/>
  <c r="O16" i="8"/>
  <c r="N16" i="8"/>
  <c r="P102" i="8"/>
  <c r="AA165" i="8"/>
  <c r="N187" i="8"/>
  <c r="L30" i="8"/>
  <c r="W64" i="8"/>
  <c r="I39" i="8"/>
  <c r="W143" i="8"/>
  <c r="P46" i="8"/>
  <c r="AA70" i="8"/>
  <c r="W70" i="8"/>
  <c r="AA128" i="8"/>
  <c r="W128" i="8"/>
  <c r="W153" i="8"/>
  <c r="AA153" i="8"/>
  <c r="W118" i="8"/>
  <c r="AA118" i="8"/>
  <c r="AA204" i="8"/>
  <c r="W204" i="8"/>
  <c r="AA140" i="8"/>
  <c r="W140" i="8"/>
  <c r="N93" i="8"/>
  <c r="M36" i="8"/>
  <c r="AA79" i="8"/>
  <c r="W79" i="8"/>
  <c r="I28" i="8"/>
  <c r="M155" i="8"/>
  <c r="W9" i="7"/>
  <c r="X9" i="7" s="1"/>
  <c r="AA9" i="7"/>
  <c r="R131" i="7"/>
  <c r="R133" i="7"/>
  <c r="Q16" i="7"/>
  <c r="H16" i="7" s="1"/>
  <c r="G16" i="7" s="1"/>
  <c r="R16" i="7"/>
  <c r="R119" i="7"/>
  <c r="AA15" i="7"/>
  <c r="W15" i="7"/>
  <c r="X15" i="7" s="1"/>
  <c r="R116" i="7"/>
  <c r="Q169" i="7"/>
  <c r="Q44" i="7"/>
  <c r="Q25" i="7"/>
  <c r="H25" i="7" s="1"/>
  <c r="G25" i="7" s="1"/>
  <c r="R25" i="7"/>
  <c r="Q55" i="7"/>
  <c r="Q11" i="7"/>
  <c r="H11" i="7" s="1"/>
  <c r="AA22" i="7"/>
  <c r="W22" i="7"/>
  <c r="X22" i="7" s="1"/>
  <c r="R123" i="7"/>
  <c r="R93" i="7"/>
  <c r="AA33" i="7"/>
  <c r="W33" i="7"/>
  <c r="X33" i="7" s="1"/>
  <c r="Q198" i="7"/>
  <c r="Q183" i="7"/>
  <c r="Q149" i="7"/>
  <c r="Q99" i="7"/>
  <c r="G33" i="5"/>
  <c r="Q141" i="7"/>
  <c r="Q174" i="7"/>
  <c r="W96" i="8"/>
  <c r="AA96" i="8"/>
  <c r="I32" i="8"/>
  <c r="W82" i="8"/>
  <c r="AA82" i="8"/>
  <c r="AA193" i="8"/>
  <c r="W193" i="8"/>
  <c r="M24" i="8"/>
  <c r="O12" i="8"/>
  <c r="P12" i="8"/>
  <c r="N12" i="8"/>
  <c r="M12" i="8"/>
  <c r="P150" i="8"/>
  <c r="AA173" i="8"/>
  <c r="W173" i="8"/>
  <c r="I16" i="8"/>
  <c r="W50" i="8"/>
  <c r="L24" i="8"/>
  <c r="P113" i="8"/>
  <c r="O113" i="8"/>
  <c r="N113" i="8"/>
  <c r="M113" i="8"/>
  <c r="P72" i="8"/>
  <c r="M72" i="8"/>
  <c r="O72" i="8"/>
  <c r="W81" i="8"/>
  <c r="I8" i="8"/>
  <c r="AA170" i="8"/>
  <c r="M14" i="8"/>
  <c r="O14" i="8"/>
  <c r="N14" i="8"/>
  <c r="P14" i="8"/>
  <c r="W169" i="8"/>
  <c r="AA169" i="8"/>
  <c r="P34" i="8"/>
  <c r="M164" i="8"/>
  <c r="P89" i="8"/>
  <c r="M149" i="8"/>
  <c r="I26" i="8"/>
  <c r="P191" i="8"/>
  <c r="O154" i="8"/>
  <c r="N154" i="8"/>
  <c r="M154" i="8"/>
  <c r="P154" i="8"/>
  <c r="N141" i="8"/>
  <c r="W162" i="8"/>
  <c r="AA162" i="8"/>
  <c r="W127" i="8"/>
  <c r="G28" i="5"/>
  <c r="W37" i="7"/>
  <c r="X37" i="7" s="1"/>
  <c r="Y34" i="7" s="1"/>
  <c r="AA37" i="7"/>
  <c r="G20" i="5"/>
  <c r="R61" i="7"/>
  <c r="W28" i="7"/>
  <c r="X28" i="7" s="1"/>
  <c r="AA28" i="7"/>
  <c r="Q34" i="7"/>
  <c r="H34" i="7" s="1"/>
  <c r="G34" i="7" s="1"/>
  <c r="Q63" i="7"/>
  <c r="R38" i="7"/>
  <c r="G38" i="5"/>
  <c r="Q22" i="7"/>
  <c r="H22" i="7" s="1"/>
  <c r="R22" i="7"/>
  <c r="Q33" i="7"/>
  <c r="H33" i="7" s="1"/>
  <c r="R124" i="7"/>
  <c r="R31" i="7"/>
  <c r="Q31" i="7"/>
  <c r="R180" i="7"/>
  <c r="Y22" i="5"/>
  <c r="R188" i="7"/>
  <c r="Q83" i="7"/>
  <c r="Q113" i="7"/>
  <c r="N53" i="8"/>
  <c r="I7" i="8"/>
  <c r="P129" i="8"/>
  <c r="W158" i="8"/>
  <c r="O176" i="8"/>
  <c r="I12" i="8"/>
  <c r="AA92" i="8"/>
  <c r="W92" i="8"/>
  <c r="W109" i="8"/>
  <c r="AA109" i="8"/>
  <c r="N168" i="8"/>
  <c r="P95" i="8"/>
  <c r="N95" i="8"/>
  <c r="O73" i="8"/>
  <c r="N73" i="8"/>
  <c r="P94" i="8"/>
  <c r="AA74" i="8"/>
  <c r="O90" i="8"/>
  <c r="W197" i="8"/>
  <c r="AA197" i="8"/>
  <c r="AA202" i="8"/>
  <c r="W202" i="8"/>
  <c r="AA31" i="8"/>
  <c r="W31" i="8"/>
  <c r="W57" i="8"/>
  <c r="N62" i="8"/>
  <c r="I11" i="8"/>
  <c r="AA114" i="8"/>
  <c r="W114" i="8"/>
  <c r="P153" i="8"/>
  <c r="N18" i="8"/>
  <c r="W36" i="8"/>
  <c r="AA36" i="8"/>
  <c r="W83" i="8"/>
  <c r="AA83" i="8"/>
  <c r="AA192" i="8"/>
  <c r="W192" i="8"/>
  <c r="N79" i="8"/>
  <c r="N59" i="8"/>
  <c r="R201" i="7"/>
  <c r="Q8" i="7"/>
  <c r="H8" i="7" s="1"/>
  <c r="R8" i="7"/>
  <c r="Q56" i="7"/>
  <c r="Q90" i="7"/>
  <c r="W39" i="7"/>
  <c r="X39" i="7" s="1"/>
  <c r="Y39" i="7" s="1"/>
  <c r="AA39" i="7"/>
  <c r="G22" i="5"/>
  <c r="R7" i="7"/>
  <c r="Q7" i="7"/>
  <c r="Q144" i="7"/>
  <c r="Y16" i="5"/>
  <c r="R13" i="7"/>
  <c r="Q13" i="7"/>
  <c r="H13" i="7" s="1"/>
  <c r="Q193" i="7"/>
  <c r="Q121" i="7"/>
  <c r="Q120" i="7"/>
  <c r="Q88" i="7"/>
  <c r="Q189" i="7"/>
  <c r="AA206" i="8"/>
  <c r="W206" i="8"/>
  <c r="AA120" i="8"/>
  <c r="W120" i="8"/>
  <c r="AA85" i="8"/>
  <c r="W85" i="8"/>
  <c r="P106" i="8"/>
  <c r="W123" i="8"/>
  <c r="AA123" i="8"/>
  <c r="O181" i="8"/>
  <c r="AA112" i="8"/>
  <c r="W112" i="8"/>
  <c r="O71" i="8"/>
  <c r="W185" i="8"/>
  <c r="AA185" i="8"/>
  <c r="AA121" i="8"/>
  <c r="W121" i="8"/>
  <c r="W186" i="8"/>
  <c r="AA186" i="8"/>
  <c r="P17" i="8"/>
  <c r="O17" i="8"/>
  <c r="AA95" i="8"/>
  <c r="W95" i="8"/>
  <c r="L25" i="8"/>
  <c r="O60" i="8"/>
  <c r="P81" i="8"/>
  <c r="O169" i="8"/>
  <c r="W198" i="8"/>
  <c r="AA198" i="8"/>
  <c r="M64" i="8"/>
  <c r="O39" i="8"/>
  <c r="O77" i="8"/>
  <c r="O199" i="8"/>
  <c r="AA97" i="8"/>
  <c r="W97" i="8"/>
  <c r="AA135" i="8"/>
  <c r="M11" i="8"/>
  <c r="N128" i="8"/>
  <c r="W132" i="8"/>
  <c r="AA132" i="8"/>
  <c r="AA136" i="8"/>
  <c r="W136" i="8"/>
  <c r="N138" i="8"/>
  <c r="M138" i="8"/>
  <c r="AA49" i="8"/>
  <c r="W49" i="8"/>
  <c r="W54" i="8"/>
  <c r="AA54" i="8"/>
  <c r="P86" i="8"/>
  <c r="O86" i="8"/>
  <c r="N86" i="8"/>
  <c r="M86" i="8"/>
  <c r="W203" i="8"/>
  <c r="AA203" i="8"/>
  <c r="R103" i="7"/>
  <c r="Y37" i="5"/>
  <c r="R14" i="7"/>
  <c r="Q14" i="7"/>
  <c r="H14" i="7" s="1"/>
  <c r="R139" i="7"/>
  <c r="AA29" i="7"/>
  <c r="W29" i="7"/>
  <c r="X29" i="7" s="1"/>
  <c r="R10" i="7"/>
  <c r="Q10" i="7"/>
  <c r="H10" i="7" s="1"/>
  <c r="Q154" i="7"/>
  <c r="R140" i="7"/>
  <c r="Y12" i="5"/>
  <c r="H12" i="7"/>
  <c r="G12" i="7" s="1"/>
  <c r="R192" i="7"/>
  <c r="W184" i="8"/>
  <c r="AA184" i="8"/>
  <c r="W125" i="8"/>
  <c r="AA125" i="8"/>
  <c r="P116" i="8"/>
  <c r="O116" i="8"/>
  <c r="N116" i="8"/>
  <c r="M116" i="8"/>
  <c r="AA194" i="8"/>
  <c r="W194" i="8"/>
  <c r="M38" i="8"/>
  <c r="W51" i="8"/>
  <c r="AA51" i="8"/>
  <c r="N193" i="8"/>
  <c r="AA24" i="8"/>
  <c r="W24" i="8"/>
  <c r="X24" i="8" s="1"/>
  <c r="AA71" i="8"/>
  <c r="AA122" i="8"/>
  <c r="W122" i="8"/>
  <c r="W80" i="8"/>
  <c r="AA80" i="8"/>
  <c r="AA87" i="8"/>
  <c r="W87" i="8"/>
  <c r="W178" i="8"/>
  <c r="W102" i="8"/>
  <c r="AA102" i="8"/>
  <c r="N177" i="8"/>
  <c r="AA142" i="8"/>
  <c r="W142" i="8"/>
  <c r="AA60" i="8"/>
  <c r="W60" i="8"/>
  <c r="O74" i="8"/>
  <c r="N74" i="8"/>
  <c r="P74" i="8"/>
  <c r="M74" i="8"/>
  <c r="R74" i="8" s="1"/>
  <c r="AA98" i="8"/>
  <c r="W98" i="8"/>
  <c r="M8" i="8"/>
  <c r="N42" i="8"/>
  <c r="AA47" i="8"/>
  <c r="W47" i="8"/>
  <c r="O170" i="8"/>
  <c r="P152" i="8"/>
  <c r="O152" i="8"/>
  <c r="N152" i="8"/>
  <c r="M152" i="8"/>
  <c r="P196" i="8"/>
  <c r="W115" i="8"/>
  <c r="AA115" i="8"/>
  <c r="AA84" i="8"/>
  <c r="I19" i="8"/>
  <c r="N197" i="8"/>
  <c r="AA56" i="8"/>
  <c r="W56" i="8"/>
  <c r="P114" i="8"/>
  <c r="O114" i="8"/>
  <c r="N114" i="8"/>
  <c r="M114" i="8"/>
  <c r="W154" i="8"/>
  <c r="AA154" i="8"/>
  <c r="W163" i="8"/>
  <c r="AA163" i="8"/>
  <c r="AA48" i="8"/>
  <c r="W48" i="8"/>
  <c r="I18" i="8"/>
  <c r="AA183" i="8"/>
  <c r="W183" i="8"/>
  <c r="AA61" i="8"/>
  <c r="W61" i="8"/>
  <c r="P61" i="8"/>
  <c r="AA156" i="8"/>
  <c r="W156" i="8"/>
  <c r="W133" i="8"/>
  <c r="AA133" i="8"/>
  <c r="I40" i="8"/>
  <c r="W59" i="8"/>
  <c r="AA59" i="8"/>
  <c r="G30" i="5"/>
  <c r="R15" i="7"/>
  <c r="Q15" i="7"/>
  <c r="H15" i="7" s="1"/>
  <c r="G15" i="7" s="1"/>
  <c r="AA14" i="7"/>
  <c r="W14" i="7"/>
  <c r="X14" i="7" s="1"/>
  <c r="W23" i="7"/>
  <c r="X23" i="7" s="1"/>
  <c r="AA23" i="7"/>
  <c r="G13" i="5"/>
  <c r="Y9" i="5"/>
  <c r="W16" i="7"/>
  <c r="X16" i="7" s="1"/>
  <c r="AA16" i="7"/>
  <c r="Y33" i="5"/>
  <c r="AA137" i="8"/>
  <c r="M32" i="8"/>
  <c r="O32" i="8"/>
  <c r="AA106" i="8"/>
  <c r="W106" i="8"/>
  <c r="AA201" i="8"/>
  <c r="W201" i="8"/>
  <c r="M139" i="8"/>
  <c r="W45" i="8"/>
  <c r="AA45" i="8"/>
  <c r="M58" i="8"/>
  <c r="I30" i="8"/>
  <c r="N80" i="8"/>
  <c r="M55" i="8"/>
  <c r="O55" i="8"/>
  <c r="P55" i="8"/>
  <c r="AA78" i="8"/>
  <c r="W78" i="8"/>
  <c r="I22" i="8"/>
  <c r="W179" i="8"/>
  <c r="AA179" i="8"/>
  <c r="AA175" i="8"/>
  <c r="W175" i="8"/>
  <c r="W190" i="8"/>
  <c r="AA190" i="8"/>
  <c r="W146" i="8"/>
  <c r="AA146" i="8"/>
  <c r="P26" i="8"/>
  <c r="M31" i="8"/>
  <c r="W119" i="8"/>
  <c r="M44" i="8"/>
  <c r="AA93" i="8"/>
  <c r="W93" i="8"/>
  <c r="AA100" i="8"/>
  <c r="W100" i="8"/>
  <c r="I23" i="8"/>
  <c r="W124" i="8"/>
  <c r="AA124" i="8"/>
  <c r="N83" i="8"/>
  <c r="M83" i="8"/>
  <c r="P83" i="8"/>
  <c r="O83" i="8"/>
  <c r="M127" i="8"/>
  <c r="W145" i="8"/>
  <c r="W155" i="8"/>
  <c r="AA155" i="8"/>
  <c r="N15" i="8"/>
  <c r="P15" i="8"/>
  <c r="O15" i="8"/>
  <c r="M15" i="8"/>
  <c r="I15" i="8"/>
  <c r="O144" i="8" l="1"/>
  <c r="N144" i="8"/>
  <c r="M144" i="8"/>
  <c r="P144" i="8"/>
  <c r="M199" i="8"/>
  <c r="P199" i="8"/>
  <c r="P131" i="8"/>
  <c r="M131" i="8"/>
  <c r="P178" i="8"/>
  <c r="O180" i="8"/>
  <c r="N180" i="8"/>
  <c r="O177" i="8"/>
  <c r="O178" i="8"/>
  <c r="M178" i="8"/>
  <c r="P180" i="8"/>
  <c r="L155" i="8"/>
  <c r="O155" i="8"/>
  <c r="AA200" i="8"/>
  <c r="W200" i="8"/>
  <c r="P127" i="8"/>
  <c r="Q127" i="8" s="1"/>
  <c r="W103" i="8"/>
  <c r="O185" i="8"/>
  <c r="P139" i="8"/>
  <c r="AA130" i="8"/>
  <c r="R152" i="8"/>
  <c r="M42" i="8"/>
  <c r="M177" i="8"/>
  <c r="O128" i="8"/>
  <c r="R128" i="8" s="1"/>
  <c r="M77" i="8"/>
  <c r="M81" i="8"/>
  <c r="M140" i="8"/>
  <c r="O34" i="8"/>
  <c r="O150" i="8"/>
  <c r="W176" i="8"/>
  <c r="P19" i="8"/>
  <c r="M142" i="8"/>
  <c r="Q142" i="8" s="1"/>
  <c r="P201" i="8"/>
  <c r="N137" i="8"/>
  <c r="N145" i="8"/>
  <c r="M57" i="8"/>
  <c r="W52" i="8"/>
  <c r="AA94" i="8"/>
  <c r="R39" i="7"/>
  <c r="R111" i="7"/>
  <c r="Q111" i="7"/>
  <c r="R66" i="7"/>
  <c r="Q66" i="7"/>
  <c r="R134" i="7"/>
  <c r="Q134" i="7"/>
  <c r="R194" i="7"/>
  <c r="Q194" i="7"/>
  <c r="P145" i="8"/>
  <c r="P130" i="8"/>
  <c r="P22" i="8"/>
  <c r="R60" i="7"/>
  <c r="Q60" i="7"/>
  <c r="Q126" i="7"/>
  <c r="M200" i="8"/>
  <c r="N139" i="8"/>
  <c r="P198" i="8"/>
  <c r="P177" i="8"/>
  <c r="Q19" i="7"/>
  <c r="H19" i="7" s="1"/>
  <c r="G19" i="7" s="1"/>
  <c r="P138" i="8"/>
  <c r="P77" i="8"/>
  <c r="N60" i="8"/>
  <c r="Q60" i="8" s="1"/>
  <c r="N17" i="8"/>
  <c r="O22" i="8"/>
  <c r="Q69" i="7"/>
  <c r="R69" i="7"/>
  <c r="AA18" i="7"/>
  <c r="W18" i="7"/>
  <c r="X18" i="7" s="1"/>
  <c r="Y18" i="7" s="1"/>
  <c r="R18" i="7"/>
  <c r="Q18" i="7"/>
  <c r="H18" i="7" s="1"/>
  <c r="G18" i="7" s="1"/>
  <c r="R142" i="7"/>
  <c r="Q142" i="7"/>
  <c r="Q85" i="8"/>
  <c r="L22" i="8"/>
  <c r="O188" i="8"/>
  <c r="P189" i="8"/>
  <c r="M188" i="8"/>
  <c r="N189" i="8"/>
  <c r="M191" i="8"/>
  <c r="W75" i="8"/>
  <c r="AA75" i="8"/>
  <c r="M148" i="8"/>
  <c r="O151" i="8"/>
  <c r="N147" i="8"/>
  <c r="P148" i="8"/>
  <c r="N151" i="8"/>
  <c r="M147" i="8"/>
  <c r="O148" i="8"/>
  <c r="M151" i="8"/>
  <c r="P147" i="8"/>
  <c r="P151" i="8"/>
  <c r="O51" i="8"/>
  <c r="P50" i="8"/>
  <c r="P47" i="8"/>
  <c r="M48" i="8"/>
  <c r="N46" i="8"/>
  <c r="M46" i="8"/>
  <c r="P42" i="8"/>
  <c r="W101" i="8"/>
  <c r="AA101" i="8"/>
  <c r="AA86" i="8"/>
  <c r="W86" i="8"/>
  <c r="O175" i="8"/>
  <c r="M52" i="8"/>
  <c r="P54" i="8"/>
  <c r="M53" i="8"/>
  <c r="N55" i="8"/>
  <c r="R55" i="8" s="1"/>
  <c r="P52" i="8"/>
  <c r="O21" i="8"/>
  <c r="P18" i="8"/>
  <c r="P21" i="8"/>
  <c r="O19" i="8"/>
  <c r="M18" i="8"/>
  <c r="M19" i="8"/>
  <c r="O103" i="8"/>
  <c r="Q103" i="8" s="1"/>
  <c r="M104" i="8"/>
  <c r="M103" i="8"/>
  <c r="N104" i="8"/>
  <c r="R104" i="8" s="1"/>
  <c r="O104" i="8"/>
  <c r="O102" i="8"/>
  <c r="P103" i="8"/>
  <c r="N102" i="8"/>
  <c r="W196" i="8"/>
  <c r="AA196" i="8"/>
  <c r="P36" i="8"/>
  <c r="O36" i="8"/>
  <c r="R36" i="8" s="1"/>
  <c r="O81" i="8"/>
  <c r="N81" i="8"/>
  <c r="O79" i="8"/>
  <c r="M79" i="8"/>
  <c r="N77" i="8"/>
  <c r="W73" i="8"/>
  <c r="AA73" i="8"/>
  <c r="L62" i="8"/>
  <c r="R62" i="8" s="1"/>
  <c r="O62" i="8"/>
  <c r="M62" i="8"/>
  <c r="P62" i="8"/>
  <c r="L64" i="8"/>
  <c r="N64" i="8"/>
  <c r="O64" i="8"/>
  <c r="P64" i="8"/>
  <c r="N9" i="8"/>
  <c r="N34" i="8"/>
  <c r="N94" i="8"/>
  <c r="N96" i="8"/>
  <c r="M94" i="8"/>
  <c r="O92" i="8"/>
  <c r="O95" i="8"/>
  <c r="R95" i="8" s="1"/>
  <c r="M95" i="8"/>
  <c r="O94" i="8"/>
  <c r="Q94" i="8" s="1"/>
  <c r="AA90" i="8"/>
  <c r="W90" i="8"/>
  <c r="P76" i="8"/>
  <c r="O76" i="8"/>
  <c r="N76" i="8"/>
  <c r="P73" i="8"/>
  <c r="N72" i="8"/>
  <c r="M73" i="8"/>
  <c r="Q73" i="8" s="1"/>
  <c r="M76" i="8"/>
  <c r="P125" i="8"/>
  <c r="W104" i="8"/>
  <c r="AA104" i="8"/>
  <c r="M146" i="8"/>
  <c r="R146" i="8" s="1"/>
  <c r="P146" i="8"/>
  <c r="N146" i="8"/>
  <c r="N130" i="8"/>
  <c r="Q130" i="8" s="1"/>
  <c r="N129" i="8"/>
  <c r="M130" i="8"/>
  <c r="M129" i="8"/>
  <c r="P128" i="8"/>
  <c r="M128" i="8"/>
  <c r="N127" i="8"/>
  <c r="O130" i="8"/>
  <c r="O129" i="8"/>
  <c r="R129" i="8" s="1"/>
  <c r="AA107" i="8"/>
  <c r="W107" i="8"/>
  <c r="R203" i="7"/>
  <c r="Q203" i="7"/>
  <c r="R79" i="7"/>
  <c r="Q79" i="7"/>
  <c r="R157" i="7"/>
  <c r="Q157" i="7"/>
  <c r="Q92" i="7"/>
  <c r="R92" i="7"/>
  <c r="R178" i="7"/>
  <c r="R115" i="7"/>
  <c r="Q115" i="7"/>
  <c r="M198" i="8"/>
  <c r="P149" i="8"/>
  <c r="M186" i="8"/>
  <c r="AA55" i="8"/>
  <c r="W55" i="8"/>
  <c r="AA205" i="8"/>
  <c r="W205" i="8"/>
  <c r="O43" i="8"/>
  <c r="Q43" i="8" s="1"/>
  <c r="N43" i="8"/>
  <c r="M43" i="8"/>
  <c r="P43" i="8"/>
  <c r="R43" i="8" s="1"/>
  <c r="P181" i="8"/>
  <c r="AA152" i="8"/>
  <c r="W152" i="8"/>
  <c r="S11" i="8"/>
  <c r="S33" i="8"/>
  <c r="S20" i="8"/>
  <c r="L9" i="8"/>
  <c r="I9" i="8"/>
  <c r="AA9" i="8" s="1"/>
  <c r="M26" i="8"/>
  <c r="N52" i="8"/>
  <c r="N58" i="8"/>
  <c r="M61" i="8"/>
  <c r="W46" i="8"/>
  <c r="AA148" i="8"/>
  <c r="P60" i="8"/>
  <c r="M17" i="8"/>
  <c r="N106" i="8"/>
  <c r="O147" i="8"/>
  <c r="M59" i="8"/>
  <c r="AA126" i="8"/>
  <c r="N36" i="8"/>
  <c r="M179" i="8"/>
  <c r="W91" i="8"/>
  <c r="M180" i="8"/>
  <c r="R180" i="8" s="1"/>
  <c r="Y27" i="5"/>
  <c r="M189" i="8"/>
  <c r="N178" i="8"/>
  <c r="P20" i="8"/>
  <c r="O20" i="8"/>
  <c r="Q20" i="8" s="1"/>
  <c r="H20" i="8" s="1"/>
  <c r="N20" i="8"/>
  <c r="AA150" i="8"/>
  <c r="W150" i="8"/>
  <c r="O133" i="8"/>
  <c r="Q146" i="8"/>
  <c r="L156" i="8"/>
  <c r="Q156" i="8" s="1"/>
  <c r="M156" i="8"/>
  <c r="P156" i="8"/>
  <c r="R156" i="8" s="1"/>
  <c r="N156" i="8"/>
  <c r="O26" i="8"/>
  <c r="O52" i="8"/>
  <c r="M80" i="8"/>
  <c r="O58" i="8"/>
  <c r="I33" i="8"/>
  <c r="N61" i="8"/>
  <c r="O106" i="8"/>
  <c r="R106" i="8" s="1"/>
  <c r="P53" i="8"/>
  <c r="P155" i="8"/>
  <c r="AA199" i="8"/>
  <c r="O54" i="8"/>
  <c r="N131" i="8"/>
  <c r="Q131" i="8" s="1"/>
  <c r="R202" i="7"/>
  <c r="Q73" i="7"/>
  <c r="Y23" i="5"/>
  <c r="Y26" i="5"/>
  <c r="Y25" i="5"/>
  <c r="Y18" i="5"/>
  <c r="Y20" i="5"/>
  <c r="Y21" i="5"/>
  <c r="P165" i="8"/>
  <c r="M190" i="8"/>
  <c r="O46" i="8"/>
  <c r="Q46" i="8" s="1"/>
  <c r="O75" i="8"/>
  <c r="N54" i="8"/>
  <c r="R54" i="8" s="1"/>
  <c r="M115" i="8"/>
  <c r="N143" i="8"/>
  <c r="Q40" i="7"/>
  <c r="H40" i="7" s="1"/>
  <c r="G40" i="7" s="1"/>
  <c r="R40" i="7"/>
  <c r="R57" i="7"/>
  <c r="Q57" i="7"/>
  <c r="R47" i="7"/>
  <c r="Q47" i="7"/>
  <c r="R87" i="7"/>
  <c r="Q54" i="8"/>
  <c r="M25" i="8"/>
  <c r="O23" i="8"/>
  <c r="N24" i="8"/>
  <c r="Q24" i="8" s="1"/>
  <c r="H24" i="8" s="1"/>
  <c r="N22" i="8"/>
  <c r="P25" i="8"/>
  <c r="M22" i="8"/>
  <c r="N26" i="8"/>
  <c r="M23" i="8"/>
  <c r="P24" i="8"/>
  <c r="N25" i="8"/>
  <c r="P23" i="8"/>
  <c r="O24" i="8"/>
  <c r="L167" i="8"/>
  <c r="P167" i="8"/>
  <c r="O143" i="8"/>
  <c r="P142" i="8"/>
  <c r="M143" i="8"/>
  <c r="N142" i="8"/>
  <c r="O142" i="8"/>
  <c r="O145" i="8"/>
  <c r="M145" i="8"/>
  <c r="O197" i="8"/>
  <c r="M201" i="8"/>
  <c r="N198" i="8"/>
  <c r="Q198" i="8" s="1"/>
  <c r="P108" i="8"/>
  <c r="N110" i="8"/>
  <c r="L66" i="8"/>
  <c r="Q66" i="8" s="1"/>
  <c r="N66" i="8"/>
  <c r="P66" i="8"/>
  <c r="M66" i="8"/>
  <c r="O66" i="8"/>
  <c r="M33" i="8"/>
  <c r="R33" i="8" s="1"/>
  <c r="P32" i="8"/>
  <c r="P33" i="8"/>
  <c r="N33" i="8"/>
  <c r="N44" i="8"/>
  <c r="Q67" i="7"/>
  <c r="R67" i="7"/>
  <c r="AA32" i="7"/>
  <c r="W32" i="7"/>
  <c r="X32" i="7" s="1"/>
  <c r="Y30" i="7" s="1"/>
  <c r="R32" i="7"/>
  <c r="Q32" i="7"/>
  <c r="H32" i="7" s="1"/>
  <c r="G32" i="7" s="1"/>
  <c r="Q195" i="7"/>
  <c r="R195" i="7"/>
  <c r="Q50" i="7"/>
  <c r="R50" i="7"/>
  <c r="R126" i="7"/>
  <c r="R130" i="7"/>
  <c r="Q130" i="7"/>
  <c r="N203" i="8"/>
  <c r="P204" i="8"/>
  <c r="AA182" i="8"/>
  <c r="W182" i="8"/>
  <c r="N149" i="8"/>
  <c r="O140" i="8"/>
  <c r="N140" i="8"/>
  <c r="R140" i="8" s="1"/>
  <c r="O138" i="8"/>
  <c r="M137" i="8"/>
  <c r="P140" i="8"/>
  <c r="Q140" i="8" s="1"/>
  <c r="O139" i="8"/>
  <c r="AA58" i="8"/>
  <c r="W58" i="8"/>
  <c r="L192" i="8"/>
  <c r="O192" i="8"/>
  <c r="P57" i="8"/>
  <c r="O57" i="8"/>
  <c r="R57" i="8" s="1"/>
  <c r="P58" i="8"/>
  <c r="Q58" i="8" s="1"/>
  <c r="O59" i="8"/>
  <c r="M60" i="8"/>
  <c r="O35" i="8"/>
  <c r="N35" i="8"/>
  <c r="M35" i="8"/>
  <c r="R35" i="8" s="1"/>
  <c r="I35" i="8"/>
  <c r="P35" i="8"/>
  <c r="L115" i="8"/>
  <c r="Q115" i="8" s="1"/>
  <c r="N115" i="8"/>
  <c r="O127" i="8"/>
  <c r="O44" i="8"/>
  <c r="O167" i="8"/>
  <c r="P80" i="8"/>
  <c r="Q80" i="8" s="1"/>
  <c r="Y28" i="5"/>
  <c r="O61" i="8"/>
  <c r="P197" i="8"/>
  <c r="Q197" i="8" s="1"/>
  <c r="N199" i="8"/>
  <c r="Q199" i="8" s="1"/>
  <c r="M181" i="8"/>
  <c r="Q181" i="8" s="1"/>
  <c r="M20" i="8"/>
  <c r="P79" i="8"/>
  <c r="O18" i="8"/>
  <c r="Q18" i="8" s="1"/>
  <c r="H18" i="8" s="1"/>
  <c r="I17" i="8"/>
  <c r="W139" i="8"/>
  <c r="O53" i="8"/>
  <c r="Q53" i="8" s="1"/>
  <c r="N191" i="8"/>
  <c r="M34" i="8"/>
  <c r="M150" i="8"/>
  <c r="N155" i="8"/>
  <c r="P132" i="8"/>
  <c r="R132" i="8" s="1"/>
  <c r="N19" i="8"/>
  <c r="N201" i="8"/>
  <c r="P104" i="8"/>
  <c r="N103" i="8"/>
  <c r="W167" i="8"/>
  <c r="O49" i="8"/>
  <c r="W65" i="8"/>
  <c r="P92" i="8"/>
  <c r="N188" i="8"/>
  <c r="O191" i="8"/>
  <c r="M187" i="8"/>
  <c r="R84" i="8"/>
  <c r="P143" i="8"/>
  <c r="P160" i="8"/>
  <c r="N190" i="8"/>
  <c r="O115" i="8"/>
  <c r="P75" i="8"/>
  <c r="Q87" i="7"/>
  <c r="AA11" i="7"/>
  <c r="W11" i="7"/>
  <c r="X11" i="7" s="1"/>
  <c r="R65" i="7"/>
  <c r="Q65" i="7"/>
  <c r="R193" i="7"/>
  <c r="N75" i="8"/>
  <c r="R75" i="8" s="1"/>
  <c r="P126" i="8"/>
  <c r="N175" i="8"/>
  <c r="O48" i="8"/>
  <c r="S19" i="8"/>
  <c r="S8" i="8"/>
  <c r="L36" i="8"/>
  <c r="O160" i="8"/>
  <c r="O67" i="8"/>
  <c r="I38" i="8"/>
  <c r="S23" i="8"/>
  <c r="N51" i="8"/>
  <c r="O50" i="8"/>
  <c r="O132" i="8"/>
  <c r="M121" i="8"/>
  <c r="O6" i="3"/>
  <c r="S28" i="8"/>
  <c r="P98" i="8"/>
  <c r="P186" i="8"/>
  <c r="O108" i="8"/>
  <c r="M27" i="8"/>
  <c r="P40" i="8"/>
  <c r="S14" i="8"/>
  <c r="P8" i="8"/>
  <c r="P164" i="8"/>
  <c r="L13" i="8"/>
  <c r="N49" i="8"/>
  <c r="P203" i="8"/>
  <c r="M194" i="8"/>
  <c r="N195" i="8"/>
  <c r="N90" i="8"/>
  <c r="M168" i="8"/>
  <c r="M87" i="8"/>
  <c r="Q125" i="7"/>
  <c r="R125" i="7"/>
  <c r="Q178" i="7"/>
  <c r="R156" i="7"/>
  <c r="L17" i="8"/>
  <c r="R200" i="7"/>
  <c r="Q200" i="7"/>
  <c r="Q81" i="7"/>
  <c r="R28" i="7"/>
  <c r="Q138" i="7"/>
  <c r="Q136" i="7"/>
  <c r="Q76" i="7"/>
  <c r="Q85" i="7"/>
  <c r="R85" i="7"/>
  <c r="R147" i="7"/>
  <c r="Q147" i="7"/>
  <c r="Y16" i="7"/>
  <c r="P188" i="8"/>
  <c r="P112" i="8"/>
  <c r="R112" i="8" s="1"/>
  <c r="L34" i="8"/>
  <c r="L40" i="8"/>
  <c r="R181" i="7"/>
  <c r="R72" i="7"/>
  <c r="Y32" i="7"/>
  <c r="P187" i="8"/>
  <c r="P190" i="8"/>
  <c r="Y17" i="5"/>
  <c r="Q187" i="7"/>
  <c r="L35" i="8"/>
  <c r="R172" i="7"/>
  <c r="Q172" i="7"/>
  <c r="R49" i="7"/>
  <c r="Q62" i="7"/>
  <c r="R62" i="7"/>
  <c r="R138" i="7"/>
  <c r="O187" i="8"/>
  <c r="W12" i="7"/>
  <c r="X12" i="7" s="1"/>
  <c r="AA12" i="7"/>
  <c r="R59" i="7"/>
  <c r="R110" i="7"/>
  <c r="R150" i="7"/>
  <c r="Q150" i="7"/>
  <c r="Q146" i="7"/>
  <c r="R146" i="7"/>
  <c r="Q205" i="7"/>
  <c r="R102" i="7"/>
  <c r="I37" i="8"/>
  <c r="P185" i="8"/>
  <c r="O63" i="8"/>
  <c r="Q63" i="8" s="1"/>
  <c r="Q32" i="8"/>
  <c r="N183" i="8"/>
  <c r="M196" i="8"/>
  <c r="P193" i="8"/>
  <c r="N38" i="8"/>
  <c r="M184" i="8"/>
  <c r="R86" i="8"/>
  <c r="P192" i="8"/>
  <c r="M204" i="8"/>
  <c r="N11" i="8"/>
  <c r="P39" i="8"/>
  <c r="P169" i="8"/>
  <c r="P172" i="8"/>
  <c r="R172" i="8" s="1"/>
  <c r="AA68" i="8"/>
  <c r="P37" i="8"/>
  <c r="P71" i="8"/>
  <c r="M174" i="8"/>
  <c r="M124" i="8"/>
  <c r="M182" i="8"/>
  <c r="N161" i="8"/>
  <c r="Q161" i="8" s="1"/>
  <c r="O9" i="8"/>
  <c r="O168" i="8"/>
  <c r="P176" i="8"/>
  <c r="N41" i="8"/>
  <c r="M141" i="8"/>
  <c r="M65" i="8"/>
  <c r="P110" i="8"/>
  <c r="O107" i="8"/>
  <c r="O27" i="8"/>
  <c r="R113" i="8"/>
  <c r="S17" i="8"/>
  <c r="H17" i="8" s="1"/>
  <c r="G17" i="8" s="1"/>
  <c r="P45" i="8"/>
  <c r="M101" i="8"/>
  <c r="M7" i="8"/>
  <c r="M125" i="8"/>
  <c r="O93" i="8"/>
  <c r="Q93" i="8" s="1"/>
  <c r="O99" i="8"/>
  <c r="N179" i="8"/>
  <c r="N47" i="8"/>
  <c r="N186" i="8"/>
  <c r="O87" i="8"/>
  <c r="M88" i="8"/>
  <c r="P48" i="8"/>
  <c r="M126" i="8"/>
  <c r="P175" i="8"/>
  <c r="P194" i="8"/>
  <c r="N67" i="8"/>
  <c r="P49" i="8"/>
  <c r="M195" i="8"/>
  <c r="O121" i="8"/>
  <c r="P51" i="8"/>
  <c r="S32" i="8"/>
  <c r="H32" i="8" s="1"/>
  <c r="G32" i="8" s="1"/>
  <c r="H27" i="3" s="1"/>
  <c r="O27" i="3" s="1"/>
  <c r="M96" i="8"/>
  <c r="Y8" i="5"/>
  <c r="H28" i="7"/>
  <c r="G28" i="7" s="1"/>
  <c r="S26" i="8"/>
  <c r="Y24" i="5"/>
  <c r="S29" i="8"/>
  <c r="L11" i="8"/>
  <c r="L16" i="8"/>
  <c r="M10" i="8"/>
  <c r="P134" i="8"/>
  <c r="N10" i="8"/>
  <c r="O134" i="8"/>
  <c r="P63" i="8"/>
  <c r="O183" i="8"/>
  <c r="R198" i="8"/>
  <c r="N68" i="8"/>
  <c r="P117" i="8"/>
  <c r="N184" i="8"/>
  <c r="M192" i="8"/>
  <c r="O11" i="8"/>
  <c r="R199" i="8"/>
  <c r="N39" i="8"/>
  <c r="W157" i="8"/>
  <c r="S27" i="8"/>
  <c r="M172" i="8"/>
  <c r="M37" i="8"/>
  <c r="M71" i="8"/>
  <c r="R181" i="8"/>
  <c r="M166" i="8"/>
  <c r="N174" i="8"/>
  <c r="N124" i="8"/>
  <c r="N182" i="8"/>
  <c r="O161" i="8"/>
  <c r="W151" i="8"/>
  <c r="P9" i="8"/>
  <c r="Q190" i="8"/>
  <c r="P168" i="8"/>
  <c r="M123" i="8"/>
  <c r="M205" i="8"/>
  <c r="M41" i="8"/>
  <c r="O141" i="8"/>
  <c r="N65" i="8"/>
  <c r="R65" i="8" s="1"/>
  <c r="O110" i="8"/>
  <c r="N107" i="8"/>
  <c r="P27" i="8"/>
  <c r="Q27" i="8" s="1"/>
  <c r="H27" i="8" s="1"/>
  <c r="P29" i="8"/>
  <c r="W72" i="8"/>
  <c r="M45" i="8"/>
  <c r="O101" i="8"/>
  <c r="N7" i="8"/>
  <c r="N125" i="8"/>
  <c r="S40" i="8"/>
  <c r="P93" i="8"/>
  <c r="N99" i="8"/>
  <c r="M47" i="8"/>
  <c r="S22" i="8"/>
  <c r="O186" i="8"/>
  <c r="P87" i="8"/>
  <c r="N88" i="8"/>
  <c r="O163" i="8"/>
  <c r="N126" i="8"/>
  <c r="Q126" i="8" s="1"/>
  <c r="M157" i="8"/>
  <c r="O194" i="8"/>
  <c r="P162" i="8"/>
  <c r="M100" i="8"/>
  <c r="N136" i="8"/>
  <c r="M70" i="8"/>
  <c r="O135" i="8"/>
  <c r="I13" i="8"/>
  <c r="AA13" i="8" s="1"/>
  <c r="O195" i="8"/>
  <c r="P121" i="8"/>
  <c r="N120" i="8"/>
  <c r="S30" i="8"/>
  <c r="S38" i="8"/>
  <c r="I29" i="8"/>
  <c r="L15" i="8"/>
  <c r="M28" i="8"/>
  <c r="P183" i="8"/>
  <c r="Q183" i="8" s="1"/>
  <c r="O68" i="8"/>
  <c r="M117" i="8"/>
  <c r="P82" i="8"/>
  <c r="O184" i="8"/>
  <c r="Q184" i="8" s="1"/>
  <c r="P11" i="8"/>
  <c r="M39" i="8"/>
  <c r="W180" i="8"/>
  <c r="N37" i="8"/>
  <c r="P30" i="8"/>
  <c r="N71" i="8"/>
  <c r="N166" i="8"/>
  <c r="Q59" i="8"/>
  <c r="O174" i="8"/>
  <c r="O124" i="8"/>
  <c r="AA138" i="8"/>
  <c r="O182" i="8"/>
  <c r="P161" i="8"/>
  <c r="M9" i="8"/>
  <c r="N123" i="8"/>
  <c r="N205" i="8"/>
  <c r="Q205" i="8" s="1"/>
  <c r="O41" i="8"/>
  <c r="M97" i="8"/>
  <c r="R149" i="8"/>
  <c r="O65" i="8"/>
  <c r="M110" i="8"/>
  <c r="R110" i="8" s="1"/>
  <c r="M107" i="8"/>
  <c r="M29" i="8"/>
  <c r="R150" i="8"/>
  <c r="N45" i="8"/>
  <c r="P101" i="8"/>
  <c r="O7" i="8"/>
  <c r="Q7" i="8" s="1"/>
  <c r="H7" i="8" s="1"/>
  <c r="O125" i="8"/>
  <c r="M99" i="8"/>
  <c r="M78" i="8"/>
  <c r="O88" i="8"/>
  <c r="AA147" i="8"/>
  <c r="P163" i="8"/>
  <c r="N56" i="8"/>
  <c r="N157" i="8"/>
  <c r="AA160" i="8"/>
  <c r="M159" i="8"/>
  <c r="M105" i="8"/>
  <c r="R105" i="8" s="1"/>
  <c r="M162" i="8"/>
  <c r="N100" i="8"/>
  <c r="O136" i="8"/>
  <c r="P70" i="8"/>
  <c r="P135" i="8"/>
  <c r="N202" i="8"/>
  <c r="I27" i="8"/>
  <c r="R22" i="8"/>
  <c r="P195" i="8"/>
  <c r="P109" i="8"/>
  <c r="S12" i="8"/>
  <c r="H12" i="8" s="1"/>
  <c r="G12" i="8" s="1"/>
  <c r="H9" i="3" s="1"/>
  <c r="O9" i="3" s="1"/>
  <c r="O120" i="8"/>
  <c r="S37" i="8"/>
  <c r="S13" i="8"/>
  <c r="H30" i="7"/>
  <c r="G30" i="7" s="1"/>
  <c r="O118" i="8"/>
  <c r="P68" i="8"/>
  <c r="N117" i="8"/>
  <c r="M82" i="8"/>
  <c r="Q82" i="8" s="1"/>
  <c r="P184" i="8"/>
  <c r="P174" i="8"/>
  <c r="P124" i="8"/>
  <c r="P182" i="8"/>
  <c r="O171" i="8"/>
  <c r="R171" i="8" s="1"/>
  <c r="M98" i="8"/>
  <c r="Q180" i="8"/>
  <c r="O123" i="8"/>
  <c r="O205" i="8"/>
  <c r="P41" i="8"/>
  <c r="P91" i="8"/>
  <c r="N97" i="8"/>
  <c r="P65" i="8"/>
  <c r="O111" i="8"/>
  <c r="P107" i="8"/>
  <c r="N29" i="8"/>
  <c r="O45" i="8"/>
  <c r="N101" i="8"/>
  <c r="P7" i="8"/>
  <c r="P99" i="8"/>
  <c r="N78" i="8"/>
  <c r="P88" i="8"/>
  <c r="N40" i="8"/>
  <c r="M163" i="8"/>
  <c r="R163" i="8" s="1"/>
  <c r="O56" i="8"/>
  <c r="O157" i="8"/>
  <c r="N159" i="8"/>
  <c r="N105" i="8"/>
  <c r="W41" i="8"/>
  <c r="N162" i="8"/>
  <c r="P100" i="8"/>
  <c r="M136" i="8"/>
  <c r="N70" i="8"/>
  <c r="N135" i="8"/>
  <c r="M202" i="8"/>
  <c r="L27" i="8"/>
  <c r="L37" i="8"/>
  <c r="Q37" i="8" s="1"/>
  <c r="H37" i="8" s="1"/>
  <c r="M109" i="8"/>
  <c r="M120" i="8"/>
  <c r="S34" i="8"/>
  <c r="W8" i="7"/>
  <c r="X8" i="7" s="1"/>
  <c r="AA8" i="7"/>
  <c r="L8" i="8"/>
  <c r="L39" i="8"/>
  <c r="O10" i="8"/>
  <c r="R10" i="8" s="1"/>
  <c r="M134" i="8"/>
  <c r="Q95" i="8"/>
  <c r="M158" i="8"/>
  <c r="AA189" i="8"/>
  <c r="N28" i="8"/>
  <c r="N69" i="8"/>
  <c r="N134" i="8"/>
  <c r="N158" i="8"/>
  <c r="N173" i="8"/>
  <c r="O30" i="8"/>
  <c r="O28" i="8"/>
  <c r="Q57" i="8"/>
  <c r="M167" i="8"/>
  <c r="N200" i="8"/>
  <c r="O158" i="8"/>
  <c r="AA116" i="8"/>
  <c r="O206" i="8"/>
  <c r="M118" i="8"/>
  <c r="R59" i="8"/>
  <c r="P170" i="8"/>
  <c r="W42" i="8"/>
  <c r="N8" i="8"/>
  <c r="Q8" i="8" s="1"/>
  <c r="H8" i="8" s="1"/>
  <c r="G8" i="8" s="1"/>
  <c r="H7" i="3" s="1"/>
  <c r="O7" i="3" s="1"/>
  <c r="M68" i="8"/>
  <c r="M173" i="8"/>
  <c r="N122" i="8"/>
  <c r="O117" i="8"/>
  <c r="N82" i="8"/>
  <c r="AA187" i="8"/>
  <c r="M165" i="8"/>
  <c r="M50" i="8"/>
  <c r="R50" i="8" s="1"/>
  <c r="M30" i="8"/>
  <c r="P166" i="8"/>
  <c r="H7" i="7"/>
  <c r="G7" i="7" s="1"/>
  <c r="M203" i="8"/>
  <c r="M153" i="8"/>
  <c r="Q153" i="8" s="1"/>
  <c r="P171" i="8"/>
  <c r="P90" i="8"/>
  <c r="N98" i="8"/>
  <c r="AA168" i="8"/>
  <c r="P123" i="8"/>
  <c r="P205" i="8"/>
  <c r="P133" i="8"/>
  <c r="O91" i="8"/>
  <c r="O97" i="8"/>
  <c r="M89" i="8"/>
  <c r="O164" i="8"/>
  <c r="Q164" i="8" s="1"/>
  <c r="P111" i="8"/>
  <c r="O29" i="8"/>
  <c r="AA177" i="8"/>
  <c r="S16" i="8"/>
  <c r="AA67" i="8"/>
  <c r="M132" i="8"/>
  <c r="P119" i="8"/>
  <c r="S35" i="8"/>
  <c r="O78" i="8"/>
  <c r="S25" i="8"/>
  <c r="O40" i="8"/>
  <c r="N163" i="8"/>
  <c r="M13" i="8"/>
  <c r="R13" i="8" s="1"/>
  <c r="M56" i="8"/>
  <c r="P157" i="8"/>
  <c r="M160" i="8"/>
  <c r="O159" i="8"/>
  <c r="O105" i="8"/>
  <c r="O162" i="8"/>
  <c r="O100" i="8"/>
  <c r="P136" i="8"/>
  <c r="O70" i="8"/>
  <c r="M135" i="8"/>
  <c r="P202" i="8"/>
  <c r="M108" i="8"/>
  <c r="N109" i="8"/>
  <c r="P120" i="8"/>
  <c r="S15" i="8"/>
  <c r="Q17" i="7"/>
  <c r="H17" i="7" s="1"/>
  <c r="G17" i="7" s="1"/>
  <c r="R17" i="7"/>
  <c r="AA24" i="7"/>
  <c r="W24" i="7"/>
  <c r="X24" i="7" s="1"/>
  <c r="Y24" i="7" s="1"/>
  <c r="L19" i="8"/>
  <c r="L14" i="8"/>
  <c r="B12" i="2"/>
  <c r="AA131" i="8"/>
  <c r="M63" i="8"/>
  <c r="M206" i="8"/>
  <c r="P118" i="8"/>
  <c r="P10" i="8"/>
  <c r="N63" i="8"/>
  <c r="N206" i="8"/>
  <c r="M122" i="8"/>
  <c r="O37" i="8"/>
  <c r="O166" i="8"/>
  <c r="R83" i="8"/>
  <c r="M69" i="8"/>
  <c r="O31" i="8"/>
  <c r="P28" i="8"/>
  <c r="O69" i="8"/>
  <c r="P31" i="8"/>
  <c r="N167" i="8"/>
  <c r="M185" i="8"/>
  <c r="Q185" i="8" s="1"/>
  <c r="O200" i="8"/>
  <c r="P158" i="8"/>
  <c r="P206" i="8"/>
  <c r="Q61" i="8"/>
  <c r="N118" i="8"/>
  <c r="Q118" i="8" s="1"/>
  <c r="N196" i="8"/>
  <c r="M170" i="8"/>
  <c r="O8" i="8"/>
  <c r="O173" i="8"/>
  <c r="O122" i="8"/>
  <c r="O193" i="8"/>
  <c r="P38" i="8"/>
  <c r="O82" i="8"/>
  <c r="N204" i="8"/>
  <c r="M169" i="8"/>
  <c r="R169" i="8" s="1"/>
  <c r="N165" i="8"/>
  <c r="N50" i="8"/>
  <c r="N30" i="8"/>
  <c r="O203" i="8"/>
  <c r="N153" i="8"/>
  <c r="M171" i="8"/>
  <c r="M90" i="8"/>
  <c r="R90" i="8" s="1"/>
  <c r="O98" i="8"/>
  <c r="M176" i="8"/>
  <c r="M133" i="8"/>
  <c r="M91" i="8"/>
  <c r="P97" i="8"/>
  <c r="N89" i="8"/>
  <c r="N164" i="8"/>
  <c r="N111" i="8"/>
  <c r="Q111" i="8" s="1"/>
  <c r="Q72" i="8"/>
  <c r="N132" i="8"/>
  <c r="O119" i="8"/>
  <c r="O179" i="8"/>
  <c r="S9" i="8"/>
  <c r="P78" i="8"/>
  <c r="M40" i="8"/>
  <c r="N48" i="8"/>
  <c r="Q48" i="8" s="1"/>
  <c r="I10" i="8"/>
  <c r="P56" i="8"/>
  <c r="M175" i="8"/>
  <c r="N160" i="8"/>
  <c r="P159" i="8"/>
  <c r="P105" i="8"/>
  <c r="P67" i="8"/>
  <c r="M49" i="8"/>
  <c r="O202" i="8"/>
  <c r="N108" i="8"/>
  <c r="O109" i="8"/>
  <c r="M51" i="8"/>
  <c r="P96" i="8"/>
  <c r="S10" i="8"/>
  <c r="S21" i="8"/>
  <c r="R36" i="7"/>
  <c r="Q36" i="7"/>
  <c r="L7" i="8"/>
  <c r="L10" i="8"/>
  <c r="L28" i="8"/>
  <c r="L41" i="8"/>
  <c r="R41" i="8" s="1"/>
  <c r="I25" i="8"/>
  <c r="L12" i="8"/>
  <c r="Q12" i="8" s="1"/>
  <c r="P69" i="8"/>
  <c r="R44" i="8"/>
  <c r="N31" i="8"/>
  <c r="N185" i="8"/>
  <c r="P200" i="8"/>
  <c r="R200" i="8" s="1"/>
  <c r="O196" i="8"/>
  <c r="Q196" i="8" s="1"/>
  <c r="N170" i="8"/>
  <c r="P173" i="8"/>
  <c r="P122" i="8"/>
  <c r="M193" i="8"/>
  <c r="O38" i="8"/>
  <c r="N192" i="8"/>
  <c r="S18" i="8"/>
  <c r="O204" i="8"/>
  <c r="N169" i="8"/>
  <c r="N172" i="8"/>
  <c r="O165" i="8"/>
  <c r="Q165" i="8" s="1"/>
  <c r="O153" i="8"/>
  <c r="N171" i="8"/>
  <c r="N176" i="8"/>
  <c r="S7" i="8"/>
  <c r="N133" i="8"/>
  <c r="P141" i="8"/>
  <c r="N91" i="8"/>
  <c r="O89" i="8"/>
  <c r="M111" i="8"/>
  <c r="M93" i="8"/>
  <c r="N119" i="8"/>
  <c r="Q119" i="8" s="1"/>
  <c r="P179" i="8"/>
  <c r="O47" i="8"/>
  <c r="O96" i="8"/>
  <c r="S39" i="8"/>
  <c r="S24" i="8"/>
  <c r="W10" i="7"/>
  <c r="X10" i="7" s="1"/>
  <c r="AA10" i="7"/>
  <c r="L21" i="8"/>
  <c r="R31" i="8"/>
  <c r="Q26" i="8"/>
  <c r="H26" i="8" s="1"/>
  <c r="F36" i="3" s="1"/>
  <c r="Q55" i="8"/>
  <c r="Q139" i="8"/>
  <c r="R138" i="8"/>
  <c r="R161" i="8"/>
  <c r="R164" i="8"/>
  <c r="R34" i="8"/>
  <c r="Q113" i="8"/>
  <c r="R101" i="8"/>
  <c r="Q125" i="8"/>
  <c r="R87" i="8"/>
  <c r="R127" i="8"/>
  <c r="R182" i="8"/>
  <c r="R14" i="8"/>
  <c r="Y9" i="7"/>
  <c r="Q152" i="8"/>
  <c r="R77" i="8"/>
  <c r="Q64" i="8"/>
  <c r="R79" i="8"/>
  <c r="Q188" i="8"/>
  <c r="R12" i="8"/>
  <c r="R102" i="8"/>
  <c r="Y10" i="7"/>
  <c r="R178" i="8"/>
  <c r="R15" i="8"/>
  <c r="Q52" i="8"/>
  <c r="R170" i="8"/>
  <c r="R52" i="8"/>
  <c r="R114" i="8"/>
  <c r="R42" i="8"/>
  <c r="R205" i="8"/>
  <c r="R154" i="8"/>
  <c r="R167" i="8"/>
  <c r="Q177" i="8"/>
  <c r="R81" i="8"/>
  <c r="R151" i="8"/>
  <c r="Q19" i="8"/>
  <c r="H19" i="8" s="1"/>
  <c r="G19" i="8" s="1"/>
  <c r="H23" i="3" s="1"/>
  <c r="O23" i="3" s="1"/>
  <c r="Q206" i="8"/>
  <c r="Q193" i="8"/>
  <c r="R116" i="8"/>
  <c r="Q138" i="8"/>
  <c r="R17" i="8"/>
  <c r="Q147" i="8"/>
  <c r="Q154" i="8"/>
  <c r="R76" i="8"/>
  <c r="R137" i="8"/>
  <c r="Y17" i="7"/>
  <c r="Q104" i="8"/>
  <c r="Q117" i="8"/>
  <c r="Q133" i="8"/>
  <c r="Q23" i="8"/>
  <c r="H23" i="8" s="1"/>
  <c r="G23" i="8" s="1"/>
  <c r="Q84" i="8"/>
  <c r="G10" i="7"/>
  <c r="G22" i="7"/>
  <c r="J36" i="3"/>
  <c r="G8" i="7"/>
  <c r="G13" i="7"/>
  <c r="G9" i="7"/>
  <c r="G11" i="7"/>
  <c r="AA33" i="8"/>
  <c r="W33" i="8"/>
  <c r="X33" i="8" s="1"/>
  <c r="R64" i="8"/>
  <c r="R26" i="8"/>
  <c r="R61" i="8"/>
  <c r="Q74" i="8"/>
  <c r="R32" i="8"/>
  <c r="R58" i="8"/>
  <c r="Q81" i="8"/>
  <c r="Q44" i="8"/>
  <c r="AA32" i="8"/>
  <c r="W32" i="8"/>
  <c r="X32" i="8" s="1"/>
  <c r="R72" i="8"/>
  <c r="Q101" i="8"/>
  <c r="Q102" i="8"/>
  <c r="R20" i="8"/>
  <c r="R125" i="8"/>
  <c r="R147" i="8"/>
  <c r="W27" i="8"/>
  <c r="X27" i="8" s="1"/>
  <c r="AA27" i="8"/>
  <c r="Q87" i="8"/>
  <c r="Q116" i="8"/>
  <c r="Q83" i="8"/>
  <c r="W15" i="8"/>
  <c r="X15" i="8" s="1"/>
  <c r="AA15" i="8"/>
  <c r="R193" i="8"/>
  <c r="W23" i="8"/>
  <c r="X23" i="8" s="1"/>
  <c r="AA23" i="8"/>
  <c r="R197" i="8"/>
  <c r="Q114" i="8"/>
  <c r="G39" i="7"/>
  <c r="W7" i="8"/>
  <c r="X7" i="8" s="1"/>
  <c r="AA7" i="8"/>
  <c r="R139" i="8"/>
  <c r="AA26" i="8"/>
  <c r="W26" i="8"/>
  <c r="X26" i="8" s="1"/>
  <c r="Y33" i="7"/>
  <c r="R30" i="8"/>
  <c r="Q30" i="8"/>
  <c r="H30" i="8" s="1"/>
  <c r="Q128" i="8"/>
  <c r="W12" i="8"/>
  <c r="X12" i="8" s="1"/>
  <c r="AA12" i="8"/>
  <c r="Q167" i="8"/>
  <c r="Q31" i="8"/>
  <c r="Y27" i="7"/>
  <c r="R80" i="8"/>
  <c r="Y13" i="7"/>
  <c r="R188" i="8"/>
  <c r="W37" i="8"/>
  <c r="X37" i="8" s="1"/>
  <c r="AA37" i="8"/>
  <c r="W30" i="8"/>
  <c r="X30" i="8" s="1"/>
  <c r="AA30" i="8"/>
  <c r="W20" i="8"/>
  <c r="X20" i="8" s="1"/>
  <c r="AA20" i="8"/>
  <c r="G14" i="7"/>
  <c r="H17" i="3" s="1"/>
  <c r="O17" i="3" s="1"/>
  <c r="AA11" i="8"/>
  <c r="W11" i="8"/>
  <c r="X11" i="8" s="1"/>
  <c r="R177" i="8"/>
  <c r="AA17" i="8"/>
  <c r="W17" i="8"/>
  <c r="X17" i="8" s="1"/>
  <c r="Q151" i="8"/>
  <c r="Y37" i="7"/>
  <c r="AA10" i="8"/>
  <c r="W10" i="8"/>
  <c r="X10" i="8" s="1"/>
  <c r="W13" i="8"/>
  <c r="X13" i="8" s="1"/>
  <c r="Q15" i="8"/>
  <c r="H15" i="8" s="1"/>
  <c r="Q137" i="8"/>
  <c r="G38" i="7"/>
  <c r="AA19" i="8"/>
  <c r="W19" i="8"/>
  <c r="X19" i="8" s="1"/>
  <c r="Y14" i="7"/>
  <c r="R25" i="8"/>
  <c r="Q25" i="8"/>
  <c r="H25" i="8" s="1"/>
  <c r="Q170" i="8"/>
  <c r="R24" i="8"/>
  <c r="Y8" i="7"/>
  <c r="Y38" i="7"/>
  <c r="Q182" i="8"/>
  <c r="Q62" i="8"/>
  <c r="Q79" i="8"/>
  <c r="R23" i="8"/>
  <c r="Q178" i="8"/>
  <c r="Y25" i="7"/>
  <c r="Y12" i="7"/>
  <c r="AA18" i="8"/>
  <c r="W18" i="8"/>
  <c r="X18" i="8" s="1"/>
  <c r="Q86" i="8"/>
  <c r="Y26" i="7"/>
  <c r="G33" i="7"/>
  <c r="R192" i="8"/>
  <c r="AA8" i="8"/>
  <c r="W8" i="8"/>
  <c r="X8" i="8" s="1"/>
  <c r="AA16" i="8"/>
  <c r="W16" i="8"/>
  <c r="X16" i="8" s="1"/>
  <c r="Q150" i="8"/>
  <c r="Y15" i="7"/>
  <c r="W28" i="8"/>
  <c r="X28" i="8" s="1"/>
  <c r="AA28" i="8"/>
  <c r="R117" i="8"/>
  <c r="W14" i="8"/>
  <c r="X14" i="8" s="1"/>
  <c r="AA14" i="8"/>
  <c r="Q14" i="8"/>
  <c r="H14" i="8" s="1"/>
  <c r="G14" i="8" s="1"/>
  <c r="H14" i="3" s="1"/>
  <c r="O14" i="3" s="1"/>
  <c r="Q149" i="8"/>
  <c r="W22" i="8"/>
  <c r="X22" i="8" s="1"/>
  <c r="AA22" i="8"/>
  <c r="AA40" i="8"/>
  <c r="W40" i="8"/>
  <c r="X40" i="8" s="1"/>
  <c r="Y40" i="8" s="1"/>
  <c r="W21" i="8"/>
  <c r="X21" i="8" s="1"/>
  <c r="AA21" i="8"/>
  <c r="Q77" i="8"/>
  <c r="Q34" i="8"/>
  <c r="AA39" i="8"/>
  <c r="W39" i="8"/>
  <c r="X39" i="8" s="1"/>
  <c r="Q17" i="8"/>
  <c r="Q65" i="8"/>
  <c r="Q201" i="8"/>
  <c r="AA34" i="8"/>
  <c r="W34" i="8"/>
  <c r="X34" i="8" s="1"/>
  <c r="R19" i="8"/>
  <c r="Q110" i="8"/>
  <c r="Q42" i="8"/>
  <c r="Q76" i="8"/>
  <c r="W35" i="8"/>
  <c r="X35" i="8" s="1"/>
  <c r="AA35" i="8"/>
  <c r="Y35" i="7"/>
  <c r="Y11" i="7"/>
  <c r="Y19" i="7"/>
  <c r="Y7" i="7"/>
  <c r="G20" i="8" l="1"/>
  <c r="J34" i="3"/>
  <c r="F34" i="3"/>
  <c r="G37" i="8"/>
  <c r="H29" i="3" s="1"/>
  <c r="O29" i="3" s="1"/>
  <c r="J29" i="3"/>
  <c r="F29" i="3"/>
  <c r="R184" i="8"/>
  <c r="R66" i="8"/>
  <c r="R60" i="8"/>
  <c r="Q28" i="8"/>
  <c r="H28" i="8" s="1"/>
  <c r="R38" i="8"/>
  <c r="R37" i="8"/>
  <c r="Y21" i="7"/>
  <c r="Y28" i="7"/>
  <c r="J17" i="3"/>
  <c r="Q90" i="8"/>
  <c r="R153" i="8"/>
  <c r="Q200" i="8"/>
  <c r="R18" i="8"/>
  <c r="R69" i="8"/>
  <c r="R118" i="8"/>
  <c r="Q78" i="8"/>
  <c r="Q99" i="8"/>
  <c r="R29" i="8"/>
  <c r="R123" i="8"/>
  <c r="Q174" i="8"/>
  <c r="Q68" i="8"/>
  <c r="Y23" i="7"/>
  <c r="R96" i="8"/>
  <c r="Q194" i="8"/>
  <c r="Q47" i="8"/>
  <c r="R45" i="8"/>
  <c r="Q106" i="8"/>
  <c r="Q191" i="8"/>
  <c r="R191" i="8"/>
  <c r="R187" i="8"/>
  <c r="Q187" i="8"/>
  <c r="Q169" i="8"/>
  <c r="Y22" i="7"/>
  <c r="W9" i="8"/>
  <c r="X9" i="8" s="1"/>
  <c r="Y9" i="8" s="1"/>
  <c r="Q50" i="8"/>
  <c r="Q35" i="8"/>
  <c r="H35" i="8" s="1"/>
  <c r="G35" i="8" s="1"/>
  <c r="H38" i="3" s="1"/>
  <c r="O38" i="3" s="1"/>
  <c r="R53" i="8"/>
  <c r="Q112" i="8"/>
  <c r="R40" i="8"/>
  <c r="R46" i="8"/>
  <c r="Q168" i="8"/>
  <c r="R190" i="8"/>
  <c r="R130" i="8"/>
  <c r="R103" i="8"/>
  <c r="Q144" i="8"/>
  <c r="Q33" i="8"/>
  <c r="H33" i="8" s="1"/>
  <c r="Q163" i="8"/>
  <c r="Q10" i="8"/>
  <c r="H10" i="8" s="1"/>
  <c r="R142" i="8"/>
  <c r="R119" i="8"/>
  <c r="Q129" i="8"/>
  <c r="Y29" i="7"/>
  <c r="R63" i="8"/>
  <c r="Q97" i="8"/>
  <c r="Q171" i="8"/>
  <c r="R158" i="8"/>
  <c r="R173" i="8"/>
  <c r="Q134" i="8"/>
  <c r="R121" i="8"/>
  <c r="AA38" i="8"/>
  <c r="W38" i="8"/>
  <c r="X38" i="8" s="1"/>
  <c r="R143" i="8"/>
  <c r="Q143" i="8"/>
  <c r="R144" i="8"/>
  <c r="Q189" i="8"/>
  <c r="R73" i="8"/>
  <c r="R92" i="8"/>
  <c r="Q75" i="8"/>
  <c r="H34" i="3"/>
  <c r="O34" i="3" s="1"/>
  <c r="R122" i="8"/>
  <c r="Q176" i="8"/>
  <c r="Q105" i="8"/>
  <c r="R48" i="8"/>
  <c r="R201" i="8"/>
  <c r="R94" i="8"/>
  <c r="R148" i="8"/>
  <c r="Q148" i="8"/>
  <c r="Q22" i="8"/>
  <c r="H22" i="8" s="1"/>
  <c r="Q155" i="8"/>
  <c r="R155" i="8"/>
  <c r="R131" i="8"/>
  <c r="Q179" i="8"/>
  <c r="R203" i="8"/>
  <c r="H34" i="8"/>
  <c r="J22" i="3" s="1"/>
  <c r="R27" i="8"/>
  <c r="R93" i="8"/>
  <c r="Q192" i="8"/>
  <c r="Q175" i="8"/>
  <c r="R8" i="8"/>
  <c r="R115" i="8"/>
  <c r="R78" i="8"/>
  <c r="Q45" i="8"/>
  <c r="R124" i="8"/>
  <c r="R39" i="8"/>
  <c r="R196" i="8"/>
  <c r="Q36" i="8"/>
  <c r="Y20" i="7"/>
  <c r="Q69" i="8"/>
  <c r="R51" i="8"/>
  <c r="R91" i="8"/>
  <c r="F17" i="3"/>
  <c r="Q172" i="8"/>
  <c r="R82" i="8"/>
  <c r="Q92" i="8"/>
  <c r="R141" i="8"/>
  <c r="R145" i="8"/>
  <c r="Q145" i="8"/>
  <c r="R189" i="8"/>
  <c r="G28" i="8"/>
  <c r="H12" i="3" s="1"/>
  <c r="O12" i="3" s="1"/>
  <c r="F12" i="3"/>
  <c r="J12" i="3"/>
  <c r="Q122" i="8"/>
  <c r="Q91" i="8"/>
  <c r="Q38" i="8"/>
  <c r="H38" i="8" s="1"/>
  <c r="Q203" i="8"/>
  <c r="F23" i="3"/>
  <c r="R47" i="8"/>
  <c r="R179" i="8"/>
  <c r="Q56" i="8"/>
  <c r="Q132" i="8"/>
  <c r="Q89" i="8"/>
  <c r="R89" i="8"/>
  <c r="R136" i="8"/>
  <c r="Q136" i="8"/>
  <c r="R67" i="8"/>
  <c r="R186" i="8"/>
  <c r="R168" i="8"/>
  <c r="Q51" i="8"/>
  <c r="Q157" i="8"/>
  <c r="R157" i="8"/>
  <c r="R68" i="8"/>
  <c r="R194" i="8"/>
  <c r="R165" i="8"/>
  <c r="R7" i="8"/>
  <c r="R133" i="8"/>
  <c r="R109" i="8"/>
  <c r="Q109" i="8"/>
  <c r="Q98" i="8"/>
  <c r="R98" i="8"/>
  <c r="R97" i="8"/>
  <c r="R166" i="8"/>
  <c r="Q166" i="8"/>
  <c r="Q16" i="8"/>
  <c r="H16" i="8" s="1"/>
  <c r="G16" i="8" s="1"/>
  <c r="H30" i="3" s="1"/>
  <c r="O30" i="3" s="1"/>
  <c r="R16" i="8"/>
  <c r="R175" i="8"/>
  <c r="Q96" i="8"/>
  <c r="Q41" i="8"/>
  <c r="Q11" i="8"/>
  <c r="H11" i="8" s="1"/>
  <c r="R56" i="8"/>
  <c r="Q39" i="8"/>
  <c r="H39" i="8" s="1"/>
  <c r="G39" i="8" s="1"/>
  <c r="H25" i="3" s="1"/>
  <c r="O25" i="3" s="1"/>
  <c r="Q29" i="8"/>
  <c r="H29" i="8" s="1"/>
  <c r="G29" i="8" s="1"/>
  <c r="H18" i="3" s="1"/>
  <c r="O18" i="3" s="1"/>
  <c r="R134" i="8"/>
  <c r="R111" i="8"/>
  <c r="R176" i="8"/>
  <c r="R11" i="8"/>
  <c r="R126" i="8"/>
  <c r="R204" i="8"/>
  <c r="Q67" i="8"/>
  <c r="R120" i="8"/>
  <c r="Q120" i="8"/>
  <c r="Q158" i="8"/>
  <c r="Q123" i="8"/>
  <c r="Q173" i="8"/>
  <c r="Q162" i="8"/>
  <c r="R162" i="8"/>
  <c r="W29" i="8"/>
  <c r="X29" i="8" s="1"/>
  <c r="Y29" i="8" s="1"/>
  <c r="AA29" i="8"/>
  <c r="Q70" i="8"/>
  <c r="R70" i="8"/>
  <c r="Q21" i="8"/>
  <c r="H21" i="8" s="1"/>
  <c r="R21" i="8"/>
  <c r="Q124" i="8"/>
  <c r="Q13" i="8"/>
  <c r="H13" i="8" s="1"/>
  <c r="G13" i="8" s="1"/>
  <c r="H37" i="3" s="1"/>
  <c r="O37" i="3" s="1"/>
  <c r="R174" i="8"/>
  <c r="R49" i="8"/>
  <c r="Q49" i="8"/>
  <c r="Q108" i="8"/>
  <c r="R108" i="8"/>
  <c r="Q202" i="8"/>
  <c r="R202" i="8"/>
  <c r="Q71" i="8"/>
  <c r="R71" i="8"/>
  <c r="R195" i="8"/>
  <c r="Q195" i="8"/>
  <c r="Q204" i="8"/>
  <c r="Q186" i="8"/>
  <c r="R183" i="8"/>
  <c r="Q40" i="8"/>
  <c r="H40" i="8" s="1"/>
  <c r="G40" i="8" s="1"/>
  <c r="H26" i="3" s="1"/>
  <c r="O26" i="3" s="1"/>
  <c r="Q160" i="8"/>
  <c r="R160" i="8"/>
  <c r="Q159" i="8"/>
  <c r="R159" i="8"/>
  <c r="Q107" i="8"/>
  <c r="R107" i="8"/>
  <c r="R9" i="8"/>
  <c r="Q9" i="8"/>
  <c r="H9" i="8" s="1"/>
  <c r="G9" i="8" s="1"/>
  <c r="H19" i="3" s="1"/>
  <c r="O19" i="3" s="1"/>
  <c r="R100" i="8"/>
  <c r="Q100" i="8"/>
  <c r="Q88" i="8"/>
  <c r="R88" i="8"/>
  <c r="Q121" i="8"/>
  <c r="R28" i="8"/>
  <c r="R185" i="8"/>
  <c r="AA25" i="8"/>
  <c r="W25" i="8"/>
  <c r="X25" i="8" s="1"/>
  <c r="Y24" i="8" s="1"/>
  <c r="R135" i="8"/>
  <c r="Q135" i="8"/>
  <c r="R206" i="8"/>
  <c r="R99" i="8"/>
  <c r="Q141" i="8"/>
  <c r="F38" i="3"/>
  <c r="J9" i="3"/>
  <c r="F25" i="3"/>
  <c r="G26" i="8"/>
  <c r="H36" i="3" s="1"/>
  <c r="O36" i="3" s="1"/>
  <c r="Y16" i="8"/>
  <c r="J38" i="3"/>
  <c r="J23" i="3"/>
  <c r="F18" i="3"/>
  <c r="F9" i="3"/>
  <c r="J37" i="3"/>
  <c r="G18" i="8"/>
  <c r="H16" i="3" s="1"/>
  <c r="O16" i="3" s="1"/>
  <c r="J16" i="3"/>
  <c r="F16" i="3"/>
  <c r="G25" i="8"/>
  <c r="H21" i="3" s="1"/>
  <c r="O21" i="3" s="1"/>
  <c r="J21" i="3"/>
  <c r="F21" i="3"/>
  <c r="G27" i="8"/>
  <c r="H11" i="3" s="1"/>
  <c r="O11" i="3" s="1"/>
  <c r="F11" i="3"/>
  <c r="J11" i="3"/>
  <c r="G7" i="8"/>
  <c r="H10" i="3" s="1"/>
  <c r="O10" i="3" s="1"/>
  <c r="J10" i="3"/>
  <c r="F10" i="3"/>
  <c r="F7" i="3"/>
  <c r="J7" i="3"/>
  <c r="Y26" i="8"/>
  <c r="J8" i="3"/>
  <c r="J32" i="3"/>
  <c r="F30" i="3"/>
  <c r="F14" i="3"/>
  <c r="G15" i="8"/>
  <c r="H13" i="3" s="1"/>
  <c r="O13" i="3" s="1"/>
  <c r="J13" i="3"/>
  <c r="F13" i="3"/>
  <c r="Y35" i="8"/>
  <c r="Y28" i="8"/>
  <c r="Y20" i="8"/>
  <c r="J27" i="3"/>
  <c r="H8" i="3"/>
  <c r="O8" i="3" s="1"/>
  <c r="F27" i="3"/>
  <c r="J30" i="3"/>
  <c r="F19" i="3"/>
  <c r="J19" i="3"/>
  <c r="Y34" i="8"/>
  <c r="Y39" i="8"/>
  <c r="Y14" i="8"/>
  <c r="Y18" i="8"/>
  <c r="Y12" i="8"/>
  <c r="G24" i="8"/>
  <c r="H28" i="3" s="1"/>
  <c r="O28" i="3" s="1"/>
  <c r="J28" i="3"/>
  <c r="F28" i="3"/>
  <c r="Y13" i="8"/>
  <c r="Y11" i="8"/>
  <c r="Y30" i="8"/>
  <c r="Y33" i="8"/>
  <c r="J14" i="3"/>
  <c r="G33" i="8"/>
  <c r="H33" i="3" s="1"/>
  <c r="O33" i="3" s="1"/>
  <c r="F33" i="3"/>
  <c r="J33" i="3"/>
  <c r="Y37" i="8"/>
  <c r="G30" i="8"/>
  <c r="H24" i="3" s="1"/>
  <c r="O24" i="3" s="1"/>
  <c r="J24" i="3"/>
  <c r="F24" i="3"/>
  <c r="Y32" i="8"/>
  <c r="G34" i="8"/>
  <c r="H22" i="3" s="1"/>
  <c r="O22" i="3" s="1"/>
  <c r="F22" i="3"/>
  <c r="G22" i="8"/>
  <c r="H15" i="3" s="1"/>
  <c r="O15" i="3" s="1"/>
  <c r="F15" i="3"/>
  <c r="Y19" i="8"/>
  <c r="Y10" i="8"/>
  <c r="Y17" i="8"/>
  <c r="Y38" i="8"/>
  <c r="F26" i="3"/>
  <c r="J15" i="3"/>
  <c r="F8" i="3"/>
  <c r="Y15" i="8"/>
  <c r="J26" i="3"/>
  <c r="G10" i="8" l="1"/>
  <c r="H32" i="3" s="1"/>
  <c r="O32" i="3" s="1"/>
  <c r="F32" i="3"/>
  <c r="J25" i="3"/>
  <c r="Y25" i="8"/>
  <c r="Y21" i="8"/>
  <c r="A5" i="6"/>
  <c r="Y22" i="8"/>
  <c r="Y8" i="8"/>
  <c r="Y7" i="8"/>
  <c r="Y23" i="8"/>
  <c r="Y27" i="8"/>
  <c r="J18" i="3"/>
  <c r="F37" i="3"/>
  <c r="G38" i="8"/>
  <c r="H20" i="3" s="1"/>
  <c r="O20" i="3" s="1"/>
  <c r="F20" i="3"/>
  <c r="J20" i="3"/>
  <c r="G21" i="8"/>
  <c r="H31" i="3" s="1"/>
  <c r="O31" i="3" s="1"/>
  <c r="F31" i="3"/>
  <c r="J31" i="3"/>
  <c r="G11" i="8"/>
  <c r="H35" i="3" s="1"/>
  <c r="O35" i="3" s="1"/>
  <c r="F35" i="3"/>
  <c r="J35" i="3"/>
  <c r="P6" i="3" l="1"/>
  <c r="P32" i="3" s="1"/>
  <c r="P27" i="3" l="1"/>
  <c r="P26" i="3"/>
  <c r="P30" i="3"/>
  <c r="P7" i="3"/>
  <c r="K31" i="3" s="1"/>
  <c r="L31" i="3" s="1"/>
  <c r="P13" i="3"/>
  <c r="P12" i="3"/>
  <c r="P25" i="3"/>
  <c r="Q25" i="3" s="1"/>
  <c r="P11" i="3"/>
  <c r="P10" i="3"/>
  <c r="K21" i="3" s="1"/>
  <c r="L21" i="3" s="1"/>
  <c r="P16" i="3"/>
  <c r="P34" i="3"/>
  <c r="P20" i="3"/>
  <c r="P9" i="3"/>
  <c r="P8" i="3"/>
  <c r="P15" i="3"/>
  <c r="K12" i="3" s="1"/>
  <c r="L12" i="3" s="1"/>
  <c r="P18" i="3"/>
  <c r="P29" i="3"/>
  <c r="P21" i="3"/>
  <c r="P17" i="3"/>
  <c r="P33" i="3"/>
  <c r="P14" i="3"/>
  <c r="P37" i="3"/>
  <c r="P22" i="3"/>
  <c r="K22" i="3" s="1"/>
  <c r="L22" i="3" s="1"/>
  <c r="P36" i="3"/>
  <c r="P28" i="3"/>
  <c r="P24" i="3"/>
  <c r="P31" i="3"/>
  <c r="P23" i="3"/>
  <c r="Q23" i="3" s="1"/>
  <c r="P19" i="3"/>
  <c r="P38" i="3"/>
  <c r="P35" i="3"/>
  <c r="Q35" i="3" s="1"/>
  <c r="Q24" i="3"/>
  <c r="Q31" i="3"/>
  <c r="Q33" i="3"/>
  <c r="Q11" i="3"/>
  <c r="Q21" i="3"/>
  <c r="Q7" i="3"/>
  <c r="Q27" i="3"/>
  <c r="Q26" i="3"/>
  <c r="Q17" i="3"/>
  <c r="K15" i="3"/>
  <c r="L15" i="3" s="1"/>
  <c r="Q12" i="3"/>
  <c r="Q8" i="3"/>
  <c r="Q30" i="3"/>
  <c r="Q13" i="3"/>
  <c r="Q36" i="3"/>
  <c r="Q16" i="3"/>
  <c r="Q28" i="3"/>
  <c r="Q34" i="3"/>
  <c r="Q20" i="3"/>
  <c r="Q9" i="3"/>
  <c r="K9" i="3"/>
  <c r="L9" i="3" s="1"/>
  <c r="Q18" i="3"/>
  <c r="Q29" i="3"/>
  <c r="Q14" i="3"/>
  <c r="Q37" i="3"/>
  <c r="K19" i="3"/>
  <c r="L19" i="3" s="1"/>
  <c r="Q19" i="3"/>
  <c r="Q38" i="3"/>
  <c r="Q32" i="3"/>
  <c r="K18" i="3" l="1"/>
  <c r="L18" i="3" s="1"/>
  <c r="K30" i="3"/>
  <c r="L30" i="3" s="1"/>
  <c r="K26" i="3"/>
  <c r="L26" i="3" s="1"/>
  <c r="K11" i="3"/>
  <c r="L11" i="3" s="1"/>
  <c r="K24" i="3"/>
  <c r="L24" i="3" s="1"/>
  <c r="K32" i="3"/>
  <c r="L32" i="3" s="1"/>
  <c r="K37" i="3"/>
  <c r="L37" i="3" s="1"/>
  <c r="K16" i="3"/>
  <c r="L16" i="3" s="1"/>
  <c r="K8" i="3"/>
  <c r="L8" i="3" s="1"/>
  <c r="Q15" i="3"/>
  <c r="K27" i="3"/>
  <c r="L27" i="3" s="1"/>
  <c r="K36" i="3"/>
  <c r="L36" i="3" s="1"/>
  <c r="K17" i="3"/>
  <c r="K7" i="3"/>
  <c r="K33" i="3"/>
  <c r="L14" i="3" s="1"/>
  <c r="K23" i="3"/>
  <c r="L23" i="3" s="1"/>
  <c r="Q22" i="3"/>
  <c r="K35" i="3"/>
  <c r="L35" i="3" s="1"/>
  <c r="K14" i="3"/>
  <c r="K25" i="3"/>
  <c r="L25" i="3" s="1"/>
  <c r="Q10" i="3"/>
  <c r="R28" i="3" s="1"/>
  <c r="K20" i="3"/>
  <c r="L20" i="3" s="1"/>
  <c r="K38" i="3"/>
  <c r="L38" i="3" s="1"/>
  <c r="K29" i="3"/>
  <c r="L29" i="3" s="1"/>
  <c r="K34" i="3"/>
  <c r="L34" i="3" s="1"/>
  <c r="K13" i="3"/>
  <c r="L13" i="3" s="1"/>
  <c r="K10" i="3"/>
  <c r="L10" i="3" s="1"/>
  <c r="K28" i="3"/>
  <c r="L28" i="3" s="1"/>
  <c r="R9" i="3"/>
  <c r="N9" i="3" s="1"/>
  <c r="R25" i="3"/>
  <c r="R31" i="3"/>
  <c r="R11" i="3"/>
  <c r="R37" i="3"/>
  <c r="R16" i="3"/>
  <c r="R8" i="3"/>
  <c r="R27" i="3"/>
  <c r="R23" i="3"/>
  <c r="L7" i="3"/>
  <c r="R15" i="3"/>
  <c r="L17" i="3"/>
  <c r="R33" i="3"/>
  <c r="R35" i="3"/>
  <c r="R14" i="3"/>
  <c r="R22" i="3"/>
  <c r="R20" i="3"/>
  <c r="R36" i="3"/>
  <c r="R17" i="3"/>
  <c r="R7" i="3"/>
  <c r="R38" i="3"/>
  <c r="R29" i="3"/>
  <c r="R34" i="3"/>
  <c r="R13" i="3"/>
  <c r="R10" i="3"/>
  <c r="R21" i="3"/>
  <c r="R19" i="3"/>
  <c r="R18" i="3"/>
  <c r="R30" i="3"/>
  <c r="R26" i="3"/>
  <c r="R24" i="3"/>
  <c r="R12" i="3"/>
  <c r="L33" i="3" l="1"/>
  <c r="R32" i="3"/>
  <c r="S32" i="3" s="1"/>
  <c r="S9" i="3"/>
  <c r="N38" i="3"/>
  <c r="S38" i="3"/>
  <c r="S18" i="3"/>
  <c r="N18" i="3"/>
  <c r="N35" i="3"/>
  <c r="S35" i="3"/>
  <c r="S31" i="3"/>
  <c r="N31" i="3"/>
  <c r="N17" i="3"/>
  <c r="S17" i="3"/>
  <c r="N27" i="3"/>
  <c r="S27" i="3"/>
  <c r="S21" i="3"/>
  <c r="N21" i="3"/>
  <c r="N36" i="3"/>
  <c r="S36" i="3"/>
  <c r="N8" i="3"/>
  <c r="S8" i="3"/>
  <c r="N16" i="3"/>
  <c r="S16" i="3"/>
  <c r="N33" i="3"/>
  <c r="S33" i="3"/>
  <c r="S10" i="3"/>
  <c r="N10" i="3"/>
  <c r="N12" i="3"/>
  <c r="S12" i="3"/>
  <c r="N24" i="3"/>
  <c r="S24" i="3"/>
  <c r="N32" i="3"/>
  <c r="N20" i="3"/>
  <c r="S13" i="3"/>
  <c r="N13" i="3"/>
  <c r="S37" i="3"/>
  <c r="N37" i="3"/>
  <c r="S34" i="3"/>
  <c r="N34" i="3"/>
  <c r="S26" i="3"/>
  <c r="N26" i="3"/>
  <c r="S29" i="3"/>
  <c r="N29" i="3"/>
  <c r="N22" i="3"/>
  <c r="S22" i="3"/>
  <c r="S15" i="3"/>
  <c r="N15" i="3"/>
  <c r="N28" i="3"/>
  <c r="S28" i="3"/>
  <c r="N14" i="3"/>
  <c r="S14" i="3"/>
  <c r="N30" i="3"/>
  <c r="S30" i="3"/>
  <c r="N11" i="3"/>
  <c r="S11" i="3"/>
  <c r="S7" i="3"/>
  <c r="N7" i="3"/>
  <c r="S23" i="3"/>
  <c r="N23" i="3"/>
  <c r="N19" i="3"/>
  <c r="S19" i="3"/>
  <c r="N25" i="3"/>
  <c r="S25" i="3"/>
  <c r="S20" i="3" l="1"/>
  <c r="A8" i="6" s="1"/>
  <c r="A6" i="6"/>
  <c r="A10" i="6"/>
  <c r="A7" i="6"/>
  <c r="A9" i="6"/>
  <c r="C10" i="6" l="1"/>
  <c r="B10" i="6"/>
  <c r="C9" i="6"/>
  <c r="B9" i="6"/>
  <c r="C7" i="6"/>
  <c r="B7" i="6"/>
  <c r="B8" i="6"/>
  <c r="C8" i="6"/>
  <c r="T18" i="6"/>
  <c r="B6" i="6"/>
  <c r="T14" i="6"/>
  <c r="C6" i="6"/>
  <c r="T15" i="6"/>
  <c r="T17" i="6"/>
  <c r="T16" i="6"/>
  <c r="V18" i="6" l="1"/>
  <c r="Y18" i="6" s="1"/>
  <c r="J18" i="6" s="1"/>
  <c r="Z18" i="6" s="1"/>
  <c r="V16" i="6"/>
  <c r="Y16" i="6" s="1"/>
  <c r="J16" i="6" s="1"/>
  <c r="Z16" i="6" s="1"/>
  <c r="V17" i="6"/>
  <c r="Y17" i="6" s="1"/>
  <c r="J17" i="6" s="1"/>
  <c r="Z17" i="6" s="1"/>
  <c r="V15" i="6"/>
  <c r="Y15" i="6" s="1"/>
  <c r="J15" i="6" s="1"/>
  <c r="Z15" i="6" s="1"/>
  <c r="V14" i="6"/>
  <c r="Y14" i="6" s="1"/>
  <c r="J14" i="6" s="1"/>
  <c r="Z14" i="6" l="1"/>
  <c r="U206" i="3"/>
  <c r="U201" i="3"/>
  <c r="U193" i="3"/>
  <c r="U185" i="3"/>
  <c r="U177" i="3"/>
  <c r="U169" i="3"/>
  <c r="U161" i="3"/>
  <c r="U153" i="3"/>
  <c r="U145" i="3"/>
  <c r="U137" i="3"/>
  <c r="U129" i="3"/>
  <c r="U121" i="3"/>
  <c r="U113" i="3"/>
  <c r="U105" i="3"/>
  <c r="U97" i="3"/>
  <c r="U89" i="3"/>
  <c r="U81" i="3"/>
  <c r="U73" i="3"/>
  <c r="U199" i="3"/>
  <c r="U191" i="3"/>
  <c r="U183" i="3"/>
  <c r="U175" i="3"/>
  <c r="U167" i="3"/>
  <c r="U159" i="3"/>
  <c r="U151" i="3"/>
  <c r="U143" i="3"/>
  <c r="U135" i="3"/>
  <c r="U127" i="3"/>
  <c r="U119" i="3"/>
  <c r="U111" i="3"/>
  <c r="U103" i="3"/>
  <c r="U95" i="3"/>
  <c r="U87" i="3"/>
  <c r="U79" i="3"/>
  <c r="U202" i="3"/>
  <c r="U194" i="3"/>
  <c r="U186" i="3"/>
  <c r="U178" i="3"/>
  <c r="U170" i="3"/>
  <c r="U162" i="3"/>
  <c r="U154" i="3"/>
  <c r="U146" i="3"/>
  <c r="U138" i="3"/>
  <c r="U130" i="3"/>
  <c r="U122" i="3"/>
  <c r="U114" i="3"/>
  <c r="U106" i="3"/>
  <c r="U205" i="3"/>
  <c r="U197" i="3"/>
  <c r="U189" i="3"/>
  <c r="U181" i="3"/>
  <c r="U173" i="3"/>
  <c r="U198" i="3"/>
  <c r="U192" i="3"/>
  <c r="U188" i="3"/>
  <c r="U149" i="3"/>
  <c r="U144" i="3"/>
  <c r="U132" i="3"/>
  <c r="U118" i="3"/>
  <c r="U115" i="3"/>
  <c r="U102" i="3"/>
  <c r="U83" i="3"/>
  <c r="U69" i="3"/>
  <c r="U61" i="3"/>
  <c r="U53" i="3"/>
  <c r="U45" i="3"/>
  <c r="U37" i="3"/>
  <c r="U29" i="3"/>
  <c r="U21" i="3"/>
  <c r="U13" i="3"/>
  <c r="U8" i="3"/>
  <c r="U204" i="3"/>
  <c r="U158" i="3"/>
  <c r="U155" i="3"/>
  <c r="U125" i="3"/>
  <c r="U120" i="3"/>
  <c r="U108" i="3"/>
  <c r="U104" i="3"/>
  <c r="U100" i="3"/>
  <c r="U90" i="3"/>
  <c r="U85" i="3"/>
  <c r="U72" i="3"/>
  <c r="U64" i="3"/>
  <c r="U56" i="3"/>
  <c r="U48" i="3"/>
  <c r="U40" i="3"/>
  <c r="U32" i="3"/>
  <c r="U24" i="3"/>
  <c r="U16" i="3"/>
  <c r="B4" i="4"/>
  <c r="U187" i="3"/>
  <c r="U182" i="3"/>
  <c r="U176" i="3"/>
  <c r="U172" i="3"/>
  <c r="U165" i="3"/>
  <c r="U160" i="3"/>
  <c r="U148" i="3"/>
  <c r="U134" i="3"/>
  <c r="U131" i="3"/>
  <c r="U94" i="3"/>
  <c r="U75" i="3"/>
  <c r="U67" i="3"/>
  <c r="U59" i="3"/>
  <c r="U51" i="3"/>
  <c r="U43" i="3"/>
  <c r="U35" i="3"/>
  <c r="U27" i="3"/>
  <c r="U19" i="3"/>
  <c r="U11" i="3"/>
  <c r="U203" i="3"/>
  <c r="U200" i="3"/>
  <c r="U196" i="3"/>
  <c r="U141" i="3"/>
  <c r="U136" i="3"/>
  <c r="U124" i="3"/>
  <c r="U110" i="3"/>
  <c r="U107" i="3"/>
  <c r="U96" i="3"/>
  <c r="U92" i="3"/>
  <c r="U82" i="3"/>
  <c r="U77" i="3"/>
  <c r="U70" i="3"/>
  <c r="U62" i="3"/>
  <c r="U54" i="3"/>
  <c r="U46" i="3"/>
  <c r="U38" i="3"/>
  <c r="U30" i="3"/>
  <c r="U22" i="3"/>
  <c r="U14" i="3"/>
  <c r="U171" i="3"/>
  <c r="U164" i="3"/>
  <c r="U150" i="3"/>
  <c r="U147" i="3"/>
  <c r="U117" i="3"/>
  <c r="U112" i="3"/>
  <c r="U99" i="3"/>
  <c r="U86" i="3"/>
  <c r="U65" i="3"/>
  <c r="U57" i="3"/>
  <c r="U49" i="3"/>
  <c r="U41" i="3"/>
  <c r="U33" i="3"/>
  <c r="U25" i="3"/>
  <c r="U17" i="3"/>
  <c r="U9" i="3"/>
  <c r="U195" i="3"/>
  <c r="U190" i="3"/>
  <c r="U184" i="3"/>
  <c r="U180" i="3"/>
  <c r="U157" i="3"/>
  <c r="U152" i="3"/>
  <c r="U140" i="3"/>
  <c r="U126" i="3"/>
  <c r="U123" i="3"/>
  <c r="U101" i="3"/>
  <c r="U88" i="3"/>
  <c r="U84" i="3"/>
  <c r="U74" i="3"/>
  <c r="U68" i="3"/>
  <c r="U60" i="3"/>
  <c r="U52" i="3"/>
  <c r="U44" i="3"/>
  <c r="U36" i="3"/>
  <c r="U28" i="3"/>
  <c r="U20" i="3"/>
  <c r="U12" i="3"/>
  <c r="U166" i="3"/>
  <c r="U163" i="3"/>
  <c r="U133" i="3"/>
  <c r="U128" i="3"/>
  <c r="U116" i="3"/>
  <c r="U91" i="3"/>
  <c r="U78" i="3"/>
  <c r="U71" i="3"/>
  <c r="U63" i="3"/>
  <c r="U55" i="3"/>
  <c r="U47" i="3"/>
  <c r="U39" i="3"/>
  <c r="U31" i="3"/>
  <c r="U23" i="3"/>
  <c r="U15" i="3"/>
  <c r="U7" i="3"/>
  <c r="U179" i="3"/>
  <c r="U174" i="3"/>
  <c r="U168" i="3"/>
  <c r="U156" i="3"/>
  <c r="U142" i="3"/>
  <c r="U139" i="3"/>
  <c r="U109" i="3"/>
  <c r="U98" i="3"/>
  <c r="U93" i="3"/>
  <c r="U80" i="3"/>
  <c r="U76" i="3"/>
  <c r="U66" i="3"/>
  <c r="U58" i="3"/>
  <c r="U50" i="3"/>
  <c r="U42" i="3"/>
  <c r="U34" i="3"/>
  <c r="U26" i="3"/>
  <c r="U18" i="3"/>
  <c r="U10" i="3"/>
  <c r="AA47" i="3" l="1"/>
  <c r="Z47" i="3"/>
  <c r="V47" i="3"/>
  <c r="Z126" i="3"/>
  <c r="AA126" i="3"/>
  <c r="V126" i="3"/>
  <c r="V77" i="3"/>
  <c r="AA77" i="3"/>
  <c r="Z77" i="3"/>
  <c r="V16" i="3"/>
  <c r="AA16" i="3"/>
  <c r="AB16" i="3" s="1"/>
  <c r="Z16" i="3"/>
  <c r="AA53" i="3"/>
  <c r="Z53" i="3"/>
  <c r="V53" i="3"/>
  <c r="V154" i="3"/>
  <c r="Z154" i="3"/>
  <c r="AA154" i="3"/>
  <c r="V151" i="3"/>
  <c r="AA151" i="3"/>
  <c r="Z151" i="3"/>
  <c r="AA145" i="3"/>
  <c r="Z145" i="3"/>
  <c r="V145" i="3"/>
  <c r="Z80" i="3"/>
  <c r="AA80" i="3"/>
  <c r="V80" i="3"/>
  <c r="AA163" i="3"/>
  <c r="Z163" i="3"/>
  <c r="V163" i="3"/>
  <c r="V140" i="3"/>
  <c r="AA140" i="3"/>
  <c r="Z140" i="3"/>
  <c r="AA99" i="3"/>
  <c r="V99" i="3"/>
  <c r="Z99" i="3"/>
  <c r="V196" i="3"/>
  <c r="AA196" i="3"/>
  <c r="Z196" i="3"/>
  <c r="V24" i="3"/>
  <c r="AA24" i="3"/>
  <c r="AB24" i="3" s="1"/>
  <c r="Z24" i="3"/>
  <c r="AA61" i="3"/>
  <c r="Z61" i="3"/>
  <c r="V61" i="3"/>
  <c r="AA205" i="3"/>
  <c r="Z205" i="3"/>
  <c r="V205" i="3"/>
  <c r="V162" i="3"/>
  <c r="AA162" i="3"/>
  <c r="Z162" i="3"/>
  <c r="AA95" i="3"/>
  <c r="Z95" i="3"/>
  <c r="V95" i="3"/>
  <c r="AA159" i="3"/>
  <c r="Z159" i="3"/>
  <c r="V159" i="3"/>
  <c r="AA153" i="3"/>
  <c r="Z153" i="3"/>
  <c r="V153" i="3"/>
  <c r="AA26" i="3"/>
  <c r="AB26" i="3" s="1"/>
  <c r="Z26" i="3"/>
  <c r="V26" i="3"/>
  <c r="AA93" i="3"/>
  <c r="Z93" i="3"/>
  <c r="V93" i="3"/>
  <c r="AA179" i="3"/>
  <c r="Z179" i="3"/>
  <c r="V179" i="3"/>
  <c r="AA63" i="3"/>
  <c r="Z63" i="3"/>
  <c r="V63" i="3"/>
  <c r="Z166" i="3"/>
  <c r="AA166" i="3"/>
  <c r="V166" i="3"/>
  <c r="Z68" i="3"/>
  <c r="V68" i="3"/>
  <c r="AA68" i="3"/>
  <c r="Z152" i="3"/>
  <c r="AA152" i="3"/>
  <c r="V152" i="3"/>
  <c r="V25" i="3"/>
  <c r="AA25" i="3"/>
  <c r="AB25" i="3" s="1"/>
  <c r="Z25" i="3"/>
  <c r="Z112" i="3"/>
  <c r="V112" i="3"/>
  <c r="AA112" i="3"/>
  <c r="V30" i="3"/>
  <c r="AA30" i="3"/>
  <c r="AB30" i="3" s="1"/>
  <c r="Z30" i="3"/>
  <c r="V92" i="3"/>
  <c r="AA92" i="3"/>
  <c r="Z92" i="3"/>
  <c r="AA200" i="3"/>
  <c r="Z200" i="3"/>
  <c r="V200" i="3"/>
  <c r="V59" i="3"/>
  <c r="AA59" i="3"/>
  <c r="Z59" i="3"/>
  <c r="V165" i="3"/>
  <c r="AA165" i="3"/>
  <c r="Z165" i="3"/>
  <c r="V32" i="3"/>
  <c r="AA32" i="3"/>
  <c r="AB32" i="3" s="1"/>
  <c r="Z32" i="3"/>
  <c r="V100" i="3"/>
  <c r="AA100" i="3"/>
  <c r="Z100" i="3"/>
  <c r="V8" i="3"/>
  <c r="AA8" i="3"/>
  <c r="AB8" i="3" s="1"/>
  <c r="Z8" i="3"/>
  <c r="AA69" i="3"/>
  <c r="Z69" i="3"/>
  <c r="V69" i="3"/>
  <c r="V188" i="3"/>
  <c r="AA188" i="3"/>
  <c r="Z188" i="3"/>
  <c r="V106" i="3"/>
  <c r="AA106" i="3"/>
  <c r="Z106" i="3"/>
  <c r="V170" i="3"/>
  <c r="AA170" i="3"/>
  <c r="Z170" i="3"/>
  <c r="AA103" i="3"/>
  <c r="Z103" i="3"/>
  <c r="V103" i="3"/>
  <c r="V167" i="3"/>
  <c r="AA167" i="3"/>
  <c r="Z167" i="3"/>
  <c r="AA97" i="3"/>
  <c r="V97" i="3"/>
  <c r="Z97" i="3"/>
  <c r="AA161" i="3"/>
  <c r="Z161" i="3"/>
  <c r="V161" i="3"/>
  <c r="Z168" i="3"/>
  <c r="V168" i="3"/>
  <c r="AA168" i="3"/>
  <c r="Z52" i="3"/>
  <c r="V52" i="3"/>
  <c r="AA52" i="3"/>
  <c r="Z86" i="3"/>
  <c r="V86" i="3"/>
  <c r="AA86" i="3"/>
  <c r="V141" i="3"/>
  <c r="AA141" i="3"/>
  <c r="Z141" i="3"/>
  <c r="V148" i="3"/>
  <c r="AA148" i="3"/>
  <c r="Z148" i="3"/>
  <c r="Z158" i="3"/>
  <c r="V158" i="3"/>
  <c r="AA158" i="3"/>
  <c r="V197" i="3"/>
  <c r="Z197" i="3"/>
  <c r="AA197" i="3"/>
  <c r="V87" i="3"/>
  <c r="AA87" i="3"/>
  <c r="Z87" i="3"/>
  <c r="V206" i="3"/>
  <c r="AA206" i="3"/>
  <c r="Z206" i="3"/>
  <c r="AA55" i="3"/>
  <c r="Z55" i="3"/>
  <c r="V55" i="3"/>
  <c r="V17" i="3"/>
  <c r="Z17" i="3"/>
  <c r="AA17" i="3" s="1"/>
  <c r="AB17" i="3" s="1"/>
  <c r="V22" i="3"/>
  <c r="AA22" i="3"/>
  <c r="AB22" i="3" s="1"/>
  <c r="Z22" i="3"/>
  <c r="V51" i="3"/>
  <c r="AA51" i="3"/>
  <c r="Z51" i="3"/>
  <c r="V204" i="3"/>
  <c r="AA204" i="3"/>
  <c r="Z204" i="3"/>
  <c r="AA34" i="3"/>
  <c r="AB34" i="3" s="1"/>
  <c r="Z34" i="3"/>
  <c r="V34" i="3"/>
  <c r="V98" i="3"/>
  <c r="AA98" i="3"/>
  <c r="Z98" i="3"/>
  <c r="Z7" i="3"/>
  <c r="AA7" i="3" s="1"/>
  <c r="AB7" i="3" s="1"/>
  <c r="V7" i="3"/>
  <c r="AA71" i="3"/>
  <c r="Z71" i="3"/>
  <c r="V71" i="3"/>
  <c r="Z12" i="3"/>
  <c r="V12" i="3"/>
  <c r="AA12" i="3"/>
  <c r="AB12" i="3" s="1"/>
  <c r="V74" i="3"/>
  <c r="AA74" i="3"/>
  <c r="Z74" i="3"/>
  <c r="V157" i="3"/>
  <c r="AA157" i="3"/>
  <c r="Z157" i="3"/>
  <c r="V33" i="3"/>
  <c r="Z33" i="3"/>
  <c r="AA33" i="3" s="1"/>
  <c r="AB33" i="3" s="1"/>
  <c r="V117" i="3"/>
  <c r="Z117" i="3"/>
  <c r="AA117" i="3"/>
  <c r="V38" i="3"/>
  <c r="AA38" i="3"/>
  <c r="AB38" i="3" s="1"/>
  <c r="Z38" i="3"/>
  <c r="Z96" i="3"/>
  <c r="V96" i="3"/>
  <c r="AA96" i="3"/>
  <c r="AA203" i="3"/>
  <c r="V203" i="3"/>
  <c r="Z203" i="3"/>
  <c r="V67" i="3"/>
  <c r="AA67" i="3"/>
  <c r="Z67" i="3"/>
  <c r="V172" i="3"/>
  <c r="AA172" i="3"/>
  <c r="Z172" i="3"/>
  <c r="V40" i="3"/>
  <c r="AA40" i="3"/>
  <c r="Z40" i="3"/>
  <c r="Z104" i="3"/>
  <c r="V104" i="3"/>
  <c r="AA104" i="3"/>
  <c r="AA13" i="3"/>
  <c r="AB13" i="3" s="1"/>
  <c r="Z13" i="3"/>
  <c r="V13" i="3"/>
  <c r="AA83" i="3"/>
  <c r="Z83" i="3"/>
  <c r="V83" i="3"/>
  <c r="Z192" i="3"/>
  <c r="V192" i="3"/>
  <c r="AA192" i="3"/>
  <c r="V114" i="3"/>
  <c r="AA114" i="3"/>
  <c r="Z114" i="3"/>
  <c r="V178" i="3"/>
  <c r="AA178" i="3"/>
  <c r="Z178" i="3"/>
  <c r="V111" i="3"/>
  <c r="AA111" i="3"/>
  <c r="Z111" i="3"/>
  <c r="AA175" i="3"/>
  <c r="Z175" i="3"/>
  <c r="V175" i="3"/>
  <c r="AA105" i="3"/>
  <c r="Z105" i="3"/>
  <c r="V105" i="3"/>
  <c r="AA169" i="3"/>
  <c r="Z169" i="3"/>
  <c r="V169" i="3"/>
  <c r="AA15" i="3"/>
  <c r="AB15" i="3" s="1"/>
  <c r="Z15" i="3"/>
  <c r="V15" i="3"/>
  <c r="Z20" i="3"/>
  <c r="AA20" i="3" s="1"/>
  <c r="AB20" i="3" s="1"/>
  <c r="V20" i="3"/>
  <c r="V41" i="3"/>
  <c r="AA41" i="3"/>
  <c r="Z41" i="3"/>
  <c r="V11" i="3"/>
  <c r="AA11" i="3"/>
  <c r="AB11" i="3" s="1"/>
  <c r="Z11" i="3"/>
  <c r="V48" i="3"/>
  <c r="AA48" i="3"/>
  <c r="Z48" i="3"/>
  <c r="Z102" i="3"/>
  <c r="AA102" i="3"/>
  <c r="V102" i="3"/>
  <c r="AA183" i="3"/>
  <c r="V183" i="3"/>
  <c r="Z183" i="3"/>
  <c r="AA50" i="3"/>
  <c r="Z50" i="3"/>
  <c r="V50" i="3"/>
  <c r="Z184" i="3"/>
  <c r="V184" i="3"/>
  <c r="AA184" i="3"/>
  <c r="Z110" i="3"/>
  <c r="V110" i="3"/>
  <c r="AA110" i="3"/>
  <c r="V56" i="3"/>
  <c r="AA56" i="3"/>
  <c r="Z56" i="3"/>
  <c r="AA115" i="3"/>
  <c r="Z115" i="3"/>
  <c r="V115" i="3"/>
  <c r="V194" i="3"/>
  <c r="AA194" i="3"/>
  <c r="Z194" i="3"/>
  <c r="AA185" i="3"/>
  <c r="Z185" i="3"/>
  <c r="V185" i="3"/>
  <c r="AA10" i="3"/>
  <c r="AB10" i="3" s="1"/>
  <c r="Z10" i="3"/>
  <c r="V10" i="3"/>
  <c r="V133" i="3"/>
  <c r="AA133" i="3"/>
  <c r="Z133" i="3"/>
  <c r="V109" i="3"/>
  <c r="AA109" i="3"/>
  <c r="Z109" i="3"/>
  <c r="V84" i="3"/>
  <c r="AA84" i="3"/>
  <c r="Z84" i="3"/>
  <c r="AA147" i="3"/>
  <c r="V147" i="3"/>
  <c r="Z147" i="3"/>
  <c r="AA107" i="3"/>
  <c r="V107" i="3"/>
  <c r="Z107" i="3"/>
  <c r="Z176" i="3"/>
  <c r="V176" i="3"/>
  <c r="AA176" i="3"/>
  <c r="AA21" i="3"/>
  <c r="AB21" i="3" s="1"/>
  <c r="Z21" i="3"/>
  <c r="V21" i="3"/>
  <c r="V122" i="3"/>
  <c r="AA122" i="3"/>
  <c r="Z122" i="3"/>
  <c r="AA119" i="3"/>
  <c r="Z119" i="3"/>
  <c r="V119" i="3"/>
  <c r="AA113" i="3"/>
  <c r="Z113" i="3"/>
  <c r="V113" i="3"/>
  <c r="AA139" i="3"/>
  <c r="Z139" i="3"/>
  <c r="V139" i="3"/>
  <c r="AA91" i="3"/>
  <c r="Z91" i="3"/>
  <c r="V91" i="3"/>
  <c r="Z88" i="3"/>
  <c r="AA88" i="3"/>
  <c r="V88" i="3"/>
  <c r="Z150" i="3"/>
  <c r="V150" i="3"/>
  <c r="AA150" i="3"/>
  <c r="V19" i="3"/>
  <c r="AA19" i="3"/>
  <c r="AB19" i="3" s="1"/>
  <c r="Z19" i="3"/>
  <c r="Z182" i="3"/>
  <c r="V182" i="3"/>
  <c r="AA182" i="3"/>
  <c r="Z120" i="3"/>
  <c r="V120" i="3"/>
  <c r="AA120" i="3"/>
  <c r="V173" i="3"/>
  <c r="AA173" i="3"/>
  <c r="Z173" i="3"/>
  <c r="V130" i="3"/>
  <c r="AA130" i="3"/>
  <c r="Z130" i="3"/>
  <c r="AA191" i="3"/>
  <c r="V191" i="3"/>
  <c r="Z191" i="3"/>
  <c r="AA121" i="3"/>
  <c r="Z121" i="3"/>
  <c r="V121" i="3"/>
  <c r="AA58" i="3"/>
  <c r="Z58" i="3"/>
  <c r="V58" i="3"/>
  <c r="Z142" i="3"/>
  <c r="AA142" i="3"/>
  <c r="V142" i="3"/>
  <c r="AA31" i="3"/>
  <c r="AB31" i="3" s="1"/>
  <c r="Z31" i="3"/>
  <c r="V31" i="3"/>
  <c r="V116" i="3"/>
  <c r="AA116" i="3"/>
  <c r="Z116" i="3"/>
  <c r="Z36" i="3"/>
  <c r="V36" i="3"/>
  <c r="AA36" i="3"/>
  <c r="AB36" i="3" s="1"/>
  <c r="Z101" i="3"/>
  <c r="V101" i="3"/>
  <c r="AA101" i="3"/>
  <c r="Z190" i="3"/>
  <c r="AA190" i="3"/>
  <c r="V190" i="3"/>
  <c r="V57" i="3"/>
  <c r="AA57" i="3"/>
  <c r="Z57" i="3"/>
  <c r="V164" i="3"/>
  <c r="AA164" i="3"/>
  <c r="Z164" i="3"/>
  <c r="V62" i="3"/>
  <c r="AA62" i="3"/>
  <c r="Z62" i="3"/>
  <c r="V124" i="3"/>
  <c r="AA124" i="3"/>
  <c r="Z124" i="3"/>
  <c r="V27" i="3"/>
  <c r="AA27" i="3"/>
  <c r="AB27" i="3" s="1"/>
  <c r="Z27" i="3"/>
  <c r="AA131" i="3"/>
  <c r="V131" i="3"/>
  <c r="Z131" i="3"/>
  <c r="AA187" i="3"/>
  <c r="V187" i="3"/>
  <c r="Z187" i="3"/>
  <c r="V64" i="3"/>
  <c r="AA64" i="3"/>
  <c r="Z64" i="3"/>
  <c r="V125" i="3"/>
  <c r="AA125" i="3"/>
  <c r="Z125" i="3"/>
  <c r="AA37" i="3"/>
  <c r="AB37" i="3" s="1"/>
  <c r="Z37" i="3"/>
  <c r="V37" i="3"/>
  <c r="Z118" i="3"/>
  <c r="AA118" i="3"/>
  <c r="V118" i="3"/>
  <c r="V181" i="3"/>
  <c r="AA181" i="3"/>
  <c r="Z181" i="3"/>
  <c r="V138" i="3"/>
  <c r="AA138" i="3"/>
  <c r="Z138" i="3"/>
  <c r="V202" i="3"/>
  <c r="AA202" i="3"/>
  <c r="Z202" i="3"/>
  <c r="AA135" i="3"/>
  <c r="Z135" i="3"/>
  <c r="V135" i="3"/>
  <c r="AA199" i="3"/>
  <c r="Z199" i="3"/>
  <c r="V199" i="3"/>
  <c r="AA129" i="3"/>
  <c r="Z129" i="3"/>
  <c r="V129" i="3"/>
  <c r="AA193" i="3"/>
  <c r="Z193" i="3"/>
  <c r="V193" i="3"/>
  <c r="V76" i="3"/>
  <c r="AA76" i="3"/>
  <c r="Z76" i="3"/>
  <c r="AA42" i="3"/>
  <c r="Z42" i="3"/>
  <c r="V42" i="3"/>
  <c r="Z78" i="3"/>
  <c r="AA78" i="3"/>
  <c r="V78" i="3"/>
  <c r="V180" i="3"/>
  <c r="AA180" i="3"/>
  <c r="Z180" i="3"/>
  <c r="V46" i="3"/>
  <c r="AA46" i="3"/>
  <c r="Z46" i="3"/>
  <c r="AA75" i="3"/>
  <c r="V75" i="3"/>
  <c r="Z75" i="3"/>
  <c r="V108" i="3"/>
  <c r="AA108" i="3"/>
  <c r="Z108" i="3"/>
  <c r="Z198" i="3"/>
  <c r="AA198" i="3"/>
  <c r="V198" i="3"/>
  <c r="V186" i="3"/>
  <c r="AA186" i="3"/>
  <c r="Z186" i="3"/>
  <c r="AA177" i="3"/>
  <c r="Z177" i="3"/>
  <c r="V177" i="3"/>
  <c r="AA23" i="3"/>
  <c r="AB23" i="3" s="1"/>
  <c r="Z23" i="3"/>
  <c r="V23" i="3"/>
  <c r="Z28" i="3"/>
  <c r="V28" i="3"/>
  <c r="AA28" i="3"/>
  <c r="AB28" i="3" s="1"/>
  <c r="V49" i="3"/>
  <c r="AA49" i="3"/>
  <c r="Z49" i="3"/>
  <c r="V54" i="3"/>
  <c r="AA54" i="3"/>
  <c r="Z54" i="3"/>
  <c r="Z94" i="3"/>
  <c r="V94" i="3"/>
  <c r="AA94" i="3"/>
  <c r="AA29" i="3"/>
  <c r="AB29" i="3" s="1"/>
  <c r="Z29" i="3"/>
  <c r="V29" i="3"/>
  <c r="V127" i="3"/>
  <c r="AA127" i="3"/>
  <c r="Z127" i="3"/>
  <c r="AA66" i="3"/>
  <c r="Z66" i="3"/>
  <c r="V66" i="3"/>
  <c r="V156" i="3"/>
  <c r="AA156" i="3"/>
  <c r="Z156" i="3"/>
  <c r="AA39" i="3"/>
  <c r="Z39" i="3"/>
  <c r="V39" i="3"/>
  <c r="Z128" i="3"/>
  <c r="AA128" i="3"/>
  <c r="V128" i="3"/>
  <c r="Z44" i="3"/>
  <c r="V44" i="3"/>
  <c r="AA44" i="3"/>
  <c r="AA123" i="3"/>
  <c r="Z123" i="3"/>
  <c r="V123" i="3"/>
  <c r="AA195" i="3"/>
  <c r="Z195" i="3"/>
  <c r="V195" i="3"/>
  <c r="V65" i="3"/>
  <c r="AA65" i="3"/>
  <c r="Z65" i="3"/>
  <c r="AA171" i="3"/>
  <c r="V171" i="3"/>
  <c r="Z171" i="3"/>
  <c r="V70" i="3"/>
  <c r="AA70" i="3"/>
  <c r="Z70" i="3"/>
  <c r="Z136" i="3"/>
  <c r="V136" i="3"/>
  <c r="AA136" i="3"/>
  <c r="V35" i="3"/>
  <c r="AA35" i="3"/>
  <c r="AB35" i="3" s="1"/>
  <c r="Z35" i="3"/>
  <c r="Z134" i="3"/>
  <c r="V134" i="3"/>
  <c r="AA134" i="3"/>
  <c r="A3" i="4"/>
  <c r="A5" i="4"/>
  <c r="Z72" i="3"/>
  <c r="V72" i="3"/>
  <c r="AA72" i="3"/>
  <c r="AA155" i="3"/>
  <c r="V155" i="3"/>
  <c r="Z155" i="3"/>
  <c r="AA45" i="3"/>
  <c r="Z45" i="3"/>
  <c r="V45" i="3"/>
  <c r="V132" i="3"/>
  <c r="AA132" i="3"/>
  <c r="Z132" i="3"/>
  <c r="V189" i="3"/>
  <c r="AA189" i="3"/>
  <c r="Z189" i="3"/>
  <c r="V146" i="3"/>
  <c r="AA146" i="3"/>
  <c r="Z146" i="3"/>
  <c r="V79" i="3"/>
  <c r="AA79" i="3"/>
  <c r="Z79" i="3"/>
  <c r="Z143" i="3"/>
  <c r="V143" i="3"/>
  <c r="AA143" i="3"/>
  <c r="AA73" i="3"/>
  <c r="Z73" i="3"/>
  <c r="V73" i="3"/>
  <c r="AA137" i="3"/>
  <c r="Z137" i="3"/>
  <c r="V137" i="3"/>
  <c r="V201" i="3"/>
  <c r="AA201" i="3"/>
  <c r="Z201" i="3"/>
  <c r="V9" i="3"/>
  <c r="AA9" i="3"/>
  <c r="AB9" i="3" s="1"/>
  <c r="Z9" i="3"/>
  <c r="V14" i="3"/>
  <c r="Z14" i="3"/>
  <c r="AA14" i="3" s="1"/>
  <c r="AB14" i="3" s="1"/>
  <c r="V43" i="3"/>
  <c r="AA43" i="3"/>
  <c r="Z43" i="3"/>
  <c r="V85" i="3"/>
  <c r="AA85" i="3"/>
  <c r="Z85" i="3"/>
  <c r="Z144" i="3"/>
  <c r="AA144" i="3"/>
  <c r="V144" i="3"/>
  <c r="AA81" i="3"/>
  <c r="Z81" i="3"/>
  <c r="V81" i="3"/>
  <c r="AA18" i="3"/>
  <c r="AB18" i="3" s="1"/>
  <c r="Z18" i="3"/>
  <c r="V18" i="3"/>
  <c r="Z174" i="3"/>
  <c r="AA174" i="3"/>
  <c r="V174" i="3"/>
  <c r="Z60" i="3"/>
  <c r="V60" i="3"/>
  <c r="AA60" i="3"/>
  <c r="V82" i="3"/>
  <c r="AA82" i="3"/>
  <c r="Z82" i="3"/>
  <c r="Z160" i="3"/>
  <c r="V160" i="3"/>
  <c r="AA160" i="3"/>
  <c r="V90" i="3"/>
  <c r="AA90" i="3"/>
  <c r="Z90" i="3"/>
  <c r="V149" i="3"/>
  <c r="AA149" i="3"/>
  <c r="Z149" i="3"/>
  <c r="AA89" i="3"/>
  <c r="V89" i="3"/>
  <c r="Z89" i="3"/>
  <c r="V6" i="3" l="1"/>
  <c r="W35" i="3" l="1"/>
  <c r="W27" i="3"/>
  <c r="W19" i="3"/>
  <c r="W11" i="3"/>
  <c r="W38" i="3"/>
  <c r="W30" i="3"/>
  <c r="W22" i="3"/>
  <c r="W33" i="3"/>
  <c r="W25" i="3"/>
  <c r="W17" i="3"/>
  <c r="W9" i="3"/>
  <c r="W36" i="3"/>
  <c r="W28" i="3"/>
  <c r="W20" i="3"/>
  <c r="W12" i="3"/>
  <c r="W31" i="3"/>
  <c r="W23" i="3"/>
  <c r="W15" i="3"/>
  <c r="W7" i="3"/>
  <c r="W34" i="3"/>
  <c r="W26" i="3"/>
  <c r="W18" i="3"/>
  <c r="W10" i="3"/>
  <c r="W37" i="3"/>
  <c r="W29" i="3"/>
  <c r="W21" i="3"/>
  <c r="W13" i="3"/>
  <c r="W32" i="3"/>
  <c r="W24" i="3"/>
  <c r="W16" i="3"/>
  <c r="W8" i="3"/>
  <c r="W14" i="3"/>
  <c r="X21" i="3" l="1"/>
  <c r="X8" i="3"/>
  <c r="X10" i="3"/>
  <c r="X14" i="3"/>
  <c r="X37" i="3"/>
  <c r="X31" i="3"/>
  <c r="X33" i="3"/>
  <c r="X12" i="3"/>
  <c r="X22" i="3"/>
  <c r="X18" i="3"/>
  <c r="X30" i="3"/>
  <c r="X24" i="3"/>
  <c r="X26" i="3"/>
  <c r="X28" i="3"/>
  <c r="X38" i="3"/>
  <c r="X16" i="3"/>
  <c r="X32" i="3"/>
  <c r="X34" i="3"/>
  <c r="X36" i="3"/>
  <c r="X11" i="3"/>
  <c r="X20" i="3"/>
  <c r="X13" i="3"/>
  <c r="X7" i="3"/>
  <c r="X9" i="3"/>
  <c r="X19" i="3"/>
  <c r="X15" i="3"/>
  <c r="X17" i="3"/>
  <c r="X27" i="3"/>
  <c r="X29" i="3"/>
  <c r="X23" i="3"/>
  <c r="X25" i="3"/>
  <c r="X35" i="3"/>
  <c r="C14" i="4" l="1"/>
  <c r="C37" i="4"/>
  <c r="C9" i="4"/>
  <c r="C32" i="4"/>
  <c r="C6" i="4"/>
  <c r="C34" i="4"/>
  <c r="C23" i="4"/>
  <c r="C11" i="4"/>
  <c r="C35" i="4"/>
  <c r="C16" i="4"/>
  <c r="C29" i="4"/>
  <c r="C24" i="4"/>
  <c r="C33" i="4"/>
  <c r="C10" i="4"/>
  <c r="C28" i="4"/>
  <c r="C19" i="4"/>
  <c r="C7" i="4"/>
  <c r="C18" i="4"/>
  <c r="C12" i="4"/>
  <c r="C17" i="4"/>
  <c r="C20" i="4"/>
  <c r="C36" i="4"/>
  <c r="C21" i="4"/>
  <c r="C22" i="4"/>
  <c r="C26" i="4"/>
  <c r="C15" i="4"/>
  <c r="C8" i="4"/>
  <c r="C25" i="4"/>
  <c r="C30" i="4"/>
  <c r="C31" i="4"/>
  <c r="C13" i="4"/>
  <c r="C27" i="4"/>
  <c r="F27" i="4" l="1"/>
  <c r="E27" i="4"/>
  <c r="D27" i="4"/>
  <c r="C28" i="9" s="1"/>
  <c r="A27" i="4"/>
  <c r="H27" i="4"/>
  <c r="F19" i="4"/>
  <c r="E19" i="4"/>
  <c r="D19" i="4"/>
  <c r="C20" i="9" s="1"/>
  <c r="A19" i="4"/>
  <c r="H19" i="4"/>
  <c r="F11" i="4"/>
  <c r="E11" i="4"/>
  <c r="D11" i="4"/>
  <c r="C12" i="9" s="1"/>
  <c r="A11" i="4"/>
  <c r="H11" i="4"/>
  <c r="A23" i="4"/>
  <c r="H23" i="4"/>
  <c r="F23" i="4"/>
  <c r="E23" i="4"/>
  <c r="D23" i="4"/>
  <c r="C24" i="9" s="1"/>
  <c r="H28" i="4"/>
  <c r="F28" i="4"/>
  <c r="E28" i="4"/>
  <c r="D28" i="4"/>
  <c r="C29" i="9" s="1"/>
  <c r="A28" i="4"/>
  <c r="H36" i="4"/>
  <c r="F36" i="4"/>
  <c r="E36" i="4"/>
  <c r="D36" i="4"/>
  <c r="C37" i="9" s="1"/>
  <c r="A36" i="4"/>
  <c r="F10" i="4"/>
  <c r="E10" i="4"/>
  <c r="D10" i="4"/>
  <c r="C11" i="9" s="1"/>
  <c r="A10" i="4"/>
  <c r="H10" i="4"/>
  <c r="G10" i="4"/>
  <c r="E34" i="4"/>
  <c r="D34" i="4"/>
  <c r="C35" i="9" s="1"/>
  <c r="A34" i="4"/>
  <c r="H34" i="4"/>
  <c r="F34" i="4"/>
  <c r="H13" i="4"/>
  <c r="F13" i="4"/>
  <c r="E13" i="4"/>
  <c r="D13" i="4"/>
  <c r="C14" i="9" s="1"/>
  <c r="A13" i="4"/>
  <c r="A31" i="4"/>
  <c r="H31" i="4"/>
  <c r="F31" i="4"/>
  <c r="E31" i="4"/>
  <c r="D31" i="4"/>
  <c r="C32" i="9" s="1"/>
  <c r="A30" i="4"/>
  <c r="H30" i="4"/>
  <c r="F30" i="4"/>
  <c r="E30" i="4"/>
  <c r="D30" i="4"/>
  <c r="C31" i="9" s="1"/>
  <c r="H20" i="4"/>
  <c r="F20" i="4"/>
  <c r="E20" i="4"/>
  <c r="D20" i="4"/>
  <c r="C21" i="9" s="1"/>
  <c r="A20" i="4"/>
  <c r="D33" i="4"/>
  <c r="C34" i="9" s="1"/>
  <c r="A33" i="4"/>
  <c r="H33" i="4"/>
  <c r="F33" i="4"/>
  <c r="E33" i="4"/>
  <c r="F6" i="4"/>
  <c r="E6" i="4"/>
  <c r="D6" i="4"/>
  <c r="C7" i="9" s="1"/>
  <c r="A6" i="4"/>
  <c r="H6" i="4"/>
  <c r="G6" i="4"/>
  <c r="A22" i="4"/>
  <c r="H22" i="4"/>
  <c r="F22" i="4"/>
  <c r="E22" i="4"/>
  <c r="D22" i="4"/>
  <c r="C23" i="9" s="1"/>
  <c r="A24" i="4"/>
  <c r="H24" i="4"/>
  <c r="F24" i="4"/>
  <c r="E24" i="4"/>
  <c r="D24" i="4"/>
  <c r="C25" i="9" s="1"/>
  <c r="A32" i="4"/>
  <c r="H32" i="4"/>
  <c r="F32" i="4"/>
  <c r="E32" i="4"/>
  <c r="D32" i="4"/>
  <c r="C33" i="9" s="1"/>
  <c r="D17" i="4"/>
  <c r="C18" i="9" s="1"/>
  <c r="A17" i="4"/>
  <c r="H17" i="4"/>
  <c r="F17" i="4"/>
  <c r="E17" i="4"/>
  <c r="H12" i="4"/>
  <c r="F12" i="4"/>
  <c r="E12" i="4"/>
  <c r="D12" i="4"/>
  <c r="C13" i="9" s="1"/>
  <c r="A12" i="4"/>
  <c r="H29" i="4"/>
  <c r="F29" i="4"/>
  <c r="E29" i="4"/>
  <c r="D29" i="4"/>
  <c r="C30" i="9" s="1"/>
  <c r="A29" i="4"/>
  <c r="F9" i="4"/>
  <c r="E9" i="4"/>
  <c r="D9" i="4"/>
  <c r="C10" i="9" s="1"/>
  <c r="A9" i="4"/>
  <c r="H9" i="4"/>
  <c r="G9" i="4"/>
  <c r="D25" i="4"/>
  <c r="C26" i="9" s="1"/>
  <c r="A25" i="4"/>
  <c r="H25" i="4"/>
  <c r="F25" i="4"/>
  <c r="E25" i="4"/>
  <c r="A15" i="4"/>
  <c r="H15" i="4"/>
  <c r="F15" i="4"/>
  <c r="E15" i="4"/>
  <c r="D15" i="4"/>
  <c r="C16" i="9" s="1"/>
  <c r="E18" i="4"/>
  <c r="D18" i="4"/>
  <c r="C19" i="9" s="1"/>
  <c r="A18" i="4"/>
  <c r="H18" i="4"/>
  <c r="F18" i="4"/>
  <c r="A16" i="4"/>
  <c r="H16" i="4"/>
  <c r="F16" i="4"/>
  <c r="E16" i="4"/>
  <c r="D16" i="4"/>
  <c r="C17" i="9" s="1"/>
  <c r="H37" i="4"/>
  <c r="F37" i="4"/>
  <c r="E37" i="4"/>
  <c r="D37" i="4"/>
  <c r="C38" i="9" s="1"/>
  <c r="A37" i="4"/>
  <c r="H21" i="4"/>
  <c r="F21" i="4"/>
  <c r="E21" i="4"/>
  <c r="D21" i="4"/>
  <c r="C22" i="9" s="1"/>
  <c r="A21" i="4"/>
  <c r="F8" i="4"/>
  <c r="E8" i="4"/>
  <c r="D8" i="4"/>
  <c r="C9" i="9" s="1"/>
  <c r="A8" i="4"/>
  <c r="H8" i="4"/>
  <c r="G8" i="4"/>
  <c r="E26" i="4"/>
  <c r="D26" i="4"/>
  <c r="C27" i="9" s="1"/>
  <c r="A26" i="4"/>
  <c r="H26" i="4"/>
  <c r="F26" i="4"/>
  <c r="F7" i="4"/>
  <c r="E7" i="4"/>
  <c r="D7" i="4"/>
  <c r="C8" i="9" s="1"/>
  <c r="A7" i="4"/>
  <c r="H7" i="4"/>
  <c r="G7" i="4"/>
  <c r="F35" i="4"/>
  <c r="E35" i="4"/>
  <c r="D35" i="4"/>
  <c r="C36" i="9" s="1"/>
  <c r="A35" i="4"/>
  <c r="H35" i="4"/>
  <c r="A14" i="4"/>
  <c r="H14" i="4"/>
  <c r="F14" i="4"/>
  <c r="E14" i="4"/>
  <c r="D14" i="4"/>
  <c r="C15" i="9" s="1"/>
  <c r="G24" i="9" l="1"/>
  <c r="A24" i="9"/>
  <c r="G36" i="9"/>
  <c r="A36" i="9"/>
  <c r="A34" i="9"/>
  <c r="G34" i="9"/>
  <c r="A32" i="9"/>
  <c r="G32" i="9"/>
  <c r="G35" i="9"/>
  <c r="A35" i="9"/>
  <c r="A9" i="9"/>
  <c r="G9" i="9"/>
  <c r="G26" i="9"/>
  <c r="A26" i="9"/>
  <c r="G30" i="9"/>
  <c r="A30" i="9"/>
  <c r="A25" i="9"/>
  <c r="G25" i="9"/>
  <c r="A7" i="9"/>
  <c r="G7" i="9"/>
  <c r="A14" i="9"/>
  <c r="G14" i="9"/>
  <c r="A37" i="9"/>
  <c r="G37" i="9"/>
  <c r="A12" i="9"/>
  <c r="G12" i="9"/>
  <c r="G21" i="9"/>
  <c r="A21" i="9"/>
  <c r="A38" i="9"/>
  <c r="G38" i="9"/>
  <c r="A17" i="9"/>
  <c r="G17" i="9"/>
  <c r="A31" i="9"/>
  <c r="G31" i="9"/>
  <c r="A28" i="9"/>
  <c r="G28" i="9"/>
  <c r="G27" i="9"/>
  <c r="A27" i="9"/>
  <c r="A33" i="9"/>
  <c r="G33" i="9"/>
  <c r="G22" i="9"/>
  <c r="A22" i="9"/>
  <c r="A16" i="9"/>
  <c r="G16" i="9"/>
  <c r="G10" i="9"/>
  <c r="A10" i="9"/>
  <c r="G11" i="9"/>
  <c r="A11" i="9"/>
  <c r="A15" i="9"/>
  <c r="G15" i="9"/>
  <c r="A8" i="9"/>
  <c r="G8" i="9"/>
  <c r="G19" i="9"/>
  <c r="A19" i="9"/>
  <c r="G13" i="9"/>
  <c r="A13" i="9"/>
  <c r="A18" i="9"/>
  <c r="G18" i="9"/>
  <c r="A23" i="9"/>
  <c r="G23" i="9"/>
  <c r="A29" i="9"/>
  <c r="G29" i="9"/>
  <c r="A20" i="9"/>
  <c r="G20" i="9"/>
  <c r="E11" i="9" l="1"/>
  <c r="F11" i="9"/>
  <c r="D11" i="9"/>
  <c r="B11" i="9"/>
  <c r="B30" i="9"/>
  <c r="F30" i="9"/>
  <c r="E30" i="9"/>
  <c r="D30" i="9"/>
  <c r="D17" i="9"/>
  <c r="B17" i="9"/>
  <c r="F17" i="9"/>
  <c r="E17" i="9"/>
  <c r="F37" i="9"/>
  <c r="E37" i="9"/>
  <c r="D37" i="9"/>
  <c r="B37" i="9"/>
  <c r="D32" i="9"/>
  <c r="B32" i="9"/>
  <c r="F32" i="9"/>
  <c r="E32" i="9"/>
  <c r="D13" i="9"/>
  <c r="B13" i="9"/>
  <c r="F13" i="9"/>
  <c r="E13" i="9"/>
  <c r="D10" i="9"/>
  <c r="F10" i="9"/>
  <c r="E10" i="9"/>
  <c r="B10" i="9"/>
  <c r="F26" i="9"/>
  <c r="D26" i="9"/>
  <c r="B26" i="9"/>
  <c r="E26" i="9"/>
  <c r="E19" i="9"/>
  <c r="F19" i="9"/>
  <c r="D19" i="9"/>
  <c r="B19" i="9"/>
  <c r="E27" i="9"/>
  <c r="F27" i="9"/>
  <c r="D27" i="9"/>
  <c r="B27" i="9"/>
  <c r="F29" i="9"/>
  <c r="E29" i="9"/>
  <c r="D29" i="9"/>
  <c r="B29" i="9"/>
  <c r="B38" i="9"/>
  <c r="F38" i="9"/>
  <c r="E38" i="9"/>
  <c r="D38" i="9"/>
  <c r="F14" i="9"/>
  <c r="E14" i="9"/>
  <c r="D14" i="9"/>
  <c r="B14" i="9"/>
  <c r="F34" i="9"/>
  <c r="E34" i="9"/>
  <c r="D34" i="9"/>
  <c r="B34" i="9"/>
  <c r="F20" i="9"/>
  <c r="D20" i="9"/>
  <c r="B20" i="9"/>
  <c r="E20" i="9"/>
  <c r="E21" i="9"/>
  <c r="F21" i="9"/>
  <c r="D21" i="9"/>
  <c r="B21" i="9"/>
  <c r="F36" i="9"/>
  <c r="E36" i="9"/>
  <c r="D36" i="9"/>
  <c r="B36" i="9"/>
  <c r="E33" i="9"/>
  <c r="D33" i="9"/>
  <c r="B33" i="9"/>
  <c r="F33" i="9"/>
  <c r="B23" i="9"/>
  <c r="F23" i="9"/>
  <c r="E23" i="9"/>
  <c r="D23" i="9"/>
  <c r="B16" i="9"/>
  <c r="F16" i="9"/>
  <c r="E16" i="9"/>
  <c r="D16" i="9"/>
  <c r="F7" i="9"/>
  <c r="E7" i="9"/>
  <c r="D7" i="9"/>
  <c r="B7" i="9"/>
  <c r="E9" i="9"/>
  <c r="D9" i="9"/>
  <c r="B9" i="9"/>
  <c r="F9" i="9"/>
  <c r="F22" i="9"/>
  <c r="E22" i="9"/>
  <c r="D22" i="9"/>
  <c r="B22" i="9"/>
  <c r="F35" i="9"/>
  <c r="E35" i="9"/>
  <c r="D35" i="9"/>
  <c r="B35" i="9"/>
  <c r="D24" i="9"/>
  <c r="B24" i="9"/>
  <c r="F24" i="9"/>
  <c r="E24" i="9"/>
  <c r="B8" i="9"/>
  <c r="F8" i="9"/>
  <c r="E8" i="9"/>
  <c r="D8" i="9"/>
  <c r="F28" i="9"/>
  <c r="D28" i="9"/>
  <c r="E28" i="9"/>
  <c r="B28" i="9"/>
  <c r="D18" i="9"/>
  <c r="F18" i="9"/>
  <c r="E18" i="9"/>
  <c r="B18" i="9"/>
  <c r="F15" i="9"/>
  <c r="E15" i="9"/>
  <c r="D15" i="9"/>
  <c r="B15" i="9"/>
  <c r="B31" i="9"/>
  <c r="F31" i="9"/>
  <c r="D31" i="9"/>
  <c r="E31" i="9"/>
  <c r="F12" i="9"/>
  <c r="B12" i="9"/>
  <c r="E12" i="9"/>
  <c r="D12" i="9"/>
  <c r="E25" i="9"/>
  <c r="F25" i="9"/>
  <c r="D25" i="9"/>
  <c r="B2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8"/>
            <color rgb="FF000000"/>
            <rFont val="Times New Roman"/>
            <family val="1"/>
            <charset val="1"/>
          </rPr>
          <t xml:space="preserve">Enter the name of your tournament. </t>
        </r>
      </text>
    </comment>
    <comment ref="B4" authorId="0" shapeId="0" xr:uid="{00000000-0006-0000-0100-000002000000}">
      <text>
        <r>
          <rPr>
            <sz val="8"/>
            <color rgb="FF000000"/>
            <rFont val="Times New Roman"/>
            <family val="1"/>
            <charset val="1"/>
          </rPr>
          <t xml:space="preserve">Enter the date of the tournament. </t>
        </r>
      </text>
    </comment>
    <comment ref="B5" authorId="0" shapeId="0" xr:uid="{00000000-0006-0000-0100-000003000000}">
      <text>
        <r>
          <rPr>
            <b/>
            <sz val="8"/>
            <color rgb="FF000000"/>
            <rFont val="Times New Roman"/>
            <family val="1"/>
            <charset val="1"/>
          </rPr>
          <t xml:space="preserve">Tournament Reports are due back by this date,
</t>
        </r>
        <r>
          <rPr>
            <sz val="8"/>
            <color rgb="FF000000"/>
            <rFont val="Times New Roman"/>
            <family val="1"/>
            <charset val="1"/>
          </rPr>
          <t xml:space="preserve">which is 8 days after the completion of the event.
</t>
        </r>
        <r>
          <rPr>
            <b/>
            <sz val="8"/>
            <color rgb="FF000000"/>
            <rFont val="Times New Roman"/>
            <family val="1"/>
            <charset val="1"/>
          </rPr>
          <t xml:space="preserve">The Coordinator must submit the Archon file of the tournament (this spreadsheet) to the V:EKN by this date.
</t>
        </r>
      </text>
    </comment>
    <comment ref="B6" authorId="0" shapeId="0" xr:uid="{00000000-0006-0000-0100-000004000000}">
      <text>
        <r>
          <rPr>
            <sz val="8"/>
            <color rgb="FF000000"/>
            <rFont val="Times New Roman"/>
            <family val="1"/>
            <charset val="1"/>
          </rPr>
          <t xml:space="preserve">Enter the organizer's Name, the person who is registered as such with the V:EKN. </t>
        </r>
      </text>
    </comment>
    <comment ref="B7" authorId="0" shapeId="0" xr:uid="{00000000-0006-0000-0100-000005000000}">
      <text>
        <r>
          <rPr>
            <sz val="8"/>
            <color rgb="FF000000"/>
            <rFont val="Times New Roman"/>
            <family val="1"/>
            <charset val="1"/>
          </rPr>
          <t xml:space="preserve">Enter the city in which the tournament is taking place. </t>
        </r>
      </text>
    </comment>
    <comment ref="B10" authorId="0" shapeId="0" xr:uid="{00000000-0006-0000-0100-000006000000}">
      <text>
        <r>
          <rPr>
            <sz val="8"/>
            <color rgb="FF000000"/>
            <rFont val="Times New Roman"/>
            <family val="1"/>
            <charset val="1"/>
          </rPr>
          <t>The number of players will be calculated automatically from the "Methuselahs" sheet.</t>
        </r>
      </text>
    </comment>
    <comment ref="B11" authorId="0" shapeId="0" xr:uid="{00000000-0006-0000-0100-000007000000}">
      <text>
        <r>
          <rPr>
            <sz val="8"/>
            <color rgb="FF000000"/>
            <rFont val="Times New Roman"/>
            <family val="1"/>
            <charset val="1"/>
          </rPr>
          <t xml:space="preserve">Enter the number of rounds played at this tournament.  The number of rounds in a V:EKN-sanctioned V:TES tournament </t>
        </r>
        <r>
          <rPr>
            <b/>
            <sz val="8"/>
            <color rgb="FF000000"/>
            <rFont val="Times New Roman"/>
            <family val="1"/>
            <charset val="1"/>
          </rPr>
          <t xml:space="preserve">must be at least 3 </t>
        </r>
        <r>
          <rPr>
            <sz val="8"/>
            <color rgb="FF000000"/>
            <rFont val="Times New Roman"/>
            <family val="1"/>
            <charset val="1"/>
          </rPr>
          <t>(which includes 2 Preliminary and 1 Final Round).  Note that 3- &amp; 4-round tournaments are the only ones specifically handled by The Archon.</t>
        </r>
      </text>
    </comment>
    <comment ref="B12" authorId="0" shapeId="0" xr:uid="{00000000-0006-0000-0100-000008000000}">
      <text>
        <r>
          <rPr>
            <sz val="8"/>
            <color rgb="FF000000"/>
            <rFont val="Times New Roman"/>
            <family val="1"/>
            <charset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rgb="FF000000"/>
            <rFont val="Times New Roman"/>
            <family val="1"/>
            <charset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rgb="FF000000"/>
            <rFont val="Times New Roman"/>
            <family val="1"/>
            <charset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rgb="FF000000"/>
            <rFont val="Times New Roman"/>
            <family val="1"/>
            <charset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rgb="FF000000"/>
            <rFont val="Times New Roman"/>
            <family val="1"/>
            <charset val="1"/>
          </rPr>
          <t>This indicates whether the tournament used the multi-judge system (6 judges, all of whom played in the tournament), rather than all non-playing Judges.</t>
        </r>
      </text>
    </comment>
    <comment ref="B17" authorId="0" shapeId="0" xr:uid="{00000000-0006-0000-0100-00000D000000}">
      <text>
        <r>
          <rPr>
            <sz val="8"/>
            <color rgb="FF000000"/>
            <rFont val="Times New Roman"/>
            <family val="1"/>
            <charset val="1"/>
          </rPr>
          <t>The Head Judge and Assistant Judges information is for informational purposes only, and will not flow to any other form.</t>
        </r>
      </text>
    </comment>
    <comment ref="B18" authorId="0" shapeId="0" xr:uid="{00000000-0006-0000-0100-00000E000000}">
      <text>
        <r>
          <rPr>
            <sz val="8"/>
            <color rgb="FF000000"/>
            <rFont val="Times New Roman"/>
            <family val="1"/>
            <charset val="1"/>
          </rPr>
          <t>The Head Judge and Assistant Judges information is for informational purposes only, and will not flow to any other 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0000000-0006-0000-0200-000006000000}">
      <text>
        <r>
          <rPr>
            <sz val="8"/>
            <color rgb="FF000000"/>
            <rFont val="Times New Roman"/>
            <family val="1"/>
            <charset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rgb="FF000000"/>
            <rFont val="Times New Roman"/>
            <family val="1"/>
            <charset val="1"/>
          </rPr>
          <t>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C000000}">
      <text>
        <r>
          <rPr>
            <sz val="8"/>
            <color rgb="FF000000"/>
            <rFont val="Times New Roman"/>
            <family val="1"/>
            <charset val="1"/>
          </rPr>
          <t xml:space="preserve">VPs - the secondary criterion
</t>
        </r>
      </text>
    </comment>
    <comment ref="P5" authorId="0" shapeId="0" xr:uid="{00000000-0006-0000-0200-00000D000000}">
      <text>
        <r>
          <rPr>
            <sz val="8"/>
            <color rgb="FF000000"/>
            <rFont val="Times New Roman"/>
            <family val="1"/>
            <charset val="1"/>
          </rPr>
          <t xml:space="preserve">TPs - the tertiarary criterion
</t>
        </r>
      </text>
    </comment>
    <comment ref="Q5" authorId="0" shapeId="0" xr:uid="{00000000-0006-0000-0200-00000E000000}">
      <text>
        <r>
          <rPr>
            <sz val="8"/>
            <color rgb="FF000000"/>
            <rFont val="Times New Roman"/>
            <family val="1"/>
            <charset val="1"/>
          </rPr>
          <t xml:space="preserve">Coin Toss - the final criterion.
We use -1 for DQs and -10 for non-players to facilitate sorting.
</t>
        </r>
      </text>
    </comment>
    <comment ref="S5" authorId="0" shapeId="0" xr:uid="{00000000-0006-0000-0200-00000F000000}">
      <text>
        <r>
          <rPr>
            <sz val="8"/>
            <color rgb="FF000000"/>
            <rFont val="Times New Roman"/>
            <family val="1"/>
            <charset val="1"/>
          </rPr>
          <t>Set unresolved ties to -1 so they don't actually show up on the finalists board (Final Round sheet)</t>
        </r>
      </text>
    </comment>
    <comment ref="T5" authorId="0" shapeId="0" xr:uid="{00000000-0006-0000-0200-000010000000}">
      <text>
        <r>
          <rPr>
            <sz val="8"/>
            <color rgb="FF000000"/>
            <rFont val="Times New Roman"/>
            <family val="1"/>
            <charset val="1"/>
          </rPr>
          <t>Duplicated here to facilitate Vlookup from Final Round sheet</t>
        </r>
      </text>
    </comment>
    <comment ref="Y5" authorId="0" shapeId="0" xr:uid="{00000000-0006-0000-0200-000012000000}">
      <text>
        <r>
          <rPr>
            <sz val="8"/>
            <color rgb="FF000000"/>
            <rFont val="Times New Roman"/>
            <family val="1"/>
            <charset val="1"/>
          </rPr>
          <t>Duplicated here to facilitate Vlookup from Final Round sheet</t>
        </r>
      </text>
    </comment>
    <comment ref="A6" authorId="0" shapeId="0" xr:uid="{00000000-0006-0000-0200-000001000000}">
      <text>
        <r>
          <rPr>
            <sz val="8"/>
            <color rgb="FF000000"/>
            <rFont val="Times New Roman"/>
            <family val="1"/>
            <charset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2000000}">
      <text>
        <r>
          <rPr>
            <sz val="8"/>
            <color rgb="FF000000"/>
            <rFont val="Times New Roman"/>
            <family val="1"/>
            <charset val="1"/>
          </rPr>
          <t xml:space="preserve">Enter the Player's First Name (and middle initial, if applicable).
</t>
        </r>
      </text>
    </comment>
    <comment ref="C6" authorId="0" shapeId="0" xr:uid="{00000000-0006-0000-0200-000003000000}">
      <text>
        <r>
          <rPr>
            <sz val="8"/>
            <color rgb="FF000000"/>
            <rFont val="Times New Roman"/>
            <family val="1"/>
            <charset val="1"/>
          </rPr>
          <t xml:space="preserve">Enter the Player's Last Name (Surname).
</t>
        </r>
      </text>
    </comment>
    <comment ref="D6" authorId="0" shapeId="0" xr:uid="{00000000-0006-0000-0200-000004000000}">
      <text>
        <r>
          <rPr>
            <sz val="8"/>
            <color rgb="FF000000"/>
            <rFont val="Times New Roman"/>
            <family val="1"/>
            <charset val="1"/>
          </rPr>
          <t xml:space="preserve">Enter the City where the player resides.
</t>
        </r>
      </text>
    </comment>
    <comment ref="E6" authorId="0" shapeId="0" xr:uid="{00000000-0006-0000-0200-000005000000}">
      <text>
        <r>
          <rPr>
            <sz val="8"/>
            <color rgb="FF000000"/>
            <rFont val="Times New Roman"/>
            <family val="1"/>
            <charset val="1"/>
          </rPr>
          <t>Players must have V:EKN membership (and therefore V:EKN numbers) to participate.  Register any non-V:EKN members at the tournament.  Enter V:EKN numbers in this column.</t>
        </r>
      </text>
    </comment>
    <comment ref="J6" authorId="0" shapeId="0" xr:uid="{00000000-0006-0000-0200-000007000000}">
      <text>
        <r>
          <rPr>
            <sz val="8"/>
            <color rgb="FF000000"/>
            <rFont val="Times New Roman"/>
            <family val="1"/>
            <charset val="1"/>
          </rPr>
          <t>TPs are the total Tournament Points from Rounds 1, 2, and 3.</t>
        </r>
      </text>
    </comment>
    <comment ref="K6" authorId="0" shapeId="0" xr:uid="{00000000-0006-0000-0200-000008000000}">
      <text>
        <r>
          <rPr>
            <b/>
            <sz val="8"/>
            <color rgb="FFDD0806"/>
            <rFont val="Times New Roman"/>
            <family val="1"/>
            <charset val="1"/>
          </rPr>
          <t>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RED</t>
        </r>
        <r>
          <rPr>
            <sz val="8"/>
            <color rgb="FF000000"/>
            <rFont val="Times New Roman"/>
            <family val="1"/>
            <charset val="1"/>
          </rPr>
          <t xml:space="preserve">.
The next 5 are highlighted in </t>
        </r>
        <r>
          <rPr>
            <sz val="8"/>
            <color rgb="FF99CC00"/>
            <rFont val="Times New Roman"/>
            <family val="1"/>
            <charset val="1"/>
          </rPr>
          <t>GREEN</t>
        </r>
        <r>
          <rPr>
            <sz val="8"/>
            <color rgb="FF000000"/>
            <rFont val="Times New Roman"/>
            <family val="1"/>
            <charset val="1"/>
          </rPr>
          <t xml:space="preserve">.
</t>
        </r>
      </text>
    </comment>
    <comment ref="L6" authorId="0" shapeId="0" xr:uid="{00000000-0006-0000-0200-000009000000}">
      <text>
        <r>
          <rPr>
            <b/>
            <sz val="8"/>
            <color rgb="FFDD0806"/>
            <rFont val="Times New Roman"/>
            <family val="1"/>
            <charset val="1"/>
          </rPr>
          <t>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sz val="8"/>
            <color rgb="FFDD0806"/>
            <rFont val="Times New Roman"/>
            <family val="1"/>
            <charset val="1"/>
          </rPr>
          <t>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0A000000}">
      <text>
        <r>
          <rPr>
            <sz val="8"/>
            <color rgb="FF000000"/>
            <rFont val="Times New Roman"/>
            <family val="1"/>
            <charset val="1"/>
          </rPr>
          <t xml:space="preserve">If </t>
        </r>
        <r>
          <rPr>
            <b/>
            <sz val="8"/>
            <color rgb="FFDD0806"/>
            <rFont val="Times New Roman"/>
            <family val="1"/>
            <charset val="1"/>
          </rPr>
          <t>TIE</t>
        </r>
        <r>
          <rPr>
            <sz val="8"/>
            <color rgb="FFDD0806"/>
            <rFont val="Times New Roman"/>
            <family val="1"/>
            <charset val="1"/>
          </rPr>
          <t xml:space="preserve"> </t>
        </r>
        <r>
          <rPr>
            <sz val="8"/>
            <color rgb="FF000000"/>
            <rFont val="Times New Roman"/>
            <family val="1"/>
            <charset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0B000000}">
      <text>
        <r>
          <rPr>
            <sz val="8"/>
            <color rgb="FF000000"/>
            <rFont val="Times New Roman"/>
            <family val="1"/>
            <charset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1000000}">
      <text>
        <r>
          <rPr>
            <sz val="8"/>
            <color rgb="FF000000"/>
            <rFont val="Times New Roman"/>
            <family val="1"/>
            <charset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rgb="FF000000"/>
            <rFont val="Times New Roman"/>
            <family val="1"/>
            <charset val="1"/>
          </rPr>
          <t xml:space="preserve">The number of rating points acquired at this tournament (5 for attending, 4 for each VP, 8 for each win, plus a boinus for the finalists).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600-000001000000}">
      <text>
        <r>
          <rPr>
            <sz val="8"/>
            <color rgb="FF000000"/>
            <rFont val="Times New Roman"/>
            <family val="1"/>
            <charset val="1"/>
          </rPr>
          <t>Place Player Numbers in this column.  Each group of 5 rows must be used for a single table.</t>
        </r>
      </text>
    </comment>
    <comment ref="D6" authorId="0" shapeId="0" xr:uid="{00000000-0006-0000-0600-000002000000}">
      <text>
        <r>
          <rPr>
            <sz val="8"/>
            <color rgb="FF000000"/>
            <rFont val="Times New Roman"/>
            <family val="1"/>
            <charset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rgb="FF000000"/>
            <rFont val="Times New Roman"/>
            <family val="1"/>
            <charset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rgb="FF000000"/>
            <rFont val="Times New Roman"/>
            <family val="1"/>
            <charset val="1"/>
          </rPr>
          <t>Game Wins are calculated automatically, following  the V:EKN rules.</t>
        </r>
      </text>
    </comment>
    <comment ref="H6" authorId="0" shapeId="0" xr:uid="{00000000-0006-0000-0600-000005000000}">
      <text>
        <r>
          <rPr>
            <sz val="8"/>
            <color rgb="FF000000"/>
            <rFont val="Times New Roman"/>
            <family val="1"/>
            <charset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rgb="FF000000"/>
            <rFont val="Times New Roman"/>
            <family val="1"/>
            <charset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rgb="FF000000"/>
            <rFont val="Times New Roman"/>
            <family val="1"/>
            <charset val="1"/>
          </rPr>
          <t>The INDIRECT() function allows the rows to be grouped in fives automatically - so I don't have to enter the ranges by hand for all 200 rows.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00000000-0006-0000-0900-000003000000}">
      <text>
        <r>
          <rPr>
            <sz val="8"/>
            <color rgb="FF000000"/>
            <rFont val="Times New Roman"/>
            <family val="1"/>
            <charset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900-000001000000}">
      <text>
        <r>
          <rPr>
            <sz val="8"/>
            <color rgb="FF000000"/>
            <rFont val="Times New Roman"/>
            <family val="1"/>
            <charset val="1"/>
          </rPr>
          <t>Enter the number of the round in which the game was played (1-3) or enter 'F' for the final round.</t>
        </r>
      </text>
    </comment>
    <comment ref="B5" authorId="0" shapeId="0" xr:uid="{00000000-0006-0000-0900-000002000000}">
      <text>
        <r>
          <rPr>
            <sz val="8"/>
            <color rgb="FF000000"/>
            <rFont val="Times New Roman"/>
            <family val="1"/>
            <charset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<sst xmlns="http://schemas.openxmlformats.org/spreadsheetml/2006/main" count="1666" uniqueCount="285">
  <si>
    <r>
      <rPr>
        <b/>
        <i/>
        <sz val="36"/>
        <color rgb="FFDD0806"/>
        <rFont val="Times New Roman"/>
        <family val="1"/>
        <charset val="1"/>
      </rPr>
      <t>The Archon</t>
    </r>
    <r>
      <rPr>
        <b/>
        <i/>
        <sz val="12"/>
        <color rgb="FFDD0806"/>
        <rFont val="Times New Roman"/>
        <family val="1"/>
        <charset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</si>
  <si>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</si>
  <si>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</si>
  <si>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</si>
  <si>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</si>
  <si>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</si>
  <si>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</si>
  <si>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</si>
  <si>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</si>
  <si>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</si>
  <si>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</si>
  <si>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</si>
  <si>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</si>
  <si>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</si>
  <si>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</si>
  <si>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</si>
  <si>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</si>
  <si>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</si>
  <si>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</si>
  <si>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</si>
  <si>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</si>
  <si>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</si>
  <si>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</si>
  <si>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</si>
  <si>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</si>
  <si>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</si>
  <si>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</si>
  <si>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</si>
  <si>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</si>
  <si>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</si>
  <si>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</si>
  <si>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</si>
  <si>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</si>
  <si>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</si>
  <si>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</si>
  <si>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</si>
  <si>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</si>
  <si>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</si>
  <si>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</si>
  <si>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</si>
  <si>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</si>
  <si>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</si>
  <si>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</si>
  <si>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</si>
  <si>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</si>
  <si>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</si>
  <si>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</si>
  <si>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</si>
  <si>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</si>
  <si>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</si>
  <si>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rPr>
        <sz val="8"/>
        <rFont val="Arial"/>
        <family val="2"/>
        <charset val="1"/>
      </rPr>
      <t xml:space="preserve">Corrected Standings sheet for players ranked 15 and higher (again). Added the </t>
    </r>
    <r>
      <rPr>
        <b/>
        <sz val="8"/>
        <rFont val="Arial"/>
        <family val="2"/>
        <charset val="1"/>
      </rPr>
      <t>"Override"</t>
    </r>
    <r>
      <rPr>
        <sz val="8"/>
        <rFont val="Arial"/>
        <family val="2"/>
        <charset v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</si>
  <si>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</si>
  <si>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</si>
  <si>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</si>
  <si>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</si>
  <si>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</si>
  <si>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</si>
  <si>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</si>
  <si>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</si>
  <si>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rPr>
        <sz val="10"/>
        <rFont val="Arial"/>
        <family val="2"/>
        <charset val="1"/>
      </rPr>
      <t xml:space="preserve">Welcome to </t>
    </r>
    <r>
      <rPr>
        <b/>
        <sz val="10"/>
        <rFont val="Arial"/>
        <family val="2"/>
        <charset val="1"/>
      </rPr>
      <t>The Archon</t>
    </r>
    <r>
      <rPr>
        <sz val="10"/>
        <rFont val="Arial"/>
        <family val="2"/>
        <charset v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charset val="1"/>
      </rPr>
      <t>Post-Tournament Procedures</t>
    </r>
    <r>
      <rPr>
        <sz val="10"/>
        <rFont val="Arial"/>
        <family val="2"/>
        <charset val="1"/>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</si>
  <si>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</si>
  <si>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</si>
  <si>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</si>
  <si>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</si>
  <si>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</si>
  <si>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</si>
  <si>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</si>
  <si>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</si>
  <si>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</si>
  <si>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rPr>
        <b/>
        <sz val="10"/>
        <color rgb="FF222222"/>
        <rFont val="Arial"/>
        <family val="2"/>
        <charset val="1"/>
      </rPr>
      <t xml:space="preserve">The archon is available in </t>
    </r>
    <r>
      <rPr>
        <sz val="10"/>
        <color rgb="FFDD0806"/>
        <rFont val="Arial"/>
        <family val="2"/>
        <charset val="1"/>
      </rPr>
      <t>XSLX</t>
    </r>
    <r>
      <rPr>
        <sz val="10"/>
        <color rgb="FF333333"/>
        <rFont val="Arial"/>
        <family val="2"/>
        <charset val="1"/>
      </rPr>
      <t> and </t>
    </r>
    <r>
      <rPr>
        <sz val="10"/>
        <color rgb="FFDD0806"/>
        <rFont val="Arial"/>
        <family val="2"/>
        <charset val="1"/>
      </rPr>
      <t>ODS </t>
    </r>
    <r>
      <rPr>
        <sz val="10"/>
        <color rgb="FF333333"/>
        <rFont val="Arial"/>
        <family val="2"/>
        <charset v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</si>
  <si>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</si>
  <si>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</si>
  <si>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</si>
  <si>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</si>
  <si>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rPr>
        <i/>
        <sz val="10"/>
        <rFont val="Arial"/>
        <family val="2"/>
        <charset val="1"/>
      </rPr>
      <t xml:space="preserve">Enter the tournament information into the </t>
    </r>
    <r>
      <rPr>
        <b/>
        <i/>
        <sz val="10"/>
        <rFont val="Arial"/>
        <family val="2"/>
        <charset val="1"/>
      </rPr>
      <t>"Tournament Info"</t>
    </r>
    <r>
      <rPr>
        <i/>
        <sz val="10"/>
        <rFont val="Arial"/>
        <family val="2"/>
        <charset val="1"/>
      </rPr>
      <t xml:space="preserve"> sheet.</t>
    </r>
  </si>
  <si>
    <t>-</t>
  </si>
  <si>
    <t>This is freeform text, but is used in other sheets, so please be accurate. The VEKN numbers of the organizer and judges are used for qualification.</t>
  </si>
  <si>
    <r>
      <rPr>
        <i/>
        <sz val="10"/>
        <rFont val="Arial"/>
        <family val="2"/>
        <charset val="1"/>
      </rPr>
      <t xml:space="preserve">Enter all Player information into the </t>
    </r>
    <r>
      <rPr>
        <b/>
        <i/>
        <sz val="10"/>
        <rFont val="Arial"/>
        <family val="2"/>
        <charset val="1"/>
      </rPr>
      <t>"Methuselahs"</t>
    </r>
    <r>
      <rPr>
        <i/>
        <sz val="10"/>
        <rFont val="Arial"/>
        <family val="2"/>
        <charset v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</si>
  <si>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</si>
  <si>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</si>
  <si>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</si>
  <si>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</si>
  <si>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</si>
  <si>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rPr>
        <i/>
        <sz val="10"/>
        <rFont val="Arial"/>
        <family val="2"/>
        <charset val="1"/>
      </rPr>
      <t xml:space="preserve">The Coordinator uses the </t>
    </r>
    <r>
      <rPr>
        <b/>
        <i/>
        <sz val="10"/>
        <rFont val="Arial"/>
        <family val="2"/>
        <charset val="1"/>
      </rPr>
      <t>"Methuselahs"</t>
    </r>
    <r>
      <rPr>
        <i/>
        <sz val="10"/>
        <rFont val="Arial"/>
        <family val="2"/>
        <charset val="1"/>
      </rPr>
      <t xml:space="preserve"> sheet to monitor the progress of the tournament.</t>
    </r>
  </si>
  <si>
    <r>
      <rPr>
        <i/>
        <sz val="10"/>
        <rFont val="Arial"/>
        <family val="2"/>
        <charset val="1"/>
      </rPr>
      <t xml:space="preserve">Also, </t>
    </r>
    <r>
      <rPr>
        <b/>
        <i/>
        <sz val="10"/>
        <rFont val="Arial"/>
        <family val="2"/>
        <charset val="1"/>
      </rPr>
      <t>additional information</t>
    </r>
    <r>
      <rPr>
        <i/>
        <sz val="10"/>
        <rFont val="Arial"/>
        <family val="2"/>
        <charset val="1"/>
      </rPr>
      <t xml:space="preserve"> may need to be entered on the </t>
    </r>
    <r>
      <rPr>
        <b/>
        <i/>
        <sz val="10"/>
        <rFont val="Arial"/>
        <family val="2"/>
        <charset val="1"/>
      </rPr>
      <t>"Methuselahs"</t>
    </r>
    <r>
      <rPr>
        <i/>
        <sz val="10"/>
        <rFont val="Arial"/>
        <family val="2"/>
        <charset val="1"/>
      </rPr>
      <t xml:space="preserve"> tab as the tournament progresses.</t>
    </r>
  </si>
  <si>
    <r>
      <rPr>
        <sz val="10"/>
        <rFont val="Arial"/>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charset val="1"/>
      </rPr>
      <t>"Override"</t>
    </r>
    <r>
      <rPr>
        <sz val="10"/>
        <rFont val="Arial"/>
        <family val="2"/>
        <charset v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</si>
  <si>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</si>
  <si>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</si>
  <si>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charset val="1"/>
      </rPr>
      <t>"Final Round"</t>
    </r>
    <r>
      <rPr>
        <sz val="10"/>
        <rFont val="Arial"/>
        <family val="2"/>
        <charset val="1"/>
      </rPr>
      <t xml:space="preserve"> sheet.  Seating for the Final Round (and the entry of this information into the </t>
    </r>
    <r>
      <rPr>
        <b/>
        <sz val="10"/>
        <rFont val="Arial"/>
        <family val="2"/>
        <charset val="1"/>
      </rPr>
      <t>"Final Round"</t>
    </r>
    <r>
      <rPr>
        <sz val="10"/>
        <rFont val="Arial"/>
        <family val="2"/>
        <charset val="1"/>
      </rPr>
      <t xml:space="preserve"> sheet still needs to be done.  See Final Round sheet Comments.</t>
    </r>
  </si>
  <si>
    <t>Final Rank = This will indicate the Final Rank for all Players in the tournament once the Final Round has been completed.</t>
  </si>
  <si>
    <r>
      <rPr>
        <i/>
        <sz val="10"/>
        <rFont val="Arial"/>
        <family val="2"/>
        <charset val="1"/>
      </rPr>
      <t xml:space="preserve">The Players can be shown the </t>
    </r>
    <r>
      <rPr>
        <b/>
        <i/>
        <sz val="10"/>
        <rFont val="Arial"/>
        <family val="2"/>
        <charset val="1"/>
      </rPr>
      <t>"Standings"</t>
    </r>
    <r>
      <rPr>
        <i/>
        <sz val="10"/>
        <rFont val="Arial"/>
        <family val="2"/>
        <charset val="1"/>
      </rPr>
      <t xml:space="preserve"> sheet so that they can monitor their progress in the tournament.</t>
    </r>
  </si>
  <si>
    <r>
      <rPr>
        <sz val="10"/>
        <rFont val="Arial"/>
        <charset val="1"/>
      </rPr>
      <t xml:space="preserve">The </t>
    </r>
    <r>
      <rPr>
        <b/>
        <sz val="10"/>
        <rFont val="Arial"/>
        <family val="2"/>
        <charset val="1"/>
      </rPr>
      <t>"Standings"</t>
    </r>
    <r>
      <rPr>
        <sz val="10"/>
        <rFont val="Arial"/>
        <family val="2"/>
        <charset val="1"/>
      </rPr>
      <t xml:space="preserve"> sheet is a subset of the information from the </t>
    </r>
    <r>
      <rPr>
        <b/>
        <sz val="10"/>
        <rFont val="Arial"/>
        <family val="2"/>
        <charset val="1"/>
      </rPr>
      <t>"Methuselahs"</t>
    </r>
    <r>
      <rPr>
        <sz val="10"/>
        <rFont val="Arial"/>
        <family val="2"/>
        <charset val="1"/>
      </rPr>
      <t xml:space="preserve"> sheet, and it is more easily readable.  It is also fully 'protected', so that a Player cannot accidently change any data.  The </t>
    </r>
    <r>
      <rPr>
        <b/>
        <sz val="10"/>
        <rFont val="Arial"/>
        <family val="2"/>
        <charset val="1"/>
      </rPr>
      <t>"Standings"</t>
    </r>
    <r>
      <rPr>
        <sz val="10"/>
        <rFont val="Arial"/>
        <family val="2"/>
        <charset val="1"/>
      </rPr>
      <t xml:space="preserve"> sheet may also be printed for the players between rounds, if a printer is available.</t>
    </r>
  </si>
  <si>
    <r>
      <rPr>
        <i/>
        <sz val="10"/>
        <rFont val="Arial"/>
        <family val="2"/>
        <charset val="1"/>
      </rPr>
      <t xml:space="preserve">Enter the round-specific information into the </t>
    </r>
    <r>
      <rPr>
        <b/>
        <i/>
        <sz val="10"/>
        <rFont val="Arial"/>
        <family val="2"/>
        <charset val="1"/>
      </rPr>
      <t>"Round"</t>
    </r>
    <r>
      <rPr>
        <i/>
        <sz val="10"/>
        <rFont val="Arial"/>
        <family val="2"/>
        <charset val="1"/>
      </rPr>
      <t xml:space="preserve"> sheets (for each round, as the rounds are played):</t>
    </r>
  </si>
  <si>
    <r>
      <rPr>
        <sz val="10"/>
        <rFont val="Arial"/>
        <charset val="1"/>
      </rPr>
      <t xml:space="preserve"># = Player Number, to be used to seat players for each round.  These are the Player Numbers from the </t>
    </r>
    <r>
      <rPr>
        <b/>
        <sz val="10"/>
        <rFont val="Arial"/>
        <family val="2"/>
        <charset val="1"/>
      </rPr>
      <t>"Methuselahs"</t>
    </r>
    <r>
      <rPr>
        <sz val="10"/>
        <rFont val="Arial"/>
        <family val="2"/>
        <charset val="1"/>
      </rPr>
      <t xml:space="preserve"> sheet, and should be entered manually for each round. [</t>
    </r>
    <r>
      <rPr>
        <b/>
        <sz val="10"/>
        <rFont val="Arial"/>
        <family val="2"/>
        <charset val="1"/>
      </rPr>
      <t>Note:</t>
    </r>
    <r>
      <rPr>
        <sz val="10"/>
        <rFont val="Arial"/>
        <family val="2"/>
        <charset val="1"/>
      </rPr>
      <t xml:space="preserve"> If you have are running a 3+F tournament, the player seating will be automatically entered from the </t>
    </r>
    <r>
      <rPr>
        <b/>
        <sz val="10"/>
        <rFont val="Arial"/>
        <family val="2"/>
        <charset val="1"/>
      </rPr>
      <t>"Optimal Seating"</t>
    </r>
    <r>
      <rPr>
        <sz val="10"/>
        <rFont val="Arial"/>
        <family val="2"/>
        <charset val="1"/>
      </rPr>
      <t xml:space="preserve"> sheet. You can override these values (to handle ejections or additions) by entering the numbers manually. ]</t>
    </r>
  </si>
  <si>
    <r>
      <rPr>
        <sz val="10"/>
        <rFont val="Arial"/>
        <charset val="1"/>
      </rPr>
      <t xml:space="preserve">Player First Name and Player Last Name = This will be filled in automatically from the </t>
    </r>
    <r>
      <rPr>
        <b/>
        <sz val="10"/>
        <rFont val="Arial"/>
        <family val="2"/>
        <charset val="1"/>
      </rPr>
      <t>"Methuselah"</t>
    </r>
    <r>
      <rPr>
        <sz val="10"/>
        <rFont val="Arial"/>
        <family val="2"/>
        <charset v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</si>
  <si>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</si>
  <si>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</si>
  <si>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rPr>
        <sz val="10"/>
        <rFont val="Arial"/>
        <charset val="1"/>
      </rPr>
      <t xml:space="preserve">VPs = Victory Points.  These must be entered manually upon completion of the round, and will flow automatically to the </t>
    </r>
    <r>
      <rPr>
        <b/>
        <sz val="10"/>
        <rFont val="Arial"/>
        <family val="2"/>
        <charset val="1"/>
      </rPr>
      <t>"Methuselahs"</t>
    </r>
    <r>
      <rPr>
        <sz val="10"/>
        <rFont val="Arial"/>
        <family val="2"/>
        <charset val="1"/>
      </rPr>
      <t xml:space="preserve"> sheet.  [Note: You may leave VPs blank for a player who scores no VPs.]</t>
    </r>
  </si>
  <si>
    <r>
      <rPr>
        <sz val="10"/>
        <rFont val="Arial"/>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charset val="1"/>
      </rPr>
      <t>"Methuselahs"</t>
    </r>
    <r>
      <rPr>
        <sz val="10"/>
        <rFont val="Arial"/>
        <family val="2"/>
        <charset val="1"/>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</si>
  <si>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</si>
  <si>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</si>
  <si>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rPr>
        <i/>
        <sz val="10"/>
        <rFont val="Arial"/>
        <family val="2"/>
        <charset val="1"/>
      </rPr>
      <t xml:space="preserve">Seat the Players for the Final Round and enter the Player numbers on the </t>
    </r>
    <r>
      <rPr>
        <b/>
        <i/>
        <sz val="10"/>
        <rFont val="Arial"/>
        <family val="2"/>
        <charset val="1"/>
      </rPr>
      <t>"Final Round"</t>
    </r>
    <r>
      <rPr>
        <i/>
        <sz val="10"/>
        <rFont val="Arial"/>
        <family val="2"/>
        <charset val="1"/>
      </rPr>
      <t xml:space="preserve"> sheet.</t>
    </r>
  </si>
  <si>
    <r>
      <rPr>
        <sz val="10"/>
        <rFont val="Arial"/>
        <charset val="1"/>
      </rPr>
      <t xml:space="preserve">The </t>
    </r>
    <r>
      <rPr>
        <b/>
        <sz val="10"/>
        <rFont val="Arial"/>
        <family val="2"/>
        <charset val="1"/>
      </rPr>
      <t>"Final Round"</t>
    </r>
    <r>
      <rPr>
        <sz val="10"/>
        <rFont val="Arial"/>
        <family val="2"/>
        <charset val="1"/>
      </rPr>
      <t xml:space="preserve"> sheet is different from the other </t>
    </r>
    <r>
      <rPr>
        <b/>
        <sz val="10"/>
        <rFont val="Arial"/>
        <family val="2"/>
        <charset val="1"/>
      </rPr>
      <t>"Round"</t>
    </r>
    <r>
      <rPr>
        <sz val="10"/>
        <rFont val="Arial"/>
        <family val="2"/>
        <charset val="1"/>
      </rPr>
      <t xml:space="preserve"> sheets.  There are two sections for the Players on this sheet:</t>
    </r>
  </si>
  <si>
    <t>a.</t>
  </si>
  <si>
    <r>
      <rPr>
        <sz val="10"/>
        <rFont val="Arial"/>
        <charset val="1"/>
      </rPr>
      <t xml:space="preserve">"Current Leaders"/"Finalists" section: The top section lists the </t>
    </r>
    <r>
      <rPr>
        <i/>
        <sz val="10"/>
        <rFont val="Arial"/>
        <family val="2"/>
        <charset val="1"/>
      </rPr>
      <t>Current Leaders</t>
    </r>
    <r>
      <rPr>
        <sz val="10"/>
        <rFont val="Arial"/>
        <family val="2"/>
        <charset val="1"/>
      </rPr>
      <t xml:space="preserve"> in the tournament.  This will change to </t>
    </r>
    <r>
      <rPr>
        <i/>
        <sz val="10"/>
        <rFont val="Arial"/>
        <family val="2"/>
        <charset val="1"/>
      </rPr>
      <t>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sz val="10"/>
        <rFont val="Arial"/>
        <family val="2"/>
        <charset val="1"/>
      </rPr>
      <t>"Methuselahs"</t>
    </r>
    <r>
      <rPr>
        <sz val="10"/>
        <rFont val="Arial"/>
        <family val="2"/>
        <charset val="1"/>
      </rPr>
      <t xml:space="preserve"> sheet to eliminate the Player from contention.  Disqualified players will not show up on the </t>
    </r>
    <r>
      <rPr>
        <b/>
        <sz val="10"/>
        <rFont val="Arial"/>
        <family val="2"/>
        <charset val="1"/>
      </rPr>
      <t>"Final Round"</t>
    </r>
    <r>
      <rPr>
        <sz val="10"/>
        <rFont val="Arial"/>
        <family val="2"/>
        <charset val="1"/>
      </rPr>
      <t xml:space="preserve"> sheet.</t>
    </r>
  </si>
  <si>
    <t>b.</t>
  </si>
  <si>
    <r>
      <rPr>
        <sz val="10"/>
        <rFont val="Arial"/>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charset val="1"/>
      </rPr>
      <t>"Final Round"</t>
    </r>
    <r>
      <rPr>
        <sz val="10"/>
        <rFont val="Arial"/>
        <family val="2"/>
        <charset val="1"/>
      </rPr>
      <t xml:space="preserve"> sheet.</t>
    </r>
  </si>
  <si>
    <t>Player First Name, Player Last Name, and Table Number (1) will be completed automatically.</t>
  </si>
  <si>
    <t>At the end of the round, enter the VPs for each Player.</t>
  </si>
  <si>
    <r>
      <rPr>
        <sz val="10"/>
        <rFont val="Arial"/>
        <charset val="1"/>
      </rPr>
      <t>[</t>
    </r>
    <r>
      <rPr>
        <b/>
        <sz val="10"/>
        <rFont val="Arial"/>
        <family val="2"/>
        <charset val="1"/>
      </rPr>
      <t>Note</t>
    </r>
    <r>
      <rPr>
        <sz val="10"/>
        <rFont val="Arial"/>
        <family val="2"/>
        <charset val="1"/>
      </rPr>
      <t xml:space="preserve">: The </t>
    </r>
    <r>
      <rPr>
        <b/>
        <sz val="10"/>
        <rFont val="Arial"/>
        <family val="2"/>
        <charset val="1"/>
      </rPr>
      <t>"Methuselahs"</t>
    </r>
    <r>
      <rPr>
        <sz val="10"/>
        <rFont val="Arial"/>
        <family val="2"/>
        <charset val="1"/>
      </rPr>
      <t xml:space="preserve"> sheet will now accurately reflect the Final Rank of all Players in the tournament.]</t>
    </r>
  </si>
  <si>
    <t>Post-Tournament Procedures</t>
  </si>
  <si>
    <r>
      <rPr>
        <i/>
        <sz val="10"/>
        <rFont val="Arial"/>
        <family val="2"/>
        <charset val="1"/>
      </rPr>
      <t xml:space="preserve">Enter any notes, warnings, or miscellaneous information into the </t>
    </r>
    <r>
      <rPr>
        <b/>
        <i/>
        <sz val="10"/>
        <rFont val="Arial"/>
        <family val="2"/>
        <charset val="1"/>
      </rPr>
      <t>"Notes"</t>
    </r>
    <r>
      <rPr>
        <i/>
        <sz val="10"/>
        <rFont val="Arial"/>
        <family val="2"/>
        <charset val="1"/>
      </rPr>
      <t xml:space="preserve"> sheet.</t>
    </r>
  </si>
  <si>
    <r>
      <rPr>
        <sz val="10"/>
        <rFont val="Arial"/>
        <family val="2"/>
        <charset val="1"/>
      </rPr>
      <t xml:space="preserve">On the </t>
    </r>
    <r>
      <rPr>
        <b/>
        <sz val="10"/>
        <rFont val="Arial"/>
        <family val="2"/>
        <charset val="1"/>
      </rPr>
      <t>"Notes"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charset val="1"/>
      </rPr>
      <t>Rules@VampireTheEternalStruggle.com</t>
    </r>
    <r>
      <rPr>
        <sz val="10"/>
        <rFont val="Arial"/>
        <family val="2"/>
        <charset val="1"/>
      </rPr>
      <t>) about rulings that you made during the tournament.</t>
    </r>
  </si>
  <si>
    <t>Review The Archon to ensure accuracy.  This is very important!</t>
  </si>
  <si>
    <r>
      <rPr>
        <sz val="10"/>
        <rFont val="Arial"/>
        <charset val="1"/>
      </rPr>
      <t xml:space="preserve">Perform a thorough check of The Archon to ensure that you have entered all the data correctly.  Look particularly at the </t>
    </r>
    <r>
      <rPr>
        <b/>
        <sz val="10"/>
        <rFont val="Arial"/>
        <family val="2"/>
        <charset val="1"/>
      </rPr>
      <t>"Methuselahs"</t>
    </r>
    <r>
      <rPr>
        <sz val="10"/>
        <rFont val="Arial"/>
        <family val="2"/>
        <charset val="1"/>
      </rPr>
      <t xml:space="preserve"> sheet, the </t>
    </r>
    <r>
      <rPr>
        <b/>
        <sz val="10"/>
        <rFont val="Arial"/>
        <family val="2"/>
        <charset val="1"/>
      </rPr>
      <t>"Round"</t>
    </r>
    <r>
      <rPr>
        <sz val="10"/>
        <rFont val="Arial"/>
        <family val="2"/>
        <charset val="1"/>
      </rPr>
      <t xml:space="preserve"> sheets (all of them), and the </t>
    </r>
    <r>
      <rPr>
        <b/>
        <sz val="10"/>
        <rFont val="Arial"/>
        <family val="2"/>
        <charset val="1"/>
      </rPr>
      <t>"Standings"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</si>
  <si>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charset val="1"/>
      </rPr>
      <t>Ratings Coordinator</t>
    </r>
    <r>
      <rPr>
        <sz val="10"/>
        <rFont val="Arial"/>
        <family val="2"/>
        <charset val="1"/>
      </rPr>
      <t xml:space="preserve"> at </t>
    </r>
    <r>
      <rPr>
        <b/>
        <u/>
        <sz val="10"/>
        <rFont val="Arial"/>
        <family val="2"/>
        <charset val="1"/>
      </rPr>
      <t>vtesratings@gmail.com</t>
    </r>
  </si>
  <si>
    <t>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</si>
  <si>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u/>
        <sz val="10"/>
        <rFont val="Arial"/>
        <family val="2"/>
        <charset val="1"/>
      </rPr>
      <t>vtesratings@gmail.com</t>
    </r>
    <r>
      <rPr>
        <sz val="10"/>
        <rFont val="Arial"/>
        <family val="2"/>
        <charset val="1"/>
      </rPr>
      <t>, and let me know what you thought.  Good suggestions may find their way into a later version of The Archon.</t>
    </r>
  </si>
  <si>
    <t>Event Name:</t>
  </si>
  <si>
    <t>German Nationals 2024</t>
  </si>
  <si>
    <t>Event Date (DD-MON-YY):</t>
  </si>
  <si>
    <t>Date Report due at V:EKN:</t>
  </si>
  <si>
    <t>Organizer:</t>
  </si>
  <si>
    <t>Rudolf Scholz</t>
  </si>
  <si>
    <t>City:</t>
  </si>
  <si>
    <t>Darmstadt</t>
  </si>
  <si>
    <t>Format (Constructed/Limited):</t>
  </si>
  <si>
    <t>Constructed</t>
  </si>
  <si>
    <t>Limited</t>
  </si>
  <si>
    <t>Level (Normal/Qualifier/Championship/Nationals)</t>
  </si>
  <si>
    <t>National Championship</t>
  </si>
  <si>
    <t>Standard Constructed</t>
  </si>
  <si>
    <t>National Qualifier</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</si>
  <si>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</si>
  <si>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</si>
  <si>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</si>
  <si>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</si>
  <si>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</si>
  <si>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</si>
  <si>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</si>
  <si>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</si>
  <si>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</si>
  <si>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</si>
  <si>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</si>
  <si>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</si>
  <si>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</si>
  <si>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No</t>
  </si>
  <si>
    <t>Head Judge:</t>
  </si>
  <si>
    <t>Ralf Weppner</t>
  </si>
  <si>
    <t>Assistant Judges:</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</si>
  <si>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</si>
  <si>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</si>
  <si>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</si>
  <si>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</si>
  <si>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</si>
  <si>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</si>
  <si>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</si>
  <si>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</si>
  <si>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</si>
  <si>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</si>
  <si>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</si>
  <si>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</si>
  <si>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</si>
  <si>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</si>
  <si>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</si>
  <si>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</si>
  <si>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</si>
  <si>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</si>
  <si>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</si>
  <si>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</si>
  <si>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</si>
  <si>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</si>
  <si>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</si>
  <si>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</si>
  <si>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</si>
  <si>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</si>
  <si>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</si>
  <si>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</si>
  <si>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</si>
  <si>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</si>
  <si>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</si>
  <si>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</si>
  <si>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</si>
  <si>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</si>
  <si>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</si>
  <si>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</si>
  <si>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</si>
  <si>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</si>
  <si>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</si>
  <si>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</si>
  <si>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</si>
  <si>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</si>
  <si>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</si>
  <si>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</si>
  <si>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</si>
  <si>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</si>
  <si>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</si>
  <si>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</si>
  <si>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</si>
  <si>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</si>
  <si>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</si>
  <si>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</si>
  <si>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</si>
  <si>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</si>
  <si>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</si>
  <si>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</si>
  <si>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</si>
  <si>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</si>
  <si>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</si>
  <si>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</si>
  <si>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</si>
  <si>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</si>
  <si>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</si>
  <si>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</si>
  <si>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</si>
  <si>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</si>
  <si>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</si>
  <si>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</si>
  <si>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</si>
  <si>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</si>
  <si>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</si>
  <si>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</si>
  <si>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</si>
  <si>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Final Round</t>
  </si>
  <si>
    <t>Round#</t>
  </si>
  <si>
    <t>Rating Coef</t>
  </si>
  <si>
    <t>Place</t>
  </si>
  <si>
    <t>Results</t>
  </si>
  <si>
    <t>Prelim Rank</t>
  </si>
  <si>
    <t>Final Rank</t>
  </si>
  <si>
    <t>Round 2</t>
  </si>
  <si>
    <t>Round 3</t>
  </si>
  <si>
    <t>Games</t>
  </si>
  <si>
    <t>Total</t>
  </si>
  <si>
    <t>Played</t>
  </si>
  <si>
    <t>Won</t>
  </si>
  <si>
    <t>Override</t>
  </si>
  <si>
    <t>Override a "pending" designation for player drops/ejections and other odd VP situations.</t>
  </si>
  <si>
    <t>Round</t>
  </si>
  <si>
    <t>(F for Final)</t>
  </si>
  <si>
    <t>Table</t>
  </si>
  <si>
    <t>ID</t>
  </si>
  <si>
    <t>Explanation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</si>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</sst>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 mmm\ yy"/>
    <numFmt numFmtId="165" formatCode="0;[Red]&quot;DQ&quot;"/>
    <numFmt numFmtId="166" formatCode="hh:mm\ AM/PM"/>
    <numFmt numFmtId="167" formatCode="&quot;GW&quot;;&quot;&quot;;&quot;&quot;"/>
    <numFmt numFmtId="168" formatCode="0;\(0\);&quot;pending&quot;"/>
    <numFmt numFmtId="169" formatCode="0.0"/>
    <numFmt numFmtId="170" formatCode="[$-407]dd/\ mmm\ yy"/>
  </numFmts>
  <fonts count="42" x14ac:knownFonts="1">
    <font>
      <sz val="10"/>
      <name val="Arial"/>
      <charset val="1"/>
    </font>
    <font>
      <b/>
      <i/>
      <sz val="36"/>
      <color rgb="FFDD0806"/>
      <name val="Times New Roman"/>
      <family val="1"/>
      <charset val="1"/>
    </font>
    <font>
      <b/>
      <i/>
      <sz val="12"/>
      <color rgb="FFDD0806"/>
      <name val="Times New Roman"/>
      <family val="1"/>
      <charset val="1"/>
    </font>
    <font>
      <sz val="20"/>
      <name val="Arial"/>
      <family val="2"/>
      <charset val="1"/>
    </font>
    <font>
      <i/>
      <sz val="8"/>
      <name val="Arial"/>
      <family val="2"/>
      <charset val="1"/>
    </font>
    <font>
      <b/>
      <sz val="8"/>
      <name val="Arial"/>
      <family val="2"/>
      <charset val="1"/>
    </font>
    <font>
      <sz val="8"/>
      <name val="Arial"/>
      <family val="2"/>
      <charset val="1"/>
    </font>
    <font>
      <sz val="9"/>
      <name val="Arial"/>
      <family val="2"/>
      <charset val="1"/>
    </font>
    <font>
      <sz val="10"/>
      <name val="Arial"/>
      <family val="2"/>
      <charset val="1"/>
    </font>
    <font>
      <u/>
      <sz val="9"/>
      <color rgb="FF0000D4"/>
      <name val="Arial"/>
      <family val="2"/>
      <charset val="1"/>
    </font>
    <font>
      <u/>
      <sz val="6.2"/>
      <color rgb="FF0000D4"/>
      <name val="Arial"/>
      <family val="2"/>
      <charset val="1"/>
    </font>
    <font>
      <b/>
      <sz val="14"/>
      <name val="Arial"/>
      <family val="2"/>
      <charset val="1"/>
    </font>
    <font>
      <b/>
      <sz val="10"/>
      <name val="Arial"/>
      <family val="2"/>
      <charset val="1"/>
    </font>
    <font>
      <i/>
      <sz val="10"/>
      <name val="Arial"/>
      <family val="2"/>
      <charset val="1"/>
    </font>
    <font>
      <b/>
      <u/>
      <sz val="10"/>
      <name val="Arial"/>
      <family val="2"/>
      <charset val="1"/>
    </font>
    <font>
      <u/>
      <sz val="10"/>
      <color rgb="FF0000D4"/>
      <name val="Arial"/>
      <family val="2"/>
      <charset val="1"/>
    </font>
    <font>
      <b/>
      <sz val="10"/>
      <color rgb="FF222222"/>
      <name val="Arial"/>
      <family val="2"/>
      <charset val="1"/>
    </font>
    <font>
      <sz val="10"/>
      <color rgb="FFDD0806"/>
      <name val="Arial"/>
      <family val="2"/>
      <charset val="1"/>
    </font>
    <font>
      <sz val="10"/>
      <color rgb="FF333333"/>
      <name val="Arial"/>
      <family val="2"/>
      <charset val="1"/>
    </font>
    <font>
      <b/>
      <i/>
      <sz val="10"/>
      <name val="Arial"/>
      <family val="2"/>
      <charset val="1"/>
    </font>
    <font>
      <b/>
      <i/>
      <u/>
      <sz val="20"/>
      <name val="Arial"/>
      <family val="2"/>
      <charset val="1"/>
    </font>
    <font>
      <sz val="12"/>
      <name val="Arial"/>
      <family val="2"/>
      <charset val="1"/>
    </font>
    <font>
      <sz val="8"/>
      <color rgb="FF000000"/>
      <name val="Times New Roman"/>
      <family val="1"/>
      <charset val="1"/>
    </font>
    <font>
      <b/>
      <sz val="8"/>
      <color rgb="FF000000"/>
      <name val="Times New Roman"/>
      <family val="1"/>
      <charset val="1"/>
    </font>
    <font>
      <b/>
      <sz val="16"/>
      <name val="Arial"/>
      <family val="2"/>
      <charset val="1"/>
    </font>
    <font>
      <b/>
      <u/>
      <sz val="14"/>
      <name val="Arial"/>
      <family val="2"/>
      <charset val="1"/>
    </font>
    <font>
      <i/>
      <sz val="12"/>
      <name val="Arial"/>
      <family val="2"/>
      <charset val="1"/>
    </font>
    <font>
      <b/>
      <sz val="12"/>
      <name val="Arial"/>
      <family val="2"/>
      <charset val="1"/>
    </font>
    <font>
      <b/>
      <sz val="9"/>
      <name val="Arial"/>
      <family val="2"/>
      <charset val="1"/>
    </font>
    <font>
      <b/>
      <sz val="10"/>
      <color rgb="FFDD0806"/>
      <name val="Arial"/>
      <family val="2"/>
      <charset val="1"/>
    </font>
    <font>
      <b/>
      <sz val="8"/>
      <color rgb="FFDD0806"/>
      <name val="Times New Roman"/>
      <family val="1"/>
      <charset val="1"/>
    </font>
    <font>
      <sz val="8"/>
      <color rgb="FFDD0806"/>
      <name val="Times New Roman"/>
      <family val="1"/>
      <charset val="1"/>
    </font>
    <font>
      <sz val="8"/>
      <color rgb="FF99CC00"/>
      <name val="Times New Roman"/>
      <family val="1"/>
      <charset val="1"/>
    </font>
    <font>
      <b/>
      <i/>
      <sz val="14"/>
      <name val="Arial"/>
      <family val="2"/>
      <charset val="1"/>
    </font>
    <font>
      <sz val="16"/>
      <name val="Arial"/>
      <family val="2"/>
      <charset val="1"/>
    </font>
    <font>
      <b/>
      <i/>
      <sz val="12"/>
      <name val="Arial"/>
      <family val="2"/>
      <charset val="1"/>
    </font>
    <font>
      <b/>
      <i/>
      <sz val="9"/>
      <name val="Arial"/>
      <family val="2"/>
      <charset val="1"/>
    </font>
    <font>
      <b/>
      <i/>
      <u/>
      <sz val="20"/>
      <name val="Times New Roman"/>
      <family val="1"/>
      <charset val="1"/>
    </font>
    <font>
      <b/>
      <i/>
      <sz val="20"/>
      <name val="Times New Roman"/>
      <family val="1"/>
      <charset val="1"/>
    </font>
    <font>
      <sz val="10"/>
      <color rgb="FFFF0000"/>
      <name val="Arial"/>
      <family val="2"/>
      <charset val="1"/>
    </font>
    <font>
      <u/>
      <sz val="12"/>
      <color rgb="FF0000D4"/>
      <name val="Arial"/>
      <family val="2"/>
      <charset val="1"/>
    </font>
    <font>
      <u/>
      <sz val="10"/>
      <color rgb="FF0000FF"/>
      <name val="Arial"/>
      <family val="2"/>
      <charset val="1"/>
    </font>
  </fonts>
  <fills count="6">
    <fill>
      <patternFill patternType="none"/>
    </fill>
    <fill>
      <patternFill patternType="gray125"/>
    </fill>
    <fill>
      <patternFill patternType="solid">
        <fgColor rgb="FFFFFFFF"/>
        <bgColor rgb="FFFFFFCC"/>
      </patternFill>
    </fill>
    <fill>
      <patternFill patternType="solid">
        <fgColor rgb="FFD9D9D9"/>
        <bgColor rgb="FFC0C0C0"/>
      </patternFill>
    </fill>
    <fill>
      <patternFill patternType="solid">
        <fgColor rgb="FF99CCFF"/>
        <bgColor rgb="FFC0C0C0"/>
      </patternFill>
    </fill>
    <fill>
      <patternFill patternType="solid">
        <fgColor rgb="FFFFFF00"/>
        <bgColor rgb="FFFFFF00"/>
      </patternFill>
    </fill>
  </fills>
  <borders count="67">
    <border>
      <left/>
      <right/>
      <top/>
      <bottom/>
      <diagonal/>
    </border>
    <border>
      <left style="thick">
        <color auto="1"/>
      </left>
      <right/>
      <top style="thick">
        <color auto="1"/>
      </top>
      <bottom/>
      <diagonal/>
    </border>
    <border>
      <left/>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ck">
        <color auto="1"/>
      </right>
      <top style="thick">
        <color auto="1"/>
      </top>
      <bottom/>
      <diagonal/>
    </border>
    <border>
      <left/>
      <right/>
      <top style="thick">
        <color auto="1"/>
      </top>
      <bottom/>
      <diagonal/>
    </border>
    <border>
      <left/>
      <right style="thick">
        <color auto="1"/>
      </right>
      <top style="thick">
        <color auto="1"/>
      </top>
      <bottom style="thin">
        <color auto="1"/>
      </bottom>
      <diagonal/>
    </border>
    <border>
      <left style="thin">
        <color auto="1"/>
      </left>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ck">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style="thick">
        <color auto="1"/>
      </right>
      <top style="thick">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n">
        <color auto="1"/>
      </bottom>
      <diagonal/>
    </border>
    <border>
      <left/>
      <right style="thin">
        <color auto="1"/>
      </right>
      <top style="thick">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style="thick">
        <color auto="1"/>
      </right>
      <top style="thick">
        <color auto="1"/>
      </top>
      <bottom style="thick">
        <color auto="1"/>
      </bottom>
      <diagonal/>
    </border>
    <border>
      <left style="thin">
        <color auto="1"/>
      </left>
      <right style="thin">
        <color auto="1"/>
      </right>
      <top style="double">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0" fillId="0" borderId="0" applyBorder="0" applyProtection="0"/>
  </cellStyleXfs>
  <cellXfs count="495">
    <xf numFmtId="0" fontId="0" fillId="0" borderId="0" xfId="0"/>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horizontal="left" vertical="top"/>
    </xf>
    <xf numFmtId="0" fontId="3" fillId="2" borderId="0" xfId="0" applyFont="1" applyFill="1" applyAlignment="1">
      <alignment vertical="top"/>
    </xf>
    <xf numFmtId="0" fontId="3"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vertical="top" wrapText="1"/>
    </xf>
    <xf numFmtId="0" fontId="5" fillId="2" borderId="0" xfId="0" applyFont="1" applyFill="1" applyAlignment="1">
      <alignment horizontal="right" vertical="top"/>
    </xf>
    <xf numFmtId="0" fontId="5" fillId="2" borderId="0" xfId="0" applyFont="1" applyFill="1" applyAlignment="1">
      <alignment vertical="top"/>
    </xf>
    <xf numFmtId="0" fontId="7" fillId="2" borderId="0" xfId="0" applyFont="1" applyFill="1" applyAlignment="1">
      <alignment horizontal="left" vertical="top"/>
    </xf>
    <xf numFmtId="0" fontId="6" fillId="2" borderId="0" xfId="0" applyFont="1" applyFill="1" applyAlignment="1">
      <alignment horizontal="right" vertical="top"/>
    </xf>
    <xf numFmtId="0" fontId="8" fillId="2" borderId="0" xfId="0" applyFont="1" applyFill="1" applyAlignment="1">
      <alignment horizontal="right" vertical="center"/>
    </xf>
    <xf numFmtId="0" fontId="9" fillId="2" borderId="0" xfId="1" applyFont="1" applyFill="1" applyBorder="1" applyAlignment="1" applyProtection="1">
      <alignment horizontal="left" vertical="top"/>
    </xf>
    <xf numFmtId="0" fontId="6" fillId="2" borderId="0" xfId="0" applyFont="1" applyFill="1" applyAlignment="1">
      <alignment horizontal="left" vertical="top"/>
    </xf>
    <xf numFmtId="0" fontId="11" fillId="2" borderId="0" xfId="0" applyFont="1" applyFill="1" applyAlignment="1">
      <alignment horizontal="left" vertical="top"/>
    </xf>
    <xf numFmtId="0" fontId="12" fillId="2" borderId="0" xfId="0" applyFont="1" applyFill="1" applyAlignment="1">
      <alignment horizontal="right" vertical="top"/>
    </xf>
    <xf numFmtId="0" fontId="12" fillId="2" borderId="0" xfId="0" applyFont="1" applyFill="1" applyAlignment="1">
      <alignment horizontal="left" vertical="top"/>
    </xf>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horizontal="right" vertical="center"/>
    </xf>
    <xf numFmtId="0" fontId="14" fillId="2" borderId="0" xfId="0" applyFont="1" applyFill="1" applyAlignment="1">
      <alignment horizontal="left" vertical="top"/>
    </xf>
    <xf numFmtId="0" fontId="8" fillId="2" borderId="0" xfId="0" applyFont="1" applyFill="1" applyAlignment="1">
      <alignment vertical="top" wrapText="1"/>
    </xf>
    <xf numFmtId="0" fontId="10" fillId="2" borderId="0" xfId="1" applyFill="1" applyBorder="1" applyAlignment="1" applyProtection="1">
      <alignment vertical="top" wrapText="1"/>
    </xf>
    <xf numFmtId="0" fontId="15" fillId="2" borderId="0" xfId="1" applyFont="1" applyFill="1" applyBorder="1" applyAlignment="1" applyProtection="1">
      <alignment vertical="top" wrapText="1"/>
    </xf>
    <xf numFmtId="0" fontId="16"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12" fillId="2" borderId="0" xfId="0" applyFont="1" applyFill="1" applyAlignment="1">
      <alignment vertical="top"/>
    </xf>
    <xf numFmtId="1" fontId="14" fillId="2" borderId="0" xfId="0" applyNumberFormat="1" applyFont="1" applyFill="1" applyAlignment="1">
      <alignment horizontal="left" vertical="top"/>
    </xf>
    <xf numFmtId="0" fontId="19" fillId="2" borderId="0" xfId="0" applyFont="1" applyFill="1" applyAlignment="1">
      <alignment vertical="top" wrapText="1"/>
    </xf>
    <xf numFmtId="0" fontId="12" fillId="2" borderId="0" xfId="0" applyFont="1" applyFill="1" applyAlignment="1">
      <alignment horizontal="left"/>
    </xf>
    <xf numFmtId="0" fontId="0" fillId="2" borderId="0" xfId="0" applyFill="1"/>
    <xf numFmtId="0" fontId="20" fillId="2" borderId="0" xfId="0" applyFont="1" applyFill="1"/>
    <xf numFmtId="0" fontId="21" fillId="2" borderId="0" xfId="0" applyFont="1" applyFill="1"/>
    <xf numFmtId="0" fontId="21" fillId="2" borderId="0" xfId="0" applyFont="1" applyFill="1" applyAlignment="1">
      <alignment horizontal="center"/>
    </xf>
    <xf numFmtId="0" fontId="12" fillId="2" borderId="1" xfId="0" applyFont="1" applyFill="1" applyBorder="1"/>
    <xf numFmtId="0" fontId="19" fillId="2" borderId="2" xfId="0" applyFont="1" applyFill="1" applyBorder="1" applyAlignment="1" applyProtection="1">
      <alignment horizontal="left"/>
      <protection locked="0"/>
    </xf>
    <xf numFmtId="0" fontId="19" fillId="3" borderId="3" xfId="0" applyFont="1" applyFill="1" applyBorder="1" applyAlignment="1" applyProtection="1">
      <alignment horizontal="left"/>
      <protection locked="0"/>
    </xf>
    <xf numFmtId="0" fontId="12" fillId="4" borderId="4" xfId="0" applyFont="1" applyFill="1" applyBorder="1"/>
    <xf numFmtId="164" fontId="12" fillId="4" borderId="5" xfId="0" applyNumberFormat="1" applyFont="1" applyFill="1" applyBorder="1" applyAlignment="1" applyProtection="1">
      <alignment horizontal="left"/>
      <protection locked="0"/>
    </xf>
    <xf numFmtId="0" fontId="12" fillId="3" borderId="6" xfId="0" applyFont="1" applyFill="1" applyBorder="1" applyAlignment="1" applyProtection="1">
      <alignment horizontal="left"/>
      <protection locked="0"/>
    </xf>
    <xf numFmtId="0" fontId="0" fillId="2" borderId="4" xfId="0" applyFill="1" applyBorder="1"/>
    <xf numFmtId="164" fontId="0" fillId="2" borderId="5" xfId="0" applyNumberFormat="1" applyFill="1" applyBorder="1" applyAlignment="1">
      <alignment horizontal="left"/>
    </xf>
    <xf numFmtId="0" fontId="12" fillId="4" borderId="5" xfId="0" applyFont="1" applyFill="1" applyBorder="1" applyAlignment="1" applyProtection="1">
      <alignment horizontal="left"/>
      <protection locked="0"/>
    </xf>
    <xf numFmtId="0" fontId="8" fillId="4" borderId="6" xfId="0" applyFont="1" applyFill="1" applyBorder="1" applyAlignment="1" applyProtection="1">
      <alignment horizontal="left"/>
      <protection locked="0"/>
    </xf>
    <xf numFmtId="0" fontId="12" fillId="2" borderId="4" xfId="0" applyFont="1" applyFill="1" applyBorder="1"/>
    <xf numFmtId="0" fontId="12" fillId="2" borderId="5" xfId="0" applyFont="1" applyFill="1" applyBorder="1" applyAlignment="1" applyProtection="1">
      <alignment horizontal="left"/>
      <protection locked="0"/>
    </xf>
    <xf numFmtId="0" fontId="0" fillId="2" borderId="5" xfId="0" applyFill="1" applyBorder="1" applyAlignment="1" applyProtection="1">
      <alignment horizontal="left"/>
      <protection locked="0"/>
    </xf>
    <xf numFmtId="0" fontId="0" fillId="4" borderId="4" xfId="0" applyFill="1" applyBorder="1"/>
    <xf numFmtId="0" fontId="12" fillId="4" borderId="5" xfId="0" applyFont="1" applyFill="1" applyBorder="1" applyAlignment="1">
      <alignment horizontal="left"/>
    </xf>
    <xf numFmtId="0" fontId="8" fillId="2" borderId="6" xfId="0" applyFont="1" applyFill="1" applyBorder="1" applyAlignment="1" applyProtection="1">
      <alignment horizontal="left"/>
      <protection locked="0"/>
    </xf>
    <xf numFmtId="0" fontId="12" fillId="4" borderId="7" xfId="0" applyFont="1" applyFill="1" applyBorder="1"/>
    <xf numFmtId="0" fontId="12" fillId="4" borderId="8" xfId="0" applyFont="1" applyFill="1" applyBorder="1" applyAlignment="1" applyProtection="1">
      <alignment horizontal="left"/>
      <protection locked="0"/>
    </xf>
    <xf numFmtId="0" fontId="8" fillId="4" borderId="9" xfId="0" applyFont="1" applyFill="1" applyBorder="1" applyAlignment="1" applyProtection="1">
      <alignment horizontal="left"/>
      <protection locked="0"/>
    </xf>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4" fillId="2" borderId="0" xfId="0" applyFont="1" applyFill="1"/>
    <xf numFmtId="0" fontId="24" fillId="2" borderId="0" xfId="0" applyFont="1" applyFill="1" applyAlignment="1">
      <alignment horizontal="left"/>
    </xf>
    <xf numFmtId="0" fontId="21" fillId="2" borderId="0" xfId="0" applyFont="1" applyFill="1" applyAlignment="1">
      <alignment horizontal="left"/>
    </xf>
    <xf numFmtId="0" fontId="25" fillId="2" borderId="0" xfId="0" applyFont="1" applyFill="1"/>
    <xf numFmtId="1" fontId="26" fillId="2" borderId="0" xfId="0" applyNumberFormat="1" applyFont="1" applyFill="1" applyAlignment="1">
      <alignment horizontal="right"/>
    </xf>
    <xf numFmtId="0" fontId="26" fillId="2" borderId="0" xfId="0" applyFont="1" applyFill="1"/>
    <xf numFmtId="0" fontId="0" fillId="2" borderId="0" xfId="0" applyFill="1" applyAlignment="1">
      <alignment horizontal="left"/>
    </xf>
    <xf numFmtId="0" fontId="27" fillId="2" borderId="10" xfId="0" applyFont="1" applyFill="1" applyBorder="1"/>
    <xf numFmtId="0" fontId="27" fillId="2" borderId="11" xfId="0" applyFont="1" applyFill="1" applyBorder="1"/>
    <xf numFmtId="0" fontId="27" fillId="2" borderId="11" xfId="0" applyFont="1" applyFill="1" applyBorder="1" applyAlignment="1">
      <alignment horizontal="left"/>
    </xf>
    <xf numFmtId="0" fontId="27" fillId="2" borderId="12" xfId="0" applyFont="1" applyFill="1" applyBorder="1"/>
    <xf numFmtId="0" fontId="12" fillId="2" borderId="12" xfId="0" applyFont="1" applyFill="1" applyBorder="1" applyAlignment="1">
      <alignment horizontal="center"/>
    </xf>
    <xf numFmtId="0" fontId="27" fillId="2" borderId="13" xfId="0" applyFont="1" applyFill="1" applyBorder="1" applyAlignment="1">
      <alignment horizontal="left"/>
    </xf>
    <xf numFmtId="0" fontId="7" fillId="2" borderId="13" xfId="0" applyFont="1" applyFill="1" applyBorder="1" applyAlignment="1">
      <alignment horizontal="center"/>
    </xf>
    <xf numFmtId="0" fontId="7" fillId="2" borderId="14" xfId="0" applyFont="1" applyFill="1" applyBorder="1" applyAlignment="1">
      <alignment horizontal="center"/>
    </xf>
    <xf numFmtId="165" fontId="12" fillId="2" borderId="13" xfId="0" applyNumberFormat="1" applyFont="1" applyFill="1" applyBorder="1" applyAlignment="1">
      <alignment horizontal="center"/>
    </xf>
    <xf numFmtId="165" fontId="12" fillId="2" borderId="15" xfId="0" applyNumberFormat="1" applyFont="1" applyFill="1" applyBorder="1" applyAlignment="1">
      <alignment horizontal="center"/>
    </xf>
    <xf numFmtId="0" fontId="12" fillId="2" borderId="11" xfId="0" applyFont="1" applyFill="1" applyBorder="1" applyAlignment="1">
      <alignment horizontal="center"/>
    </xf>
    <xf numFmtId="0" fontId="28" fillId="2" borderId="16"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8" fillId="2" borderId="16" xfId="0" applyNumberFormat="1" applyFont="1" applyFill="1" applyBorder="1" applyAlignment="1">
      <alignment horizontal="center"/>
    </xf>
    <xf numFmtId="0" fontId="27" fillId="2" borderId="0" xfId="0" applyFont="1" applyFill="1"/>
    <xf numFmtId="0" fontId="27" fillId="2" borderId="17" xfId="0" applyFont="1" applyFill="1" applyBorder="1" applyAlignment="1">
      <alignment horizontal="left" wrapText="1"/>
    </xf>
    <xf numFmtId="0" fontId="27" fillId="2" borderId="18" xfId="0" applyFont="1" applyFill="1" applyBorder="1" applyAlignment="1">
      <alignment wrapText="1"/>
    </xf>
    <xf numFmtId="0" fontId="27" fillId="2" borderId="9" xfId="0" applyFont="1" applyFill="1" applyBorder="1" applyAlignment="1">
      <alignment horizontal="left" wrapText="1"/>
    </xf>
    <xf numFmtId="0" fontId="27" fillId="2" borderId="19" xfId="0" applyFont="1" applyFill="1" applyBorder="1" applyAlignment="1">
      <alignment wrapText="1"/>
    </xf>
    <xf numFmtId="0" fontId="12" fillId="2" borderId="20" xfId="0" applyFont="1" applyFill="1" applyBorder="1" applyAlignment="1">
      <alignment horizontal="center" wrapText="1"/>
    </xf>
    <xf numFmtId="0" fontId="12" fillId="0" borderId="21" xfId="0" applyFont="1" applyBorder="1" applyAlignment="1">
      <alignment horizontal="center"/>
    </xf>
    <xf numFmtId="0" fontId="12" fillId="0" borderId="22" xfId="0" applyFont="1" applyBorder="1" applyAlignment="1">
      <alignment horizontal="center"/>
    </xf>
    <xf numFmtId="0" fontId="12" fillId="0" borderId="23" xfId="0" applyFont="1" applyBorder="1" applyAlignment="1">
      <alignment horizontal="center"/>
    </xf>
    <xf numFmtId="165" fontId="12" fillId="0" borderId="24" xfId="0" applyNumberFormat="1" applyFont="1" applyBorder="1" applyAlignment="1">
      <alignment horizontal="center"/>
    </xf>
    <xf numFmtId="0" fontId="12" fillId="0" borderId="18" xfId="0" applyFont="1" applyBorder="1" applyAlignment="1">
      <alignment horizontal="center"/>
    </xf>
    <xf numFmtId="0" fontId="28" fillId="2" borderId="25" xfId="0" applyFont="1" applyFill="1" applyBorder="1" applyAlignment="1">
      <alignment horizontal="center"/>
    </xf>
    <xf numFmtId="0" fontId="12" fillId="2" borderId="0" xfId="0" applyFont="1" applyFill="1" applyAlignment="1">
      <alignment wrapText="1"/>
    </xf>
    <xf numFmtId="1" fontId="28" fillId="2" borderId="25" xfId="0" applyNumberFormat="1" applyFont="1" applyFill="1" applyBorder="1" applyAlignment="1">
      <alignment horizontal="center"/>
    </xf>
    <xf numFmtId="0" fontId="27" fillId="2" borderId="0" xfId="0" applyFont="1" applyFill="1" applyAlignment="1">
      <alignment wrapText="1"/>
    </xf>
    <xf numFmtId="0" fontId="0" fillId="5" borderId="26" xfId="0" applyFill="1" applyBorder="1" applyProtection="1">
      <protection locked="0"/>
    </xf>
    <xf numFmtId="0" fontId="0" fillId="5" borderId="27" xfId="0" applyFill="1" applyBorder="1" applyProtection="1">
      <protection locked="0"/>
    </xf>
    <xf numFmtId="0" fontId="0" fillId="5" borderId="3" xfId="0" applyFill="1" applyBorder="1" applyAlignment="1" applyProtection="1">
      <alignment horizontal="right"/>
      <protection locked="0"/>
    </xf>
    <xf numFmtId="1" fontId="0" fillId="5" borderId="28" xfId="0" applyNumberFormat="1" applyFill="1" applyBorder="1" applyAlignment="1">
      <alignment horizontal="right"/>
    </xf>
    <xf numFmtId="0" fontId="29" fillId="5" borderId="26" xfId="0" applyFont="1" applyFill="1" applyBorder="1" applyAlignment="1" applyProtection="1">
      <alignment horizontal="center"/>
      <protection locked="0"/>
    </xf>
    <xf numFmtId="0" fontId="0" fillId="5" borderId="27" xfId="0" applyFill="1" applyBorder="1"/>
    <xf numFmtId="0" fontId="0" fillId="5" borderId="29" xfId="0" applyFill="1" applyBorder="1"/>
    <xf numFmtId="1" fontId="0" fillId="5" borderId="27" xfId="0" applyNumberFormat="1" applyFill="1" applyBorder="1" applyAlignment="1">
      <alignment horizontal="right"/>
    </xf>
    <xf numFmtId="1" fontId="0" fillId="5" borderId="27" xfId="0" applyNumberFormat="1" applyFill="1" applyBorder="1" applyAlignment="1" applyProtection="1">
      <alignment horizontal="right"/>
      <protection locked="0"/>
    </xf>
    <xf numFmtId="1" fontId="0" fillId="5" borderId="14" xfId="0" applyNumberFormat="1" applyFill="1" applyBorder="1" applyAlignment="1">
      <alignment horizontal="right"/>
    </xf>
    <xf numFmtId="0" fontId="0" fillId="5" borderId="0" xfId="0" applyFill="1"/>
    <xf numFmtId="0" fontId="0" fillId="0" borderId="30" xfId="0" applyBorder="1" applyProtection="1">
      <protection locked="0"/>
    </xf>
    <xf numFmtId="0" fontId="0" fillId="0" borderId="31" xfId="0" applyBorder="1" applyProtection="1">
      <protection locked="0"/>
    </xf>
    <xf numFmtId="0" fontId="0" fillId="0" borderId="32" xfId="0" applyBorder="1" applyAlignment="1" applyProtection="1">
      <alignment horizontal="right"/>
      <protection locked="0"/>
    </xf>
    <xf numFmtId="0" fontId="0" fillId="0" borderId="33" xfId="0" applyBorder="1" applyAlignment="1">
      <alignment horizontal="right"/>
    </xf>
    <xf numFmtId="0" fontId="29" fillId="0" borderId="30" xfId="0" applyFont="1" applyBorder="1" applyAlignment="1" applyProtection="1">
      <alignment horizontal="center"/>
      <protection locked="0"/>
    </xf>
    <xf numFmtId="0" fontId="0" fillId="0" borderId="34" xfId="0" applyBorder="1"/>
    <xf numFmtId="0" fontId="0" fillId="0" borderId="31" xfId="0" applyBorder="1"/>
    <xf numFmtId="0" fontId="0" fillId="0" borderId="31" xfId="0" applyBorder="1" applyAlignment="1">
      <alignment horizontal="right"/>
    </xf>
    <xf numFmtId="0" fontId="0" fillId="0" borderId="31" xfId="0" applyBorder="1" applyAlignment="1" applyProtection="1">
      <alignment horizontal="right"/>
      <protection locked="0"/>
    </xf>
    <xf numFmtId="0" fontId="0" fillId="0" borderId="35" xfId="0" applyBorder="1" applyAlignment="1">
      <alignment horizontal="right"/>
    </xf>
    <xf numFmtId="1" fontId="0" fillId="0" borderId="35" xfId="0" applyNumberFormat="1" applyBorder="1" applyAlignment="1">
      <alignment horizontal="right"/>
    </xf>
    <xf numFmtId="0" fontId="0" fillId="5" borderId="30" xfId="0" applyFill="1" applyBorder="1" applyProtection="1">
      <protection locked="0"/>
    </xf>
    <xf numFmtId="0" fontId="8" fillId="5" borderId="31" xfId="0" applyFont="1" applyFill="1" applyBorder="1" applyProtection="1">
      <protection locked="0"/>
    </xf>
    <xf numFmtId="0" fontId="0" fillId="5" borderId="31" xfId="0" applyFill="1" applyBorder="1" applyProtection="1">
      <protection locked="0"/>
    </xf>
    <xf numFmtId="0" fontId="0" fillId="5" borderId="32" xfId="0" applyFill="1" applyBorder="1" applyAlignment="1" applyProtection="1">
      <alignment horizontal="right"/>
      <protection locked="0"/>
    </xf>
    <xf numFmtId="0" fontId="0" fillId="5" borderId="33" xfId="0" applyFill="1" applyBorder="1" applyAlignment="1">
      <alignment horizontal="right"/>
    </xf>
    <xf numFmtId="0" fontId="29" fillId="5" borderId="30" xfId="0" applyFont="1" applyFill="1" applyBorder="1" applyAlignment="1" applyProtection="1">
      <alignment horizontal="center"/>
      <protection locked="0"/>
    </xf>
    <xf numFmtId="0" fontId="0" fillId="5" borderId="34" xfId="0" applyFill="1" applyBorder="1"/>
    <xf numFmtId="0" fontId="0" fillId="5" borderId="31" xfId="0" applyFill="1" applyBorder="1"/>
    <xf numFmtId="0" fontId="0" fillId="5" borderId="31" xfId="0" applyFill="1" applyBorder="1" applyAlignment="1">
      <alignment horizontal="right"/>
    </xf>
    <xf numFmtId="0" fontId="0" fillId="5" borderId="31" xfId="0" applyFill="1" applyBorder="1" applyAlignment="1" applyProtection="1">
      <alignment horizontal="right"/>
      <protection locked="0"/>
    </xf>
    <xf numFmtId="0" fontId="0" fillId="5" borderId="35" xfId="0" applyFill="1" applyBorder="1" applyAlignment="1">
      <alignment horizontal="right"/>
    </xf>
    <xf numFmtId="1" fontId="0" fillId="5" borderId="35" xfId="0" applyNumberFormat="1" applyFill="1" applyBorder="1" applyAlignment="1">
      <alignment horizontal="right"/>
    </xf>
    <xf numFmtId="1" fontId="0" fillId="5" borderId="33" xfId="0" applyNumberFormat="1" applyFill="1" applyBorder="1" applyAlignment="1">
      <alignment horizontal="right"/>
    </xf>
    <xf numFmtId="1" fontId="0" fillId="5" borderId="31" xfId="0" applyNumberFormat="1" applyFill="1" applyBorder="1" applyAlignment="1">
      <alignment horizontal="right"/>
    </xf>
    <xf numFmtId="1" fontId="0" fillId="5" borderId="31" xfId="0" applyNumberFormat="1" applyFill="1" applyBorder="1" applyAlignment="1" applyProtection="1">
      <alignment horizontal="right"/>
      <protection locked="0"/>
    </xf>
    <xf numFmtId="0" fontId="0" fillId="4" borderId="30" xfId="0" applyFill="1" applyBorder="1" applyProtection="1">
      <protection locked="0"/>
    </xf>
    <xf numFmtId="0" fontId="0" fillId="4" borderId="31" xfId="0" applyFill="1" applyBorder="1" applyProtection="1">
      <protection locked="0"/>
    </xf>
    <xf numFmtId="0" fontId="0" fillId="4" borderId="32" xfId="0" applyFill="1" applyBorder="1" applyAlignment="1" applyProtection="1">
      <alignment horizontal="right"/>
      <protection locked="0"/>
    </xf>
    <xf numFmtId="0" fontId="0" fillId="4" borderId="33" xfId="0" applyFill="1" applyBorder="1" applyAlignment="1">
      <alignment horizontal="right"/>
    </xf>
    <xf numFmtId="0" fontId="29" fillId="4" borderId="30" xfId="0" applyFont="1" applyFill="1" applyBorder="1" applyAlignment="1" applyProtection="1">
      <alignment horizontal="center"/>
      <protection locked="0"/>
    </xf>
    <xf numFmtId="0" fontId="0" fillId="4" borderId="34" xfId="0" applyFill="1" applyBorder="1"/>
    <xf numFmtId="0" fontId="0" fillId="4" borderId="31" xfId="0" applyFill="1" applyBorder="1"/>
    <xf numFmtId="0" fontId="0" fillId="4" borderId="31" xfId="0" applyFill="1" applyBorder="1" applyAlignment="1">
      <alignment horizontal="right"/>
    </xf>
    <xf numFmtId="0" fontId="0" fillId="4" borderId="31" xfId="0" applyFill="1" applyBorder="1" applyAlignment="1" applyProtection="1">
      <alignment horizontal="right"/>
      <protection locked="0"/>
    </xf>
    <xf numFmtId="0" fontId="0" fillId="4" borderId="35" xfId="0" applyFill="1" applyBorder="1" applyAlignment="1">
      <alignment horizontal="right"/>
    </xf>
    <xf numFmtId="1" fontId="0" fillId="4" borderId="35" xfId="0" applyNumberFormat="1" applyFill="1" applyBorder="1" applyAlignment="1">
      <alignment horizontal="right"/>
    </xf>
    <xf numFmtId="0" fontId="0" fillId="0" borderId="36" xfId="0" applyBorder="1" applyProtection="1">
      <protection locked="0"/>
    </xf>
    <xf numFmtId="0" fontId="0" fillId="0" borderId="22" xfId="0" applyBorder="1" applyProtection="1">
      <protection locked="0"/>
    </xf>
    <xf numFmtId="0" fontId="0" fillId="0" borderId="23" xfId="0" applyBorder="1" applyAlignment="1" applyProtection="1">
      <alignment horizontal="right"/>
      <protection locked="0"/>
    </xf>
    <xf numFmtId="0" fontId="0" fillId="0" borderId="37" xfId="0" applyBorder="1" applyAlignment="1">
      <alignment horizontal="right"/>
    </xf>
    <xf numFmtId="0" fontId="29" fillId="0" borderId="36" xfId="0" applyFont="1" applyBorder="1" applyAlignment="1" applyProtection="1">
      <alignment horizontal="center"/>
      <protection locked="0"/>
    </xf>
    <xf numFmtId="0" fontId="0" fillId="0" borderId="21" xfId="0" applyBorder="1"/>
    <xf numFmtId="0" fontId="0" fillId="0" borderId="22" xfId="0" applyBorder="1"/>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38" xfId="0" applyBorder="1" applyAlignment="1">
      <alignment horizontal="right"/>
    </xf>
    <xf numFmtId="1" fontId="0" fillId="0" borderId="38" xfId="0" applyNumberFormat="1" applyBorder="1" applyAlignment="1">
      <alignment horizontal="right"/>
    </xf>
    <xf numFmtId="165" fontId="27" fillId="2" borderId="0" xfId="0" applyNumberFormat="1" applyFont="1" applyFill="1" applyAlignment="1">
      <alignment horizontal="center"/>
    </xf>
    <xf numFmtId="1" fontId="27" fillId="2" borderId="0" xfId="0" applyNumberFormat="1" applyFont="1" applyFill="1" applyAlignment="1">
      <alignment horizontal="center"/>
    </xf>
    <xf numFmtId="165" fontId="27" fillId="2" borderId="0" xfId="0" applyNumberFormat="1" applyFont="1" applyFill="1" applyAlignment="1">
      <alignment horizontal="center" wrapText="1"/>
    </xf>
    <xf numFmtId="1" fontId="27" fillId="2" borderId="0" xfId="0" applyNumberFormat="1" applyFont="1" applyFill="1" applyAlignment="1">
      <alignment horizontal="center" wrapText="1"/>
    </xf>
    <xf numFmtId="0" fontId="21" fillId="0" borderId="0" xfId="0" applyFont="1"/>
    <xf numFmtId="0" fontId="27" fillId="4" borderId="39" xfId="0" applyFont="1" applyFill="1" applyBorder="1" applyAlignment="1">
      <alignment horizontal="center" wrapText="1"/>
    </xf>
    <xf numFmtId="0" fontId="27" fillId="4" borderId="40" xfId="0" applyFont="1" applyFill="1" applyBorder="1" applyAlignment="1">
      <alignment horizontal="center" wrapText="1"/>
    </xf>
    <xf numFmtId="0" fontId="27" fillId="4" borderId="41" xfId="0" applyFont="1" applyFill="1" applyBorder="1" applyAlignment="1">
      <alignment horizontal="center" wrapText="1"/>
    </xf>
    <xf numFmtId="0" fontId="21" fillId="0" borderId="42" xfId="0" applyFont="1" applyBorder="1" applyAlignment="1">
      <alignment horizontal="center"/>
    </xf>
    <xf numFmtId="0" fontId="21" fillId="0" borderId="43" xfId="0" applyFont="1" applyBorder="1" applyAlignment="1">
      <alignment horizontal="center"/>
    </xf>
    <xf numFmtId="0" fontId="21" fillId="0" borderId="31" xfId="0" applyFont="1" applyBorder="1" applyAlignment="1">
      <alignment horizontal="right"/>
    </xf>
    <xf numFmtId="0" fontId="21" fillId="0" borderId="44" xfId="0" applyFont="1" applyBorder="1" applyAlignment="1">
      <alignment horizontal="left"/>
    </xf>
    <xf numFmtId="0" fontId="21" fillId="0" borderId="44" xfId="0" applyFont="1" applyBorder="1" applyAlignment="1">
      <alignment horizontal="center"/>
    </xf>
    <xf numFmtId="0" fontId="21" fillId="0" borderId="6" xfId="0" applyFont="1" applyBorder="1" applyAlignment="1">
      <alignment horizontal="center"/>
    </xf>
    <xf numFmtId="0" fontId="21" fillId="0" borderId="30" xfId="0" applyFont="1" applyBorder="1" applyAlignment="1">
      <alignment horizontal="center"/>
    </xf>
    <xf numFmtId="0" fontId="21" fillId="0" borderId="34" xfId="0" applyFont="1" applyBorder="1" applyAlignment="1">
      <alignment horizontal="center"/>
    </xf>
    <xf numFmtId="0" fontId="21" fillId="0" borderId="31" xfId="0" applyFont="1" applyBorder="1" applyAlignment="1">
      <alignment horizontal="center"/>
    </xf>
    <xf numFmtId="0" fontId="21" fillId="0" borderId="32" xfId="0" applyFont="1" applyBorder="1" applyAlignment="1">
      <alignment horizontal="center"/>
    </xf>
    <xf numFmtId="0" fontId="21" fillId="0" borderId="31" xfId="0" applyFont="1" applyBorder="1" applyAlignment="1">
      <alignment horizontal="left"/>
    </xf>
    <xf numFmtId="49" fontId="21" fillId="0" borderId="31" xfId="0" applyNumberFormat="1" applyFont="1" applyBorder="1" applyAlignment="1">
      <alignment horizontal="left"/>
    </xf>
    <xf numFmtId="0" fontId="21" fillId="0" borderId="36"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left"/>
    </xf>
    <xf numFmtId="0" fontId="21" fillId="0" borderId="22" xfId="0" applyFont="1" applyBorder="1" applyAlignment="1">
      <alignment horizontal="center"/>
    </xf>
    <xf numFmtId="0" fontId="21" fillId="0" borderId="23" xfId="0" applyFont="1" applyBorder="1" applyAlignment="1">
      <alignment horizontal="center"/>
    </xf>
    <xf numFmtId="0" fontId="0" fillId="0" borderId="0" xfId="0" applyAlignment="1">
      <alignment horizontal="center"/>
    </xf>
    <xf numFmtId="166" fontId="0" fillId="2" borderId="31" xfId="0" applyNumberFormat="1" applyFill="1" applyBorder="1" applyAlignment="1" applyProtection="1">
      <alignment horizontal="left"/>
      <protection locked="0"/>
    </xf>
    <xf numFmtId="0" fontId="33" fillId="2" borderId="0" xfId="0" applyFont="1" applyFill="1"/>
    <xf numFmtId="0" fontId="0" fillId="2" borderId="0" xfId="0" applyFill="1" applyAlignment="1">
      <alignment horizontal="center" vertical="top"/>
    </xf>
    <xf numFmtId="0" fontId="0" fillId="2" borderId="45" xfId="0" applyFill="1" applyBorder="1" applyAlignment="1">
      <alignment vertical="top"/>
    </xf>
    <xf numFmtId="166" fontId="0" fillId="2" borderId="31"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6" xfId="0" applyFill="1" applyBorder="1"/>
    <xf numFmtId="0" fontId="24" fillId="2" borderId="1" xfId="0" applyFont="1" applyFill="1" applyBorder="1" applyAlignment="1">
      <alignment horizontal="left"/>
    </xf>
    <xf numFmtId="0" fontId="12" fillId="2" borderId="13" xfId="0" applyFont="1" applyFill="1" applyBorder="1"/>
    <xf numFmtId="0" fontId="0" fillId="2" borderId="47" xfId="0" applyFill="1" applyBorder="1" applyAlignment="1">
      <alignment horizontal="center"/>
    </xf>
    <xf numFmtId="0" fontId="24" fillId="2" borderId="13" xfId="0" applyFont="1" applyFill="1" applyBorder="1" applyAlignment="1">
      <alignment horizontal="left"/>
    </xf>
    <xf numFmtId="0" fontId="0" fillId="2" borderId="13" xfId="0" applyFill="1" applyBorder="1" applyAlignment="1">
      <alignment horizontal="center"/>
    </xf>
    <xf numFmtId="0" fontId="24" fillId="2" borderId="47" xfId="0" applyFont="1" applyFill="1" applyBorder="1" applyAlignment="1">
      <alignment horizontal="left"/>
    </xf>
    <xf numFmtId="0" fontId="0" fillId="2" borderId="47" xfId="0" applyFill="1" applyBorder="1" applyAlignment="1">
      <alignment horizontal="left"/>
    </xf>
    <xf numFmtId="0" fontId="26" fillId="2" borderId="39" xfId="0" applyFont="1" applyFill="1" applyBorder="1"/>
    <xf numFmtId="0" fontId="0" fillId="2" borderId="40" xfId="0" applyFill="1" applyBorder="1"/>
    <xf numFmtId="0" fontId="0" fillId="2" borderId="41" xfId="0" applyFill="1" applyBorder="1"/>
    <xf numFmtId="0" fontId="13" fillId="2" borderId="39" xfId="0" applyFont="1" applyFill="1" applyBorder="1"/>
    <xf numFmtId="0" fontId="12" fillId="0" borderId="48" xfId="0" applyFont="1" applyBorder="1"/>
    <xf numFmtId="0" fontId="12" fillId="0" borderId="49" xfId="0" applyFont="1" applyBorder="1" applyAlignment="1">
      <alignment horizontal="left"/>
    </xf>
    <xf numFmtId="0" fontId="12" fillId="0" borderId="50" xfId="0" applyFont="1" applyBorder="1" applyAlignment="1">
      <alignment horizontal="left"/>
    </xf>
    <xf numFmtId="0" fontId="12" fillId="0" borderId="51" xfId="0" applyFont="1" applyBorder="1" applyAlignment="1">
      <alignment horizontal="right"/>
    </xf>
    <xf numFmtId="0" fontId="12" fillId="0" borderId="48" xfId="0" applyFont="1" applyBorder="1" applyAlignment="1">
      <alignment horizontal="right"/>
    </xf>
    <xf numFmtId="0" fontId="12" fillId="0" borderId="49" xfId="0" applyFont="1" applyBorder="1" applyAlignment="1">
      <alignment horizontal="right"/>
    </xf>
    <xf numFmtId="0" fontId="12" fillId="0" borderId="52" xfId="0" applyFont="1" applyBorder="1" applyAlignment="1">
      <alignment horizontal="center"/>
    </xf>
    <xf numFmtId="0" fontId="12" fillId="0" borderId="41" xfId="0" applyFont="1" applyBorder="1" applyAlignment="1">
      <alignment horizontal="right"/>
    </xf>
    <xf numFmtId="0" fontId="12" fillId="0" borderId="51" xfId="0" applyFont="1" applyBorder="1" applyAlignment="1">
      <alignment horizontal="left"/>
    </xf>
    <xf numFmtId="0" fontId="12" fillId="2" borderId="48" xfId="0" applyFont="1" applyFill="1" applyBorder="1"/>
    <xf numFmtId="0" fontId="12" fillId="2" borderId="49" xfId="0" applyFont="1" applyFill="1" applyBorder="1"/>
    <xf numFmtId="0" fontId="12" fillId="2" borderId="51" xfId="0" applyFont="1" applyFill="1" applyBorder="1"/>
    <xf numFmtId="0" fontId="12" fillId="2" borderId="39" xfId="0" applyFont="1" applyFill="1" applyBorder="1"/>
    <xf numFmtId="0" fontId="12" fillId="2" borderId="40" xfId="0" applyFont="1" applyFill="1" applyBorder="1"/>
    <xf numFmtId="0" fontId="12" fillId="2" borderId="41" xfId="0" applyFont="1" applyFill="1" applyBorder="1"/>
    <xf numFmtId="0" fontId="5" fillId="2" borderId="0" xfId="0" applyFont="1" applyFill="1" applyAlignment="1">
      <alignment horizontal="right"/>
    </xf>
    <xf numFmtId="0" fontId="0" fillId="4" borderId="26" xfId="0" applyFill="1" applyBorder="1" applyProtection="1">
      <protection locked="0"/>
    </xf>
    <xf numFmtId="0" fontId="0" fillId="4" borderId="53" xfId="0" applyFill="1" applyBorder="1"/>
    <xf numFmtId="0" fontId="0" fillId="4" borderId="3" xfId="0" applyFill="1" applyBorder="1" applyAlignment="1">
      <alignment horizontal="center"/>
    </xf>
    <xf numFmtId="0" fontId="0" fillId="4" borderId="53" xfId="0" applyFill="1" applyBorder="1" applyAlignment="1" applyProtection="1">
      <alignment horizontal="center"/>
      <protection locked="0"/>
    </xf>
    <xf numFmtId="167" fontId="12" fillId="4" borderId="27" xfId="0" applyNumberFormat="1" applyFont="1" applyFill="1" applyBorder="1" applyAlignment="1">
      <alignment horizontal="center"/>
    </xf>
    <xf numFmtId="168" fontId="0" fillId="4" borderId="27" xfId="0" applyNumberFormat="1" applyFill="1" applyBorder="1" applyAlignment="1">
      <alignment horizontal="right"/>
    </xf>
    <xf numFmtId="0" fontId="0" fillId="4" borderId="2" xfId="0" applyFill="1" applyBorder="1" applyAlignment="1">
      <alignment horizontal="left"/>
    </xf>
    <xf numFmtId="0" fontId="0" fillId="4" borderId="26" xfId="0" applyFill="1" applyBorder="1"/>
    <xf numFmtId="0" fontId="0" fillId="4" borderId="29" xfId="0" applyFill="1" applyBorder="1"/>
    <xf numFmtId="0" fontId="0" fillId="4" borderId="14" xfId="0" applyFill="1" applyBorder="1"/>
    <xf numFmtId="0" fontId="0" fillId="4" borderId="10" xfId="0" applyFill="1" applyBorder="1"/>
    <xf numFmtId="0" fontId="0" fillId="4" borderId="54" xfId="0" applyFill="1" applyBorder="1"/>
    <xf numFmtId="0" fontId="0" fillId="4" borderId="47" xfId="0" applyFill="1" applyBorder="1"/>
    <xf numFmtId="0" fontId="0" fillId="0" borderId="55" xfId="0" applyBorder="1"/>
    <xf numFmtId="0" fontId="0" fillId="0" borderId="32" xfId="0" applyBorder="1" applyAlignment="1">
      <alignment horizontal="center"/>
    </xf>
    <xf numFmtId="0" fontId="0" fillId="0" borderId="55" xfId="0" applyBorder="1" applyAlignment="1" applyProtection="1">
      <alignment horizontal="center"/>
      <protection locked="0"/>
    </xf>
    <xf numFmtId="167" fontId="12" fillId="0" borderId="31" xfId="0" applyNumberFormat="1" applyFont="1" applyBorder="1" applyAlignment="1">
      <alignment horizontal="center"/>
    </xf>
    <xf numFmtId="168" fontId="0" fillId="0" borderId="31" xfId="0" applyNumberFormat="1" applyBorder="1" applyAlignment="1">
      <alignment horizontal="right"/>
    </xf>
    <xf numFmtId="0" fontId="0" fillId="0" borderId="56" xfId="0" applyBorder="1" applyAlignment="1">
      <alignment horizontal="left"/>
    </xf>
    <xf numFmtId="0" fontId="0" fillId="2" borderId="30" xfId="0" applyFill="1" applyBorder="1"/>
    <xf numFmtId="0" fontId="0" fillId="2" borderId="34" xfId="0" applyFill="1" applyBorder="1"/>
    <xf numFmtId="0" fontId="0" fillId="2" borderId="35" xfId="0" applyFill="1" applyBorder="1"/>
    <xf numFmtId="0" fontId="0" fillId="4" borderId="55" xfId="0" applyFill="1" applyBorder="1"/>
    <xf numFmtId="0" fontId="0" fillId="4" borderId="32" xfId="0" applyFill="1" applyBorder="1" applyAlignment="1">
      <alignment horizontal="center"/>
    </xf>
    <xf numFmtId="0" fontId="0" fillId="4" borderId="55" xfId="0" applyFill="1" applyBorder="1" applyAlignment="1" applyProtection="1">
      <alignment horizontal="center"/>
      <protection locked="0"/>
    </xf>
    <xf numFmtId="167" fontId="12" fillId="4" borderId="31" xfId="0" applyNumberFormat="1" applyFont="1" applyFill="1" applyBorder="1" applyAlignment="1">
      <alignment horizontal="center"/>
    </xf>
    <xf numFmtId="168" fontId="0" fillId="4" borderId="31" xfId="0" applyNumberFormat="1" applyFill="1" applyBorder="1" applyAlignment="1">
      <alignment horizontal="right"/>
    </xf>
    <xf numFmtId="0" fontId="0" fillId="4" borderId="56" xfId="0" applyFill="1" applyBorder="1" applyAlignment="1">
      <alignment horizontal="left"/>
    </xf>
    <xf numFmtId="0" fontId="0" fillId="4" borderId="30" xfId="0" applyFill="1" applyBorder="1"/>
    <xf numFmtId="0" fontId="0" fillId="4" borderId="35" xfId="0" applyFill="1" applyBorder="1"/>
    <xf numFmtId="0" fontId="0" fillId="2" borderId="30" xfId="0" applyFill="1" applyBorder="1" applyProtection="1">
      <protection locked="0"/>
    </xf>
    <xf numFmtId="0" fontId="0" fillId="2" borderId="31" xfId="0" applyFill="1" applyBorder="1"/>
    <xf numFmtId="0" fontId="0" fillId="2" borderId="55" xfId="0" applyFill="1" applyBorder="1"/>
    <xf numFmtId="0" fontId="0" fillId="2" borderId="32" xfId="0" applyFill="1" applyBorder="1" applyAlignment="1">
      <alignment horizontal="center"/>
    </xf>
    <xf numFmtId="0" fontId="0" fillId="2" borderId="55" xfId="0" applyFill="1" applyBorder="1" applyAlignment="1" applyProtection="1">
      <alignment horizontal="center"/>
      <protection locked="0"/>
    </xf>
    <xf numFmtId="0" fontId="0" fillId="2" borderId="56" xfId="0" applyFill="1" applyBorder="1" applyAlignment="1">
      <alignment horizontal="left"/>
    </xf>
    <xf numFmtId="0" fontId="0" fillId="4" borderId="36" xfId="0" applyFill="1" applyBorder="1" applyProtection="1">
      <protection locked="0"/>
    </xf>
    <xf numFmtId="0" fontId="0" fillId="4" borderId="22" xfId="0" applyFill="1" applyBorder="1"/>
    <xf numFmtId="0" fontId="0" fillId="4" borderId="57" xfId="0" applyFill="1" applyBorder="1"/>
    <xf numFmtId="0" fontId="0" fillId="4" borderId="23" xfId="0" applyFill="1" applyBorder="1" applyAlignment="1">
      <alignment horizontal="center"/>
    </xf>
    <xf numFmtId="0" fontId="0" fillId="4" borderId="57" xfId="0" applyFill="1" applyBorder="1" applyAlignment="1" applyProtection="1">
      <alignment horizontal="center"/>
      <protection locked="0"/>
    </xf>
    <xf numFmtId="0" fontId="0" fillId="4" borderId="58" xfId="0" applyFill="1" applyBorder="1" applyAlignment="1">
      <alignment horizontal="left"/>
    </xf>
    <xf numFmtId="0" fontId="0" fillId="4" borderId="36" xfId="0" applyFill="1" applyBorder="1"/>
    <xf numFmtId="0" fontId="0" fillId="4" borderId="21" xfId="0" applyFill="1" applyBorder="1"/>
    <xf numFmtId="0" fontId="0" fillId="4" borderId="38" xfId="0" applyFill="1" applyBorder="1"/>
    <xf numFmtId="0" fontId="0" fillId="4" borderId="27" xfId="0" applyFill="1" applyBorder="1"/>
    <xf numFmtId="167" fontId="12" fillId="4" borderId="22" xfId="0" applyNumberFormat="1" applyFont="1" applyFill="1" applyBorder="1" applyAlignment="1">
      <alignment horizontal="center"/>
    </xf>
    <xf numFmtId="168" fontId="0" fillId="4" borderId="22" xfId="0" applyNumberFormat="1" applyFill="1" applyBorder="1" applyAlignment="1">
      <alignment horizontal="right"/>
    </xf>
    <xf numFmtId="0" fontId="0" fillId="2" borderId="46" xfId="0" applyFill="1" applyBorder="1" applyAlignment="1">
      <alignment vertical="top"/>
    </xf>
    <xf numFmtId="0" fontId="11" fillId="2" borderId="39" xfId="0" applyFont="1" applyFill="1" applyBorder="1"/>
    <xf numFmtId="0" fontId="12" fillId="2" borderId="40" xfId="0" applyFont="1" applyFill="1" applyBorder="1" applyAlignment="1">
      <alignment vertical="top"/>
    </xf>
    <xf numFmtId="0" fontId="11" fillId="2" borderId="41" xfId="0" applyFont="1" applyFill="1" applyBorder="1" applyAlignment="1">
      <alignment horizontal="right" vertical="top"/>
    </xf>
    <xf numFmtId="0" fontId="0" fillId="4" borderId="3" xfId="0" applyFill="1" applyBorder="1"/>
    <xf numFmtId="0" fontId="0" fillId="0" borderId="30" xfId="0" applyBorder="1"/>
    <xf numFmtId="0" fontId="0" fillId="0" borderId="32" xfId="0" applyBorder="1"/>
    <xf numFmtId="0" fontId="0" fillId="4" borderId="32" xfId="0" applyFill="1" applyBorder="1"/>
    <xf numFmtId="0" fontId="0" fillId="2" borderId="32" xfId="0" applyFill="1" applyBorder="1"/>
    <xf numFmtId="0" fontId="0" fillId="0" borderId="0" xfId="0" applyAlignment="1">
      <alignment horizontal="left" vertical="top"/>
    </xf>
    <xf numFmtId="0" fontId="0" fillId="4" borderId="23" xfId="0" applyFill="1" applyBorder="1"/>
    <xf numFmtId="0" fontId="24" fillId="2" borderId="1" xfId="0" applyFont="1" applyFill="1" applyBorder="1" applyAlignment="1">
      <alignment horizontal="left" vertical="center"/>
    </xf>
    <xf numFmtId="0" fontId="12" fillId="2" borderId="13" xfId="0" applyFont="1" applyFill="1" applyBorder="1" applyAlignment="1">
      <alignment vertical="center"/>
    </xf>
    <xf numFmtId="0" fontId="0" fillId="2" borderId="47" xfId="0" applyFill="1" applyBorder="1" applyAlignment="1">
      <alignment horizontal="center" vertical="center"/>
    </xf>
    <xf numFmtId="0" fontId="0" fillId="0" borderId="0" xfId="0" applyAlignment="1">
      <alignment vertical="center"/>
    </xf>
    <xf numFmtId="0" fontId="24" fillId="2" borderId="13" xfId="0" applyFont="1" applyFill="1" applyBorder="1" applyAlignment="1">
      <alignment horizontal="left" vertical="center"/>
    </xf>
    <xf numFmtId="0" fontId="0" fillId="0" borderId="40" xfId="0" applyBorder="1" applyAlignment="1">
      <alignment vertical="center"/>
    </xf>
    <xf numFmtId="0" fontId="0" fillId="2" borderId="13" xfId="0" applyFill="1" applyBorder="1" applyAlignment="1">
      <alignment horizontal="center" vertical="center"/>
    </xf>
    <xf numFmtId="0" fontId="0" fillId="2" borderId="40" xfId="0" applyFill="1" applyBorder="1" applyAlignment="1">
      <alignment horizontal="left" vertical="center"/>
    </xf>
    <xf numFmtId="0" fontId="0" fillId="2" borderId="47" xfId="0" applyFill="1" applyBorder="1" applyAlignment="1">
      <alignment horizontal="left" vertical="center"/>
    </xf>
    <xf numFmtId="0" fontId="26" fillId="2" borderId="39" xfId="0" applyFont="1" applyFill="1" applyBorder="1" applyAlignment="1">
      <alignment vertical="center"/>
    </xf>
    <xf numFmtId="0" fontId="0" fillId="2" borderId="40" xfId="0" applyFill="1" applyBorder="1" applyAlignment="1">
      <alignment vertical="center"/>
    </xf>
    <xf numFmtId="0" fontId="0" fillId="2" borderId="41"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41" xfId="0" applyFill="1" applyBorder="1" applyAlignment="1">
      <alignment horizontal="left" vertical="center"/>
    </xf>
    <xf numFmtId="0" fontId="12" fillId="0" borderId="48" xfId="0" applyFont="1" applyBorder="1" applyAlignment="1">
      <alignment vertical="center"/>
    </xf>
    <xf numFmtId="0" fontId="12" fillId="0" borderId="49" xfId="0" applyFont="1" applyBorder="1" applyAlignment="1">
      <alignment horizontal="left" vertical="center"/>
    </xf>
    <xf numFmtId="0" fontId="12" fillId="0" borderId="50" xfId="0" applyFont="1" applyBorder="1" applyAlignment="1">
      <alignment horizontal="left" vertical="center"/>
    </xf>
    <xf numFmtId="0" fontId="12" fillId="0" borderId="51" xfId="0" applyFont="1" applyBorder="1" applyAlignment="1">
      <alignment horizontal="right" vertical="center"/>
    </xf>
    <xf numFmtId="0" fontId="12" fillId="0" borderId="52" xfId="0" applyFont="1" applyBorder="1" applyAlignment="1">
      <alignment horizontal="right" vertical="center"/>
    </xf>
    <xf numFmtId="0" fontId="12" fillId="0" borderId="49" xfId="0" applyFont="1" applyBorder="1" applyAlignment="1">
      <alignment horizontal="right" vertical="center"/>
    </xf>
    <xf numFmtId="0" fontId="12" fillId="0" borderId="49" xfId="0" applyFont="1" applyBorder="1" applyAlignment="1">
      <alignment horizontal="center" vertical="center"/>
    </xf>
    <xf numFmtId="0" fontId="12" fillId="0" borderId="41" xfId="0" applyFont="1" applyBorder="1" applyAlignment="1">
      <alignment horizontal="left" vertical="center"/>
    </xf>
    <xf numFmtId="0" fontId="12" fillId="2" borderId="48" xfId="0" applyFont="1" applyFill="1" applyBorder="1" applyAlignment="1">
      <alignment vertical="center"/>
    </xf>
    <xf numFmtId="0" fontId="12" fillId="2" borderId="49" xfId="0" applyFont="1" applyFill="1" applyBorder="1" applyAlignment="1">
      <alignment vertical="center"/>
    </xf>
    <xf numFmtId="0" fontId="12" fillId="2" borderId="51"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51" xfId="0" applyFont="1" applyBorder="1" applyAlignment="1">
      <alignment horizontal="center" vertical="center"/>
    </xf>
    <xf numFmtId="0" fontId="12" fillId="2" borderId="0" xfId="0" applyFont="1" applyFill="1" applyAlignment="1">
      <alignment vertical="center"/>
    </xf>
    <xf numFmtId="0" fontId="0" fillId="4" borderId="26" xfId="0" applyFill="1" applyBorder="1" applyAlignment="1" applyProtection="1">
      <alignment vertical="center"/>
      <protection locked="0"/>
    </xf>
    <xf numFmtId="0" fontId="0" fillId="4" borderId="31" xfId="0" applyFill="1" applyBorder="1" applyAlignment="1">
      <alignment vertical="center"/>
    </xf>
    <xf numFmtId="0" fontId="0" fillId="4" borderId="53" xfId="0" applyFill="1" applyBorder="1" applyAlignment="1">
      <alignment vertical="center"/>
    </xf>
    <xf numFmtId="0" fontId="0" fillId="4" borderId="3" xfId="0" applyFill="1" applyBorder="1" applyAlignment="1">
      <alignment horizontal="center" vertical="center"/>
    </xf>
    <xf numFmtId="0" fontId="0" fillId="4" borderId="26" xfId="0" applyFill="1" applyBorder="1" applyAlignment="1">
      <alignment horizontal="right" vertical="center"/>
    </xf>
    <xf numFmtId="0" fontId="0" fillId="4" borderId="29" xfId="0" applyFill="1" applyBorder="1" applyAlignment="1" applyProtection="1">
      <alignment horizontal="right" vertical="center"/>
      <protection locked="0"/>
    </xf>
    <xf numFmtId="0" fontId="0" fillId="4" borderId="27" xfId="0" applyFill="1" applyBorder="1" applyAlignment="1" applyProtection="1">
      <alignment horizontal="right" vertical="center"/>
      <protection locked="0"/>
    </xf>
    <xf numFmtId="167" fontId="0" fillId="4" borderId="27" xfId="0" applyNumberFormat="1" applyFill="1" applyBorder="1" applyAlignment="1" applyProtection="1">
      <alignment horizontal="right" vertical="center"/>
      <protection locked="0"/>
    </xf>
    <xf numFmtId="0" fontId="0" fillId="4" borderId="27" xfId="0" applyFill="1" applyBorder="1" applyAlignment="1">
      <alignment horizontal="right" vertical="center"/>
    </xf>
    <xf numFmtId="168" fontId="0" fillId="4" borderId="27" xfId="0" applyNumberFormat="1" applyFill="1" applyBorder="1" applyAlignment="1">
      <alignment horizontal="right" vertical="center"/>
    </xf>
    <xf numFmtId="0" fontId="0" fillId="4" borderId="2" xfId="0" applyFill="1" applyBorder="1" applyAlignment="1">
      <alignment horizontal="left" vertical="center"/>
    </xf>
    <xf numFmtId="0" fontId="0" fillId="4" borderId="26" xfId="0" applyFill="1" applyBorder="1" applyAlignment="1">
      <alignment vertical="center"/>
    </xf>
    <xf numFmtId="0" fontId="0" fillId="4" borderId="29" xfId="0" applyFill="1" applyBorder="1" applyAlignment="1">
      <alignment vertical="center"/>
    </xf>
    <xf numFmtId="0" fontId="0" fillId="4" borderId="14" xfId="0" applyFill="1" applyBorder="1" applyAlignment="1">
      <alignment vertical="center"/>
    </xf>
    <xf numFmtId="1" fontId="0" fillId="4" borderId="27" xfId="0" applyNumberFormat="1" applyFill="1" applyBorder="1" applyAlignment="1">
      <alignment horizontal="right" vertical="center"/>
    </xf>
    <xf numFmtId="1" fontId="0" fillId="4" borderId="3" xfId="0" applyNumberFormat="1" applyFill="1" applyBorder="1" applyAlignment="1">
      <alignment horizontal="right" vertical="center"/>
    </xf>
    <xf numFmtId="0" fontId="0" fillId="2" borderId="4" xfId="0" applyFill="1" applyBorder="1" applyAlignment="1">
      <alignment horizontal="right" vertical="center"/>
    </xf>
    <xf numFmtId="0" fontId="0" fillId="2" borderId="0" xfId="0" applyFill="1" applyAlignment="1">
      <alignment horizontal="right" vertical="center"/>
    </xf>
    <xf numFmtId="168" fontId="0" fillId="4" borderId="3" xfId="0" applyNumberFormat="1" applyFill="1" applyBorder="1" applyAlignment="1">
      <alignment horizontal="right" vertical="center"/>
    </xf>
    <xf numFmtId="0" fontId="0" fillId="0" borderId="30" xfId="0" applyBorder="1" applyAlignment="1" applyProtection="1">
      <alignment vertical="center"/>
      <protection locked="0"/>
    </xf>
    <xf numFmtId="0" fontId="0" fillId="0" borderId="31" xfId="0" applyBorder="1" applyAlignment="1">
      <alignment vertical="center"/>
    </xf>
    <xf numFmtId="0" fontId="0" fillId="0" borderId="55" xfId="0" applyBorder="1" applyAlignment="1">
      <alignment vertical="center"/>
    </xf>
    <xf numFmtId="0" fontId="0" fillId="0" borderId="32" xfId="0" applyBorder="1" applyAlignment="1">
      <alignment horizontal="center" vertical="center"/>
    </xf>
    <xf numFmtId="1" fontId="0" fillId="0" borderId="30" xfId="0" applyNumberFormat="1" applyBorder="1" applyAlignment="1">
      <alignment horizontal="right" vertical="center"/>
    </xf>
    <xf numFmtId="0" fontId="0" fillId="0" borderId="34" xfId="0" applyBorder="1" applyAlignment="1" applyProtection="1">
      <alignment horizontal="right" vertical="center"/>
      <protection locked="0"/>
    </xf>
    <xf numFmtId="0" fontId="0" fillId="0" borderId="31" xfId="0" applyBorder="1" applyAlignment="1" applyProtection="1">
      <alignment horizontal="right" vertical="center"/>
      <protection locked="0"/>
    </xf>
    <xf numFmtId="167" fontId="0" fillId="0" borderId="31" xfId="0" applyNumberFormat="1" applyBorder="1" applyAlignment="1" applyProtection="1">
      <alignment horizontal="right" vertical="center"/>
      <protection locked="0"/>
    </xf>
    <xf numFmtId="0" fontId="0" fillId="0" borderId="31" xfId="0" applyBorder="1" applyAlignment="1">
      <alignment horizontal="right" vertical="center"/>
    </xf>
    <xf numFmtId="168" fontId="0" fillId="0" borderId="31" xfId="0" applyNumberFormat="1" applyBorder="1" applyAlignment="1">
      <alignment horizontal="right" vertical="center"/>
    </xf>
    <xf numFmtId="0" fontId="0" fillId="0" borderId="56" xfId="0" applyBorder="1" applyAlignment="1">
      <alignment horizontal="left" vertical="center"/>
    </xf>
    <xf numFmtId="0" fontId="0" fillId="2" borderId="30" xfId="0" applyFill="1" applyBorder="1" applyAlignment="1">
      <alignment vertical="center"/>
    </xf>
    <xf numFmtId="0" fontId="0" fillId="2" borderId="34" xfId="0" applyFill="1" applyBorder="1" applyAlignment="1">
      <alignment vertical="center"/>
    </xf>
    <xf numFmtId="0" fontId="0" fillId="2" borderId="35" xfId="0" applyFill="1" applyBorder="1" applyAlignment="1">
      <alignment vertical="center"/>
    </xf>
    <xf numFmtId="1" fontId="0" fillId="0" borderId="31" xfId="0" applyNumberFormat="1" applyBorder="1" applyAlignment="1">
      <alignment horizontal="right" vertical="center"/>
    </xf>
    <xf numFmtId="1" fontId="0" fillId="0" borderId="32" xfId="0" applyNumberFormat="1" applyBorder="1" applyAlignment="1">
      <alignment horizontal="right" vertical="center"/>
    </xf>
    <xf numFmtId="168" fontId="0" fillId="0" borderId="32" xfId="0" applyNumberFormat="1" applyBorder="1" applyAlignment="1">
      <alignment horizontal="right" vertical="center"/>
    </xf>
    <xf numFmtId="0" fontId="0" fillId="4" borderId="30" xfId="0" applyFill="1" applyBorder="1" applyAlignment="1" applyProtection="1">
      <alignment vertical="center"/>
      <protection locked="0"/>
    </xf>
    <xf numFmtId="0" fontId="0" fillId="4" borderId="55" xfId="0" applyFill="1" applyBorder="1" applyAlignment="1">
      <alignment vertical="center"/>
    </xf>
    <xf numFmtId="0" fontId="0" fillId="4" borderId="32" xfId="0" applyFill="1" applyBorder="1" applyAlignment="1">
      <alignment horizontal="center" vertical="center"/>
    </xf>
    <xf numFmtId="1" fontId="0" fillId="4" borderId="30" xfId="0" applyNumberFormat="1" applyFill="1" applyBorder="1" applyAlignment="1">
      <alignment horizontal="right" vertical="center"/>
    </xf>
    <xf numFmtId="0" fontId="0" fillId="4" borderId="34" xfId="0" applyFill="1" applyBorder="1" applyAlignment="1" applyProtection="1">
      <alignment horizontal="right" vertical="center"/>
      <protection locked="0"/>
    </xf>
    <xf numFmtId="0" fontId="0" fillId="4" borderId="31" xfId="0" applyFill="1" applyBorder="1" applyAlignment="1" applyProtection="1">
      <alignment horizontal="right" vertical="center"/>
      <protection locked="0"/>
    </xf>
    <xf numFmtId="167" fontId="0" fillId="4" borderId="31" xfId="0" applyNumberFormat="1" applyFill="1" applyBorder="1" applyAlignment="1" applyProtection="1">
      <alignment horizontal="right" vertical="center"/>
      <protection locked="0"/>
    </xf>
    <xf numFmtId="0" fontId="0" fillId="4" borderId="31" xfId="0" applyFill="1" applyBorder="1" applyAlignment="1">
      <alignment horizontal="right" vertical="center"/>
    </xf>
    <xf numFmtId="168" fontId="0" fillId="4" borderId="31" xfId="0" applyNumberFormat="1" applyFill="1" applyBorder="1" applyAlignment="1">
      <alignment horizontal="right" vertical="center"/>
    </xf>
    <xf numFmtId="0" fontId="0" fillId="4" borderId="56" xfId="0" applyFill="1" applyBorder="1" applyAlignment="1">
      <alignment horizontal="left" vertical="center"/>
    </xf>
    <xf numFmtId="0" fontId="0" fillId="4" borderId="30" xfId="0" applyFill="1" applyBorder="1" applyAlignment="1">
      <alignment vertical="center"/>
    </xf>
    <xf numFmtId="0" fontId="0" fillId="4" borderId="34" xfId="0" applyFill="1" applyBorder="1" applyAlignment="1">
      <alignment vertical="center"/>
    </xf>
    <xf numFmtId="0" fontId="0" fillId="4" borderId="35" xfId="0" applyFill="1" applyBorder="1" applyAlignment="1">
      <alignment vertical="center"/>
    </xf>
    <xf numFmtId="1" fontId="0" fillId="4" borderId="31" xfId="0" applyNumberFormat="1" applyFill="1" applyBorder="1" applyAlignment="1">
      <alignment horizontal="right" vertical="center"/>
    </xf>
    <xf numFmtId="1" fontId="0" fillId="4" borderId="32" xfId="0" applyNumberFormat="1" applyFill="1" applyBorder="1" applyAlignment="1">
      <alignment horizontal="right" vertical="center"/>
    </xf>
    <xf numFmtId="168" fontId="0" fillId="4" borderId="32" xfId="0" applyNumberFormat="1" applyFill="1" applyBorder="1" applyAlignment="1">
      <alignment horizontal="right" vertical="center"/>
    </xf>
    <xf numFmtId="0" fontId="0" fillId="2" borderId="30" xfId="0" applyFill="1" applyBorder="1" applyAlignment="1" applyProtection="1">
      <alignment vertical="center"/>
      <protection locked="0"/>
    </xf>
    <xf numFmtId="0" fontId="0" fillId="2" borderId="31" xfId="0" applyFill="1" applyBorder="1" applyAlignment="1">
      <alignment vertical="center"/>
    </xf>
    <xf numFmtId="0" fontId="0" fillId="2" borderId="55" xfId="0" applyFill="1" applyBorder="1" applyAlignment="1">
      <alignment vertical="center"/>
    </xf>
    <xf numFmtId="0" fontId="0" fillId="2" borderId="32" xfId="0" applyFill="1" applyBorder="1" applyAlignment="1">
      <alignment horizontal="center" vertical="center"/>
    </xf>
    <xf numFmtId="0" fontId="0" fillId="2" borderId="31" xfId="0" applyFill="1" applyBorder="1" applyAlignment="1" applyProtection="1">
      <alignment horizontal="right" vertical="center"/>
      <protection locked="0"/>
    </xf>
    <xf numFmtId="167" fontId="0" fillId="2" borderId="31" xfId="0" applyNumberFormat="1" applyFill="1" applyBorder="1" applyAlignment="1" applyProtection="1">
      <alignment horizontal="right" vertical="center"/>
      <protection locked="0"/>
    </xf>
    <xf numFmtId="168" fontId="0" fillId="2" borderId="31" xfId="0" applyNumberFormat="1" applyFill="1" applyBorder="1" applyAlignment="1">
      <alignment horizontal="right" vertical="center"/>
    </xf>
    <xf numFmtId="0" fontId="0" fillId="2" borderId="56" xfId="0" applyFill="1" applyBorder="1" applyAlignment="1">
      <alignment horizontal="left" vertical="center"/>
    </xf>
    <xf numFmtId="1" fontId="0" fillId="2" borderId="31" xfId="0" applyNumberFormat="1" applyFill="1" applyBorder="1" applyAlignment="1">
      <alignment horizontal="right" vertical="center"/>
    </xf>
    <xf numFmtId="1" fontId="0" fillId="2" borderId="32" xfId="0" applyNumberFormat="1" applyFill="1" applyBorder="1" applyAlignment="1">
      <alignment horizontal="right" vertical="center"/>
    </xf>
    <xf numFmtId="168" fontId="0" fillId="2" borderId="32" xfId="0" applyNumberFormat="1" applyFill="1" applyBorder="1" applyAlignment="1">
      <alignment horizontal="right" vertical="center"/>
    </xf>
    <xf numFmtId="0" fontId="0" fillId="4" borderId="36" xfId="0" applyFill="1" applyBorder="1" applyAlignment="1" applyProtection="1">
      <alignment vertical="center"/>
      <protection locked="0"/>
    </xf>
    <xf numFmtId="0" fontId="0" fillId="4" borderId="22" xfId="0" applyFill="1" applyBorder="1" applyAlignment="1">
      <alignment vertical="center"/>
    </xf>
    <xf numFmtId="0" fontId="0" fillId="4" borderId="57" xfId="0" applyFill="1" applyBorder="1" applyAlignment="1">
      <alignment vertical="center"/>
    </xf>
    <xf numFmtId="0" fontId="0" fillId="4" borderId="23" xfId="0" applyFill="1" applyBorder="1" applyAlignment="1">
      <alignment horizontal="center" vertical="center"/>
    </xf>
    <xf numFmtId="1" fontId="0" fillId="4" borderId="36" xfId="0" applyNumberFormat="1" applyFill="1" applyBorder="1" applyAlignment="1">
      <alignment horizontal="right" vertical="center"/>
    </xf>
    <xf numFmtId="0" fontId="0" fillId="4" borderId="21" xfId="0" applyFill="1" applyBorder="1" applyAlignment="1" applyProtection="1">
      <alignment horizontal="right" vertical="center"/>
      <protection locked="0"/>
    </xf>
    <xf numFmtId="0" fontId="0" fillId="4" borderId="22" xfId="0" applyFill="1" applyBorder="1" applyAlignment="1" applyProtection="1">
      <alignment horizontal="right" vertical="center"/>
      <protection locked="0"/>
    </xf>
    <xf numFmtId="167" fontId="0" fillId="4" borderId="22" xfId="0" applyNumberFormat="1" applyFill="1" applyBorder="1" applyAlignment="1" applyProtection="1">
      <alignment horizontal="right" vertical="center"/>
      <protection locked="0"/>
    </xf>
    <xf numFmtId="0" fontId="0" fillId="4" borderId="22" xfId="0" applyFill="1" applyBorder="1" applyAlignment="1">
      <alignment horizontal="right" vertical="center"/>
    </xf>
    <xf numFmtId="168" fontId="0" fillId="4" borderId="22" xfId="0" applyNumberFormat="1" applyFill="1" applyBorder="1" applyAlignment="1">
      <alignment horizontal="right" vertical="center"/>
    </xf>
    <xf numFmtId="0" fontId="0" fillId="4" borderId="58" xfId="0" applyFill="1" applyBorder="1" applyAlignment="1">
      <alignment horizontal="left" vertical="center"/>
    </xf>
    <xf numFmtId="0" fontId="0" fillId="4" borderId="36" xfId="0" applyFill="1" applyBorder="1" applyAlignment="1">
      <alignment vertical="center"/>
    </xf>
    <xf numFmtId="0" fontId="0" fillId="4" borderId="21" xfId="0" applyFill="1" applyBorder="1" applyAlignment="1">
      <alignment vertical="center"/>
    </xf>
    <xf numFmtId="0" fontId="0" fillId="4" borderId="38" xfId="0" applyFill="1" applyBorder="1" applyAlignment="1">
      <alignment vertical="center"/>
    </xf>
    <xf numFmtId="1" fontId="0" fillId="4" borderId="22" xfId="0" applyNumberFormat="1" applyFill="1" applyBorder="1" applyAlignment="1">
      <alignment horizontal="right" vertical="center"/>
    </xf>
    <xf numFmtId="1" fontId="0" fillId="4" borderId="23" xfId="0" applyNumberFormat="1" applyFill="1" applyBorder="1" applyAlignment="1">
      <alignment horizontal="right" vertical="center"/>
    </xf>
    <xf numFmtId="168" fontId="0" fillId="4" borderId="23" xfId="0" applyNumberFormat="1" applyFill="1" applyBorder="1" applyAlignment="1">
      <alignment horizontal="right" vertical="center"/>
    </xf>
    <xf numFmtId="1" fontId="0" fillId="2" borderId="0" xfId="0" applyNumberFormat="1" applyFill="1"/>
    <xf numFmtId="168" fontId="0" fillId="2" borderId="0" xfId="0" applyNumberFormat="1" applyFill="1"/>
    <xf numFmtId="0" fontId="0" fillId="0" borderId="40" xfId="0" applyBorder="1"/>
    <xf numFmtId="0" fontId="12" fillId="0" borderId="52" xfId="0" applyFont="1" applyBorder="1" applyAlignment="1">
      <alignment horizontal="right"/>
    </xf>
    <xf numFmtId="0" fontId="12" fillId="0" borderId="41" xfId="0" applyFont="1" applyBorder="1" applyAlignment="1">
      <alignment horizontal="left"/>
    </xf>
    <xf numFmtId="0" fontId="0" fillId="4" borderId="27" xfId="0" applyFill="1" applyBorder="1" applyAlignment="1">
      <alignment horizontal="right"/>
    </xf>
    <xf numFmtId="0" fontId="0" fillId="4" borderId="3" xfId="0" applyFill="1" applyBorder="1" applyAlignment="1">
      <alignment horizontal="right"/>
    </xf>
    <xf numFmtId="1" fontId="0" fillId="0" borderId="32" xfId="0" applyNumberFormat="1" applyBorder="1" applyAlignment="1">
      <alignment horizontal="right"/>
    </xf>
    <xf numFmtId="1" fontId="0" fillId="4" borderId="32" xfId="0" applyNumberFormat="1" applyFill="1" applyBorder="1" applyAlignment="1">
      <alignment horizontal="right"/>
    </xf>
    <xf numFmtId="0" fontId="0" fillId="2" borderId="31" xfId="0" applyFill="1" applyBorder="1" applyAlignment="1">
      <alignment horizontal="right"/>
    </xf>
    <xf numFmtId="0" fontId="0" fillId="4" borderId="22" xfId="0" applyFill="1" applyBorder="1" applyAlignment="1">
      <alignment horizontal="right"/>
    </xf>
    <xf numFmtId="169" fontId="0" fillId="4" borderId="53" xfId="0" applyNumberFormat="1" applyFill="1" applyBorder="1" applyAlignment="1" applyProtection="1">
      <alignment horizontal="center"/>
      <protection locked="0"/>
    </xf>
    <xf numFmtId="169" fontId="0" fillId="0" borderId="55" xfId="0" applyNumberFormat="1" applyBorder="1" applyAlignment="1" applyProtection="1">
      <alignment horizontal="center"/>
      <protection locked="0"/>
    </xf>
    <xf numFmtId="169" fontId="0" fillId="4" borderId="55" xfId="0" applyNumberFormat="1" applyFill="1" applyBorder="1" applyAlignment="1" applyProtection="1">
      <alignment horizontal="center"/>
      <protection locked="0"/>
    </xf>
    <xf numFmtId="169" fontId="0" fillId="2" borderId="55" xfId="0" applyNumberFormat="1" applyFill="1" applyBorder="1" applyAlignment="1" applyProtection="1">
      <alignment horizontal="center"/>
      <protection locked="0"/>
    </xf>
    <xf numFmtId="1" fontId="0" fillId="4" borderId="23" xfId="0" applyNumberFormat="1" applyFill="1" applyBorder="1" applyAlignment="1">
      <alignment horizontal="right"/>
    </xf>
    <xf numFmtId="0" fontId="12" fillId="2" borderId="49" xfId="0" applyFont="1" applyFill="1" applyBorder="1" applyAlignment="1">
      <alignment horizontal="right"/>
    </xf>
    <xf numFmtId="0" fontId="12" fillId="0" borderId="49" xfId="0" applyFont="1" applyBorder="1" applyAlignment="1">
      <alignment horizontal="center"/>
    </xf>
    <xf numFmtId="0" fontId="0" fillId="4" borderId="14" xfId="0" applyFill="1" applyBorder="1" applyAlignment="1">
      <alignment horizontal="right"/>
    </xf>
    <xf numFmtId="1" fontId="0" fillId="4" borderId="38" xfId="0" applyNumberFormat="1" applyFill="1" applyBorder="1" applyAlignment="1">
      <alignment horizontal="right"/>
    </xf>
    <xf numFmtId="170" fontId="0" fillId="2" borderId="0" xfId="0" applyNumberFormat="1" applyFill="1" applyAlignment="1">
      <alignment horizontal="center"/>
    </xf>
    <xf numFmtId="0" fontId="27" fillId="4" borderId="1" xfId="0" applyFont="1" applyFill="1" applyBorder="1" applyAlignment="1">
      <alignment horizontal="center"/>
    </xf>
    <xf numFmtId="0" fontId="27" fillId="4" borderId="13" xfId="0" applyFont="1" applyFill="1" applyBorder="1" applyAlignment="1">
      <alignment horizontal="center" wrapText="1"/>
    </xf>
    <xf numFmtId="0" fontId="27" fillId="4" borderId="47" xfId="0" applyFont="1" applyFill="1" applyBorder="1" applyAlignment="1">
      <alignment horizontal="center" wrapText="1"/>
    </xf>
    <xf numFmtId="0" fontId="27" fillId="4" borderId="7" xfId="0" applyFont="1" applyFill="1" applyBorder="1" applyAlignment="1">
      <alignment horizontal="center"/>
    </xf>
    <xf numFmtId="0" fontId="27" fillId="4" borderId="8" xfId="0" applyFont="1" applyFill="1" applyBorder="1" applyAlignment="1">
      <alignment horizontal="center"/>
    </xf>
    <xf numFmtId="0" fontId="27" fillId="4" borderId="0" xfId="0" applyFont="1" applyFill="1" applyAlignment="1">
      <alignment horizontal="center"/>
    </xf>
    <xf numFmtId="0" fontId="27" fillId="4" borderId="25" xfId="0" applyFont="1" applyFill="1" applyBorder="1" applyAlignment="1">
      <alignment horizontal="center"/>
    </xf>
    <xf numFmtId="0" fontId="0" fillId="0" borderId="26" xfId="0" applyBorder="1"/>
    <xf numFmtId="0" fontId="0" fillId="0" borderId="27" xfId="0" applyBorder="1"/>
    <xf numFmtId="0" fontId="0" fillId="0" borderId="53" xfId="0" applyBorder="1"/>
    <xf numFmtId="0" fontId="0" fillId="0" borderId="60" xfId="0" applyBorder="1"/>
    <xf numFmtId="0" fontId="0" fillId="0" borderId="29" xfId="0" applyBorder="1"/>
    <xf numFmtId="0" fontId="0" fillId="0" borderId="3" xfId="0" applyBorder="1"/>
    <xf numFmtId="0" fontId="0" fillId="0" borderId="14" xfId="0" applyBorder="1"/>
    <xf numFmtId="0" fontId="0" fillId="0" borderId="35" xfId="0" applyBorder="1"/>
    <xf numFmtId="0" fontId="0" fillId="0" borderId="36" xfId="0" applyBorder="1"/>
    <xf numFmtId="0" fontId="0" fillId="0" borderId="57" xfId="0" applyBorder="1"/>
    <xf numFmtId="0" fontId="0" fillId="0" borderId="23" xfId="0" applyBorder="1"/>
    <xf numFmtId="0" fontId="0" fillId="0" borderId="38" xfId="0" applyBorder="1"/>
    <xf numFmtId="0" fontId="24" fillId="2" borderId="39" xfId="0" applyFont="1" applyFill="1" applyBorder="1"/>
    <xf numFmtId="0" fontId="34" fillId="0" borderId="40" xfId="0" applyFont="1" applyBorder="1"/>
    <xf numFmtId="0" fontId="13" fillId="0" borderId="41" xfId="0" applyFont="1" applyBorder="1" applyAlignment="1">
      <alignment horizontal="right"/>
    </xf>
    <xf numFmtId="0" fontId="35" fillId="4" borderId="1" xfId="0" applyFont="1" applyFill="1" applyBorder="1" applyAlignment="1">
      <alignment horizontal="center" wrapText="1"/>
    </xf>
    <xf numFmtId="0" fontId="35" fillId="4" borderId="13" xfId="0" applyFont="1" applyFill="1" applyBorder="1"/>
    <xf numFmtId="0" fontId="35" fillId="4" borderId="47" xfId="0" applyFont="1" applyFill="1" applyBorder="1"/>
    <xf numFmtId="0" fontId="19" fillId="0" borderId="0" xfId="0" applyFont="1"/>
    <xf numFmtId="0" fontId="36" fillId="4" borderId="7" xfId="0" applyFont="1" applyFill="1" applyBorder="1" applyAlignment="1">
      <alignment horizontal="center"/>
    </xf>
    <xf numFmtId="0" fontId="35" fillId="4" borderId="8" xfId="0" applyFont="1" applyFill="1" applyBorder="1"/>
    <xf numFmtId="0" fontId="35" fillId="4" borderId="25" xfId="0" applyFont="1" applyFill="1" applyBorder="1"/>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3" xfId="0" applyBorder="1" applyAlignment="1" applyProtection="1">
      <alignment wrapText="1"/>
      <protection locked="0"/>
    </xf>
    <xf numFmtId="0" fontId="0" fillId="0" borderId="30"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55" xfId="0" applyBorder="1" applyProtection="1">
      <protection locked="0"/>
    </xf>
    <xf numFmtId="0" fontId="0" fillId="0" borderId="32" xfId="0" applyBorder="1" applyAlignment="1" applyProtection="1">
      <alignment wrapText="1"/>
      <protection locked="0"/>
    </xf>
    <xf numFmtId="0" fontId="0" fillId="0" borderId="36"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7" xfId="0" applyBorder="1" applyProtection="1">
      <protection locked="0"/>
    </xf>
    <xf numFmtId="0" fontId="0" fillId="0" borderId="23" xfId="0" applyBorder="1" applyAlignment="1" applyProtection="1">
      <alignment wrapText="1"/>
      <protection locked="0"/>
    </xf>
    <xf numFmtId="0" fontId="0" fillId="2" borderId="56" xfId="0" applyFill="1" applyBorder="1" applyProtection="1">
      <protection locked="0"/>
    </xf>
    <xf numFmtId="0" fontId="35" fillId="2" borderId="5" xfId="0" applyFont="1" applyFill="1" applyBorder="1"/>
    <xf numFmtId="0" fontId="0" fillId="2" borderId="5" xfId="0" applyFill="1" applyBorder="1"/>
    <xf numFmtId="0" fontId="13" fillId="2" borderId="0" xfId="0" applyFont="1" applyFill="1"/>
    <xf numFmtId="0" fontId="37" fillId="2" borderId="0" xfId="0" applyFont="1" applyFill="1"/>
    <xf numFmtId="0" fontId="12" fillId="2" borderId="0" xfId="0" applyFont="1" applyFill="1" applyAlignment="1">
      <alignment horizontal="right"/>
    </xf>
    <xf numFmtId="0" fontId="8" fillId="2" borderId="61" xfId="0" applyFont="1" applyFill="1" applyBorder="1" applyAlignment="1">
      <alignment horizontal="right" vertical="center"/>
    </xf>
    <xf numFmtId="0" fontId="8" fillId="2" borderId="56" xfId="0" applyFont="1" applyFill="1" applyBorder="1" applyAlignment="1">
      <alignment horizontal="right" vertical="center"/>
    </xf>
    <xf numFmtId="0" fontId="8" fillId="2" borderId="62" xfId="0" applyFont="1" applyFill="1" applyBorder="1" applyAlignment="1">
      <alignment horizontal="right" vertical="center"/>
    </xf>
    <xf numFmtId="0" fontId="8" fillId="2" borderId="63" xfId="0" applyFont="1" applyFill="1" applyBorder="1" applyAlignment="1">
      <alignment horizontal="right" vertical="center"/>
    </xf>
    <xf numFmtId="0" fontId="8" fillId="2" borderId="64" xfId="0" applyFont="1" applyFill="1" applyBorder="1" applyAlignment="1">
      <alignment horizontal="right" vertical="center"/>
    </xf>
    <xf numFmtId="0" fontId="8" fillId="2" borderId="65" xfId="0" applyFont="1" applyFill="1" applyBorder="1" applyAlignment="1">
      <alignment horizontal="right" vertical="center"/>
    </xf>
    <xf numFmtId="0" fontId="8" fillId="2" borderId="0" xfId="0" applyFont="1" applyFill="1"/>
    <xf numFmtId="0" fontId="8" fillId="2" borderId="0" xfId="0" applyFont="1" applyFill="1" applyAlignment="1">
      <alignment vertical="center"/>
    </xf>
    <xf numFmtId="0" fontId="38" fillId="2" borderId="0" xfId="0" applyFont="1" applyFill="1" applyAlignment="1">
      <alignment vertical="center"/>
    </xf>
    <xf numFmtId="0" fontId="4" fillId="2" borderId="0" xfId="0" applyFont="1" applyFill="1" applyAlignment="1">
      <alignment vertical="center"/>
    </xf>
    <xf numFmtId="0" fontId="13" fillId="2" borderId="0" xfId="0" applyFont="1" applyFill="1" applyAlignment="1">
      <alignment vertical="center"/>
    </xf>
    <xf numFmtId="49" fontId="12" fillId="2" borderId="0" xfId="1" applyNumberFormat="1" applyFont="1" applyFill="1" applyBorder="1" applyAlignment="1" applyProtection="1">
      <alignment vertical="center"/>
    </xf>
    <xf numFmtId="0" fontId="8" fillId="2" borderId="61" xfId="0" applyFont="1" applyFill="1" applyBorder="1" applyAlignment="1">
      <alignment vertical="center"/>
    </xf>
    <xf numFmtId="0" fontId="8" fillId="2" borderId="56" xfId="0" applyFont="1" applyFill="1" applyBorder="1" applyAlignment="1">
      <alignment vertical="center"/>
    </xf>
    <xf numFmtId="0" fontId="8" fillId="2" borderId="62" xfId="0" applyFont="1" applyFill="1" applyBorder="1" applyAlignment="1">
      <alignment vertical="center"/>
    </xf>
    <xf numFmtId="0" fontId="39" fillId="2" borderId="66" xfId="0" applyFont="1" applyFill="1" applyBorder="1"/>
    <xf numFmtId="0" fontId="0" fillId="2" borderId="66" xfId="0" applyFill="1" applyBorder="1"/>
    <xf numFmtId="0" fontId="15" fillId="2" borderId="66" xfId="1" applyFont="1" applyFill="1" applyBorder="1" applyProtection="1"/>
    <xf numFmtId="0" fontId="12" fillId="2" borderId="66" xfId="0" applyFont="1" applyFill="1" applyBorder="1"/>
    <xf numFmtId="0" fontId="8" fillId="2" borderId="66" xfId="0" applyFont="1" applyFill="1" applyBorder="1"/>
    <xf numFmtId="0" fontId="8" fillId="2" borderId="61" xfId="1" applyFont="1" applyFill="1" applyBorder="1" applyAlignment="1" applyProtection="1">
      <alignment vertical="center"/>
    </xf>
    <xf numFmtId="0" fontId="8" fillId="2" borderId="56" xfId="0" applyFont="1" applyFill="1" applyBorder="1" applyAlignment="1" applyProtection="1">
      <alignment vertical="center"/>
      <protection locked="0"/>
    </xf>
    <xf numFmtId="0" fontId="8" fillId="2" borderId="63" xfId="1" applyFont="1" applyFill="1" applyBorder="1" applyAlignment="1" applyProtection="1">
      <alignment vertical="center"/>
    </xf>
    <xf numFmtId="0" fontId="8" fillId="2" borderId="64" xfId="0" applyFont="1" applyFill="1" applyBorder="1" applyAlignment="1">
      <alignment vertical="center"/>
    </xf>
    <xf numFmtId="0" fontId="8" fillId="2" borderId="65" xfId="0" applyFont="1" applyFill="1" applyBorder="1" applyAlignment="1">
      <alignment vertical="center"/>
    </xf>
    <xf numFmtId="0" fontId="8" fillId="2" borderId="61" xfId="0" applyFont="1" applyFill="1" applyBorder="1" applyAlignment="1" applyProtection="1">
      <alignment vertical="center"/>
      <protection locked="0"/>
    </xf>
    <xf numFmtId="0" fontId="8" fillId="2" borderId="62" xfId="0" applyFont="1" applyFill="1" applyBorder="1" applyAlignment="1" applyProtection="1">
      <alignment vertical="center"/>
      <protection locked="0"/>
    </xf>
    <xf numFmtId="49" fontId="40" fillId="2" borderId="66" xfId="1" applyNumberFormat="1" applyFont="1" applyFill="1" applyBorder="1" applyProtection="1"/>
    <xf numFmtId="0" fontId="41" fillId="2" borderId="66" xfId="1" applyFont="1" applyFill="1" applyBorder="1" applyProtection="1"/>
    <xf numFmtId="0" fontId="8" fillId="2" borderId="0" xfId="0" applyFont="1" applyFill="1" applyAlignment="1" applyProtection="1">
      <alignment vertical="center"/>
      <protection locked="0"/>
    </xf>
    <xf numFmtId="0" fontId="0" fillId="2" borderId="39" xfId="0" applyFill="1" applyBorder="1"/>
    <xf numFmtId="0" fontId="0" fillId="2" borderId="48" xfId="0" applyFill="1" applyBorder="1"/>
    <xf numFmtId="0" fontId="0" fillId="2" borderId="51" xfId="0" applyFill="1" applyBorder="1"/>
    <xf numFmtId="0" fontId="0" fillId="2" borderId="42" xfId="0" applyFill="1" applyBorder="1"/>
    <xf numFmtId="0" fontId="0" fillId="2" borderId="6" xfId="0" applyFill="1" applyBorder="1"/>
    <xf numFmtId="0" fontId="0" fillId="2" borderId="36" xfId="0" applyFill="1" applyBorder="1"/>
    <xf numFmtId="0" fontId="0" fillId="2" borderId="23" xfId="0" applyFill="1" applyBorder="1"/>
    <xf numFmtId="0" fontId="20" fillId="2" borderId="0" xfId="0" applyFont="1" applyFill="1" applyAlignment="1">
      <alignment horizontal="center"/>
    </xf>
    <xf numFmtId="0" fontId="24" fillId="2" borderId="0" xfId="0" applyFont="1" applyFill="1" applyAlignment="1">
      <alignment horizontal="center"/>
    </xf>
  </cellXfs>
  <cellStyles count="2">
    <cellStyle name="Hyperlinkki" xfId="1" builtinId="8"/>
    <cellStyle name="Normaali" xfId="0" builtinId="0"/>
  </cellStyles>
  <dxfs count="3">
    <dxf>
      <font>
        <b/>
        <i val="0"/>
        <color rgb="FFDD0806"/>
      </font>
    </dxf>
    <dxf>
      <font>
        <b/>
        <i val="0"/>
        <color rgb="FF99CC00"/>
      </font>
    </dxf>
    <dxf>
      <font>
        <b/>
        <i val="0"/>
        <color rgb="FFDD08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123825</xdr:colOff>
      <xdr:row>58</xdr:row>
      <xdr:rowOff>57150</xdr:rowOff>
    </xdr:to>
    <xdr:sp macro="" textlink="">
      <xdr:nvSpPr>
        <xdr:cNvPr id="1052" name="_x0000_t202" hidden="1">
          <a:extLst>
            <a:ext uri="{FF2B5EF4-FFF2-40B4-BE49-F238E27FC236}">
              <a16:creationId xmlns:a16="http://schemas.microsoft.com/office/drawing/2014/main" id="{9F80BB33-9469-5E20-8BB7-550445FFACC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50" name="_x0000_t202" hidden="1">
          <a:extLst>
            <a:ext uri="{FF2B5EF4-FFF2-40B4-BE49-F238E27FC236}">
              <a16:creationId xmlns:a16="http://schemas.microsoft.com/office/drawing/2014/main" id="{E3F9A4BB-B98E-3B31-4B67-DB4445D6725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48" name="_x0000_t202" hidden="1">
          <a:extLst>
            <a:ext uri="{FF2B5EF4-FFF2-40B4-BE49-F238E27FC236}">
              <a16:creationId xmlns:a16="http://schemas.microsoft.com/office/drawing/2014/main" id="{598E53C0-8453-F457-CCDB-5F056B4A260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46" name="_x0000_t202" hidden="1">
          <a:extLst>
            <a:ext uri="{FF2B5EF4-FFF2-40B4-BE49-F238E27FC236}">
              <a16:creationId xmlns:a16="http://schemas.microsoft.com/office/drawing/2014/main" id="{FB06A66E-23D5-8A1F-EF09-7AC88EDC81C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44" name="_x0000_t202" hidden="1">
          <a:extLst>
            <a:ext uri="{FF2B5EF4-FFF2-40B4-BE49-F238E27FC236}">
              <a16:creationId xmlns:a16="http://schemas.microsoft.com/office/drawing/2014/main" id="{2C8C7786-10D3-97DE-A08E-A5EA8299522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42" name="_x0000_t202" hidden="1">
          <a:extLst>
            <a:ext uri="{FF2B5EF4-FFF2-40B4-BE49-F238E27FC236}">
              <a16:creationId xmlns:a16="http://schemas.microsoft.com/office/drawing/2014/main" id="{ACA86AA1-A312-618E-BEB2-5D0C43463A4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40" name="_x0000_t202" hidden="1">
          <a:extLst>
            <a:ext uri="{FF2B5EF4-FFF2-40B4-BE49-F238E27FC236}">
              <a16:creationId xmlns:a16="http://schemas.microsoft.com/office/drawing/2014/main" id="{E5774776-6BA5-5C2A-EA1B-EFE2086AFE4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38" name="_x0000_t202" hidden="1">
          <a:extLst>
            <a:ext uri="{FF2B5EF4-FFF2-40B4-BE49-F238E27FC236}">
              <a16:creationId xmlns:a16="http://schemas.microsoft.com/office/drawing/2014/main" id="{D5F17051-36AE-07BD-6924-2F115CB31D2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36" name="_x0000_t202" hidden="1">
          <a:extLst>
            <a:ext uri="{FF2B5EF4-FFF2-40B4-BE49-F238E27FC236}">
              <a16:creationId xmlns:a16="http://schemas.microsoft.com/office/drawing/2014/main" id="{0737465A-A60D-31E3-33E7-0AE041EF6F7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34" name="_x0000_t202" hidden="1">
          <a:extLst>
            <a:ext uri="{FF2B5EF4-FFF2-40B4-BE49-F238E27FC236}">
              <a16:creationId xmlns:a16="http://schemas.microsoft.com/office/drawing/2014/main" id="{DA7BBBAD-F615-4601-31D9-BCE895E9649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32" name="_x0000_t202" hidden="1">
          <a:extLst>
            <a:ext uri="{FF2B5EF4-FFF2-40B4-BE49-F238E27FC236}">
              <a16:creationId xmlns:a16="http://schemas.microsoft.com/office/drawing/2014/main" id="{1A7D1C89-24B7-4A1A-A1AC-B6D127F1095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30" name="_x0000_t202" hidden="1">
          <a:extLst>
            <a:ext uri="{FF2B5EF4-FFF2-40B4-BE49-F238E27FC236}">
              <a16:creationId xmlns:a16="http://schemas.microsoft.com/office/drawing/2014/main" id="{515949F2-2FAC-3C9F-17EB-8F4A9B4FE9E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28" name="_x0000_t202" hidden="1">
          <a:extLst>
            <a:ext uri="{FF2B5EF4-FFF2-40B4-BE49-F238E27FC236}">
              <a16:creationId xmlns:a16="http://schemas.microsoft.com/office/drawing/2014/main" id="{5525196D-59D5-C88B-4959-3BE9F57A5ED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26" name="_x0000_t202" hidden="1">
          <a:extLst>
            <a:ext uri="{FF2B5EF4-FFF2-40B4-BE49-F238E27FC236}">
              <a16:creationId xmlns:a16="http://schemas.microsoft.com/office/drawing/2014/main" id="{CCF1A4D3-0AF3-2427-1262-BDF09310622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2" name="AutoShape 28">
          <a:extLst>
            <a:ext uri="{FF2B5EF4-FFF2-40B4-BE49-F238E27FC236}">
              <a16:creationId xmlns:a16="http://schemas.microsoft.com/office/drawing/2014/main" id="{0B8C4C19-437A-FAF5-382A-28037D92AC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3" name="AutoShape 26">
          <a:extLst>
            <a:ext uri="{FF2B5EF4-FFF2-40B4-BE49-F238E27FC236}">
              <a16:creationId xmlns:a16="http://schemas.microsoft.com/office/drawing/2014/main" id="{D6468165-8C71-F238-2040-B33DD8EC13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4" name="AutoShape 24">
          <a:extLst>
            <a:ext uri="{FF2B5EF4-FFF2-40B4-BE49-F238E27FC236}">
              <a16:creationId xmlns:a16="http://schemas.microsoft.com/office/drawing/2014/main" id="{FCF045D4-98E4-9926-024B-58553BD93C7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5" name="AutoShape 22">
          <a:extLst>
            <a:ext uri="{FF2B5EF4-FFF2-40B4-BE49-F238E27FC236}">
              <a16:creationId xmlns:a16="http://schemas.microsoft.com/office/drawing/2014/main" id="{DEFE0816-B532-3316-1B97-8226F9832E5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6" name="AutoShape 20">
          <a:extLst>
            <a:ext uri="{FF2B5EF4-FFF2-40B4-BE49-F238E27FC236}">
              <a16:creationId xmlns:a16="http://schemas.microsoft.com/office/drawing/2014/main" id="{F6EC9A60-69E6-F448-59D4-AACE432753F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7" name="AutoShape 18">
          <a:extLst>
            <a:ext uri="{FF2B5EF4-FFF2-40B4-BE49-F238E27FC236}">
              <a16:creationId xmlns:a16="http://schemas.microsoft.com/office/drawing/2014/main" id="{B3C2883E-D446-FB2B-A774-5C8A51C0447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8" name="AutoShape 16">
          <a:extLst>
            <a:ext uri="{FF2B5EF4-FFF2-40B4-BE49-F238E27FC236}">
              <a16:creationId xmlns:a16="http://schemas.microsoft.com/office/drawing/2014/main" id="{C718696D-CA9D-E173-8006-CB2584E3E8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9" name="AutoShape 14">
          <a:extLst>
            <a:ext uri="{FF2B5EF4-FFF2-40B4-BE49-F238E27FC236}">
              <a16:creationId xmlns:a16="http://schemas.microsoft.com/office/drawing/2014/main" id="{D341DD82-CDB4-5E82-4C92-C64A63DCA7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0" name="AutoShape 12">
          <a:extLst>
            <a:ext uri="{FF2B5EF4-FFF2-40B4-BE49-F238E27FC236}">
              <a16:creationId xmlns:a16="http://schemas.microsoft.com/office/drawing/2014/main" id="{254E6F71-2A2F-6B59-DC6A-588F010F304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1" name="AutoShape 10">
          <a:extLst>
            <a:ext uri="{FF2B5EF4-FFF2-40B4-BE49-F238E27FC236}">
              <a16:creationId xmlns:a16="http://schemas.microsoft.com/office/drawing/2014/main" id="{80389EE0-12EE-E385-1C17-297E8D8A6A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2" name="AutoShape 8">
          <a:extLst>
            <a:ext uri="{FF2B5EF4-FFF2-40B4-BE49-F238E27FC236}">
              <a16:creationId xmlns:a16="http://schemas.microsoft.com/office/drawing/2014/main" id="{0BBE09A7-90A8-DFC5-8C54-3D97F7FA8A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3" name="AutoShape 6">
          <a:extLst>
            <a:ext uri="{FF2B5EF4-FFF2-40B4-BE49-F238E27FC236}">
              <a16:creationId xmlns:a16="http://schemas.microsoft.com/office/drawing/2014/main" id="{7829511E-CE14-5CBB-F604-83B223F4B20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4" name="AutoShape 4">
          <a:extLst>
            <a:ext uri="{FF2B5EF4-FFF2-40B4-BE49-F238E27FC236}">
              <a16:creationId xmlns:a16="http://schemas.microsoft.com/office/drawing/2014/main" id="{ADDBA7A5-6EAF-0AD2-9ADE-B1D692FB57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123825</xdr:colOff>
      <xdr:row>58</xdr:row>
      <xdr:rowOff>57150</xdr:rowOff>
    </xdr:to>
    <xdr:sp macro="" textlink="">
      <xdr:nvSpPr>
        <xdr:cNvPr id="15" name="AutoShape 2">
          <a:extLst>
            <a:ext uri="{FF2B5EF4-FFF2-40B4-BE49-F238E27FC236}">
              <a16:creationId xmlns:a16="http://schemas.microsoft.com/office/drawing/2014/main" id="{EDE41798-2392-DF3A-7365-8BC58A07988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123825</xdr:colOff>
      <xdr:row>56</xdr:row>
      <xdr:rowOff>104775</xdr:rowOff>
    </xdr:to>
    <xdr:sp macro="" textlink="">
      <xdr:nvSpPr>
        <xdr:cNvPr id="2086" name="_x0000_t202" hidden="1">
          <a:extLst>
            <a:ext uri="{FF2B5EF4-FFF2-40B4-BE49-F238E27FC236}">
              <a16:creationId xmlns:a16="http://schemas.microsoft.com/office/drawing/2014/main" id="{781F81CF-DC2F-DA3F-F256-675BA20356A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84" name="_x0000_t202" hidden="1">
          <a:extLst>
            <a:ext uri="{FF2B5EF4-FFF2-40B4-BE49-F238E27FC236}">
              <a16:creationId xmlns:a16="http://schemas.microsoft.com/office/drawing/2014/main" id="{CBEE0350-7DC3-733F-8085-5578CA7D627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82" name="_x0000_t202" hidden="1">
          <a:extLst>
            <a:ext uri="{FF2B5EF4-FFF2-40B4-BE49-F238E27FC236}">
              <a16:creationId xmlns:a16="http://schemas.microsoft.com/office/drawing/2014/main" id="{728C8315-B287-2F70-AC0D-A0B39A6463F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80" name="_x0000_t202" hidden="1">
          <a:extLst>
            <a:ext uri="{FF2B5EF4-FFF2-40B4-BE49-F238E27FC236}">
              <a16:creationId xmlns:a16="http://schemas.microsoft.com/office/drawing/2014/main" id="{DA299903-2D41-92A2-84AB-52BD3A74F26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78" name="_x0000_t202" hidden="1">
          <a:extLst>
            <a:ext uri="{FF2B5EF4-FFF2-40B4-BE49-F238E27FC236}">
              <a16:creationId xmlns:a16="http://schemas.microsoft.com/office/drawing/2014/main" id="{29990074-98C3-4561-9365-B140708DDD1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76" name="_x0000_t202" hidden="1">
          <a:extLst>
            <a:ext uri="{FF2B5EF4-FFF2-40B4-BE49-F238E27FC236}">
              <a16:creationId xmlns:a16="http://schemas.microsoft.com/office/drawing/2014/main" id="{42E3EC2E-ED9F-DFFE-F7DC-01C10904A74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74" name="_x0000_t202" hidden="1">
          <a:extLst>
            <a:ext uri="{FF2B5EF4-FFF2-40B4-BE49-F238E27FC236}">
              <a16:creationId xmlns:a16="http://schemas.microsoft.com/office/drawing/2014/main" id="{61A7D77D-CB88-5506-24E4-DD199832A55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72" name="_x0000_t202" hidden="1">
          <a:extLst>
            <a:ext uri="{FF2B5EF4-FFF2-40B4-BE49-F238E27FC236}">
              <a16:creationId xmlns:a16="http://schemas.microsoft.com/office/drawing/2014/main" id="{85CE6FA3-C10B-801F-682A-29CB68A8E6E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70" name="_x0000_t202" hidden="1">
          <a:extLst>
            <a:ext uri="{FF2B5EF4-FFF2-40B4-BE49-F238E27FC236}">
              <a16:creationId xmlns:a16="http://schemas.microsoft.com/office/drawing/2014/main" id="{7A8AD576-3E85-0735-4FE5-4DA071E8F3C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68" name="_x0000_t202" hidden="1">
          <a:extLst>
            <a:ext uri="{FF2B5EF4-FFF2-40B4-BE49-F238E27FC236}">
              <a16:creationId xmlns:a16="http://schemas.microsoft.com/office/drawing/2014/main" id="{D66191C1-5942-F158-A52F-3D3514CF50A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66" name="_x0000_t202" hidden="1">
          <a:extLst>
            <a:ext uri="{FF2B5EF4-FFF2-40B4-BE49-F238E27FC236}">
              <a16:creationId xmlns:a16="http://schemas.microsoft.com/office/drawing/2014/main" id="{15574BFD-C476-7679-4AE8-64629DDBB46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64" name="_x0000_t202" hidden="1">
          <a:extLst>
            <a:ext uri="{FF2B5EF4-FFF2-40B4-BE49-F238E27FC236}">
              <a16:creationId xmlns:a16="http://schemas.microsoft.com/office/drawing/2014/main" id="{BF4998F2-9C1A-D483-BFAC-B0369898F13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62" name="_x0000_t202" hidden="1">
          <a:extLst>
            <a:ext uri="{FF2B5EF4-FFF2-40B4-BE49-F238E27FC236}">
              <a16:creationId xmlns:a16="http://schemas.microsoft.com/office/drawing/2014/main" id="{57590B75-6471-8BF7-5F67-A30CDC2D6F0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60" name="_x0000_t202" hidden="1">
          <a:extLst>
            <a:ext uri="{FF2B5EF4-FFF2-40B4-BE49-F238E27FC236}">
              <a16:creationId xmlns:a16="http://schemas.microsoft.com/office/drawing/2014/main" id="{1F1CD254-33FB-1AB3-6CA3-E4151104634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58" name="_x0000_t202" hidden="1">
          <a:extLst>
            <a:ext uri="{FF2B5EF4-FFF2-40B4-BE49-F238E27FC236}">
              <a16:creationId xmlns:a16="http://schemas.microsoft.com/office/drawing/2014/main" id="{D3EA7B30-DD2C-4830-B13F-F8ADDD7AB8F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56" name="_x0000_t202" hidden="1">
          <a:extLst>
            <a:ext uri="{FF2B5EF4-FFF2-40B4-BE49-F238E27FC236}">
              <a16:creationId xmlns:a16="http://schemas.microsoft.com/office/drawing/2014/main" id="{0E8B0F69-F35B-6364-8063-376C89FC4B7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54" name="_x0000_t202" hidden="1">
          <a:extLst>
            <a:ext uri="{FF2B5EF4-FFF2-40B4-BE49-F238E27FC236}">
              <a16:creationId xmlns:a16="http://schemas.microsoft.com/office/drawing/2014/main" id="{264ACF3E-6F0E-154C-56CE-3714576ECF9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52" name="_x0000_t202" hidden="1">
          <a:extLst>
            <a:ext uri="{FF2B5EF4-FFF2-40B4-BE49-F238E27FC236}">
              <a16:creationId xmlns:a16="http://schemas.microsoft.com/office/drawing/2014/main" id="{57CB8329-8D77-AF76-C950-828E9DBD6C0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50" name="_x0000_t202" hidden="1">
          <a:extLst>
            <a:ext uri="{FF2B5EF4-FFF2-40B4-BE49-F238E27FC236}">
              <a16:creationId xmlns:a16="http://schemas.microsoft.com/office/drawing/2014/main" id="{A1DAC368-E86B-F96E-4D0D-D238B4C1AE3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 name="AutoShape 38">
          <a:extLst>
            <a:ext uri="{FF2B5EF4-FFF2-40B4-BE49-F238E27FC236}">
              <a16:creationId xmlns:a16="http://schemas.microsoft.com/office/drawing/2014/main" id="{5FCB9E56-32D8-D8AD-C5EF-5AD391E0D41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3" name="AutoShape 36">
          <a:extLst>
            <a:ext uri="{FF2B5EF4-FFF2-40B4-BE49-F238E27FC236}">
              <a16:creationId xmlns:a16="http://schemas.microsoft.com/office/drawing/2014/main" id="{DE57AA3B-F664-C71A-339C-638691D270D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4" name="AutoShape 34">
          <a:extLst>
            <a:ext uri="{FF2B5EF4-FFF2-40B4-BE49-F238E27FC236}">
              <a16:creationId xmlns:a16="http://schemas.microsoft.com/office/drawing/2014/main" id="{97FC8E2B-8A73-3D0B-4A55-1C0182F08DC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5" name="AutoShape 32">
          <a:extLst>
            <a:ext uri="{FF2B5EF4-FFF2-40B4-BE49-F238E27FC236}">
              <a16:creationId xmlns:a16="http://schemas.microsoft.com/office/drawing/2014/main" id="{D6553E65-83D7-07B2-4BF0-19CDCC06B4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6" name="AutoShape 30">
          <a:extLst>
            <a:ext uri="{FF2B5EF4-FFF2-40B4-BE49-F238E27FC236}">
              <a16:creationId xmlns:a16="http://schemas.microsoft.com/office/drawing/2014/main" id="{1CE3D1E4-C987-C6D9-13D5-7E19CF18F7A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7" name="AutoShape 28">
          <a:extLst>
            <a:ext uri="{FF2B5EF4-FFF2-40B4-BE49-F238E27FC236}">
              <a16:creationId xmlns:a16="http://schemas.microsoft.com/office/drawing/2014/main" id="{A4D54D66-C3A9-746D-C93F-5A324C4CB3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8" name="AutoShape 26">
          <a:extLst>
            <a:ext uri="{FF2B5EF4-FFF2-40B4-BE49-F238E27FC236}">
              <a16:creationId xmlns:a16="http://schemas.microsoft.com/office/drawing/2014/main" id="{2223694E-967B-83D0-0466-C20B2A34C13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9" name="AutoShape 24">
          <a:extLst>
            <a:ext uri="{FF2B5EF4-FFF2-40B4-BE49-F238E27FC236}">
              <a16:creationId xmlns:a16="http://schemas.microsoft.com/office/drawing/2014/main" id="{6AA83842-FD02-2D22-33CB-5BB4C8E3B72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0" name="AutoShape 22">
          <a:extLst>
            <a:ext uri="{FF2B5EF4-FFF2-40B4-BE49-F238E27FC236}">
              <a16:creationId xmlns:a16="http://schemas.microsoft.com/office/drawing/2014/main" id="{723ADB50-DB97-9BAB-FCD0-950096ACED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1" name="AutoShape 20">
          <a:extLst>
            <a:ext uri="{FF2B5EF4-FFF2-40B4-BE49-F238E27FC236}">
              <a16:creationId xmlns:a16="http://schemas.microsoft.com/office/drawing/2014/main" id="{8F106BEE-720D-A5AD-0CB1-106E69DD29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2" name="AutoShape 18">
          <a:extLst>
            <a:ext uri="{FF2B5EF4-FFF2-40B4-BE49-F238E27FC236}">
              <a16:creationId xmlns:a16="http://schemas.microsoft.com/office/drawing/2014/main" id="{1BB6D7EC-B481-0FA7-24B6-EE3D41B208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3" name="AutoShape 16">
          <a:extLst>
            <a:ext uri="{FF2B5EF4-FFF2-40B4-BE49-F238E27FC236}">
              <a16:creationId xmlns:a16="http://schemas.microsoft.com/office/drawing/2014/main" id="{6A3B49C1-1979-21C4-82D9-884C4B153DB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4" name="AutoShape 14">
          <a:extLst>
            <a:ext uri="{FF2B5EF4-FFF2-40B4-BE49-F238E27FC236}">
              <a16:creationId xmlns:a16="http://schemas.microsoft.com/office/drawing/2014/main" id="{C2573FED-7B90-517C-8AFE-BD538447A7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5" name="AutoShape 12">
          <a:extLst>
            <a:ext uri="{FF2B5EF4-FFF2-40B4-BE49-F238E27FC236}">
              <a16:creationId xmlns:a16="http://schemas.microsoft.com/office/drawing/2014/main" id="{63B9B883-FEF4-94B3-B5B4-39BA6ED7F25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6" name="AutoShape 10">
          <a:extLst>
            <a:ext uri="{FF2B5EF4-FFF2-40B4-BE49-F238E27FC236}">
              <a16:creationId xmlns:a16="http://schemas.microsoft.com/office/drawing/2014/main" id="{2D53DF9F-8790-6AAD-58B0-762E8A024D1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7" name="AutoShape 8">
          <a:extLst>
            <a:ext uri="{FF2B5EF4-FFF2-40B4-BE49-F238E27FC236}">
              <a16:creationId xmlns:a16="http://schemas.microsoft.com/office/drawing/2014/main" id="{D2282A84-6CA1-71D8-660B-EA227478B0A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8" name="AutoShape 6">
          <a:extLst>
            <a:ext uri="{FF2B5EF4-FFF2-40B4-BE49-F238E27FC236}">
              <a16:creationId xmlns:a16="http://schemas.microsoft.com/office/drawing/2014/main" id="{4D3B22CD-EECF-7001-857F-7EE6123380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19" name="AutoShape 4">
          <a:extLst>
            <a:ext uri="{FF2B5EF4-FFF2-40B4-BE49-F238E27FC236}">
              <a16:creationId xmlns:a16="http://schemas.microsoft.com/office/drawing/2014/main" id="{FE5159A0-3F8D-F801-3983-556167462E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27</xdr:col>
      <xdr:colOff>123825</xdr:colOff>
      <xdr:row>56</xdr:row>
      <xdr:rowOff>104775</xdr:rowOff>
    </xdr:to>
    <xdr:sp macro="" textlink="">
      <xdr:nvSpPr>
        <xdr:cNvPr id="20" name="AutoShape 2">
          <a:extLst>
            <a:ext uri="{FF2B5EF4-FFF2-40B4-BE49-F238E27FC236}">
              <a16:creationId xmlns:a16="http://schemas.microsoft.com/office/drawing/2014/main" id="{E8B616EF-43B1-F8C6-2C24-3FA4CFA4FC2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304800</xdr:colOff>
      <xdr:row>57</xdr:row>
      <xdr:rowOff>0</xdr:rowOff>
    </xdr:to>
    <xdr:sp macro="" textlink="">
      <xdr:nvSpPr>
        <xdr:cNvPr id="3086" name="_x0000_t202" hidden="1">
          <a:extLst>
            <a:ext uri="{FF2B5EF4-FFF2-40B4-BE49-F238E27FC236}">
              <a16:creationId xmlns:a16="http://schemas.microsoft.com/office/drawing/2014/main" id="{4FFE5D03-D027-624C-A93C-130AD6340B3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84" name="_x0000_t202" hidden="1">
          <a:extLst>
            <a:ext uri="{FF2B5EF4-FFF2-40B4-BE49-F238E27FC236}">
              <a16:creationId xmlns:a16="http://schemas.microsoft.com/office/drawing/2014/main" id="{814727A4-1958-8840-54FF-993C32729EF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82" name="_x0000_t202" hidden="1">
          <a:extLst>
            <a:ext uri="{FF2B5EF4-FFF2-40B4-BE49-F238E27FC236}">
              <a16:creationId xmlns:a16="http://schemas.microsoft.com/office/drawing/2014/main" id="{A4AE0D6F-4464-542E-16A1-4711E022B72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80" name="_x0000_t202" hidden="1">
          <a:extLst>
            <a:ext uri="{FF2B5EF4-FFF2-40B4-BE49-F238E27FC236}">
              <a16:creationId xmlns:a16="http://schemas.microsoft.com/office/drawing/2014/main" id="{3AB75CAF-7395-D323-3791-F4EE6403E75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78" name="_x0000_t202" hidden="1">
          <a:extLst>
            <a:ext uri="{FF2B5EF4-FFF2-40B4-BE49-F238E27FC236}">
              <a16:creationId xmlns:a16="http://schemas.microsoft.com/office/drawing/2014/main" id="{06E32251-01FC-4778-4993-853B28BA68E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76" name="_x0000_t202" hidden="1">
          <a:extLst>
            <a:ext uri="{FF2B5EF4-FFF2-40B4-BE49-F238E27FC236}">
              <a16:creationId xmlns:a16="http://schemas.microsoft.com/office/drawing/2014/main" id="{A56CA68E-A661-FD10-FE23-EE661122929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074" name="_x0000_t202" hidden="1">
          <a:extLst>
            <a:ext uri="{FF2B5EF4-FFF2-40B4-BE49-F238E27FC236}">
              <a16:creationId xmlns:a16="http://schemas.microsoft.com/office/drawing/2014/main" id="{FAE66F8E-3EC2-F0FC-62DD-2C16BCEC8AD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2" name="AutoShape 14">
          <a:extLst>
            <a:ext uri="{FF2B5EF4-FFF2-40B4-BE49-F238E27FC236}">
              <a16:creationId xmlns:a16="http://schemas.microsoft.com/office/drawing/2014/main" id="{DBFD8BDF-0E45-104A-A96B-B9A2D575D1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3" name="AutoShape 12">
          <a:extLst>
            <a:ext uri="{FF2B5EF4-FFF2-40B4-BE49-F238E27FC236}">
              <a16:creationId xmlns:a16="http://schemas.microsoft.com/office/drawing/2014/main" id="{AE0B0D12-52DF-FE58-E288-B474C2411BE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4" name="AutoShape 10">
          <a:extLst>
            <a:ext uri="{FF2B5EF4-FFF2-40B4-BE49-F238E27FC236}">
              <a16:creationId xmlns:a16="http://schemas.microsoft.com/office/drawing/2014/main" id="{533A40E7-5076-875F-58C4-1FB0695857F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5" name="AutoShape 8">
          <a:extLst>
            <a:ext uri="{FF2B5EF4-FFF2-40B4-BE49-F238E27FC236}">
              <a16:creationId xmlns:a16="http://schemas.microsoft.com/office/drawing/2014/main" id="{FC42E9A1-FECC-7B93-054B-5883FB4B77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6" name="AutoShape 6">
          <a:extLst>
            <a:ext uri="{FF2B5EF4-FFF2-40B4-BE49-F238E27FC236}">
              <a16:creationId xmlns:a16="http://schemas.microsoft.com/office/drawing/2014/main" id="{0970FF19-A27A-838A-4372-D0C5C3513E2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7" name="AutoShape 4">
          <a:extLst>
            <a:ext uri="{FF2B5EF4-FFF2-40B4-BE49-F238E27FC236}">
              <a16:creationId xmlns:a16="http://schemas.microsoft.com/office/drawing/2014/main" id="{F1D632F4-9790-F892-EF6B-B7B74AE60C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34</xdr:col>
      <xdr:colOff>304800</xdr:colOff>
      <xdr:row>57</xdr:row>
      <xdr:rowOff>0</xdr:rowOff>
    </xdr:to>
    <xdr:sp macro="" textlink="">
      <xdr:nvSpPr>
        <xdr:cNvPr id="8" name="AutoShape 2">
          <a:extLst>
            <a:ext uri="{FF2B5EF4-FFF2-40B4-BE49-F238E27FC236}">
              <a16:creationId xmlns:a16="http://schemas.microsoft.com/office/drawing/2014/main" id="{4D2A55E6-78D3-F61C-2C2E-2202B70309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161925</xdr:colOff>
      <xdr:row>56</xdr:row>
      <xdr:rowOff>152400</xdr:rowOff>
    </xdr:to>
    <xdr:sp macro="" textlink="">
      <xdr:nvSpPr>
        <xdr:cNvPr id="4102" name="_x0000_t202" hidden="1">
          <a:extLst>
            <a:ext uri="{FF2B5EF4-FFF2-40B4-BE49-F238E27FC236}">
              <a16:creationId xmlns:a16="http://schemas.microsoft.com/office/drawing/2014/main" id="{B4E8DB28-B790-44D6-D7CA-9F558AA4268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161925</xdr:colOff>
      <xdr:row>56</xdr:row>
      <xdr:rowOff>152400</xdr:rowOff>
    </xdr:to>
    <xdr:sp macro="" textlink="">
      <xdr:nvSpPr>
        <xdr:cNvPr id="4100" name="_x0000_t202" hidden="1">
          <a:extLst>
            <a:ext uri="{FF2B5EF4-FFF2-40B4-BE49-F238E27FC236}">
              <a16:creationId xmlns:a16="http://schemas.microsoft.com/office/drawing/2014/main" id="{7396DC17-F333-CF6B-31D4-19D592DD1EE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161925</xdr:colOff>
      <xdr:row>56</xdr:row>
      <xdr:rowOff>152400</xdr:rowOff>
    </xdr:to>
    <xdr:sp macro="" textlink="">
      <xdr:nvSpPr>
        <xdr:cNvPr id="4098" name="_x0000_t202" hidden="1">
          <a:extLst>
            <a:ext uri="{FF2B5EF4-FFF2-40B4-BE49-F238E27FC236}">
              <a16:creationId xmlns:a16="http://schemas.microsoft.com/office/drawing/2014/main" id="{CB597892-32C2-8ED7-332D-F263EE738B1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9</xdr:col>
      <xdr:colOff>161925</xdr:colOff>
      <xdr:row>56</xdr:row>
      <xdr:rowOff>152400</xdr:rowOff>
    </xdr:to>
    <xdr:sp macro="" textlink="">
      <xdr:nvSpPr>
        <xdr:cNvPr id="2" name="AutoShape 6">
          <a:extLst>
            <a:ext uri="{FF2B5EF4-FFF2-40B4-BE49-F238E27FC236}">
              <a16:creationId xmlns:a16="http://schemas.microsoft.com/office/drawing/2014/main" id="{6F76C663-3447-9418-5319-B6803E0612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161925</xdr:colOff>
      <xdr:row>56</xdr:row>
      <xdr:rowOff>152400</xdr:rowOff>
    </xdr:to>
    <xdr:sp macro="" textlink="">
      <xdr:nvSpPr>
        <xdr:cNvPr id="3" name="AutoShape 4">
          <a:extLst>
            <a:ext uri="{FF2B5EF4-FFF2-40B4-BE49-F238E27FC236}">
              <a16:creationId xmlns:a16="http://schemas.microsoft.com/office/drawing/2014/main" id="{72AFD267-D1F2-3386-FD01-13C75408F67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9</xdr:col>
      <xdr:colOff>161925</xdr:colOff>
      <xdr:row>56</xdr:row>
      <xdr:rowOff>152400</xdr:rowOff>
    </xdr:to>
    <xdr:sp macro="" textlink="">
      <xdr:nvSpPr>
        <xdr:cNvPr id="4" name="AutoShape 2">
          <a:extLst>
            <a:ext uri="{FF2B5EF4-FFF2-40B4-BE49-F238E27FC236}">
              <a16:creationId xmlns:a16="http://schemas.microsoft.com/office/drawing/2014/main" id="{9BEFCA60-CB5A-9702-390E-A3BDA636B7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4" Type="http://schemas.openxmlformats.org/officeDocument/2006/relationships/hyperlink" Target="http://www.vekn.net/tournament-rul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93"/>
  <sheetViews>
    <sheetView topLeftCell="A38" zoomScale="150" zoomScaleNormal="150" workbookViewId="0">
      <selection activeCell="A38" sqref="A38"/>
    </sheetView>
  </sheetViews>
  <sheetFormatPr defaultColWidth="8.85546875" defaultRowHeight="12.75" x14ac:dyDescent="0.2"/>
  <cols>
    <col min="1" max="1" width="3.28515625" style="1" customWidth="1"/>
    <col min="2" max="2" width="4.7109375" style="2" customWidth="1"/>
    <col min="3" max="3" width="96.85546875" style="3" customWidth="1"/>
    <col min="4" max="4" width="10.7109375" style="2" customWidth="1"/>
    <col min="5" max="1024" width="8.85546875" style="2"/>
  </cols>
  <sheetData>
    <row r="1" spans="1:5" s="5" customFormat="1" ht="45" x14ac:dyDescent="0.2">
      <c r="A1" s="4" t="s">
        <v>0</v>
      </c>
      <c r="C1" s="6"/>
    </row>
    <row r="2" spans="1:5" x14ac:dyDescent="0.2">
      <c r="A2" s="7" t="s">
        <v>1</v>
      </c>
      <c r="E2" s="2" t="s">
        <v>2</v>
      </c>
    </row>
    <row r="4" spans="1:5" s="9" customFormat="1" ht="11.25" x14ac:dyDescent="0.2">
      <c r="A4" s="8" t="s">
        <v>3</v>
      </c>
      <c r="C4" s="10"/>
    </row>
    <row r="5" spans="1:5" s="9" customFormat="1" ht="11.25" x14ac:dyDescent="0.2">
      <c r="A5" s="8" t="s">
        <v>4</v>
      </c>
      <c r="C5" s="10"/>
    </row>
    <row r="6" spans="1:5" s="9" customFormat="1" ht="11.25" x14ac:dyDescent="0.2">
      <c r="A6" s="8" t="s">
        <v>5</v>
      </c>
      <c r="C6" s="10"/>
    </row>
    <row r="7" spans="1:5" s="9" customFormat="1" ht="11.25" x14ac:dyDescent="0.2">
      <c r="A7" s="8"/>
      <c r="C7" s="10"/>
      <c r="D7" s="11"/>
      <c r="E7" s="12"/>
    </row>
    <row r="8" spans="1:5" s="15" customFormat="1" x14ac:dyDescent="0.2">
      <c r="A8" s="13" t="s">
        <v>6</v>
      </c>
      <c r="B8" s="9"/>
      <c r="C8" s="10"/>
      <c r="D8" s="14"/>
      <c r="E8" s="9"/>
    </row>
    <row r="9" spans="1:5" s="15" customFormat="1" x14ac:dyDescent="0.2">
      <c r="A9" s="16" t="s">
        <v>7</v>
      </c>
      <c r="B9" s="9"/>
      <c r="C9" s="10"/>
      <c r="D9" s="14"/>
      <c r="E9" s="9"/>
    </row>
    <row r="10" spans="1:5" s="15" customFormat="1" x14ac:dyDescent="0.2">
      <c r="A10" s="17"/>
      <c r="B10" s="9"/>
      <c r="C10" s="10"/>
      <c r="D10" s="14"/>
      <c r="E10" s="9"/>
    </row>
    <row r="11" spans="1:5" s="15" customFormat="1" ht="18" x14ac:dyDescent="0.2">
      <c r="A11" s="18" t="s">
        <v>8</v>
      </c>
      <c r="B11" s="9"/>
      <c r="C11" s="10"/>
      <c r="D11" s="14"/>
      <c r="E11" s="9"/>
    </row>
    <row r="12" spans="1:5" s="15" customFormat="1" ht="18" x14ac:dyDescent="0.2">
      <c r="A12" s="18"/>
      <c r="B12" s="9" t="s">
        <v>9</v>
      </c>
      <c r="C12" s="10" t="s">
        <v>10</v>
      </c>
      <c r="D12" s="14"/>
      <c r="E12" s="9"/>
    </row>
    <row r="13" spans="1:5" s="15" customFormat="1" ht="18" x14ac:dyDescent="0.2">
      <c r="A13" s="18"/>
      <c r="B13" s="9" t="s">
        <v>11</v>
      </c>
      <c r="C13" s="10" t="s">
        <v>12</v>
      </c>
      <c r="D13" s="14"/>
      <c r="E13" s="9"/>
    </row>
    <row r="14" spans="1:5" s="15" customFormat="1" ht="22.5" x14ac:dyDescent="0.2">
      <c r="A14" s="18"/>
      <c r="B14" s="9" t="s">
        <v>13</v>
      </c>
      <c r="C14" s="10" t="s">
        <v>14</v>
      </c>
      <c r="D14" s="14"/>
      <c r="E14" s="9"/>
    </row>
    <row r="15" spans="1:5" s="15" customFormat="1" ht="22.5" x14ac:dyDescent="0.2">
      <c r="A15" s="18"/>
      <c r="B15" s="9" t="s">
        <v>15</v>
      </c>
      <c r="C15" s="10" t="s">
        <v>16</v>
      </c>
      <c r="D15" s="19"/>
      <c r="E15" s="20"/>
    </row>
    <row r="16" spans="1:5" s="15" customFormat="1" ht="18" x14ac:dyDescent="0.2">
      <c r="A16" s="18"/>
      <c r="B16" s="9" t="s">
        <v>17</v>
      </c>
      <c r="C16" s="10" t="s">
        <v>18</v>
      </c>
      <c r="D16" s="14"/>
      <c r="E16" s="9"/>
    </row>
    <row r="17" spans="1:5" s="15" customFormat="1" ht="22.5" x14ac:dyDescent="0.2">
      <c r="A17" s="18"/>
      <c r="B17" s="9" t="s">
        <v>19</v>
      </c>
      <c r="C17" s="10" t="s">
        <v>20</v>
      </c>
      <c r="D17" s="14"/>
      <c r="E17" s="9"/>
    </row>
    <row r="18" spans="1:5" s="15" customFormat="1" ht="33.75" x14ac:dyDescent="0.2">
      <c r="A18" s="18"/>
      <c r="B18" s="9" t="s">
        <v>21</v>
      </c>
      <c r="C18" s="10" t="s">
        <v>22</v>
      </c>
      <c r="D18" s="14"/>
      <c r="E18" s="9"/>
    </row>
    <row r="19" spans="1:5" s="15" customFormat="1" ht="18" x14ac:dyDescent="0.2">
      <c r="A19" s="18"/>
      <c r="B19" s="9" t="s">
        <v>23</v>
      </c>
      <c r="C19" s="10" t="s">
        <v>24</v>
      </c>
      <c r="D19" s="14"/>
      <c r="E19" s="9"/>
    </row>
    <row r="20" spans="1:5" s="15" customFormat="1" ht="22.5" x14ac:dyDescent="0.2">
      <c r="A20" s="18"/>
      <c r="B20" s="9" t="s">
        <v>25</v>
      </c>
      <c r="C20" s="10" t="s">
        <v>26</v>
      </c>
      <c r="D20" s="19"/>
      <c r="E20" s="20"/>
    </row>
    <row r="21" spans="1:5" s="15" customFormat="1" ht="18" x14ac:dyDescent="0.2">
      <c r="A21" s="18"/>
      <c r="B21" s="9" t="s">
        <v>27</v>
      </c>
      <c r="C21" s="10" t="s">
        <v>28</v>
      </c>
      <c r="D21" s="14"/>
      <c r="E21" s="9"/>
    </row>
    <row r="22" spans="1:5" s="15" customFormat="1" ht="22.5" x14ac:dyDescent="0.2">
      <c r="A22" s="18"/>
      <c r="B22" s="9" t="s">
        <v>29</v>
      </c>
      <c r="C22" s="10" t="s">
        <v>30</v>
      </c>
      <c r="D22" s="14"/>
      <c r="E22" s="9"/>
    </row>
    <row r="23" spans="1:5" s="15" customFormat="1" ht="22.5" x14ac:dyDescent="0.2">
      <c r="A23" s="18"/>
      <c r="B23" s="9" t="s">
        <v>31</v>
      </c>
      <c r="C23" s="10" t="s">
        <v>32</v>
      </c>
      <c r="D23" s="14"/>
      <c r="E23" s="9"/>
    </row>
    <row r="24" spans="1:5" s="15" customFormat="1" ht="18" x14ac:dyDescent="0.2">
      <c r="A24" s="18"/>
      <c r="B24" s="9" t="s">
        <v>33</v>
      </c>
      <c r="C24" s="10" t="s">
        <v>34</v>
      </c>
      <c r="D24" s="14"/>
      <c r="E24" s="9"/>
    </row>
    <row r="25" spans="1:5" s="15" customFormat="1" ht="33.75" x14ac:dyDescent="0.2">
      <c r="A25" s="18"/>
      <c r="B25" s="9" t="s">
        <v>35</v>
      </c>
      <c r="C25" s="10" t="s">
        <v>36</v>
      </c>
      <c r="D25" s="19"/>
      <c r="E25" s="20"/>
    </row>
    <row r="26" spans="1:5" s="15" customFormat="1" ht="18" x14ac:dyDescent="0.2">
      <c r="A26" s="18"/>
      <c r="B26" s="9" t="s">
        <v>37</v>
      </c>
      <c r="C26" s="10" t="s">
        <v>38</v>
      </c>
      <c r="D26" s="14"/>
      <c r="E26" s="9"/>
    </row>
    <row r="27" spans="1:5" s="15" customFormat="1" ht="33.75" x14ac:dyDescent="0.2">
      <c r="A27" s="18"/>
      <c r="B27" s="9" t="s">
        <v>39</v>
      </c>
      <c r="C27" s="10" t="s">
        <v>40</v>
      </c>
      <c r="D27" s="14"/>
      <c r="E27" s="9"/>
    </row>
    <row r="28" spans="1:5" s="15" customFormat="1" ht="22.5" x14ac:dyDescent="0.2">
      <c r="A28" s="18"/>
      <c r="B28" s="9" t="s">
        <v>41</v>
      </c>
      <c r="C28" s="10" t="s">
        <v>42</v>
      </c>
      <c r="D28" s="14"/>
      <c r="E28" s="9"/>
    </row>
    <row r="29" spans="1:5" s="15" customFormat="1" ht="22.5" x14ac:dyDescent="0.2">
      <c r="A29" s="18"/>
      <c r="B29" s="9" t="s">
        <v>43</v>
      </c>
      <c r="C29" s="10" t="s">
        <v>44</v>
      </c>
      <c r="D29" s="14"/>
      <c r="E29" s="9"/>
    </row>
    <row r="30" spans="1:5" s="15" customFormat="1" ht="22.5" x14ac:dyDescent="0.2">
      <c r="A30" s="18"/>
      <c r="B30" s="9" t="s">
        <v>45</v>
      </c>
      <c r="C30" s="10" t="s">
        <v>46</v>
      </c>
      <c r="D30" s="19"/>
      <c r="E30" s="20"/>
    </row>
    <row r="31" spans="1:5" s="15" customFormat="1" ht="18" x14ac:dyDescent="0.2">
      <c r="A31" s="18"/>
      <c r="B31" s="9" t="s">
        <v>47</v>
      </c>
      <c r="C31" s="10" t="s">
        <v>48</v>
      </c>
      <c r="D31" s="14"/>
      <c r="E31" s="9"/>
    </row>
    <row r="32" spans="1:5" s="15" customFormat="1" ht="22.5" x14ac:dyDescent="0.2">
      <c r="A32" s="18"/>
      <c r="B32" s="9" t="s">
        <v>49</v>
      </c>
      <c r="C32" s="10" t="s">
        <v>50</v>
      </c>
      <c r="D32" s="14"/>
      <c r="E32" s="9"/>
    </row>
    <row r="33" spans="1:5" s="15" customFormat="1" ht="22.5" x14ac:dyDescent="0.2">
      <c r="A33" s="18"/>
      <c r="B33" s="9" t="s">
        <v>51</v>
      </c>
      <c r="C33" s="10" t="s">
        <v>52</v>
      </c>
      <c r="D33" s="14"/>
      <c r="E33" s="9"/>
    </row>
    <row r="34" spans="1:5" s="15" customFormat="1" ht="22.5" x14ac:dyDescent="0.2">
      <c r="A34" s="18"/>
      <c r="B34" s="9" t="s">
        <v>53</v>
      </c>
      <c r="C34" s="10" t="s">
        <v>54</v>
      </c>
      <c r="D34" s="14"/>
      <c r="E34" s="9"/>
    </row>
    <row r="35" spans="1:5" s="15" customFormat="1" ht="22.5" x14ac:dyDescent="0.2">
      <c r="A35" s="18"/>
      <c r="B35" s="9" t="s">
        <v>55</v>
      </c>
      <c r="C35" s="10" t="s">
        <v>56</v>
      </c>
      <c r="D35" s="19"/>
      <c r="E35" s="20"/>
    </row>
    <row r="36" spans="1:5" s="15" customFormat="1" x14ac:dyDescent="0.2">
      <c r="A36" s="17"/>
      <c r="B36" s="9"/>
      <c r="C36" s="10"/>
      <c r="D36" s="14"/>
      <c r="E36" s="9"/>
    </row>
    <row r="37" spans="1:5" s="24" customFormat="1" x14ac:dyDescent="0.2">
      <c r="A37" s="17"/>
      <c r="B37" s="21"/>
      <c r="C37" s="22"/>
      <c r="D37" s="23"/>
      <c r="E37" s="21"/>
    </row>
    <row r="38" spans="1:5" s="24" customFormat="1" ht="18" x14ac:dyDescent="0.2">
      <c r="A38" s="18" t="s">
        <v>57</v>
      </c>
      <c r="B38" s="21"/>
      <c r="C38" s="22"/>
      <c r="D38" s="23"/>
      <c r="E38" s="21"/>
    </row>
    <row r="39" spans="1:5" s="24" customFormat="1" x14ac:dyDescent="0.2">
      <c r="A39" s="20"/>
      <c r="B39" s="21"/>
      <c r="C39" s="22"/>
      <c r="D39" s="23"/>
      <c r="E39" s="21"/>
    </row>
    <row r="40" spans="1:5" s="24" customFormat="1" x14ac:dyDescent="0.2">
      <c r="A40" s="25" t="s">
        <v>58</v>
      </c>
      <c r="B40" s="2"/>
      <c r="C40" s="22"/>
      <c r="D40" s="19"/>
      <c r="E40" s="20"/>
    </row>
    <row r="41" spans="1:5" s="24" customFormat="1" ht="63.75" x14ac:dyDescent="0.2">
      <c r="A41" s="1"/>
      <c r="B41" s="1">
        <v>1</v>
      </c>
      <c r="C41" s="26" t="s">
        <v>59</v>
      </c>
      <c r="D41" s="23"/>
      <c r="E41" s="21"/>
    </row>
    <row r="42" spans="1:5" s="24" customFormat="1" x14ac:dyDescent="0.2">
      <c r="A42" s="21"/>
      <c r="B42" s="1"/>
      <c r="C42" s="27"/>
      <c r="D42" s="23"/>
      <c r="E42" s="21"/>
    </row>
    <row r="43" spans="1:5" s="24" customFormat="1" x14ac:dyDescent="0.2">
      <c r="A43" s="21"/>
      <c r="B43" s="21"/>
      <c r="C43" s="3" t="s">
        <v>60</v>
      </c>
      <c r="D43" s="23"/>
      <c r="E43" s="21"/>
    </row>
    <row r="44" spans="1:5" s="24" customFormat="1" x14ac:dyDescent="0.2">
      <c r="A44" s="1"/>
      <c r="B44" s="2"/>
      <c r="C44" s="28" t="s">
        <v>61</v>
      </c>
      <c r="D44" s="23"/>
      <c r="E44" s="21"/>
    </row>
    <row r="45" spans="1:5" s="24" customFormat="1" x14ac:dyDescent="0.2">
      <c r="A45" s="1"/>
      <c r="B45" s="21"/>
      <c r="C45" s="22"/>
      <c r="D45" s="19"/>
      <c r="E45" s="20"/>
    </row>
    <row r="46" spans="1:5" s="24" customFormat="1" ht="38.25" x14ac:dyDescent="0.2">
      <c r="A46" s="1"/>
      <c r="B46" s="2"/>
      <c r="C46" s="26" t="s">
        <v>62</v>
      </c>
      <c r="D46" s="23"/>
      <c r="E46" s="21"/>
    </row>
    <row r="47" spans="1:5" s="24" customFormat="1" x14ac:dyDescent="0.2">
      <c r="A47" s="1"/>
      <c r="B47" s="2"/>
      <c r="C47" s="28" t="s">
        <v>63</v>
      </c>
      <c r="D47" s="23"/>
      <c r="E47" s="21"/>
    </row>
    <row r="48" spans="1:5" s="24" customFormat="1" x14ac:dyDescent="0.2">
      <c r="A48" s="1"/>
      <c r="B48" s="21"/>
      <c r="C48" s="22"/>
      <c r="D48" s="23"/>
      <c r="E48" s="21"/>
    </row>
    <row r="49" spans="1:5" s="24" customFormat="1" ht="38.25" x14ac:dyDescent="0.2">
      <c r="A49" s="1"/>
      <c r="B49" s="2"/>
      <c r="C49" s="26" t="s">
        <v>64</v>
      </c>
      <c r="D49" s="23"/>
      <c r="E49" s="21"/>
    </row>
    <row r="50" spans="1:5" s="24" customFormat="1" x14ac:dyDescent="0.2">
      <c r="A50" s="1"/>
      <c r="B50" s="21"/>
      <c r="C50" s="28" t="s">
        <v>65</v>
      </c>
      <c r="D50" s="19"/>
      <c r="E50" s="20"/>
    </row>
    <row r="51" spans="1:5" s="24" customFormat="1" x14ac:dyDescent="0.2">
      <c r="A51" s="1"/>
      <c r="B51" s="2"/>
      <c r="C51" s="28" t="s">
        <v>66</v>
      </c>
      <c r="D51" s="23"/>
      <c r="E51" s="21"/>
    </row>
    <row r="52" spans="1:5" s="24" customFormat="1" x14ac:dyDescent="0.2">
      <c r="A52" s="1"/>
      <c r="B52" s="21"/>
      <c r="C52" s="28" t="s">
        <v>67</v>
      </c>
      <c r="D52" s="23"/>
      <c r="E52" s="21"/>
    </row>
    <row r="53" spans="1:5" s="24" customFormat="1" x14ac:dyDescent="0.2">
      <c r="A53" s="1"/>
      <c r="B53" s="21"/>
      <c r="C53" s="28" t="s">
        <v>68</v>
      </c>
      <c r="D53" s="23"/>
      <c r="E53" s="21"/>
    </row>
    <row r="54" spans="1:5" s="24" customFormat="1" x14ac:dyDescent="0.2">
      <c r="A54" s="1"/>
      <c r="B54" s="2"/>
      <c r="C54" s="22"/>
      <c r="D54" s="23"/>
      <c r="E54" s="21"/>
    </row>
    <row r="55" spans="1:5" s="24" customFormat="1" ht="38.25" x14ac:dyDescent="0.2">
      <c r="A55" s="1"/>
      <c r="B55" s="1">
        <f>B41+1</f>
        <v>2</v>
      </c>
      <c r="C55" s="29" t="s">
        <v>69</v>
      </c>
      <c r="D55" s="19"/>
      <c r="E55" s="20"/>
    </row>
    <row r="56" spans="1:5" s="24" customFormat="1" x14ac:dyDescent="0.2">
      <c r="A56" s="1"/>
      <c r="B56" s="2"/>
      <c r="C56" s="22"/>
      <c r="D56" s="23"/>
      <c r="E56" s="21"/>
    </row>
    <row r="57" spans="1:5" s="24" customFormat="1" ht="38.25" x14ac:dyDescent="0.2">
      <c r="A57" s="1"/>
      <c r="B57" s="1">
        <f>B55+1</f>
        <v>3</v>
      </c>
      <c r="C57" s="3" t="s">
        <v>70</v>
      </c>
      <c r="D57" s="23"/>
      <c r="E57" s="21"/>
    </row>
    <row r="58" spans="1:5" s="24" customFormat="1" x14ac:dyDescent="0.2">
      <c r="A58" s="1"/>
      <c r="B58" s="2"/>
      <c r="C58" s="22"/>
      <c r="D58" s="23"/>
      <c r="E58" s="21"/>
    </row>
    <row r="59" spans="1:5" s="24" customFormat="1" ht="51" x14ac:dyDescent="0.2">
      <c r="A59" s="1"/>
      <c r="B59" s="1">
        <f>B57+1</f>
        <v>4</v>
      </c>
      <c r="C59" s="3" t="s">
        <v>71</v>
      </c>
      <c r="D59" s="23"/>
      <c r="E59" s="21"/>
    </row>
    <row r="60" spans="1:5" s="24" customFormat="1" x14ac:dyDescent="0.2">
      <c r="A60" s="1"/>
      <c r="B60" s="21"/>
      <c r="C60" s="22"/>
      <c r="D60" s="19"/>
      <c r="E60" s="20"/>
    </row>
    <row r="61" spans="1:5" s="24" customFormat="1" ht="25.5" x14ac:dyDescent="0.2">
      <c r="A61" s="21"/>
      <c r="B61" s="1">
        <f>B59+1</f>
        <v>5</v>
      </c>
      <c r="C61" s="3" t="s">
        <v>72</v>
      </c>
      <c r="D61" s="23"/>
      <c r="E61" s="21"/>
    </row>
    <row r="62" spans="1:5" s="24" customFormat="1" x14ac:dyDescent="0.2">
      <c r="A62" s="1"/>
      <c r="B62" s="2"/>
      <c r="C62" s="22"/>
      <c r="D62" s="23"/>
      <c r="E62" s="21"/>
    </row>
    <row r="63" spans="1:5" s="24" customFormat="1" x14ac:dyDescent="0.2">
      <c r="A63" s="1"/>
      <c r="B63" s="2"/>
      <c r="C63" s="22"/>
      <c r="D63" s="23"/>
      <c r="E63" s="21"/>
    </row>
    <row r="64" spans="1:5" s="24" customFormat="1" x14ac:dyDescent="0.2">
      <c r="A64" s="25" t="s">
        <v>73</v>
      </c>
      <c r="B64" s="2"/>
      <c r="C64" s="22"/>
      <c r="D64" s="23"/>
      <c r="E64" s="21"/>
    </row>
    <row r="65" spans="1:17" s="24" customFormat="1" x14ac:dyDescent="0.2">
      <c r="A65" s="1"/>
      <c r="B65" s="30">
        <f>B61+1</f>
        <v>6</v>
      </c>
      <c r="C65" s="22" t="s">
        <v>74</v>
      </c>
      <c r="D65" s="19"/>
      <c r="E65" s="20"/>
      <c r="F65" s="15"/>
      <c r="G65" s="15"/>
      <c r="H65" s="15"/>
      <c r="I65" s="15"/>
      <c r="J65" s="15"/>
      <c r="K65" s="15"/>
      <c r="L65" s="15"/>
      <c r="M65" s="15"/>
      <c r="N65" s="15"/>
      <c r="O65" s="15"/>
      <c r="P65" s="15"/>
      <c r="Q65" s="15"/>
    </row>
    <row r="66" spans="1:17" s="15" customFormat="1" ht="25.5" x14ac:dyDescent="0.2">
      <c r="A66" s="21"/>
      <c r="B66" s="31" t="s">
        <v>75</v>
      </c>
      <c r="C66" s="26" t="s">
        <v>76</v>
      </c>
      <c r="D66" s="31"/>
      <c r="E66" s="2"/>
    </row>
    <row r="67" spans="1:17" s="15" customFormat="1" x14ac:dyDescent="0.2">
      <c r="A67" s="30"/>
      <c r="B67" s="2"/>
      <c r="C67" s="3"/>
      <c r="D67" s="31"/>
      <c r="E67" s="2"/>
    </row>
    <row r="68" spans="1:17" s="15" customFormat="1" x14ac:dyDescent="0.2">
      <c r="A68" s="30"/>
      <c r="B68" s="30">
        <f>B65+1</f>
        <v>7</v>
      </c>
      <c r="C68" s="22" t="s">
        <v>77</v>
      </c>
      <c r="D68" s="31"/>
      <c r="E68" s="2"/>
    </row>
    <row r="69" spans="1:17" s="15" customFormat="1" ht="38.25" x14ac:dyDescent="0.2">
      <c r="A69" s="2"/>
      <c r="B69" s="31" t="s">
        <v>75</v>
      </c>
      <c r="C69" s="3" t="s">
        <v>78</v>
      </c>
      <c r="D69" s="31"/>
      <c r="E69" s="2"/>
    </row>
    <row r="70" spans="1:17" s="15" customFormat="1" ht="38.25" x14ac:dyDescent="0.2">
      <c r="A70" s="30"/>
      <c r="B70" s="31" t="s">
        <v>75</v>
      </c>
      <c r="C70" s="3" t="s">
        <v>79</v>
      </c>
      <c r="D70" s="19"/>
      <c r="E70" s="20"/>
    </row>
    <row r="71" spans="1:17" s="15" customFormat="1" x14ac:dyDescent="0.2">
      <c r="A71" s="30"/>
      <c r="B71" s="31" t="s">
        <v>75</v>
      </c>
      <c r="C71" s="3" t="s">
        <v>80</v>
      </c>
      <c r="D71" s="31"/>
      <c r="E71" s="2"/>
    </row>
    <row r="72" spans="1:17" s="15" customFormat="1" ht="127.5" x14ac:dyDescent="0.2">
      <c r="A72" s="30"/>
      <c r="B72" s="31" t="s">
        <v>75</v>
      </c>
      <c r="C72" s="26" t="s">
        <v>81</v>
      </c>
      <c r="D72" s="31"/>
      <c r="E72" s="2"/>
    </row>
    <row r="73" spans="1:17" s="15" customFormat="1" x14ac:dyDescent="0.2">
      <c r="A73" s="30"/>
      <c r="B73" s="31"/>
      <c r="C73" s="28" t="s">
        <v>82</v>
      </c>
      <c r="D73" s="31"/>
      <c r="E73" s="2"/>
    </row>
    <row r="74" spans="1:17" s="15" customFormat="1" x14ac:dyDescent="0.2">
      <c r="A74" s="30"/>
      <c r="B74" s="2"/>
      <c r="C74" s="3"/>
      <c r="D74" s="31"/>
      <c r="E74" s="2"/>
    </row>
    <row r="75" spans="1:17" s="15" customFormat="1" x14ac:dyDescent="0.2">
      <c r="A75" s="30"/>
      <c r="B75" s="30">
        <f>B68+1</f>
        <v>8</v>
      </c>
      <c r="C75" s="22" t="s">
        <v>83</v>
      </c>
      <c r="D75" s="19"/>
      <c r="E75" s="20"/>
    </row>
    <row r="76" spans="1:17" s="15" customFormat="1" ht="25.5" x14ac:dyDescent="0.2">
      <c r="A76" s="30"/>
      <c r="B76" s="2"/>
      <c r="C76" s="22" t="s">
        <v>84</v>
      </c>
      <c r="D76" s="31"/>
      <c r="E76" s="2"/>
    </row>
    <row r="77" spans="1:17" s="15" customFormat="1" ht="63.75" x14ac:dyDescent="0.2">
      <c r="A77" s="30"/>
      <c r="B77" s="31" t="s">
        <v>75</v>
      </c>
      <c r="C77" s="3" t="s">
        <v>85</v>
      </c>
      <c r="D77" s="31"/>
      <c r="E77" s="2"/>
    </row>
    <row r="78" spans="1:17" s="15" customFormat="1" ht="38.25" x14ac:dyDescent="0.2">
      <c r="A78" s="30"/>
      <c r="B78" s="31" t="s">
        <v>75</v>
      </c>
      <c r="C78" s="3" t="s">
        <v>86</v>
      </c>
      <c r="D78" s="31"/>
      <c r="E78" s="2"/>
    </row>
    <row r="79" spans="1:17" s="15" customFormat="1" ht="63.75" x14ac:dyDescent="0.2">
      <c r="A79" s="30"/>
      <c r="B79" s="31" t="s">
        <v>75</v>
      </c>
      <c r="C79" s="3" t="s">
        <v>87</v>
      </c>
      <c r="D79" s="31"/>
      <c r="E79" s="2"/>
    </row>
    <row r="80" spans="1:17" s="15" customFormat="1" ht="51" x14ac:dyDescent="0.2">
      <c r="A80" s="30"/>
      <c r="B80" s="31" t="s">
        <v>75</v>
      </c>
      <c r="C80" s="3" t="s">
        <v>88</v>
      </c>
      <c r="D80" s="19"/>
      <c r="E80" s="20"/>
    </row>
    <row r="81" spans="1:5" s="15" customFormat="1" ht="25.5" x14ac:dyDescent="0.2">
      <c r="A81" s="30"/>
      <c r="B81" s="31" t="s">
        <v>75</v>
      </c>
      <c r="C81" s="3" t="s">
        <v>89</v>
      </c>
      <c r="D81" s="31"/>
      <c r="E81" s="2"/>
    </row>
    <row r="82" spans="1:5" s="15" customFormat="1" x14ac:dyDescent="0.2">
      <c r="A82" s="30"/>
      <c r="B82" s="2"/>
      <c r="C82" s="3"/>
      <c r="D82" s="31"/>
      <c r="E82" s="2"/>
    </row>
    <row r="83" spans="1:5" s="15" customFormat="1" x14ac:dyDescent="0.2">
      <c r="A83" s="30"/>
      <c r="B83" s="30">
        <f>B75+1</f>
        <v>9</v>
      </c>
      <c r="C83" s="22" t="s">
        <v>90</v>
      </c>
      <c r="D83" s="31"/>
      <c r="E83" s="2"/>
    </row>
    <row r="84" spans="1:5" s="15" customFormat="1" ht="38.25" x14ac:dyDescent="0.2">
      <c r="A84" s="2"/>
      <c r="B84" s="31" t="s">
        <v>75</v>
      </c>
      <c r="C84" s="3" t="s">
        <v>91</v>
      </c>
      <c r="D84" s="31"/>
      <c r="E84" s="2"/>
    </row>
    <row r="85" spans="1:5" s="15" customFormat="1" x14ac:dyDescent="0.2">
      <c r="A85" s="30"/>
      <c r="B85" s="2"/>
      <c r="C85" s="3"/>
      <c r="D85" s="19"/>
      <c r="E85" s="20"/>
    </row>
    <row r="86" spans="1:5" s="15" customFormat="1" x14ac:dyDescent="0.2">
      <c r="A86" s="30"/>
      <c r="B86" s="30">
        <f>B83+1</f>
        <v>10</v>
      </c>
      <c r="C86" s="22" t="s">
        <v>92</v>
      </c>
      <c r="D86" s="31"/>
      <c r="E86" s="2"/>
    </row>
    <row r="87" spans="1:5" s="15" customFormat="1" ht="51" x14ac:dyDescent="0.2">
      <c r="A87" s="30"/>
      <c r="B87" s="31" t="s">
        <v>75</v>
      </c>
      <c r="C87" s="3" t="s">
        <v>93</v>
      </c>
      <c r="D87" s="31"/>
      <c r="E87" s="2"/>
    </row>
    <row r="88" spans="1:5" s="15" customFormat="1" ht="25.5" x14ac:dyDescent="0.2">
      <c r="A88" s="30"/>
      <c r="B88" s="31" t="s">
        <v>75</v>
      </c>
      <c r="C88" s="3" t="s">
        <v>94</v>
      </c>
      <c r="D88" s="31"/>
      <c r="E88" s="2"/>
    </row>
    <row r="89" spans="1:5" s="15" customFormat="1" ht="38.25" x14ac:dyDescent="0.2">
      <c r="A89" s="30"/>
      <c r="B89" s="31" t="s">
        <v>75</v>
      </c>
      <c r="C89" s="3" t="s">
        <v>95</v>
      </c>
      <c r="D89" s="31"/>
      <c r="E89" s="2"/>
    </row>
    <row r="90" spans="1:5" s="15" customFormat="1" x14ac:dyDescent="0.2">
      <c r="A90" s="2"/>
      <c r="B90" s="31" t="s">
        <v>75</v>
      </c>
      <c r="C90" s="3" t="s">
        <v>96</v>
      </c>
      <c r="D90" s="19"/>
      <c r="E90" s="20"/>
    </row>
    <row r="91" spans="1:5" s="15" customFormat="1" ht="25.5" x14ac:dyDescent="0.2">
      <c r="A91" s="30"/>
      <c r="B91" s="31" t="s">
        <v>75</v>
      </c>
      <c r="C91" s="3" t="s">
        <v>97</v>
      </c>
      <c r="D91" s="31"/>
      <c r="E91" s="2"/>
    </row>
    <row r="92" spans="1:5" s="15" customFormat="1" ht="38.25" x14ac:dyDescent="0.2">
      <c r="A92" s="30"/>
      <c r="B92" s="31" t="s">
        <v>75</v>
      </c>
      <c r="C92" s="3" t="s">
        <v>98</v>
      </c>
      <c r="D92" s="31"/>
      <c r="E92" s="2"/>
    </row>
    <row r="93" spans="1:5" s="15" customFormat="1" ht="38.25" x14ac:dyDescent="0.2">
      <c r="A93" s="30"/>
      <c r="B93" s="31" t="s">
        <v>75</v>
      </c>
      <c r="C93" s="3" t="s">
        <v>99</v>
      </c>
      <c r="D93" s="31"/>
      <c r="E93" s="2"/>
    </row>
    <row r="94" spans="1:5" s="15" customFormat="1" ht="25.5" x14ac:dyDescent="0.2">
      <c r="A94" s="30"/>
      <c r="B94" s="31" t="s">
        <v>75</v>
      </c>
      <c r="C94" s="3" t="s">
        <v>100</v>
      </c>
      <c r="D94" s="31"/>
      <c r="E94" s="2"/>
    </row>
    <row r="95" spans="1:5" s="15" customFormat="1" x14ac:dyDescent="0.2">
      <c r="A95" s="30"/>
      <c r="B95" s="2"/>
      <c r="C95" s="3"/>
      <c r="D95" s="19"/>
      <c r="E95" s="20"/>
    </row>
    <row r="96" spans="1:5" s="15" customFormat="1" x14ac:dyDescent="0.2">
      <c r="A96" s="30"/>
      <c r="B96" s="30">
        <f>B86+1</f>
        <v>11</v>
      </c>
      <c r="C96" s="22" t="s">
        <v>101</v>
      </c>
      <c r="D96" s="31"/>
      <c r="E96" s="2"/>
    </row>
    <row r="97" spans="1:5" s="15" customFormat="1" ht="25.5" x14ac:dyDescent="0.2">
      <c r="A97" s="2"/>
      <c r="B97" s="31" t="s">
        <v>75</v>
      </c>
      <c r="C97" s="3" t="s">
        <v>102</v>
      </c>
      <c r="D97" s="31"/>
      <c r="E97" s="2"/>
    </row>
    <row r="98" spans="1:5" s="15" customFormat="1" ht="63.75" x14ac:dyDescent="0.2">
      <c r="A98" s="30"/>
      <c r="B98" s="31" t="s">
        <v>103</v>
      </c>
      <c r="C98" s="3" t="s">
        <v>104</v>
      </c>
      <c r="D98" s="31"/>
      <c r="E98" s="2"/>
    </row>
    <row r="99" spans="1:5" s="15" customFormat="1" ht="51" x14ac:dyDescent="0.2">
      <c r="A99" s="30"/>
      <c r="B99" s="31" t="s">
        <v>105</v>
      </c>
      <c r="C99" s="3" t="s">
        <v>106</v>
      </c>
      <c r="D99" s="31"/>
      <c r="E99" s="2"/>
    </row>
    <row r="100" spans="1:5" s="15" customFormat="1" x14ac:dyDescent="0.2">
      <c r="A100" s="30"/>
      <c r="B100" s="31" t="s">
        <v>75</v>
      </c>
      <c r="C100" s="3" t="s">
        <v>107</v>
      </c>
      <c r="D100" s="19"/>
      <c r="E100" s="20"/>
    </row>
    <row r="101" spans="1:5" s="15" customFormat="1" x14ac:dyDescent="0.2">
      <c r="A101" s="30"/>
      <c r="B101" s="31" t="s">
        <v>75</v>
      </c>
      <c r="C101" s="3" t="s">
        <v>108</v>
      </c>
      <c r="D101" s="31"/>
      <c r="E101" s="2"/>
    </row>
    <row r="102" spans="1:5" s="15" customFormat="1" x14ac:dyDescent="0.2">
      <c r="A102" s="30"/>
      <c r="B102" s="2"/>
      <c r="C102" s="3" t="s">
        <v>109</v>
      </c>
      <c r="D102" s="31"/>
      <c r="E102" s="2"/>
    </row>
    <row r="103" spans="1:5" s="15" customFormat="1" x14ac:dyDescent="0.2">
      <c r="A103" s="30"/>
      <c r="B103" s="32"/>
      <c r="C103" s="3"/>
      <c r="D103" s="31"/>
      <c r="E103" s="2"/>
    </row>
    <row r="104" spans="1:5" s="15" customFormat="1" x14ac:dyDescent="0.2">
      <c r="A104" s="30"/>
      <c r="B104" s="32"/>
      <c r="C104" s="3"/>
      <c r="D104" s="31"/>
      <c r="E104" s="2"/>
    </row>
    <row r="105" spans="1:5" s="15" customFormat="1" x14ac:dyDescent="0.2">
      <c r="A105" s="33" t="s">
        <v>110</v>
      </c>
      <c r="B105" s="2"/>
      <c r="C105" s="3"/>
      <c r="D105" s="19"/>
      <c r="E105" s="20"/>
    </row>
    <row r="106" spans="1:5" s="15" customFormat="1" x14ac:dyDescent="0.2">
      <c r="A106" s="30"/>
      <c r="B106" s="30">
        <f>B96+1</f>
        <v>12</v>
      </c>
      <c r="C106" s="22" t="s">
        <v>111</v>
      </c>
      <c r="D106" s="31"/>
      <c r="E106" s="2"/>
    </row>
    <row r="107" spans="1:5" s="15" customFormat="1" ht="51" x14ac:dyDescent="0.2">
      <c r="A107" s="2"/>
      <c r="B107" s="31" t="s">
        <v>75</v>
      </c>
      <c r="C107" s="26" t="s">
        <v>112</v>
      </c>
      <c r="D107" s="31"/>
      <c r="E107" s="2"/>
    </row>
    <row r="108" spans="1:5" s="15" customFormat="1" x14ac:dyDescent="0.2">
      <c r="A108" s="30"/>
      <c r="B108" s="2"/>
      <c r="C108" s="3"/>
      <c r="D108" s="31"/>
      <c r="E108" s="2"/>
    </row>
    <row r="109" spans="1:5" s="15" customFormat="1" x14ac:dyDescent="0.2">
      <c r="A109" s="30"/>
      <c r="B109" s="30">
        <f>B106+1</f>
        <v>13</v>
      </c>
      <c r="C109" s="34" t="s">
        <v>113</v>
      </c>
      <c r="D109" s="31"/>
      <c r="E109" s="2"/>
    </row>
    <row r="110" spans="1:5" s="15" customFormat="1" ht="38.25" x14ac:dyDescent="0.2">
      <c r="A110" s="30"/>
      <c r="B110" s="31" t="s">
        <v>75</v>
      </c>
      <c r="C110" s="3" t="s">
        <v>114</v>
      </c>
      <c r="D110" s="19"/>
      <c r="E110" s="20"/>
    </row>
    <row r="111" spans="1:5" s="15" customFormat="1" ht="51" x14ac:dyDescent="0.2">
      <c r="A111" s="30"/>
      <c r="B111" s="31" t="s">
        <v>75</v>
      </c>
      <c r="C111" s="26" t="s">
        <v>115</v>
      </c>
      <c r="D111" s="31"/>
      <c r="E111" s="2"/>
    </row>
    <row r="112" spans="1:5" s="15" customFormat="1" x14ac:dyDescent="0.2">
      <c r="A112" s="30"/>
      <c r="B112" s="21"/>
      <c r="C112" s="3"/>
      <c r="D112" s="31"/>
      <c r="E112" s="2"/>
    </row>
    <row r="113" spans="1:5" s="15" customFormat="1" x14ac:dyDescent="0.2">
      <c r="A113" s="2"/>
      <c r="B113" s="30">
        <v>14</v>
      </c>
      <c r="C113" s="22" t="s">
        <v>116</v>
      </c>
      <c r="D113" s="31"/>
      <c r="E113" s="2"/>
    </row>
    <row r="114" spans="1:5" s="15" customFormat="1" ht="38.25" x14ac:dyDescent="0.2">
      <c r="A114" s="30"/>
      <c r="B114" s="31" t="s">
        <v>75</v>
      </c>
      <c r="C114" s="26" t="s">
        <v>117</v>
      </c>
      <c r="D114" s="31"/>
      <c r="E114" s="2"/>
    </row>
    <row r="115" spans="1:5" s="15" customFormat="1" x14ac:dyDescent="0.2">
      <c r="A115" s="2"/>
      <c r="B115" s="2"/>
      <c r="C115" s="3"/>
      <c r="D115" s="19"/>
      <c r="E115" s="20"/>
    </row>
    <row r="116" spans="1:5" s="15" customFormat="1" x14ac:dyDescent="0.2">
      <c r="A116" s="30"/>
      <c r="B116" s="2"/>
      <c r="C116" s="3"/>
      <c r="D116" s="31"/>
      <c r="E116" s="2"/>
    </row>
    <row r="117" spans="1:5" s="15" customFormat="1" x14ac:dyDescent="0.2">
      <c r="A117" s="30"/>
      <c r="B117" s="2"/>
      <c r="C117" s="3"/>
      <c r="D117" s="31"/>
      <c r="E117" s="2"/>
    </row>
    <row r="118" spans="1:5" s="15" customFormat="1" x14ac:dyDescent="0.2">
      <c r="A118" s="30"/>
      <c r="B118" s="2"/>
      <c r="C118" s="3"/>
      <c r="D118" s="31"/>
      <c r="E118" s="2"/>
    </row>
    <row r="119" spans="1:5" s="15" customFormat="1" x14ac:dyDescent="0.2">
      <c r="A119" s="30"/>
      <c r="B119" s="2"/>
      <c r="C119" s="3"/>
      <c r="D119" s="31"/>
      <c r="E119" s="2"/>
    </row>
    <row r="120" spans="1:5" s="15" customFormat="1" x14ac:dyDescent="0.2">
      <c r="A120" s="30"/>
      <c r="B120" s="2"/>
      <c r="C120" s="3"/>
      <c r="D120" s="19"/>
      <c r="E120" s="20"/>
    </row>
    <row r="121" spans="1:5" s="15" customFormat="1" x14ac:dyDescent="0.2">
      <c r="A121" s="30"/>
      <c r="B121" s="2"/>
      <c r="C121" s="3"/>
      <c r="D121" s="31"/>
      <c r="E121" s="2"/>
    </row>
    <row r="122" spans="1:5" s="15" customFormat="1" x14ac:dyDescent="0.2">
      <c r="A122" s="30"/>
      <c r="B122" s="2"/>
      <c r="C122" s="3"/>
      <c r="D122" s="31"/>
      <c r="E122" s="2"/>
    </row>
    <row r="123" spans="1:5" s="15" customFormat="1" x14ac:dyDescent="0.2">
      <c r="A123" s="30"/>
      <c r="B123" s="2"/>
      <c r="C123" s="3"/>
      <c r="D123" s="31"/>
      <c r="E123" s="2"/>
    </row>
    <row r="124" spans="1:5" s="15" customFormat="1" x14ac:dyDescent="0.2">
      <c r="A124" s="30"/>
      <c r="B124" s="2"/>
      <c r="C124" s="3"/>
      <c r="D124" s="31"/>
      <c r="E124" s="2"/>
    </row>
    <row r="125" spans="1:5" s="15" customFormat="1" x14ac:dyDescent="0.2">
      <c r="A125" s="30"/>
      <c r="B125" s="2"/>
      <c r="C125" s="3"/>
      <c r="D125" s="19"/>
      <c r="E125" s="20"/>
    </row>
    <row r="126" spans="1:5" s="15" customFormat="1" x14ac:dyDescent="0.2">
      <c r="A126" s="30"/>
      <c r="B126" s="2"/>
      <c r="C126" s="3"/>
      <c r="D126" s="31"/>
      <c r="E126" s="2"/>
    </row>
    <row r="127" spans="1:5" s="15" customFormat="1" x14ac:dyDescent="0.2">
      <c r="A127" s="30"/>
      <c r="B127" s="2"/>
      <c r="C127" s="3"/>
      <c r="D127" s="31"/>
      <c r="E127" s="2"/>
    </row>
    <row r="128" spans="1:5" s="15" customFormat="1" x14ac:dyDescent="0.2">
      <c r="A128" s="30"/>
      <c r="B128" s="2"/>
      <c r="C128" s="3"/>
      <c r="D128" s="31"/>
      <c r="E128" s="2"/>
    </row>
    <row r="129" spans="1:5" s="15" customFormat="1" x14ac:dyDescent="0.2">
      <c r="A129" s="30"/>
      <c r="B129" s="2"/>
      <c r="C129" s="3"/>
      <c r="D129" s="31"/>
      <c r="E129" s="2"/>
    </row>
    <row r="130" spans="1:5" s="15" customFormat="1" x14ac:dyDescent="0.2">
      <c r="A130" s="30"/>
      <c r="B130" s="2"/>
      <c r="C130" s="3"/>
      <c r="D130" s="19"/>
      <c r="E130" s="20"/>
    </row>
    <row r="131" spans="1:5" s="15" customFormat="1" x14ac:dyDescent="0.2">
      <c r="A131" s="30"/>
      <c r="B131" s="2"/>
      <c r="C131" s="3"/>
      <c r="D131" s="31"/>
      <c r="E131" s="2"/>
    </row>
    <row r="132" spans="1:5" s="15" customFormat="1" x14ac:dyDescent="0.2">
      <c r="A132" s="30"/>
      <c r="B132" s="2"/>
      <c r="C132" s="3"/>
      <c r="D132" s="31"/>
      <c r="E132" s="2"/>
    </row>
    <row r="133" spans="1:5" s="15" customFormat="1" x14ac:dyDescent="0.2">
      <c r="A133" s="30"/>
      <c r="B133" s="2"/>
      <c r="C133" s="3"/>
      <c r="D133" s="31"/>
      <c r="E133" s="2"/>
    </row>
    <row r="134" spans="1:5" s="15" customFormat="1" x14ac:dyDescent="0.2">
      <c r="A134" s="30"/>
      <c r="B134" s="2"/>
      <c r="C134" s="3"/>
      <c r="D134" s="31"/>
      <c r="E134" s="2"/>
    </row>
    <row r="135" spans="1:5" s="15" customFormat="1" x14ac:dyDescent="0.2">
      <c r="A135" s="30"/>
      <c r="B135" s="2"/>
      <c r="C135" s="3"/>
      <c r="D135" s="19"/>
      <c r="E135" s="20"/>
    </row>
    <row r="136" spans="1:5" s="15" customFormat="1" x14ac:dyDescent="0.2">
      <c r="A136" s="30"/>
      <c r="B136" s="2"/>
      <c r="C136" s="3"/>
      <c r="D136" s="31"/>
      <c r="E136" s="2"/>
    </row>
    <row r="137" spans="1:5" s="15" customFormat="1" x14ac:dyDescent="0.2">
      <c r="A137" s="30"/>
      <c r="B137" s="2"/>
      <c r="C137" s="3"/>
      <c r="D137" s="31"/>
      <c r="E137" s="2"/>
    </row>
    <row r="138" spans="1:5" s="15" customFormat="1" x14ac:dyDescent="0.2">
      <c r="A138" s="30"/>
      <c r="B138" s="2"/>
      <c r="C138" s="3"/>
      <c r="D138" s="31"/>
      <c r="E138" s="2"/>
    </row>
    <row r="139" spans="1:5" s="15" customFormat="1" x14ac:dyDescent="0.2">
      <c r="A139" s="30"/>
      <c r="B139" s="2"/>
      <c r="C139" s="3"/>
      <c r="D139" s="31"/>
      <c r="E139" s="2"/>
    </row>
    <row r="140" spans="1:5" s="15" customFormat="1" x14ac:dyDescent="0.2">
      <c r="A140" s="30"/>
      <c r="B140" s="2"/>
      <c r="C140" s="3"/>
      <c r="D140" s="19"/>
      <c r="E140" s="20"/>
    </row>
    <row r="141" spans="1:5" s="15" customFormat="1" x14ac:dyDescent="0.2">
      <c r="A141" s="30"/>
      <c r="B141" s="2"/>
      <c r="C141" s="3"/>
      <c r="D141" s="31"/>
      <c r="E141" s="2"/>
    </row>
    <row r="142" spans="1:5" s="15" customFormat="1" x14ac:dyDescent="0.2">
      <c r="A142" s="30"/>
      <c r="B142" s="2"/>
      <c r="C142" s="3"/>
      <c r="D142" s="31"/>
      <c r="E142" s="2"/>
    </row>
    <row r="143" spans="1:5" s="15" customFormat="1" x14ac:dyDescent="0.2">
      <c r="A143" s="30"/>
      <c r="B143" s="2"/>
      <c r="C143" s="3"/>
      <c r="D143" s="31"/>
      <c r="E143" s="2"/>
    </row>
    <row r="144" spans="1:5" s="15" customFormat="1" x14ac:dyDescent="0.2">
      <c r="A144" s="30"/>
      <c r="B144" s="2"/>
      <c r="C144" s="3"/>
      <c r="D144" s="31"/>
      <c r="E144" s="2"/>
    </row>
    <row r="145" spans="1:5" s="15" customFormat="1" x14ac:dyDescent="0.2">
      <c r="A145" s="30"/>
      <c r="B145" s="2"/>
      <c r="C145" s="3"/>
      <c r="D145" s="19"/>
      <c r="E145" s="20"/>
    </row>
    <row r="146" spans="1:5" s="15" customFormat="1" x14ac:dyDescent="0.2">
      <c r="A146" s="30"/>
      <c r="B146" s="2"/>
      <c r="C146" s="3"/>
      <c r="D146" s="31"/>
      <c r="E146" s="2"/>
    </row>
    <row r="147" spans="1:5" s="15" customFormat="1" x14ac:dyDescent="0.2">
      <c r="A147" s="30"/>
      <c r="B147" s="2"/>
      <c r="C147" s="3"/>
      <c r="D147" s="31"/>
      <c r="E147" s="2"/>
    </row>
    <row r="148" spans="1:5" s="15" customFormat="1" x14ac:dyDescent="0.2">
      <c r="A148" s="30"/>
      <c r="B148" s="2"/>
      <c r="C148" s="3"/>
      <c r="D148" s="31"/>
      <c r="E148" s="2"/>
    </row>
    <row r="149" spans="1:5" s="15" customFormat="1" x14ac:dyDescent="0.2">
      <c r="A149" s="30"/>
      <c r="B149" s="2"/>
      <c r="C149" s="3"/>
      <c r="D149" s="31"/>
      <c r="E149" s="2"/>
    </row>
    <row r="150" spans="1:5" s="15" customFormat="1" x14ac:dyDescent="0.2">
      <c r="A150" s="30"/>
      <c r="B150" s="2"/>
      <c r="C150" s="3"/>
      <c r="D150" s="19"/>
      <c r="E150" s="20"/>
    </row>
    <row r="151" spans="1:5" s="15" customFormat="1" x14ac:dyDescent="0.2">
      <c r="A151" s="30"/>
      <c r="B151" s="2"/>
      <c r="C151" s="3"/>
      <c r="D151" s="31"/>
      <c r="E151" s="2"/>
    </row>
    <row r="152" spans="1:5" s="15" customFormat="1" x14ac:dyDescent="0.2">
      <c r="A152" s="30"/>
      <c r="B152" s="2"/>
      <c r="C152" s="3"/>
      <c r="D152" s="31"/>
      <c r="E152" s="2"/>
    </row>
    <row r="153" spans="1:5" s="15" customFormat="1" x14ac:dyDescent="0.2">
      <c r="A153" s="30"/>
      <c r="B153" s="2"/>
      <c r="C153" s="3"/>
      <c r="D153" s="31"/>
      <c r="E153" s="2"/>
    </row>
    <row r="154" spans="1:5" s="15" customFormat="1" x14ac:dyDescent="0.2">
      <c r="A154" s="30"/>
      <c r="B154" s="2"/>
      <c r="C154" s="3"/>
      <c r="D154" s="31"/>
      <c r="E154" s="2"/>
    </row>
    <row r="155" spans="1:5" s="15" customFormat="1" x14ac:dyDescent="0.2">
      <c r="A155" s="30"/>
      <c r="B155" s="2"/>
      <c r="C155" s="3"/>
      <c r="D155" s="19"/>
      <c r="E155" s="20"/>
    </row>
    <row r="156" spans="1:5" s="15" customFormat="1" x14ac:dyDescent="0.2">
      <c r="A156" s="30"/>
      <c r="B156" s="2"/>
      <c r="C156" s="3"/>
      <c r="D156" s="31"/>
      <c r="E156" s="2"/>
    </row>
    <row r="157" spans="1:5" s="15" customFormat="1" x14ac:dyDescent="0.2">
      <c r="A157" s="30"/>
      <c r="B157" s="2"/>
      <c r="C157" s="3"/>
      <c r="D157" s="31"/>
      <c r="E157" s="2"/>
    </row>
    <row r="158" spans="1:5" s="15" customFormat="1" x14ac:dyDescent="0.2">
      <c r="A158" s="30"/>
      <c r="B158" s="2"/>
      <c r="C158" s="3"/>
      <c r="D158" s="31"/>
      <c r="E158" s="2"/>
    </row>
    <row r="159" spans="1:5" s="15" customFormat="1" x14ac:dyDescent="0.2">
      <c r="A159" s="30"/>
      <c r="B159" s="2"/>
      <c r="C159" s="3"/>
      <c r="D159" s="31"/>
      <c r="E159" s="2"/>
    </row>
    <row r="160" spans="1:5" s="15" customFormat="1" x14ac:dyDescent="0.2">
      <c r="A160" s="30"/>
      <c r="B160" s="2"/>
      <c r="C160" s="3"/>
      <c r="D160" s="19"/>
      <c r="E160" s="20"/>
    </row>
    <row r="161" spans="1:5" s="15" customFormat="1" x14ac:dyDescent="0.2">
      <c r="A161" s="30"/>
      <c r="B161" s="2"/>
      <c r="C161" s="3"/>
      <c r="D161" s="31"/>
      <c r="E161" s="2"/>
    </row>
    <row r="162" spans="1:5" s="15" customFormat="1" x14ac:dyDescent="0.2">
      <c r="A162" s="30"/>
      <c r="B162" s="2"/>
      <c r="C162" s="3"/>
      <c r="D162" s="31"/>
      <c r="E162" s="2"/>
    </row>
    <row r="163" spans="1:5" s="15" customFormat="1" x14ac:dyDescent="0.2">
      <c r="A163" s="30"/>
      <c r="B163" s="2"/>
      <c r="C163" s="3"/>
      <c r="D163" s="31"/>
      <c r="E163" s="2"/>
    </row>
    <row r="164" spans="1:5" s="15" customFormat="1" x14ac:dyDescent="0.2">
      <c r="A164" s="30"/>
      <c r="B164" s="2"/>
      <c r="C164" s="3"/>
      <c r="D164" s="31"/>
      <c r="E164" s="2"/>
    </row>
    <row r="165" spans="1:5" s="15" customFormat="1" x14ac:dyDescent="0.2">
      <c r="A165" s="30"/>
      <c r="B165" s="2"/>
      <c r="C165" s="3"/>
      <c r="D165" s="19"/>
      <c r="E165" s="20"/>
    </row>
    <row r="166" spans="1:5" s="15" customFormat="1" x14ac:dyDescent="0.2">
      <c r="A166" s="30"/>
      <c r="B166" s="2"/>
      <c r="C166" s="3"/>
      <c r="D166" s="31"/>
      <c r="E166" s="2"/>
    </row>
    <row r="167" spans="1:5" s="15" customFormat="1" x14ac:dyDescent="0.2">
      <c r="A167" s="30"/>
      <c r="B167" s="2"/>
      <c r="C167" s="3"/>
      <c r="D167" s="31"/>
      <c r="E167" s="2"/>
    </row>
    <row r="168" spans="1:5" s="15" customFormat="1" x14ac:dyDescent="0.2">
      <c r="A168" s="30"/>
      <c r="B168" s="2"/>
      <c r="C168" s="3"/>
      <c r="D168" s="31"/>
      <c r="E168" s="2"/>
    </row>
    <row r="169" spans="1:5" s="15" customFormat="1" x14ac:dyDescent="0.2">
      <c r="A169" s="30"/>
      <c r="B169" s="2"/>
      <c r="C169" s="3"/>
      <c r="D169" s="31"/>
      <c r="E169" s="2"/>
    </row>
    <row r="170" spans="1:5" s="15" customFormat="1" x14ac:dyDescent="0.2">
      <c r="A170" s="30"/>
      <c r="B170" s="2"/>
      <c r="C170" s="3"/>
      <c r="D170" s="19"/>
      <c r="E170" s="20"/>
    </row>
    <row r="171" spans="1:5" s="15" customFormat="1" x14ac:dyDescent="0.2">
      <c r="A171" s="30"/>
      <c r="B171" s="2"/>
      <c r="C171" s="3"/>
      <c r="D171" s="31"/>
      <c r="E171" s="2"/>
    </row>
    <row r="172" spans="1:5" s="15" customFormat="1" x14ac:dyDescent="0.2">
      <c r="A172" s="30"/>
      <c r="B172" s="2"/>
      <c r="C172" s="3"/>
      <c r="D172" s="31"/>
      <c r="E172" s="2"/>
    </row>
    <row r="173" spans="1:5" s="15" customFormat="1" x14ac:dyDescent="0.2">
      <c r="A173" s="30"/>
      <c r="B173" s="2"/>
      <c r="C173" s="3"/>
      <c r="D173" s="31"/>
      <c r="E173" s="2"/>
    </row>
    <row r="174" spans="1:5" s="15" customFormat="1" x14ac:dyDescent="0.2">
      <c r="A174" s="30"/>
      <c r="B174" s="2"/>
      <c r="C174" s="3"/>
      <c r="D174" s="31"/>
      <c r="E174" s="2"/>
    </row>
    <row r="175" spans="1:5" s="15" customFormat="1" x14ac:dyDescent="0.2">
      <c r="A175" s="30"/>
      <c r="B175" s="2"/>
      <c r="C175" s="3"/>
      <c r="D175" s="19"/>
      <c r="E175" s="20"/>
    </row>
    <row r="176" spans="1:5" s="15" customFormat="1" x14ac:dyDescent="0.2">
      <c r="A176" s="30"/>
      <c r="B176" s="2"/>
      <c r="C176" s="3"/>
      <c r="D176" s="31"/>
      <c r="E176" s="2"/>
    </row>
    <row r="177" spans="1:5" s="15" customFormat="1" x14ac:dyDescent="0.2">
      <c r="A177" s="30"/>
      <c r="B177" s="2"/>
      <c r="C177" s="3"/>
      <c r="D177" s="31"/>
      <c r="E177" s="2"/>
    </row>
    <row r="178" spans="1:5" s="15" customFormat="1" x14ac:dyDescent="0.2">
      <c r="A178" s="30"/>
      <c r="B178" s="2"/>
      <c r="C178" s="3"/>
      <c r="D178" s="31"/>
      <c r="E178" s="2"/>
    </row>
    <row r="179" spans="1:5" s="15" customFormat="1" x14ac:dyDescent="0.2">
      <c r="A179" s="30"/>
      <c r="B179" s="2"/>
      <c r="C179" s="3"/>
      <c r="D179" s="31"/>
      <c r="E179" s="2"/>
    </row>
    <row r="180" spans="1:5" s="15" customFormat="1" x14ac:dyDescent="0.2">
      <c r="A180" s="1"/>
      <c r="B180" s="2"/>
      <c r="C180" s="3"/>
      <c r="D180" s="19"/>
      <c r="E180" s="20"/>
    </row>
    <row r="181" spans="1:5" s="15" customFormat="1" x14ac:dyDescent="0.2">
      <c r="A181" s="1"/>
      <c r="B181" s="2"/>
      <c r="C181" s="3"/>
      <c r="D181" s="31"/>
      <c r="E181" s="2"/>
    </row>
    <row r="182" spans="1:5" s="15" customFormat="1" x14ac:dyDescent="0.2">
      <c r="A182" s="1"/>
      <c r="B182" s="2"/>
      <c r="C182" s="3"/>
      <c r="D182" s="31"/>
      <c r="E182" s="2"/>
    </row>
    <row r="183" spans="1:5" s="15" customFormat="1" x14ac:dyDescent="0.2">
      <c r="A183" s="1"/>
      <c r="B183" s="2"/>
      <c r="C183" s="3"/>
      <c r="D183" s="31"/>
      <c r="E183" s="2"/>
    </row>
    <row r="184" spans="1:5" s="15" customFormat="1" x14ac:dyDescent="0.2">
      <c r="A184" s="1"/>
      <c r="B184" s="2"/>
      <c r="C184" s="3"/>
      <c r="D184" s="31"/>
      <c r="E184" s="2"/>
    </row>
    <row r="185" spans="1:5" s="15" customFormat="1" x14ac:dyDescent="0.2">
      <c r="A185" s="1"/>
      <c r="B185" s="2"/>
      <c r="C185" s="3"/>
      <c r="D185" s="19"/>
      <c r="E185" s="20"/>
    </row>
    <row r="186" spans="1:5" s="15" customFormat="1" x14ac:dyDescent="0.2">
      <c r="A186" s="1"/>
      <c r="B186" s="2"/>
      <c r="C186" s="3"/>
      <c r="D186" s="31"/>
      <c r="E186" s="2"/>
    </row>
    <row r="187" spans="1:5" s="15" customFormat="1" x14ac:dyDescent="0.2">
      <c r="A187" s="1"/>
      <c r="B187" s="2"/>
      <c r="C187" s="3"/>
      <c r="D187" s="31"/>
      <c r="E187" s="2"/>
    </row>
    <row r="188" spans="1:5" s="15" customFormat="1" x14ac:dyDescent="0.2">
      <c r="A188" s="1"/>
      <c r="B188" s="2"/>
      <c r="C188" s="3"/>
      <c r="D188" s="31"/>
      <c r="E188" s="2"/>
    </row>
    <row r="189" spans="1:5" s="15" customFormat="1" x14ac:dyDescent="0.2">
      <c r="A189" s="1"/>
      <c r="B189" s="2"/>
      <c r="C189" s="3"/>
      <c r="D189" s="31"/>
      <c r="E189" s="2"/>
    </row>
    <row r="190" spans="1:5" s="15" customFormat="1" x14ac:dyDescent="0.2">
      <c r="A190" s="1"/>
      <c r="B190" s="2"/>
      <c r="C190" s="3"/>
      <c r="D190" s="19"/>
      <c r="E190" s="20"/>
    </row>
    <row r="191" spans="1:5" s="15" customFormat="1" x14ac:dyDescent="0.2">
      <c r="A191" s="1"/>
      <c r="B191" s="2"/>
      <c r="C191" s="3"/>
      <c r="D191" s="31"/>
      <c r="E191" s="2"/>
    </row>
    <row r="192" spans="1:5" s="15" customFormat="1" x14ac:dyDescent="0.2">
      <c r="A192" s="1"/>
      <c r="B192" s="2"/>
      <c r="C192" s="3"/>
      <c r="D192" s="31"/>
      <c r="E192" s="2"/>
    </row>
    <row r="193" spans="1:5" s="15" customFormat="1" x14ac:dyDescent="0.2">
      <c r="A193" s="1"/>
      <c r="B193" s="2"/>
      <c r="C193" s="3"/>
      <c r="D193" s="31"/>
      <c r="E193" s="2"/>
    </row>
    <row r="194" spans="1:5" s="15" customFormat="1" x14ac:dyDescent="0.2">
      <c r="A194" s="1"/>
      <c r="B194" s="2"/>
      <c r="C194" s="3"/>
      <c r="D194" s="31"/>
      <c r="E194" s="2"/>
    </row>
    <row r="195" spans="1:5" s="15" customFormat="1" x14ac:dyDescent="0.2">
      <c r="A195" s="1"/>
      <c r="B195" s="2"/>
      <c r="C195" s="3"/>
      <c r="D195" s="19"/>
      <c r="E195" s="20"/>
    </row>
    <row r="196" spans="1:5" s="15" customFormat="1" x14ac:dyDescent="0.2">
      <c r="A196" s="1"/>
      <c r="B196" s="2"/>
      <c r="C196" s="3"/>
      <c r="D196" s="31"/>
      <c r="E196" s="2"/>
    </row>
    <row r="197" spans="1:5" s="15" customFormat="1" x14ac:dyDescent="0.2">
      <c r="A197" s="1"/>
      <c r="B197" s="2"/>
      <c r="C197" s="3"/>
      <c r="D197" s="31"/>
      <c r="E197" s="2"/>
    </row>
    <row r="198" spans="1:5" s="15" customFormat="1" x14ac:dyDescent="0.2">
      <c r="A198" s="1"/>
      <c r="B198" s="2"/>
      <c r="C198" s="3"/>
      <c r="D198" s="31"/>
      <c r="E198" s="2"/>
    </row>
    <row r="199" spans="1:5" s="15" customFormat="1" x14ac:dyDescent="0.2">
      <c r="A199" s="1"/>
      <c r="B199" s="2"/>
      <c r="C199" s="3"/>
      <c r="D199" s="31"/>
      <c r="E199" s="2"/>
    </row>
    <row r="200" spans="1:5" s="15" customFormat="1" x14ac:dyDescent="0.2">
      <c r="A200" s="1"/>
      <c r="B200" s="2"/>
      <c r="C200" s="3"/>
      <c r="D200" s="19"/>
      <c r="E200" s="20"/>
    </row>
    <row r="201" spans="1:5" s="15" customFormat="1" x14ac:dyDescent="0.2">
      <c r="A201" s="1"/>
      <c r="B201" s="2"/>
      <c r="C201" s="3"/>
      <c r="D201" s="31"/>
      <c r="E201" s="2"/>
    </row>
    <row r="202" spans="1:5" s="15" customFormat="1" x14ac:dyDescent="0.2">
      <c r="A202" s="1"/>
      <c r="B202" s="2"/>
      <c r="C202" s="3"/>
      <c r="D202" s="31"/>
      <c r="E202" s="2"/>
    </row>
    <row r="203" spans="1:5" s="15" customFormat="1" x14ac:dyDescent="0.2">
      <c r="A203" s="1"/>
      <c r="B203" s="2"/>
      <c r="C203" s="3"/>
      <c r="D203" s="31"/>
      <c r="E203" s="2"/>
    </row>
    <row r="204" spans="1:5" s="15" customFormat="1" x14ac:dyDescent="0.2">
      <c r="A204" s="1"/>
      <c r="B204" s="2"/>
      <c r="C204" s="3"/>
      <c r="D204" s="31"/>
      <c r="E204" s="2"/>
    </row>
    <row r="205" spans="1:5" s="15" customFormat="1" x14ac:dyDescent="0.2">
      <c r="A205" s="1"/>
      <c r="B205" s="2"/>
      <c r="C205" s="3"/>
      <c r="D205" s="19"/>
      <c r="E205" s="20"/>
    </row>
    <row r="206" spans="1:5" s="15" customFormat="1" x14ac:dyDescent="0.2">
      <c r="A206" s="1"/>
      <c r="B206" s="2"/>
      <c r="C206" s="3"/>
      <c r="D206" s="31"/>
      <c r="E206" s="2"/>
    </row>
    <row r="207" spans="1:5" s="15" customFormat="1" x14ac:dyDescent="0.2">
      <c r="A207" s="1"/>
      <c r="B207" s="2"/>
      <c r="C207" s="3"/>
      <c r="D207" s="31"/>
      <c r="E207" s="2"/>
    </row>
    <row r="208" spans="1:5" s="15" customFormat="1" x14ac:dyDescent="0.2">
      <c r="A208" s="1"/>
      <c r="B208" s="2"/>
      <c r="C208" s="3"/>
      <c r="D208" s="31"/>
      <c r="E208" s="2"/>
    </row>
    <row r="209" spans="1:5" s="15" customFormat="1" x14ac:dyDescent="0.2">
      <c r="A209" s="1"/>
      <c r="B209" s="2"/>
      <c r="C209" s="3"/>
      <c r="D209" s="31"/>
      <c r="E209" s="2"/>
    </row>
    <row r="210" spans="1:5" s="15" customFormat="1" x14ac:dyDescent="0.2">
      <c r="A210" s="1"/>
      <c r="B210" s="2"/>
      <c r="C210" s="3"/>
      <c r="D210" s="19"/>
      <c r="E210" s="20"/>
    </row>
    <row r="211" spans="1:5" s="15" customFormat="1" x14ac:dyDescent="0.2">
      <c r="A211" s="1"/>
      <c r="B211" s="2"/>
      <c r="C211" s="3"/>
      <c r="D211" s="31"/>
      <c r="E211" s="2"/>
    </row>
    <row r="212" spans="1:5" s="15" customFormat="1" x14ac:dyDescent="0.2">
      <c r="A212" s="1"/>
      <c r="B212" s="2"/>
      <c r="C212" s="3"/>
      <c r="D212" s="31"/>
      <c r="E212" s="2"/>
    </row>
    <row r="213" spans="1:5" s="15" customFormat="1" x14ac:dyDescent="0.2">
      <c r="A213" s="1"/>
      <c r="B213" s="2"/>
      <c r="C213" s="3"/>
      <c r="D213" s="31"/>
      <c r="E213" s="2"/>
    </row>
    <row r="214" spans="1:5" s="15" customFormat="1" x14ac:dyDescent="0.2">
      <c r="A214" s="1"/>
      <c r="B214" s="2"/>
      <c r="C214" s="3"/>
      <c r="D214" s="31"/>
      <c r="E214" s="2"/>
    </row>
    <row r="215" spans="1:5" s="15" customFormat="1" x14ac:dyDescent="0.2">
      <c r="A215" s="1"/>
      <c r="B215" s="2"/>
      <c r="C215" s="3"/>
      <c r="D215" s="19"/>
      <c r="E215" s="20"/>
    </row>
    <row r="216" spans="1:5" s="15" customFormat="1" x14ac:dyDescent="0.2">
      <c r="A216" s="1"/>
      <c r="B216" s="2"/>
      <c r="C216" s="3"/>
      <c r="D216" s="31"/>
      <c r="E216" s="2"/>
    </row>
    <row r="217" spans="1:5" s="15" customFormat="1" x14ac:dyDescent="0.2">
      <c r="A217" s="1"/>
      <c r="B217" s="2"/>
      <c r="C217" s="3"/>
      <c r="D217" s="31"/>
      <c r="E217" s="2"/>
    </row>
    <row r="218" spans="1:5" s="15" customFormat="1" x14ac:dyDescent="0.2">
      <c r="A218" s="1"/>
      <c r="B218" s="2"/>
      <c r="C218" s="3"/>
      <c r="D218" s="31"/>
      <c r="E218" s="2"/>
    </row>
    <row r="219" spans="1:5" s="15" customFormat="1" x14ac:dyDescent="0.2">
      <c r="A219" s="1"/>
      <c r="B219" s="2"/>
      <c r="C219" s="3"/>
      <c r="D219" s="31"/>
      <c r="E219" s="2"/>
    </row>
    <row r="220" spans="1:5" s="15" customFormat="1" x14ac:dyDescent="0.2">
      <c r="A220" s="1"/>
      <c r="B220" s="2"/>
      <c r="C220" s="3"/>
      <c r="D220" s="19"/>
      <c r="E220" s="20"/>
    </row>
    <row r="221" spans="1:5" s="15" customFormat="1" x14ac:dyDescent="0.2">
      <c r="A221" s="1"/>
      <c r="B221" s="2"/>
      <c r="C221" s="3"/>
      <c r="D221" s="31"/>
      <c r="E221" s="2"/>
    </row>
    <row r="222" spans="1:5" s="15" customFormat="1" x14ac:dyDescent="0.2">
      <c r="A222" s="1"/>
      <c r="B222" s="2"/>
      <c r="C222" s="3"/>
      <c r="D222" s="31"/>
      <c r="E222" s="2"/>
    </row>
    <row r="223" spans="1:5" s="15" customFormat="1" x14ac:dyDescent="0.2">
      <c r="A223" s="1"/>
      <c r="B223" s="2"/>
      <c r="C223" s="3"/>
      <c r="D223" s="31"/>
      <c r="E223" s="2"/>
    </row>
    <row r="224" spans="1:5" s="15" customFormat="1" x14ac:dyDescent="0.2">
      <c r="A224" s="1"/>
      <c r="B224" s="2"/>
      <c r="C224" s="3"/>
      <c r="D224" s="31"/>
      <c r="E224" s="2"/>
    </row>
    <row r="225" spans="1:5" s="15" customFormat="1" x14ac:dyDescent="0.2">
      <c r="A225" s="1"/>
      <c r="B225" s="2"/>
      <c r="C225" s="3"/>
      <c r="D225" s="19"/>
      <c r="E225" s="20"/>
    </row>
    <row r="226" spans="1:5" s="15" customFormat="1" x14ac:dyDescent="0.2">
      <c r="A226" s="1"/>
      <c r="B226" s="2"/>
      <c r="C226" s="3"/>
      <c r="D226" s="31"/>
      <c r="E226" s="2"/>
    </row>
    <row r="227" spans="1:5" s="15" customFormat="1" x14ac:dyDescent="0.2">
      <c r="A227" s="1"/>
      <c r="B227" s="2"/>
      <c r="C227" s="3"/>
      <c r="D227" s="31"/>
      <c r="E227" s="2"/>
    </row>
    <row r="228" spans="1:5" s="15" customFormat="1" x14ac:dyDescent="0.2">
      <c r="A228" s="1"/>
      <c r="B228" s="2"/>
      <c r="C228" s="3"/>
      <c r="D228" s="31"/>
      <c r="E228" s="2"/>
    </row>
    <row r="229" spans="1:5" s="15" customFormat="1" x14ac:dyDescent="0.2">
      <c r="A229" s="1"/>
      <c r="B229" s="2"/>
      <c r="C229" s="3"/>
      <c r="D229" s="31"/>
      <c r="E229" s="2"/>
    </row>
    <row r="230" spans="1:5" s="15" customFormat="1" x14ac:dyDescent="0.2">
      <c r="A230" s="1"/>
      <c r="B230" s="2"/>
      <c r="C230" s="3"/>
      <c r="D230" s="19"/>
      <c r="E230" s="20"/>
    </row>
    <row r="231" spans="1:5" s="15" customFormat="1" x14ac:dyDescent="0.2">
      <c r="A231" s="1"/>
      <c r="B231" s="2"/>
      <c r="C231" s="3"/>
      <c r="D231" s="31"/>
      <c r="E231" s="2"/>
    </row>
    <row r="232" spans="1:5" s="15" customFormat="1" x14ac:dyDescent="0.2">
      <c r="A232" s="1"/>
      <c r="B232" s="2"/>
      <c r="C232" s="3"/>
      <c r="D232" s="31"/>
      <c r="E232" s="2"/>
    </row>
    <row r="233" spans="1:5" s="15" customFormat="1" x14ac:dyDescent="0.2">
      <c r="A233" s="1"/>
      <c r="B233" s="2"/>
      <c r="C233" s="3"/>
      <c r="D233" s="31"/>
      <c r="E233" s="2"/>
    </row>
    <row r="234" spans="1:5" s="15" customFormat="1" x14ac:dyDescent="0.2">
      <c r="A234" s="1"/>
      <c r="B234" s="2"/>
      <c r="C234" s="3"/>
      <c r="D234" s="31"/>
      <c r="E234" s="2"/>
    </row>
    <row r="235" spans="1:5" s="15" customFormat="1" x14ac:dyDescent="0.2">
      <c r="A235" s="1"/>
      <c r="B235" s="2"/>
      <c r="C235" s="3"/>
      <c r="D235" s="19"/>
      <c r="E235" s="20"/>
    </row>
    <row r="236" spans="1:5" s="15" customFormat="1" x14ac:dyDescent="0.2">
      <c r="A236" s="1"/>
      <c r="B236" s="2"/>
      <c r="C236" s="3"/>
      <c r="D236" s="31"/>
      <c r="E236" s="2"/>
    </row>
    <row r="237" spans="1:5" s="15" customFormat="1" x14ac:dyDescent="0.2">
      <c r="A237" s="1"/>
      <c r="B237" s="2"/>
      <c r="C237" s="3"/>
      <c r="D237" s="31"/>
      <c r="E237" s="2"/>
    </row>
    <row r="238" spans="1:5" s="15" customFormat="1" x14ac:dyDescent="0.2">
      <c r="A238" s="1"/>
      <c r="B238" s="2"/>
      <c r="C238" s="3"/>
      <c r="D238" s="31"/>
      <c r="E238" s="2"/>
    </row>
    <row r="239" spans="1:5" s="15" customFormat="1" x14ac:dyDescent="0.2">
      <c r="A239" s="1"/>
      <c r="B239" s="2"/>
      <c r="C239" s="3"/>
      <c r="D239" s="31"/>
      <c r="E239" s="2"/>
    </row>
    <row r="240" spans="1:5" s="15" customFormat="1" x14ac:dyDescent="0.2">
      <c r="A240" s="1"/>
      <c r="B240" s="2"/>
      <c r="C240" s="3"/>
      <c r="D240" s="19"/>
      <c r="E240" s="20"/>
    </row>
    <row r="241" spans="1:5" s="15" customFormat="1" x14ac:dyDescent="0.2">
      <c r="A241" s="1"/>
      <c r="B241" s="2"/>
      <c r="C241" s="3"/>
      <c r="D241" s="31"/>
      <c r="E241" s="2"/>
    </row>
    <row r="242" spans="1:5" s="15" customFormat="1" x14ac:dyDescent="0.2">
      <c r="A242" s="1"/>
      <c r="B242" s="2"/>
      <c r="C242" s="3"/>
      <c r="D242" s="31"/>
      <c r="E242" s="2"/>
    </row>
    <row r="243" spans="1:5" s="15" customFormat="1" x14ac:dyDescent="0.2">
      <c r="A243" s="1"/>
      <c r="B243" s="2"/>
      <c r="C243" s="3"/>
      <c r="D243" s="31"/>
      <c r="E243" s="2"/>
    </row>
    <row r="244" spans="1:5" s="15" customFormat="1" x14ac:dyDescent="0.2">
      <c r="A244" s="1"/>
      <c r="B244" s="2"/>
      <c r="C244" s="3"/>
      <c r="D244" s="31"/>
      <c r="E244" s="2"/>
    </row>
    <row r="245" spans="1:5" s="15" customFormat="1" x14ac:dyDescent="0.2">
      <c r="A245" s="1"/>
      <c r="B245" s="2"/>
      <c r="C245" s="3"/>
      <c r="D245" s="19"/>
      <c r="E245" s="20"/>
    </row>
    <row r="246" spans="1:5" s="15" customFormat="1" x14ac:dyDescent="0.2">
      <c r="A246" s="1"/>
      <c r="B246" s="2"/>
      <c r="C246" s="3"/>
      <c r="D246" s="31"/>
      <c r="E246" s="2"/>
    </row>
    <row r="247" spans="1:5" s="15" customFormat="1" x14ac:dyDescent="0.2">
      <c r="A247" s="1"/>
      <c r="B247" s="2"/>
      <c r="C247" s="3"/>
      <c r="D247" s="31"/>
      <c r="E247" s="2"/>
    </row>
    <row r="248" spans="1:5" s="15" customFormat="1" x14ac:dyDescent="0.2">
      <c r="A248" s="1"/>
      <c r="B248" s="2"/>
      <c r="C248" s="3"/>
      <c r="D248" s="31"/>
      <c r="E248" s="2"/>
    </row>
    <row r="249" spans="1:5" s="15" customFormat="1" x14ac:dyDescent="0.2">
      <c r="A249" s="1"/>
      <c r="B249" s="2"/>
      <c r="C249" s="3"/>
      <c r="D249" s="31"/>
      <c r="E249" s="2"/>
    </row>
    <row r="250" spans="1:5" s="15" customFormat="1" x14ac:dyDescent="0.2">
      <c r="A250" s="1"/>
      <c r="B250" s="2"/>
      <c r="C250" s="3"/>
      <c r="D250" s="19"/>
      <c r="E250" s="20"/>
    </row>
    <row r="251" spans="1:5" s="15" customFormat="1" x14ac:dyDescent="0.2">
      <c r="A251" s="1"/>
      <c r="B251" s="2"/>
      <c r="C251" s="3"/>
      <c r="D251" s="31"/>
      <c r="E251" s="2"/>
    </row>
    <row r="252" spans="1:5" s="15" customFormat="1" x14ac:dyDescent="0.2">
      <c r="A252" s="1"/>
      <c r="B252" s="2"/>
      <c r="C252" s="3"/>
      <c r="D252" s="31"/>
      <c r="E252" s="2"/>
    </row>
    <row r="253" spans="1:5" s="15" customFormat="1" x14ac:dyDescent="0.2">
      <c r="A253" s="1"/>
      <c r="B253" s="2"/>
      <c r="C253" s="3"/>
      <c r="D253" s="31"/>
      <c r="E253" s="2"/>
    </row>
    <row r="254" spans="1:5" s="15" customFormat="1" x14ac:dyDescent="0.2">
      <c r="A254" s="1"/>
      <c r="B254" s="2"/>
      <c r="C254" s="3"/>
      <c r="D254" s="31"/>
      <c r="E254" s="2"/>
    </row>
    <row r="255" spans="1:5" s="15" customFormat="1" x14ac:dyDescent="0.2">
      <c r="A255" s="1"/>
      <c r="B255" s="2"/>
      <c r="C255" s="3"/>
      <c r="D255" s="19"/>
      <c r="E255" s="20"/>
    </row>
    <row r="256" spans="1:5" s="15" customFormat="1" x14ac:dyDescent="0.2">
      <c r="A256" s="1"/>
      <c r="B256" s="2"/>
      <c r="C256" s="3"/>
      <c r="D256" s="31"/>
      <c r="E256" s="2"/>
    </row>
    <row r="257" spans="1:5" s="15" customFormat="1" x14ac:dyDescent="0.2">
      <c r="A257" s="1"/>
      <c r="B257" s="2"/>
      <c r="C257" s="3"/>
      <c r="D257" s="31"/>
      <c r="E257" s="2"/>
    </row>
    <row r="258" spans="1:5" s="15" customFormat="1" x14ac:dyDescent="0.2">
      <c r="A258" s="1"/>
      <c r="B258" s="2"/>
      <c r="C258" s="3"/>
      <c r="D258" s="31"/>
      <c r="E258" s="2"/>
    </row>
    <row r="259" spans="1:5" s="15" customFormat="1" x14ac:dyDescent="0.2">
      <c r="A259" s="1"/>
      <c r="B259" s="2"/>
      <c r="C259" s="3"/>
      <c r="D259" s="31"/>
      <c r="E259" s="2"/>
    </row>
    <row r="260" spans="1:5" s="15" customFormat="1" x14ac:dyDescent="0.2">
      <c r="A260" s="1"/>
      <c r="B260" s="2"/>
      <c r="C260" s="3"/>
      <c r="D260" s="19"/>
      <c r="E260" s="20"/>
    </row>
    <row r="261" spans="1:5" s="15" customFormat="1" x14ac:dyDescent="0.2">
      <c r="A261" s="1"/>
      <c r="B261" s="2"/>
      <c r="C261" s="3"/>
      <c r="D261" s="31"/>
      <c r="E261" s="2"/>
    </row>
    <row r="262" spans="1:5" s="15" customFormat="1" x14ac:dyDescent="0.2">
      <c r="A262" s="1"/>
      <c r="B262" s="2"/>
      <c r="C262" s="3"/>
      <c r="D262" s="31"/>
      <c r="E262" s="2"/>
    </row>
    <row r="263" spans="1:5" s="15" customFormat="1" x14ac:dyDescent="0.2">
      <c r="A263" s="1"/>
      <c r="B263" s="2"/>
      <c r="C263" s="3"/>
      <c r="D263" s="31"/>
      <c r="E263" s="2"/>
    </row>
    <row r="264" spans="1:5" s="15" customFormat="1" x14ac:dyDescent="0.2">
      <c r="A264" s="1"/>
      <c r="B264" s="2"/>
      <c r="C264" s="3"/>
      <c r="D264" s="31"/>
      <c r="E264" s="2"/>
    </row>
    <row r="265" spans="1:5" s="15" customFormat="1" x14ac:dyDescent="0.2">
      <c r="A265" s="1"/>
      <c r="B265" s="2"/>
      <c r="C265" s="3"/>
      <c r="D265" s="19"/>
      <c r="E265" s="20"/>
    </row>
    <row r="266" spans="1:5" s="15" customFormat="1" x14ac:dyDescent="0.2">
      <c r="A266" s="1"/>
      <c r="B266" s="2"/>
      <c r="C266" s="3"/>
      <c r="D266" s="31"/>
      <c r="E266" s="2"/>
    </row>
    <row r="267" spans="1:5" s="15" customFormat="1" x14ac:dyDescent="0.2">
      <c r="A267" s="1"/>
      <c r="B267" s="2"/>
      <c r="C267" s="3"/>
      <c r="D267" s="31"/>
      <c r="E267" s="2"/>
    </row>
    <row r="268" spans="1:5" s="15" customFormat="1" x14ac:dyDescent="0.2">
      <c r="A268" s="1"/>
      <c r="B268" s="2"/>
      <c r="C268" s="3"/>
      <c r="D268" s="31"/>
      <c r="E268" s="2"/>
    </row>
    <row r="269" spans="1:5" s="15" customFormat="1" x14ac:dyDescent="0.2">
      <c r="A269" s="1"/>
      <c r="B269" s="2"/>
      <c r="C269" s="3"/>
      <c r="D269" s="31"/>
      <c r="E269" s="2"/>
    </row>
    <row r="270" spans="1:5" s="15" customFormat="1" x14ac:dyDescent="0.2">
      <c r="A270" s="1"/>
      <c r="B270" s="2"/>
      <c r="C270" s="3"/>
      <c r="D270" s="19"/>
      <c r="E270" s="20"/>
    </row>
    <row r="271" spans="1:5" s="15" customFormat="1" x14ac:dyDescent="0.2">
      <c r="A271" s="1"/>
      <c r="B271" s="2"/>
      <c r="C271" s="3"/>
      <c r="D271" s="31"/>
      <c r="E271" s="2"/>
    </row>
    <row r="272" spans="1:5" s="15" customFormat="1" x14ac:dyDescent="0.2">
      <c r="A272" s="1"/>
      <c r="B272" s="2"/>
      <c r="C272" s="3"/>
      <c r="D272" s="31"/>
      <c r="E272" s="2"/>
    </row>
    <row r="273" spans="1:5" s="15" customFormat="1" x14ac:dyDescent="0.2">
      <c r="A273" s="1"/>
      <c r="B273" s="2"/>
      <c r="C273" s="3"/>
      <c r="D273" s="31"/>
      <c r="E273" s="2"/>
    </row>
    <row r="274" spans="1:5" s="15" customFormat="1" x14ac:dyDescent="0.2">
      <c r="A274" s="1"/>
      <c r="B274" s="2"/>
      <c r="C274" s="3"/>
      <c r="D274" s="31"/>
      <c r="E274" s="2"/>
    </row>
    <row r="275" spans="1:5" s="15" customFormat="1" x14ac:dyDescent="0.2">
      <c r="A275" s="1"/>
      <c r="B275" s="2"/>
      <c r="C275" s="3"/>
      <c r="D275" s="19"/>
      <c r="E275" s="20"/>
    </row>
    <row r="276" spans="1:5" s="15" customFormat="1" x14ac:dyDescent="0.2">
      <c r="A276" s="1"/>
      <c r="B276" s="2"/>
      <c r="C276" s="3"/>
      <c r="D276" s="31"/>
      <c r="E276" s="2"/>
    </row>
    <row r="277" spans="1:5" s="15" customFormat="1" x14ac:dyDescent="0.2">
      <c r="A277" s="1"/>
      <c r="B277" s="2"/>
      <c r="C277" s="3"/>
      <c r="D277" s="31"/>
      <c r="E277" s="2"/>
    </row>
    <row r="278" spans="1:5" s="15" customFormat="1" x14ac:dyDescent="0.2">
      <c r="A278" s="1"/>
      <c r="B278" s="2"/>
      <c r="C278" s="3"/>
      <c r="D278" s="31"/>
      <c r="E278" s="2"/>
    </row>
    <row r="279" spans="1:5" s="15" customFormat="1" x14ac:dyDescent="0.2">
      <c r="A279" s="1"/>
      <c r="B279" s="2"/>
      <c r="C279" s="3"/>
      <c r="D279" s="31"/>
      <c r="E279" s="2"/>
    </row>
    <row r="280" spans="1:5" s="15" customFormat="1" x14ac:dyDescent="0.2">
      <c r="A280" s="1"/>
      <c r="B280" s="2"/>
      <c r="C280" s="3"/>
      <c r="D280" s="19"/>
      <c r="E280" s="20"/>
    </row>
    <row r="281" spans="1:5" s="15" customFormat="1" x14ac:dyDescent="0.2">
      <c r="A281" s="1"/>
      <c r="B281" s="2"/>
      <c r="C281" s="3"/>
      <c r="D281" s="31"/>
      <c r="E281" s="2"/>
    </row>
    <row r="282" spans="1:5" s="15" customFormat="1" x14ac:dyDescent="0.2">
      <c r="A282" s="1"/>
      <c r="B282" s="2"/>
      <c r="C282" s="3"/>
      <c r="D282" s="31"/>
      <c r="E282" s="2"/>
    </row>
    <row r="283" spans="1:5" s="15" customFormat="1" x14ac:dyDescent="0.2">
      <c r="A283" s="1"/>
      <c r="B283" s="2"/>
      <c r="C283" s="3"/>
      <c r="D283" s="31"/>
      <c r="E283" s="2"/>
    </row>
    <row r="284" spans="1:5" s="15" customFormat="1" x14ac:dyDescent="0.2">
      <c r="A284" s="1"/>
      <c r="B284" s="2"/>
      <c r="C284" s="3"/>
      <c r="D284" s="31"/>
      <c r="E284" s="2"/>
    </row>
    <row r="285" spans="1:5" s="15" customFormat="1" x14ac:dyDescent="0.2">
      <c r="A285" s="1"/>
      <c r="B285" s="2"/>
      <c r="C285" s="3"/>
      <c r="D285" s="19"/>
      <c r="E285" s="20"/>
    </row>
    <row r="286" spans="1:5" s="15" customFormat="1" x14ac:dyDescent="0.2">
      <c r="A286" s="1"/>
      <c r="B286" s="2"/>
      <c r="C286" s="3"/>
      <c r="D286" s="31"/>
      <c r="E286" s="2"/>
    </row>
    <row r="287" spans="1:5" s="15" customFormat="1" x14ac:dyDescent="0.2">
      <c r="A287" s="1"/>
      <c r="B287" s="2"/>
      <c r="C287" s="3"/>
      <c r="D287" s="31"/>
      <c r="E287" s="2"/>
    </row>
    <row r="288" spans="1:5" s="15" customFormat="1" x14ac:dyDescent="0.2">
      <c r="A288" s="1"/>
      <c r="B288" s="2"/>
      <c r="C288" s="3"/>
      <c r="D288" s="31"/>
      <c r="E288" s="2"/>
    </row>
    <row r="289" spans="1:5" s="15" customFormat="1" x14ac:dyDescent="0.2">
      <c r="A289" s="1"/>
      <c r="B289" s="2"/>
      <c r="C289" s="3"/>
      <c r="D289" s="31"/>
      <c r="E289" s="2"/>
    </row>
    <row r="290" spans="1:5" s="15" customFormat="1" x14ac:dyDescent="0.2">
      <c r="A290" s="1"/>
      <c r="B290" s="2"/>
      <c r="C290" s="3"/>
      <c r="D290" s="19"/>
      <c r="E290" s="20"/>
    </row>
    <row r="291" spans="1:5" s="15" customFormat="1" x14ac:dyDescent="0.2">
      <c r="A291" s="1"/>
      <c r="B291" s="2"/>
      <c r="C291" s="3"/>
      <c r="D291" s="31"/>
      <c r="E291" s="2"/>
    </row>
    <row r="292" spans="1:5" s="15" customFormat="1" x14ac:dyDescent="0.2">
      <c r="A292" s="1"/>
      <c r="B292" s="2"/>
      <c r="C292" s="3"/>
      <c r="D292" s="31"/>
      <c r="E292" s="2"/>
    </row>
    <row r="293" spans="1:5" s="15" customFormat="1" x14ac:dyDescent="0.2">
      <c r="A293" s="1"/>
      <c r="B293" s="2"/>
      <c r="C293" s="3"/>
      <c r="D293" s="31"/>
      <c r="E293" s="2"/>
    </row>
    <row r="294" spans="1:5" s="15" customFormat="1" x14ac:dyDescent="0.2">
      <c r="A294" s="1"/>
      <c r="B294" s="2"/>
      <c r="C294" s="3"/>
      <c r="D294" s="31"/>
      <c r="E294" s="2"/>
    </row>
    <row r="295" spans="1:5" s="15" customFormat="1" x14ac:dyDescent="0.2">
      <c r="A295" s="1"/>
      <c r="B295" s="2"/>
      <c r="C295" s="3"/>
      <c r="D295" s="19"/>
      <c r="E295" s="20"/>
    </row>
    <row r="296" spans="1:5" s="15" customFormat="1" x14ac:dyDescent="0.2">
      <c r="A296" s="1"/>
      <c r="B296" s="2"/>
      <c r="C296" s="3"/>
      <c r="D296" s="31"/>
      <c r="E296" s="2"/>
    </row>
    <row r="297" spans="1:5" s="15" customFormat="1" x14ac:dyDescent="0.2">
      <c r="A297" s="1"/>
      <c r="B297" s="2"/>
      <c r="C297" s="3"/>
      <c r="D297" s="31"/>
      <c r="E297" s="2"/>
    </row>
    <row r="298" spans="1:5" s="15" customFormat="1" x14ac:dyDescent="0.2">
      <c r="A298" s="1"/>
      <c r="B298" s="2"/>
      <c r="C298" s="3"/>
      <c r="D298" s="31"/>
      <c r="E298" s="2"/>
    </row>
    <row r="299" spans="1:5" s="15" customFormat="1" x14ac:dyDescent="0.2">
      <c r="A299" s="1"/>
      <c r="B299" s="2"/>
      <c r="C299" s="3"/>
      <c r="D299" s="31"/>
      <c r="E299" s="2"/>
    </row>
    <row r="300" spans="1:5" s="15" customFormat="1" x14ac:dyDescent="0.2">
      <c r="A300" s="1"/>
      <c r="B300" s="2"/>
      <c r="C300" s="3"/>
      <c r="D300" s="19"/>
      <c r="E300" s="20"/>
    </row>
    <row r="301" spans="1:5" s="15" customFormat="1" x14ac:dyDescent="0.2">
      <c r="A301" s="1"/>
      <c r="B301" s="2"/>
      <c r="C301" s="3"/>
      <c r="D301" s="31"/>
      <c r="E301" s="2"/>
    </row>
    <row r="302" spans="1:5" s="15" customFormat="1" x14ac:dyDescent="0.2">
      <c r="A302" s="1"/>
      <c r="B302" s="2"/>
      <c r="C302" s="3"/>
      <c r="D302" s="31"/>
      <c r="E302" s="2"/>
    </row>
    <row r="303" spans="1:5" s="15" customFormat="1" x14ac:dyDescent="0.2">
      <c r="A303" s="1"/>
      <c r="B303" s="2"/>
      <c r="C303" s="3"/>
      <c r="D303" s="31"/>
      <c r="E303" s="2"/>
    </row>
    <row r="304" spans="1:5" s="15" customFormat="1" x14ac:dyDescent="0.2">
      <c r="A304" s="1"/>
      <c r="B304" s="2"/>
      <c r="C304" s="3"/>
      <c r="D304" s="31"/>
      <c r="E304" s="2"/>
    </row>
    <row r="305" spans="1:5" s="15" customFormat="1" x14ac:dyDescent="0.2">
      <c r="A305" s="1"/>
      <c r="B305" s="2"/>
      <c r="C305" s="3"/>
      <c r="D305" s="19"/>
      <c r="E305" s="20"/>
    </row>
    <row r="306" spans="1:5" s="15" customFormat="1" x14ac:dyDescent="0.2">
      <c r="A306" s="1"/>
      <c r="B306" s="2"/>
      <c r="C306" s="3"/>
      <c r="D306" s="31"/>
      <c r="E306" s="2"/>
    </row>
    <row r="307" spans="1:5" s="15" customFormat="1" x14ac:dyDescent="0.2">
      <c r="A307" s="1"/>
      <c r="B307" s="2"/>
      <c r="C307" s="3"/>
      <c r="D307" s="31"/>
      <c r="E307" s="2"/>
    </row>
    <row r="308" spans="1:5" s="15" customFormat="1" x14ac:dyDescent="0.2">
      <c r="A308" s="1"/>
      <c r="B308" s="2"/>
      <c r="C308" s="3"/>
      <c r="D308" s="31"/>
      <c r="E308" s="2"/>
    </row>
    <row r="309" spans="1:5" s="15" customFormat="1" x14ac:dyDescent="0.2">
      <c r="A309" s="1"/>
      <c r="B309" s="2"/>
      <c r="C309" s="3"/>
      <c r="D309" s="31"/>
      <c r="E309" s="2"/>
    </row>
    <row r="310" spans="1:5" s="15" customFormat="1" x14ac:dyDescent="0.2">
      <c r="A310" s="1"/>
      <c r="B310" s="2"/>
      <c r="C310" s="3"/>
      <c r="D310" s="19"/>
      <c r="E310" s="20"/>
    </row>
    <row r="311" spans="1:5" s="15" customFormat="1" x14ac:dyDescent="0.2">
      <c r="A311" s="1"/>
      <c r="B311" s="2"/>
      <c r="C311" s="3"/>
      <c r="D311" s="31"/>
      <c r="E311" s="2"/>
    </row>
    <row r="312" spans="1:5" s="15" customFormat="1" x14ac:dyDescent="0.2">
      <c r="A312" s="1"/>
      <c r="B312" s="2"/>
      <c r="C312" s="3"/>
      <c r="D312" s="31"/>
      <c r="E312" s="2"/>
    </row>
    <row r="313" spans="1:5" s="15" customFormat="1" x14ac:dyDescent="0.2">
      <c r="A313" s="1"/>
      <c r="B313" s="2"/>
      <c r="C313" s="3"/>
      <c r="D313" s="31"/>
      <c r="E313" s="2"/>
    </row>
    <row r="314" spans="1:5" s="15" customFormat="1" x14ac:dyDescent="0.2">
      <c r="A314" s="1"/>
      <c r="B314" s="2"/>
      <c r="C314" s="3"/>
      <c r="D314" s="31"/>
      <c r="E314" s="2"/>
    </row>
    <row r="315" spans="1:5" s="15" customFormat="1" x14ac:dyDescent="0.2">
      <c r="A315" s="1"/>
      <c r="B315" s="2"/>
      <c r="C315" s="3"/>
      <c r="D315" s="19"/>
      <c r="E315" s="20"/>
    </row>
    <row r="316" spans="1:5" s="15" customFormat="1" x14ac:dyDescent="0.2">
      <c r="A316" s="1"/>
      <c r="B316" s="2"/>
      <c r="C316" s="3"/>
      <c r="D316" s="31"/>
      <c r="E316" s="2"/>
    </row>
    <row r="317" spans="1:5" s="15" customFormat="1" x14ac:dyDescent="0.2">
      <c r="A317" s="1"/>
      <c r="B317" s="2"/>
      <c r="C317" s="3"/>
      <c r="D317" s="31"/>
      <c r="E317" s="2"/>
    </row>
    <row r="318" spans="1:5" s="15" customFormat="1" x14ac:dyDescent="0.2">
      <c r="A318" s="1"/>
      <c r="B318" s="2"/>
      <c r="C318" s="3"/>
      <c r="D318" s="31"/>
      <c r="E318" s="2"/>
    </row>
    <row r="319" spans="1:5" s="15" customFormat="1" x14ac:dyDescent="0.2">
      <c r="A319" s="1"/>
      <c r="B319" s="2"/>
      <c r="C319" s="3"/>
      <c r="D319" s="31"/>
      <c r="E319" s="2"/>
    </row>
    <row r="320" spans="1:5" s="15" customFormat="1" x14ac:dyDescent="0.2">
      <c r="A320" s="1"/>
      <c r="B320" s="2"/>
      <c r="C320" s="3"/>
      <c r="D320" s="19"/>
      <c r="E320" s="20"/>
    </row>
    <row r="321" spans="1:5" s="15" customFormat="1" x14ac:dyDescent="0.2">
      <c r="A321" s="1"/>
      <c r="B321" s="2"/>
      <c r="C321" s="3"/>
      <c r="D321" s="31"/>
      <c r="E321" s="2"/>
    </row>
    <row r="322" spans="1:5" s="15" customFormat="1" x14ac:dyDescent="0.2">
      <c r="A322" s="1"/>
      <c r="B322" s="2"/>
      <c r="C322" s="3"/>
      <c r="D322" s="31"/>
      <c r="E322" s="2"/>
    </row>
    <row r="323" spans="1:5" s="15" customFormat="1" x14ac:dyDescent="0.2">
      <c r="A323" s="1"/>
      <c r="B323" s="2"/>
      <c r="C323" s="3"/>
      <c r="D323" s="31"/>
      <c r="E323" s="2"/>
    </row>
    <row r="324" spans="1:5" s="15" customFormat="1" x14ac:dyDescent="0.2">
      <c r="A324" s="1"/>
      <c r="B324" s="2"/>
      <c r="C324" s="3"/>
      <c r="D324" s="31"/>
      <c r="E324" s="2"/>
    </row>
    <row r="325" spans="1:5" s="15" customFormat="1" x14ac:dyDescent="0.2">
      <c r="A325" s="1"/>
      <c r="B325" s="2"/>
      <c r="C325" s="3"/>
      <c r="D325" s="19"/>
      <c r="E325" s="20"/>
    </row>
    <row r="326" spans="1:5" s="15" customFormat="1" x14ac:dyDescent="0.2">
      <c r="A326" s="1"/>
      <c r="B326" s="2"/>
      <c r="C326" s="3"/>
      <c r="D326" s="31"/>
      <c r="E326" s="2"/>
    </row>
    <row r="327" spans="1:5" s="15" customFormat="1" x14ac:dyDescent="0.2">
      <c r="A327" s="1"/>
      <c r="B327" s="2"/>
      <c r="C327" s="3"/>
      <c r="D327" s="31"/>
      <c r="E327" s="2"/>
    </row>
    <row r="328" spans="1:5" s="15" customFormat="1" x14ac:dyDescent="0.2">
      <c r="A328" s="1"/>
      <c r="B328" s="2"/>
      <c r="C328" s="3"/>
      <c r="D328" s="31"/>
      <c r="E328" s="2"/>
    </row>
    <row r="329" spans="1:5" s="15" customFormat="1" x14ac:dyDescent="0.2">
      <c r="A329" s="1"/>
      <c r="B329" s="2"/>
      <c r="C329" s="3"/>
      <c r="D329" s="31"/>
      <c r="E329" s="2"/>
    </row>
    <row r="330" spans="1:5" s="15" customFormat="1" x14ac:dyDescent="0.2">
      <c r="A330" s="1"/>
      <c r="B330" s="2"/>
      <c r="C330" s="3"/>
      <c r="D330" s="19"/>
      <c r="E330" s="20"/>
    </row>
    <row r="331" spans="1:5" s="15" customFormat="1" x14ac:dyDescent="0.2">
      <c r="A331" s="1"/>
      <c r="B331" s="2"/>
      <c r="C331" s="3"/>
      <c r="D331" s="31"/>
      <c r="E331" s="2"/>
    </row>
    <row r="332" spans="1:5" s="15" customFormat="1" x14ac:dyDescent="0.2">
      <c r="A332" s="1"/>
      <c r="B332" s="2"/>
      <c r="C332" s="3"/>
      <c r="D332" s="31"/>
      <c r="E332" s="2"/>
    </row>
    <row r="333" spans="1:5" s="15" customFormat="1" x14ac:dyDescent="0.2">
      <c r="A333" s="1"/>
      <c r="B333" s="2"/>
      <c r="C333" s="3"/>
      <c r="D333" s="31"/>
      <c r="E333" s="2"/>
    </row>
    <row r="334" spans="1:5" s="15" customFormat="1" x14ac:dyDescent="0.2">
      <c r="A334" s="1"/>
      <c r="B334" s="2"/>
      <c r="C334" s="3"/>
      <c r="D334" s="31"/>
      <c r="E334" s="2"/>
    </row>
    <row r="335" spans="1:5" s="15" customFormat="1" x14ac:dyDescent="0.2">
      <c r="A335" s="1"/>
      <c r="B335" s="2"/>
      <c r="C335" s="3"/>
      <c r="D335" s="19"/>
      <c r="E335" s="20"/>
    </row>
    <row r="336" spans="1:5" s="15" customFormat="1" x14ac:dyDescent="0.2">
      <c r="A336" s="1"/>
      <c r="B336" s="2"/>
      <c r="C336" s="3"/>
      <c r="D336" s="31"/>
      <c r="E336" s="2"/>
    </row>
    <row r="337" spans="1:5" s="15" customFormat="1" x14ac:dyDescent="0.2">
      <c r="A337" s="1"/>
      <c r="B337" s="2"/>
      <c r="C337" s="3"/>
      <c r="D337" s="31"/>
      <c r="E337" s="2"/>
    </row>
    <row r="338" spans="1:5" s="15" customFormat="1" x14ac:dyDescent="0.2">
      <c r="A338" s="1"/>
      <c r="B338" s="2"/>
      <c r="C338" s="3"/>
      <c r="D338" s="31"/>
      <c r="E338" s="2"/>
    </row>
    <row r="339" spans="1:5" s="15" customFormat="1" x14ac:dyDescent="0.2">
      <c r="A339" s="1"/>
      <c r="B339" s="2"/>
      <c r="C339" s="3"/>
      <c r="D339" s="31"/>
      <c r="E339" s="2"/>
    </row>
    <row r="340" spans="1:5" s="15" customFormat="1" x14ac:dyDescent="0.2">
      <c r="A340" s="1"/>
      <c r="B340" s="2"/>
      <c r="C340" s="3"/>
      <c r="D340" s="19"/>
      <c r="E340" s="20"/>
    </row>
    <row r="341" spans="1:5" s="15" customFormat="1" x14ac:dyDescent="0.2">
      <c r="A341" s="1"/>
      <c r="B341" s="2"/>
      <c r="C341" s="3"/>
      <c r="D341" s="31"/>
      <c r="E341" s="2"/>
    </row>
    <row r="342" spans="1:5" s="15" customFormat="1" x14ac:dyDescent="0.2">
      <c r="A342" s="1"/>
      <c r="B342" s="2"/>
      <c r="C342" s="3"/>
      <c r="D342" s="31"/>
      <c r="E342" s="2"/>
    </row>
    <row r="343" spans="1:5" s="15" customFormat="1" x14ac:dyDescent="0.2">
      <c r="A343" s="1"/>
      <c r="B343" s="2"/>
      <c r="C343" s="3"/>
      <c r="D343" s="31"/>
      <c r="E343" s="2"/>
    </row>
    <row r="344" spans="1:5" s="15" customFormat="1" x14ac:dyDescent="0.2">
      <c r="A344" s="1"/>
      <c r="B344" s="2"/>
      <c r="C344" s="3"/>
      <c r="D344" s="31"/>
      <c r="E344" s="2"/>
    </row>
    <row r="345" spans="1:5" s="15" customFormat="1" x14ac:dyDescent="0.2">
      <c r="A345" s="1"/>
      <c r="B345" s="2"/>
      <c r="C345" s="3"/>
      <c r="D345" s="19"/>
      <c r="E345" s="20"/>
    </row>
    <row r="346" spans="1:5" s="15" customFormat="1" x14ac:dyDescent="0.2">
      <c r="A346" s="1"/>
      <c r="B346" s="2"/>
      <c r="C346" s="3"/>
      <c r="D346" s="31"/>
      <c r="E346" s="2"/>
    </row>
    <row r="347" spans="1:5" s="15" customFormat="1" x14ac:dyDescent="0.2">
      <c r="A347" s="1"/>
      <c r="B347" s="2"/>
      <c r="C347" s="3"/>
      <c r="D347" s="31"/>
      <c r="E347" s="2"/>
    </row>
    <row r="348" spans="1:5" s="15" customFormat="1" x14ac:dyDescent="0.2">
      <c r="A348" s="1"/>
      <c r="B348" s="2"/>
      <c r="C348" s="3"/>
      <c r="D348" s="31"/>
      <c r="E348" s="2"/>
    </row>
    <row r="349" spans="1:5" s="15" customFormat="1" x14ac:dyDescent="0.2">
      <c r="A349" s="1"/>
      <c r="B349" s="2"/>
      <c r="C349" s="3"/>
      <c r="D349" s="31"/>
      <c r="E349" s="2"/>
    </row>
    <row r="350" spans="1:5" s="15" customFormat="1" x14ac:dyDescent="0.2">
      <c r="A350" s="1"/>
      <c r="B350" s="2"/>
      <c r="C350" s="3"/>
      <c r="D350" s="19"/>
      <c r="E350" s="20"/>
    </row>
    <row r="351" spans="1:5" s="15" customFormat="1" x14ac:dyDescent="0.2">
      <c r="A351" s="1"/>
      <c r="B351" s="2"/>
      <c r="C351" s="3"/>
      <c r="D351" s="31"/>
      <c r="E351" s="2"/>
    </row>
    <row r="352" spans="1:5" s="15" customFormat="1" x14ac:dyDescent="0.2">
      <c r="A352" s="1"/>
      <c r="B352" s="2"/>
      <c r="C352" s="3"/>
      <c r="D352" s="31"/>
      <c r="E352" s="2"/>
    </row>
    <row r="353" spans="1:5" s="15" customFormat="1" x14ac:dyDescent="0.2">
      <c r="A353" s="1"/>
      <c r="B353" s="2"/>
      <c r="C353" s="3"/>
      <c r="D353" s="31"/>
      <c r="E353" s="2"/>
    </row>
    <row r="354" spans="1:5" s="15" customFormat="1" x14ac:dyDescent="0.2">
      <c r="A354" s="1"/>
      <c r="B354" s="2"/>
      <c r="C354" s="3"/>
      <c r="D354" s="31"/>
      <c r="E354" s="2"/>
    </row>
    <row r="355" spans="1:5" s="15" customFormat="1" x14ac:dyDescent="0.2">
      <c r="A355" s="1"/>
      <c r="B355" s="2"/>
      <c r="C355" s="3"/>
      <c r="D355" s="19"/>
      <c r="E355" s="20"/>
    </row>
    <row r="356" spans="1:5" s="15" customFormat="1" x14ac:dyDescent="0.2">
      <c r="A356" s="1"/>
      <c r="B356" s="2"/>
      <c r="C356" s="3"/>
      <c r="D356" s="31"/>
      <c r="E356" s="2"/>
    </row>
    <row r="357" spans="1:5" s="15" customFormat="1" x14ac:dyDescent="0.2">
      <c r="A357" s="1"/>
      <c r="B357" s="2"/>
      <c r="C357" s="3"/>
      <c r="D357" s="31"/>
      <c r="E357" s="2"/>
    </row>
    <row r="358" spans="1:5" s="15" customFormat="1" x14ac:dyDescent="0.2">
      <c r="A358" s="1"/>
      <c r="B358" s="2"/>
      <c r="C358" s="3"/>
      <c r="D358" s="31"/>
      <c r="E358" s="2"/>
    </row>
    <row r="359" spans="1:5" s="15" customFormat="1" x14ac:dyDescent="0.2">
      <c r="A359" s="1"/>
      <c r="B359" s="2"/>
      <c r="C359" s="3"/>
      <c r="D359" s="31"/>
      <c r="E359" s="2"/>
    </row>
    <row r="360" spans="1:5" s="15" customFormat="1" x14ac:dyDescent="0.2">
      <c r="A360" s="1"/>
      <c r="B360" s="2"/>
      <c r="C360" s="3"/>
      <c r="D360" s="19"/>
      <c r="E360" s="20"/>
    </row>
    <row r="361" spans="1:5" s="15" customFormat="1" x14ac:dyDescent="0.2">
      <c r="A361" s="1"/>
      <c r="B361" s="2"/>
      <c r="C361" s="3"/>
      <c r="D361" s="31"/>
      <c r="E361" s="2"/>
    </row>
    <row r="362" spans="1:5" s="15" customFormat="1" x14ac:dyDescent="0.2">
      <c r="A362" s="1"/>
      <c r="B362" s="2"/>
      <c r="C362" s="3"/>
      <c r="D362" s="31"/>
      <c r="E362" s="2"/>
    </row>
    <row r="363" spans="1:5" s="15" customFormat="1" x14ac:dyDescent="0.2">
      <c r="A363" s="1"/>
      <c r="B363" s="2"/>
      <c r="C363" s="3"/>
      <c r="D363" s="31"/>
      <c r="E363" s="2"/>
    </row>
    <row r="364" spans="1:5" s="15" customFormat="1" x14ac:dyDescent="0.2">
      <c r="A364" s="1"/>
      <c r="B364" s="2"/>
      <c r="C364" s="3"/>
      <c r="D364" s="31"/>
      <c r="E364" s="2"/>
    </row>
    <row r="365" spans="1:5" s="15" customFormat="1" x14ac:dyDescent="0.2">
      <c r="A365" s="1"/>
      <c r="B365" s="2"/>
      <c r="C365" s="3"/>
      <c r="D365" s="19"/>
      <c r="E365" s="20"/>
    </row>
    <row r="366" spans="1:5" s="15" customFormat="1" x14ac:dyDescent="0.2">
      <c r="A366" s="1"/>
      <c r="B366" s="2"/>
      <c r="C366" s="3"/>
      <c r="D366" s="31"/>
      <c r="E366" s="2"/>
    </row>
    <row r="367" spans="1:5" s="15" customFormat="1" x14ac:dyDescent="0.2">
      <c r="A367" s="1"/>
      <c r="B367" s="2"/>
      <c r="C367" s="3"/>
      <c r="D367" s="31"/>
      <c r="E367" s="2"/>
    </row>
    <row r="368" spans="1:5" s="15" customFormat="1" x14ac:dyDescent="0.2">
      <c r="A368" s="1"/>
      <c r="B368" s="2"/>
      <c r="C368" s="3"/>
      <c r="D368" s="31"/>
      <c r="E368" s="2"/>
    </row>
    <row r="369" spans="1:5" s="15" customFormat="1" x14ac:dyDescent="0.2">
      <c r="A369" s="1"/>
      <c r="B369" s="2"/>
      <c r="C369" s="3"/>
      <c r="D369" s="31"/>
      <c r="E369" s="2"/>
    </row>
    <row r="370" spans="1:5" s="15" customFormat="1" x14ac:dyDescent="0.2">
      <c r="A370" s="1"/>
      <c r="B370" s="2"/>
      <c r="C370" s="3"/>
      <c r="D370" s="19"/>
      <c r="E370" s="20"/>
    </row>
    <row r="371" spans="1:5" s="15" customFormat="1" x14ac:dyDescent="0.2">
      <c r="A371" s="1"/>
      <c r="B371" s="2"/>
      <c r="C371" s="3"/>
      <c r="D371" s="31"/>
      <c r="E371" s="2"/>
    </row>
    <row r="372" spans="1:5" s="15" customFormat="1" x14ac:dyDescent="0.2">
      <c r="A372" s="1"/>
      <c r="B372" s="2"/>
      <c r="C372" s="3"/>
      <c r="D372" s="31"/>
      <c r="E372" s="2"/>
    </row>
    <row r="373" spans="1:5" s="15" customFormat="1" x14ac:dyDescent="0.2">
      <c r="A373" s="1"/>
      <c r="B373" s="2"/>
      <c r="C373" s="3"/>
      <c r="D373" s="31"/>
      <c r="E373" s="2"/>
    </row>
    <row r="374" spans="1:5" s="15" customFormat="1" x14ac:dyDescent="0.2">
      <c r="A374" s="1"/>
      <c r="B374" s="2"/>
      <c r="C374" s="3"/>
      <c r="D374" s="31"/>
      <c r="E374" s="2"/>
    </row>
    <row r="375" spans="1:5" s="15" customFormat="1" x14ac:dyDescent="0.2">
      <c r="A375" s="1"/>
      <c r="B375" s="2"/>
      <c r="C375" s="3"/>
      <c r="D375" s="19"/>
      <c r="E375" s="20"/>
    </row>
    <row r="376" spans="1:5" s="15" customFormat="1" x14ac:dyDescent="0.2">
      <c r="A376" s="1"/>
      <c r="B376" s="2"/>
      <c r="C376" s="3"/>
      <c r="D376" s="31"/>
      <c r="E376" s="2"/>
    </row>
    <row r="377" spans="1:5" s="15" customFormat="1" x14ac:dyDescent="0.2">
      <c r="A377" s="1"/>
      <c r="B377" s="2"/>
      <c r="C377" s="3"/>
      <c r="D377" s="31"/>
      <c r="E377" s="2"/>
    </row>
    <row r="378" spans="1:5" s="15" customFormat="1" x14ac:dyDescent="0.2">
      <c r="A378" s="1"/>
      <c r="B378" s="2"/>
      <c r="C378" s="3"/>
      <c r="D378" s="31"/>
      <c r="E378" s="2"/>
    </row>
    <row r="379" spans="1:5" s="15" customFormat="1" x14ac:dyDescent="0.2">
      <c r="A379" s="1"/>
      <c r="B379" s="2"/>
      <c r="C379" s="3"/>
      <c r="D379" s="31"/>
      <c r="E379" s="2"/>
    </row>
    <row r="380" spans="1:5" s="15" customFormat="1" x14ac:dyDescent="0.2">
      <c r="A380" s="1"/>
      <c r="B380" s="2"/>
      <c r="C380" s="3"/>
      <c r="D380" s="19"/>
      <c r="E380" s="20"/>
    </row>
    <row r="381" spans="1:5" s="15" customFormat="1" x14ac:dyDescent="0.2">
      <c r="A381" s="1"/>
      <c r="B381" s="2"/>
      <c r="C381" s="3"/>
      <c r="D381" s="31"/>
      <c r="E381" s="2"/>
    </row>
    <row r="382" spans="1:5" s="15" customFormat="1" x14ac:dyDescent="0.2">
      <c r="A382" s="1"/>
      <c r="B382" s="2"/>
      <c r="C382" s="3"/>
      <c r="D382" s="31"/>
      <c r="E382" s="2"/>
    </row>
    <row r="383" spans="1:5" s="15" customFormat="1" x14ac:dyDescent="0.2">
      <c r="A383" s="1"/>
      <c r="B383" s="2"/>
      <c r="C383" s="3"/>
      <c r="D383" s="31"/>
      <c r="E383" s="2"/>
    </row>
    <row r="384" spans="1:5" s="15" customFormat="1" x14ac:dyDescent="0.2">
      <c r="A384" s="1"/>
      <c r="B384" s="2"/>
      <c r="C384" s="3"/>
      <c r="D384" s="31"/>
      <c r="E384" s="2"/>
    </row>
    <row r="385" spans="1:5" s="15" customFormat="1" x14ac:dyDescent="0.2">
      <c r="A385" s="1"/>
      <c r="B385" s="2"/>
      <c r="C385" s="3"/>
      <c r="D385" s="19"/>
      <c r="E385" s="20"/>
    </row>
    <row r="386" spans="1:5" s="15" customFormat="1" x14ac:dyDescent="0.2">
      <c r="A386" s="1"/>
      <c r="B386" s="2"/>
      <c r="C386" s="3"/>
      <c r="D386" s="31"/>
      <c r="E386" s="2"/>
    </row>
    <row r="387" spans="1:5" s="15" customFormat="1" x14ac:dyDescent="0.2">
      <c r="A387" s="1"/>
      <c r="B387" s="2"/>
      <c r="C387" s="3"/>
      <c r="D387" s="31"/>
      <c r="E387" s="2"/>
    </row>
    <row r="388" spans="1:5" s="15" customFormat="1" x14ac:dyDescent="0.2">
      <c r="A388" s="1"/>
      <c r="B388" s="2"/>
      <c r="C388" s="3"/>
      <c r="D388" s="31"/>
      <c r="E388" s="2"/>
    </row>
    <row r="389" spans="1:5" s="15" customFormat="1" x14ac:dyDescent="0.2">
      <c r="A389" s="1"/>
      <c r="B389" s="2"/>
      <c r="C389" s="3"/>
      <c r="D389" s="31"/>
      <c r="E389" s="2"/>
    </row>
    <row r="390" spans="1:5" s="15" customFormat="1" x14ac:dyDescent="0.2">
      <c r="A390" s="1"/>
      <c r="B390" s="2"/>
      <c r="C390" s="3"/>
      <c r="D390" s="19"/>
      <c r="E390" s="20"/>
    </row>
    <row r="391" spans="1:5" s="15" customFormat="1" x14ac:dyDescent="0.2">
      <c r="A391" s="1"/>
      <c r="B391" s="2"/>
      <c r="C391" s="3"/>
      <c r="D391" s="31"/>
      <c r="E391" s="2"/>
    </row>
    <row r="392" spans="1:5" s="15" customFormat="1" x14ac:dyDescent="0.2">
      <c r="A392" s="1"/>
      <c r="B392" s="2"/>
      <c r="C392" s="3"/>
      <c r="D392" s="31"/>
      <c r="E392" s="2"/>
    </row>
    <row r="393" spans="1:5" s="15" customFormat="1" x14ac:dyDescent="0.2">
      <c r="A393" s="1"/>
      <c r="B393" s="2"/>
      <c r="C393" s="3"/>
      <c r="D393" s="31"/>
      <c r="E393" s="2"/>
    </row>
    <row r="394" spans="1:5" s="15" customFormat="1" x14ac:dyDescent="0.2">
      <c r="A394" s="1"/>
      <c r="B394" s="2"/>
      <c r="C394" s="3"/>
      <c r="D394" s="31"/>
      <c r="E394" s="2"/>
    </row>
    <row r="395" spans="1:5" s="15" customFormat="1" x14ac:dyDescent="0.2">
      <c r="A395" s="1"/>
      <c r="B395" s="2"/>
      <c r="C395" s="3"/>
      <c r="D395" s="19"/>
      <c r="E395" s="20"/>
    </row>
    <row r="396" spans="1:5" s="15" customFormat="1" x14ac:dyDescent="0.2">
      <c r="A396" s="1"/>
      <c r="B396" s="2"/>
      <c r="C396" s="3"/>
      <c r="D396" s="31"/>
      <c r="E396" s="2"/>
    </row>
    <row r="397" spans="1:5" s="15" customFormat="1" x14ac:dyDescent="0.2">
      <c r="A397" s="1"/>
      <c r="B397" s="2"/>
      <c r="C397" s="3"/>
      <c r="D397" s="31"/>
      <c r="E397" s="2"/>
    </row>
    <row r="398" spans="1:5" s="15" customFormat="1" x14ac:dyDescent="0.2">
      <c r="A398" s="1"/>
      <c r="B398" s="2"/>
      <c r="C398" s="3"/>
      <c r="D398" s="31"/>
      <c r="E398" s="2"/>
    </row>
    <row r="399" spans="1:5" s="15" customFormat="1" x14ac:dyDescent="0.2">
      <c r="A399" s="1"/>
      <c r="B399" s="2"/>
      <c r="C399" s="3"/>
      <c r="D399" s="31"/>
      <c r="E399" s="2"/>
    </row>
    <row r="400" spans="1:5" s="15" customFormat="1" x14ac:dyDescent="0.2">
      <c r="A400" s="1"/>
      <c r="B400" s="2"/>
      <c r="C400" s="3"/>
      <c r="D400" s="19"/>
      <c r="E400" s="20"/>
    </row>
    <row r="401" spans="1:5" s="15" customFormat="1" x14ac:dyDescent="0.2">
      <c r="A401" s="1"/>
      <c r="B401" s="2"/>
      <c r="C401" s="3"/>
      <c r="D401" s="31"/>
      <c r="E401" s="2"/>
    </row>
    <row r="402" spans="1:5" s="15" customFormat="1" x14ac:dyDescent="0.2">
      <c r="A402" s="1"/>
      <c r="B402" s="2"/>
      <c r="C402" s="3"/>
      <c r="D402" s="31"/>
      <c r="E402" s="2"/>
    </row>
    <row r="403" spans="1:5" s="15" customFormat="1" x14ac:dyDescent="0.2">
      <c r="A403" s="1"/>
      <c r="B403" s="2"/>
      <c r="C403" s="3"/>
      <c r="D403" s="31"/>
      <c r="E403" s="2"/>
    </row>
    <row r="404" spans="1:5" s="15" customFormat="1" x14ac:dyDescent="0.2">
      <c r="A404" s="1"/>
      <c r="B404" s="2"/>
      <c r="C404" s="3"/>
      <c r="D404" s="31"/>
      <c r="E404" s="2"/>
    </row>
    <row r="405" spans="1:5" s="15" customFormat="1" x14ac:dyDescent="0.2">
      <c r="A405" s="1"/>
      <c r="B405" s="2"/>
      <c r="C405" s="3"/>
      <c r="D405" s="19"/>
      <c r="E405" s="20"/>
    </row>
    <row r="406" spans="1:5" s="15" customFormat="1" x14ac:dyDescent="0.2">
      <c r="A406" s="1"/>
      <c r="B406" s="2"/>
      <c r="C406" s="3"/>
      <c r="D406" s="31"/>
      <c r="E406" s="2"/>
    </row>
    <row r="407" spans="1:5" s="15" customFormat="1" x14ac:dyDescent="0.2">
      <c r="A407" s="1"/>
      <c r="B407" s="2"/>
      <c r="C407" s="3"/>
      <c r="D407" s="31"/>
      <c r="E407" s="2"/>
    </row>
    <row r="408" spans="1:5" s="15" customFormat="1" x14ac:dyDescent="0.2">
      <c r="A408" s="1"/>
      <c r="B408" s="2"/>
      <c r="C408" s="3"/>
      <c r="D408" s="31"/>
      <c r="E408" s="2"/>
    </row>
    <row r="409" spans="1:5" s="15" customFormat="1" x14ac:dyDescent="0.2">
      <c r="A409" s="1"/>
      <c r="B409" s="2"/>
      <c r="C409" s="3"/>
      <c r="D409" s="31"/>
      <c r="E409" s="2"/>
    </row>
    <row r="410" spans="1:5" s="15" customFormat="1" x14ac:dyDescent="0.2">
      <c r="A410" s="1"/>
      <c r="B410" s="2"/>
      <c r="C410" s="3"/>
      <c r="D410" s="19"/>
      <c r="E410" s="20"/>
    </row>
    <row r="411" spans="1:5" s="15" customFormat="1" x14ac:dyDescent="0.2">
      <c r="A411" s="1"/>
      <c r="B411" s="2"/>
      <c r="C411" s="3"/>
      <c r="D411" s="31"/>
      <c r="E411" s="2"/>
    </row>
    <row r="412" spans="1:5" s="15" customFormat="1" x14ac:dyDescent="0.2">
      <c r="A412" s="1"/>
      <c r="B412" s="2"/>
      <c r="C412" s="3"/>
      <c r="D412" s="31"/>
      <c r="E412" s="2"/>
    </row>
    <row r="413" spans="1:5" s="15" customFormat="1" x14ac:dyDescent="0.2">
      <c r="A413" s="1"/>
      <c r="B413" s="2"/>
      <c r="C413" s="3"/>
      <c r="D413" s="31"/>
      <c r="E413" s="2"/>
    </row>
    <row r="414" spans="1:5" s="15" customFormat="1" x14ac:dyDescent="0.2">
      <c r="A414" s="1"/>
      <c r="B414" s="2"/>
      <c r="C414" s="3"/>
      <c r="D414" s="31"/>
      <c r="E414" s="2"/>
    </row>
    <row r="415" spans="1:5" s="15" customFormat="1" x14ac:dyDescent="0.2">
      <c r="A415" s="1"/>
      <c r="B415" s="2"/>
      <c r="C415" s="3"/>
      <c r="D415" s="19"/>
      <c r="E415" s="20"/>
    </row>
    <row r="416" spans="1:5" s="15" customFormat="1" x14ac:dyDescent="0.2">
      <c r="A416" s="1"/>
      <c r="B416" s="2"/>
      <c r="C416" s="3"/>
      <c r="D416" s="31"/>
      <c r="E416" s="2"/>
    </row>
    <row r="417" spans="1:5" s="15" customFormat="1" x14ac:dyDescent="0.2">
      <c r="A417" s="1"/>
      <c r="B417" s="2"/>
      <c r="C417" s="3"/>
      <c r="D417" s="31"/>
      <c r="E417" s="2"/>
    </row>
    <row r="418" spans="1:5" s="15" customFormat="1" x14ac:dyDescent="0.2">
      <c r="A418" s="1"/>
      <c r="B418" s="2"/>
      <c r="C418" s="3"/>
      <c r="D418" s="31"/>
      <c r="E418" s="2"/>
    </row>
    <row r="419" spans="1:5" s="15" customFormat="1" x14ac:dyDescent="0.2">
      <c r="A419" s="1"/>
      <c r="B419" s="2"/>
      <c r="C419" s="3"/>
      <c r="D419" s="31"/>
      <c r="E419" s="2"/>
    </row>
    <row r="420" spans="1:5" s="15" customFormat="1" x14ac:dyDescent="0.2">
      <c r="A420" s="1"/>
      <c r="B420" s="2"/>
      <c r="C420" s="3"/>
      <c r="D420" s="19"/>
      <c r="E420" s="20"/>
    </row>
    <row r="421" spans="1:5" s="15" customFormat="1" x14ac:dyDescent="0.2">
      <c r="A421" s="1"/>
      <c r="B421" s="2"/>
      <c r="C421" s="3"/>
      <c r="D421" s="31"/>
      <c r="E421" s="2"/>
    </row>
    <row r="422" spans="1:5" s="15" customFormat="1" x14ac:dyDescent="0.2">
      <c r="A422" s="1"/>
      <c r="B422" s="2"/>
      <c r="C422" s="3"/>
      <c r="D422" s="31"/>
      <c r="E422" s="2"/>
    </row>
    <row r="423" spans="1:5" s="15" customFormat="1" x14ac:dyDescent="0.2">
      <c r="A423" s="1"/>
      <c r="B423" s="2"/>
      <c r="C423" s="3"/>
      <c r="D423" s="31"/>
      <c r="E423" s="2"/>
    </row>
    <row r="424" spans="1:5" s="15" customFormat="1" x14ac:dyDescent="0.2">
      <c r="A424" s="1"/>
      <c r="B424" s="2"/>
      <c r="C424" s="3"/>
      <c r="D424" s="31"/>
      <c r="E424" s="2"/>
    </row>
    <row r="425" spans="1:5" s="15" customFormat="1" x14ac:dyDescent="0.2">
      <c r="A425" s="1"/>
      <c r="B425" s="2"/>
      <c r="C425" s="3"/>
      <c r="D425" s="19"/>
      <c r="E425" s="20"/>
    </row>
    <row r="426" spans="1:5" s="15" customFormat="1" x14ac:dyDescent="0.2">
      <c r="A426" s="1"/>
      <c r="B426" s="2"/>
      <c r="C426" s="3"/>
      <c r="D426" s="31"/>
      <c r="E426" s="2"/>
    </row>
    <row r="427" spans="1:5" s="15" customFormat="1" x14ac:dyDescent="0.2">
      <c r="A427" s="1"/>
      <c r="B427" s="2"/>
      <c r="C427" s="3"/>
      <c r="D427" s="31"/>
      <c r="E427" s="2"/>
    </row>
    <row r="428" spans="1:5" s="15" customFormat="1" x14ac:dyDescent="0.2">
      <c r="A428" s="1"/>
      <c r="B428" s="2"/>
      <c r="C428" s="3"/>
      <c r="D428" s="31"/>
      <c r="E428" s="2"/>
    </row>
    <row r="429" spans="1:5" s="15" customFormat="1" x14ac:dyDescent="0.2">
      <c r="A429" s="1"/>
      <c r="B429" s="2"/>
      <c r="C429" s="3"/>
      <c r="D429" s="31"/>
      <c r="E429" s="2"/>
    </row>
    <row r="430" spans="1:5" s="15" customFormat="1" x14ac:dyDescent="0.2">
      <c r="A430" s="1"/>
      <c r="B430" s="2"/>
      <c r="C430" s="3"/>
      <c r="D430" s="19"/>
      <c r="E430" s="20"/>
    </row>
    <row r="431" spans="1:5" s="15" customFormat="1" x14ac:dyDescent="0.2">
      <c r="A431" s="1"/>
      <c r="B431" s="2"/>
      <c r="C431" s="3"/>
      <c r="D431" s="31"/>
      <c r="E431" s="2"/>
    </row>
    <row r="432" spans="1:5" s="15" customFormat="1" x14ac:dyDescent="0.2">
      <c r="A432" s="1"/>
      <c r="B432" s="2"/>
      <c r="C432" s="3"/>
      <c r="D432" s="31"/>
      <c r="E432" s="2"/>
    </row>
    <row r="433" spans="1:5" s="15" customFormat="1" x14ac:dyDescent="0.2">
      <c r="A433" s="1"/>
      <c r="B433" s="2"/>
      <c r="C433" s="3"/>
      <c r="D433" s="31"/>
      <c r="E433" s="2"/>
    </row>
    <row r="434" spans="1:5" s="15" customFormat="1" x14ac:dyDescent="0.2">
      <c r="A434" s="1"/>
      <c r="B434" s="2"/>
      <c r="C434" s="3"/>
      <c r="D434" s="31"/>
      <c r="E434" s="2"/>
    </row>
    <row r="435" spans="1:5" s="15" customFormat="1" x14ac:dyDescent="0.2">
      <c r="A435" s="1"/>
      <c r="B435" s="2"/>
      <c r="C435" s="3"/>
      <c r="D435" s="19"/>
      <c r="E435" s="20"/>
    </row>
    <row r="436" spans="1:5" s="15" customFormat="1" x14ac:dyDescent="0.2">
      <c r="A436" s="1"/>
      <c r="B436" s="2"/>
      <c r="C436" s="3"/>
      <c r="D436" s="31"/>
      <c r="E436" s="2"/>
    </row>
    <row r="437" spans="1:5" s="15" customFormat="1" x14ac:dyDescent="0.2">
      <c r="A437" s="1"/>
      <c r="B437" s="2"/>
      <c r="C437" s="3"/>
      <c r="D437" s="31"/>
      <c r="E437" s="2"/>
    </row>
    <row r="438" spans="1:5" s="15" customFormat="1" x14ac:dyDescent="0.2">
      <c r="A438" s="1"/>
      <c r="B438" s="2"/>
      <c r="C438" s="3"/>
      <c r="D438" s="31"/>
      <c r="E438" s="2"/>
    </row>
    <row r="439" spans="1:5" s="15" customFormat="1" x14ac:dyDescent="0.2">
      <c r="A439" s="1"/>
      <c r="B439" s="2"/>
      <c r="C439" s="3"/>
      <c r="D439" s="31"/>
      <c r="E439" s="2"/>
    </row>
    <row r="440" spans="1:5" s="15" customFormat="1" x14ac:dyDescent="0.2">
      <c r="A440" s="1"/>
      <c r="B440" s="2"/>
      <c r="C440" s="3"/>
      <c r="D440" s="19"/>
      <c r="E440" s="20"/>
    </row>
    <row r="441" spans="1:5" s="15" customFormat="1" x14ac:dyDescent="0.2">
      <c r="A441" s="1"/>
      <c r="B441" s="2"/>
      <c r="C441" s="3"/>
      <c r="D441" s="31"/>
      <c r="E441" s="2"/>
    </row>
    <row r="442" spans="1:5" s="15" customFormat="1" x14ac:dyDescent="0.2">
      <c r="A442" s="1"/>
      <c r="B442" s="2"/>
      <c r="C442" s="3"/>
      <c r="D442" s="31"/>
      <c r="E442" s="2"/>
    </row>
    <row r="443" spans="1:5" s="15" customFormat="1" x14ac:dyDescent="0.2">
      <c r="A443" s="1"/>
      <c r="B443" s="2"/>
      <c r="C443" s="3"/>
      <c r="D443" s="31"/>
      <c r="E443" s="2"/>
    </row>
    <row r="444" spans="1:5" s="15" customFormat="1" x14ac:dyDescent="0.2">
      <c r="A444" s="1"/>
      <c r="B444" s="2"/>
      <c r="C444" s="3"/>
      <c r="D444" s="31"/>
      <c r="E444" s="2"/>
    </row>
    <row r="445" spans="1:5" s="15" customFormat="1" x14ac:dyDescent="0.2">
      <c r="A445" s="1"/>
      <c r="B445" s="2"/>
      <c r="C445" s="3"/>
      <c r="D445" s="19"/>
      <c r="E445" s="20"/>
    </row>
    <row r="446" spans="1:5" s="15" customFormat="1" x14ac:dyDescent="0.2">
      <c r="A446" s="1"/>
      <c r="B446" s="2"/>
      <c r="C446" s="3"/>
      <c r="D446" s="31"/>
      <c r="E446" s="2"/>
    </row>
    <row r="447" spans="1:5" s="15" customFormat="1" x14ac:dyDescent="0.2">
      <c r="A447" s="1"/>
      <c r="B447" s="2"/>
      <c r="C447" s="3"/>
      <c r="D447" s="31"/>
      <c r="E447" s="2"/>
    </row>
    <row r="448" spans="1:5" s="15" customFormat="1" x14ac:dyDescent="0.2">
      <c r="A448" s="1"/>
      <c r="B448" s="2"/>
      <c r="C448" s="3"/>
      <c r="D448" s="31"/>
      <c r="E448" s="2"/>
    </row>
    <row r="449" spans="1:5" s="15" customFormat="1" x14ac:dyDescent="0.2">
      <c r="A449" s="1"/>
      <c r="B449" s="2"/>
      <c r="C449" s="3"/>
      <c r="D449" s="31"/>
      <c r="E449" s="2"/>
    </row>
    <row r="450" spans="1:5" s="15" customFormat="1" x14ac:dyDescent="0.2">
      <c r="A450" s="1"/>
      <c r="B450" s="2"/>
      <c r="C450" s="3"/>
      <c r="D450" s="19"/>
      <c r="E450" s="20"/>
    </row>
    <row r="451" spans="1:5" s="15" customFormat="1" x14ac:dyDescent="0.2">
      <c r="A451" s="1"/>
      <c r="B451" s="2"/>
      <c r="C451" s="3"/>
      <c r="D451" s="31"/>
      <c r="E451" s="2"/>
    </row>
    <row r="452" spans="1:5" s="15" customFormat="1" x14ac:dyDescent="0.2">
      <c r="A452" s="1"/>
      <c r="B452" s="2"/>
      <c r="C452" s="3"/>
      <c r="D452" s="31"/>
      <c r="E452" s="2"/>
    </row>
    <row r="453" spans="1:5" s="15" customFormat="1" x14ac:dyDescent="0.2">
      <c r="A453" s="1"/>
      <c r="B453" s="2"/>
      <c r="C453" s="3"/>
      <c r="D453" s="31"/>
      <c r="E453" s="2"/>
    </row>
    <row r="454" spans="1:5" s="15" customFormat="1" x14ac:dyDescent="0.2">
      <c r="A454" s="1"/>
      <c r="B454" s="2"/>
      <c r="C454" s="3"/>
      <c r="D454" s="31"/>
      <c r="E454" s="2"/>
    </row>
    <row r="455" spans="1:5" s="15" customFormat="1" x14ac:dyDescent="0.2">
      <c r="A455" s="1"/>
      <c r="B455" s="2"/>
      <c r="C455" s="3"/>
      <c r="D455" s="19"/>
      <c r="E455" s="20"/>
    </row>
    <row r="456" spans="1:5" s="15" customFormat="1" x14ac:dyDescent="0.2">
      <c r="A456" s="1"/>
      <c r="B456" s="2"/>
      <c r="C456" s="3"/>
      <c r="D456" s="31"/>
      <c r="E456" s="2"/>
    </row>
    <row r="457" spans="1:5" s="15" customFormat="1" x14ac:dyDescent="0.2">
      <c r="A457" s="1"/>
      <c r="B457" s="2"/>
      <c r="C457" s="3"/>
      <c r="D457" s="31"/>
      <c r="E457" s="2"/>
    </row>
    <row r="458" spans="1:5" s="15" customFormat="1" x14ac:dyDescent="0.2">
      <c r="A458" s="1"/>
      <c r="B458" s="2"/>
      <c r="C458" s="3"/>
      <c r="D458" s="31"/>
      <c r="E458" s="2"/>
    </row>
    <row r="459" spans="1:5" s="15" customFormat="1" x14ac:dyDescent="0.2">
      <c r="A459" s="1"/>
      <c r="B459" s="2"/>
      <c r="C459" s="3"/>
      <c r="D459" s="31"/>
      <c r="E459" s="2"/>
    </row>
    <row r="460" spans="1:5" s="15" customFormat="1" x14ac:dyDescent="0.2">
      <c r="A460" s="1"/>
      <c r="B460" s="2"/>
      <c r="C460" s="3"/>
      <c r="D460" s="19"/>
      <c r="E460" s="20"/>
    </row>
    <row r="461" spans="1:5" s="15" customFormat="1" x14ac:dyDescent="0.2">
      <c r="A461" s="1"/>
      <c r="B461" s="2"/>
      <c r="C461" s="3"/>
      <c r="D461" s="31"/>
      <c r="E461" s="2"/>
    </row>
    <row r="462" spans="1:5" s="15" customFormat="1" x14ac:dyDescent="0.2">
      <c r="A462" s="1"/>
      <c r="B462" s="2"/>
      <c r="C462" s="3"/>
      <c r="D462" s="31"/>
      <c r="E462" s="2"/>
    </row>
    <row r="463" spans="1:5" s="15" customFormat="1" x14ac:dyDescent="0.2">
      <c r="A463" s="1"/>
      <c r="B463" s="2"/>
      <c r="C463" s="3"/>
      <c r="D463" s="31"/>
      <c r="E463" s="2"/>
    </row>
    <row r="464" spans="1:5" s="15" customFormat="1" x14ac:dyDescent="0.2">
      <c r="A464" s="1"/>
      <c r="B464" s="2"/>
      <c r="C464" s="3"/>
      <c r="D464" s="31"/>
      <c r="E464" s="2"/>
    </row>
    <row r="465" spans="1:5" s="15" customFormat="1" x14ac:dyDescent="0.2">
      <c r="A465" s="1"/>
      <c r="B465" s="2"/>
      <c r="C465" s="3"/>
      <c r="D465" s="19"/>
      <c r="E465" s="20"/>
    </row>
    <row r="466" spans="1:5" s="15" customFormat="1" x14ac:dyDescent="0.2">
      <c r="A466" s="1"/>
      <c r="B466" s="2"/>
      <c r="C466" s="3"/>
      <c r="D466" s="31"/>
      <c r="E466" s="2"/>
    </row>
    <row r="467" spans="1:5" s="15" customFormat="1" x14ac:dyDescent="0.2">
      <c r="A467" s="1"/>
      <c r="B467" s="2"/>
      <c r="C467" s="3"/>
      <c r="D467" s="31"/>
      <c r="E467" s="2"/>
    </row>
    <row r="468" spans="1:5" s="15" customFormat="1" x14ac:dyDescent="0.2">
      <c r="A468" s="1"/>
      <c r="B468" s="2"/>
      <c r="C468" s="3"/>
      <c r="D468" s="31"/>
      <c r="E468" s="2"/>
    </row>
    <row r="469" spans="1:5" s="15" customFormat="1" x14ac:dyDescent="0.2">
      <c r="A469" s="1"/>
      <c r="B469" s="2"/>
      <c r="C469" s="3"/>
      <c r="D469" s="31"/>
      <c r="E469" s="2"/>
    </row>
    <row r="470" spans="1:5" s="15" customFormat="1" x14ac:dyDescent="0.2">
      <c r="A470" s="1"/>
      <c r="B470" s="2"/>
      <c r="C470" s="3"/>
      <c r="D470" s="19"/>
      <c r="E470" s="20"/>
    </row>
    <row r="471" spans="1:5" s="15" customFormat="1" x14ac:dyDescent="0.2">
      <c r="A471" s="1"/>
      <c r="B471" s="2"/>
      <c r="C471" s="3"/>
      <c r="D471" s="31"/>
      <c r="E471" s="2"/>
    </row>
    <row r="472" spans="1:5" s="15" customFormat="1" x14ac:dyDescent="0.2">
      <c r="A472" s="1"/>
      <c r="B472" s="2"/>
      <c r="C472" s="3"/>
      <c r="D472" s="31"/>
      <c r="E472" s="2"/>
    </row>
    <row r="473" spans="1:5" s="15" customFormat="1" x14ac:dyDescent="0.2">
      <c r="A473" s="1"/>
      <c r="B473" s="2"/>
      <c r="C473" s="3"/>
      <c r="D473" s="31"/>
      <c r="E473" s="2"/>
    </row>
    <row r="474" spans="1:5" s="15" customFormat="1" x14ac:dyDescent="0.2">
      <c r="A474" s="1"/>
      <c r="B474" s="2"/>
      <c r="C474" s="3"/>
      <c r="D474" s="31"/>
      <c r="E474" s="2"/>
    </row>
    <row r="475" spans="1:5" s="15" customFormat="1" x14ac:dyDescent="0.2">
      <c r="A475" s="1"/>
      <c r="B475" s="2"/>
      <c r="C475" s="3"/>
      <c r="D475" s="19"/>
      <c r="E475" s="20"/>
    </row>
    <row r="476" spans="1:5" s="15" customFormat="1" x14ac:dyDescent="0.2">
      <c r="A476" s="1"/>
      <c r="B476" s="2"/>
      <c r="C476" s="3"/>
      <c r="D476" s="31"/>
      <c r="E476" s="2"/>
    </row>
    <row r="477" spans="1:5" s="15" customFormat="1" x14ac:dyDescent="0.2">
      <c r="A477" s="1"/>
      <c r="B477" s="2"/>
      <c r="C477" s="3"/>
      <c r="D477" s="31"/>
      <c r="E477" s="2"/>
    </row>
    <row r="478" spans="1:5" s="15" customFormat="1" x14ac:dyDescent="0.2">
      <c r="A478" s="1"/>
      <c r="B478" s="2"/>
      <c r="C478" s="3"/>
      <c r="D478" s="31"/>
      <c r="E478" s="2"/>
    </row>
    <row r="479" spans="1:5" s="15" customFormat="1" x14ac:dyDescent="0.2">
      <c r="A479" s="1"/>
      <c r="B479" s="2"/>
      <c r="C479" s="3"/>
      <c r="D479" s="31"/>
      <c r="E479" s="2"/>
    </row>
    <row r="480" spans="1:5" s="15" customFormat="1" x14ac:dyDescent="0.2">
      <c r="A480" s="1"/>
      <c r="B480" s="2"/>
      <c r="C480" s="3"/>
      <c r="D480" s="19"/>
      <c r="E480" s="20"/>
    </row>
    <row r="481" spans="1:5" s="15" customFormat="1" x14ac:dyDescent="0.2">
      <c r="A481" s="1"/>
      <c r="B481" s="2"/>
      <c r="C481" s="3"/>
      <c r="D481" s="31"/>
      <c r="E481" s="2"/>
    </row>
    <row r="482" spans="1:5" s="15" customFormat="1" x14ac:dyDescent="0.2">
      <c r="A482" s="1"/>
      <c r="B482" s="2"/>
      <c r="C482" s="3"/>
      <c r="D482" s="31"/>
      <c r="E482" s="2"/>
    </row>
    <row r="483" spans="1:5" s="15" customFormat="1" x14ac:dyDescent="0.2">
      <c r="A483" s="1"/>
      <c r="B483" s="2"/>
      <c r="C483" s="3"/>
      <c r="D483" s="31"/>
      <c r="E483" s="2"/>
    </row>
    <row r="484" spans="1:5" s="15" customFormat="1" x14ac:dyDescent="0.2">
      <c r="A484" s="1"/>
      <c r="B484" s="2"/>
      <c r="C484" s="3"/>
      <c r="D484" s="31"/>
      <c r="E484" s="2"/>
    </row>
    <row r="485" spans="1:5" s="15" customFormat="1" x14ac:dyDescent="0.2">
      <c r="A485" s="1"/>
      <c r="B485" s="2"/>
      <c r="C485" s="3"/>
      <c r="D485" s="19"/>
      <c r="E485" s="20"/>
    </row>
    <row r="486" spans="1:5" s="15" customFormat="1" x14ac:dyDescent="0.2">
      <c r="A486" s="1"/>
      <c r="B486" s="2"/>
      <c r="C486" s="3"/>
      <c r="D486" s="31"/>
      <c r="E486" s="2"/>
    </row>
    <row r="487" spans="1:5" s="15" customFormat="1" x14ac:dyDescent="0.2">
      <c r="A487" s="1"/>
      <c r="B487" s="2"/>
      <c r="C487" s="3"/>
      <c r="D487" s="31"/>
      <c r="E487" s="2"/>
    </row>
    <row r="488" spans="1:5" s="15" customFormat="1" x14ac:dyDescent="0.2">
      <c r="A488" s="1"/>
      <c r="B488" s="2"/>
      <c r="C488" s="3"/>
      <c r="D488" s="31"/>
      <c r="E488" s="2"/>
    </row>
    <row r="489" spans="1:5" s="15" customFormat="1" x14ac:dyDescent="0.2">
      <c r="A489" s="1"/>
      <c r="B489" s="2"/>
      <c r="C489" s="3"/>
      <c r="D489" s="31"/>
      <c r="E489" s="2"/>
    </row>
    <row r="490" spans="1:5" s="15" customFormat="1" x14ac:dyDescent="0.2">
      <c r="A490" s="1"/>
      <c r="B490" s="2"/>
      <c r="C490" s="3"/>
      <c r="D490" s="19"/>
      <c r="E490" s="20"/>
    </row>
    <row r="491" spans="1:5" s="15" customFormat="1" x14ac:dyDescent="0.2">
      <c r="A491" s="1"/>
      <c r="B491" s="2"/>
      <c r="C491" s="3"/>
      <c r="D491" s="31"/>
      <c r="E491" s="2"/>
    </row>
    <row r="492" spans="1:5" s="15" customFormat="1" x14ac:dyDescent="0.2">
      <c r="A492" s="1"/>
      <c r="B492" s="2"/>
      <c r="C492" s="3"/>
      <c r="D492" s="31"/>
      <c r="E492" s="2"/>
    </row>
    <row r="493" spans="1:5" s="15" customFormat="1" x14ac:dyDescent="0.2">
      <c r="A493" s="1"/>
      <c r="B493" s="2"/>
      <c r="C493" s="3"/>
      <c r="D493" s="31"/>
      <c r="E493" s="2"/>
    </row>
    <row r="494" spans="1:5" s="15" customFormat="1" x14ac:dyDescent="0.2">
      <c r="A494" s="1"/>
      <c r="B494" s="2"/>
      <c r="C494" s="3"/>
      <c r="D494" s="31"/>
      <c r="E494" s="2"/>
    </row>
    <row r="495" spans="1:5" s="15" customFormat="1" x14ac:dyDescent="0.2">
      <c r="A495" s="1"/>
      <c r="B495" s="2"/>
      <c r="C495" s="3"/>
      <c r="D495" s="19"/>
      <c r="E495" s="20"/>
    </row>
    <row r="496" spans="1:5" s="15" customFormat="1" x14ac:dyDescent="0.2">
      <c r="A496" s="1"/>
      <c r="B496" s="2"/>
      <c r="C496" s="3"/>
      <c r="D496" s="31"/>
      <c r="E496" s="2"/>
    </row>
    <row r="497" spans="1:5" s="15" customFormat="1" x14ac:dyDescent="0.2">
      <c r="A497" s="1"/>
      <c r="B497" s="2"/>
      <c r="C497" s="3"/>
      <c r="D497" s="31"/>
      <c r="E497" s="2"/>
    </row>
    <row r="498" spans="1:5" s="15" customFormat="1" x14ac:dyDescent="0.2">
      <c r="A498" s="1"/>
      <c r="B498" s="2"/>
      <c r="C498" s="3"/>
      <c r="D498" s="31"/>
      <c r="E498" s="2"/>
    </row>
    <row r="499" spans="1:5" s="15" customFormat="1" x14ac:dyDescent="0.2">
      <c r="A499" s="1"/>
      <c r="B499" s="2"/>
      <c r="C499" s="3"/>
      <c r="D499" s="31"/>
      <c r="E499" s="2"/>
    </row>
    <row r="500" spans="1:5" s="15" customFormat="1" x14ac:dyDescent="0.2">
      <c r="A500" s="1"/>
      <c r="B500" s="2"/>
      <c r="C500" s="3"/>
      <c r="D500" s="19"/>
      <c r="E500" s="20"/>
    </row>
    <row r="501" spans="1:5" s="15" customFormat="1" x14ac:dyDescent="0.2">
      <c r="A501" s="1"/>
      <c r="B501" s="2"/>
      <c r="C501" s="3"/>
      <c r="D501" s="31"/>
      <c r="E501" s="2"/>
    </row>
    <row r="502" spans="1:5" s="15" customFormat="1" x14ac:dyDescent="0.2">
      <c r="A502" s="1"/>
      <c r="B502" s="2"/>
      <c r="C502" s="3"/>
      <c r="D502" s="31"/>
      <c r="E502" s="2"/>
    </row>
    <row r="503" spans="1:5" s="15" customFormat="1" x14ac:dyDescent="0.2">
      <c r="A503" s="1"/>
      <c r="B503" s="2"/>
      <c r="C503" s="3"/>
      <c r="D503" s="31"/>
      <c r="E503" s="2"/>
    </row>
    <row r="504" spans="1:5" s="15" customFormat="1" x14ac:dyDescent="0.2">
      <c r="A504" s="1"/>
      <c r="B504" s="2"/>
      <c r="C504" s="3"/>
      <c r="D504" s="31"/>
      <c r="E504" s="2"/>
    </row>
    <row r="505" spans="1:5" s="15" customFormat="1" x14ac:dyDescent="0.2">
      <c r="A505" s="1"/>
      <c r="B505" s="2"/>
      <c r="C505" s="3"/>
      <c r="D505" s="19"/>
      <c r="E505" s="20"/>
    </row>
    <row r="506" spans="1:5" s="15" customFormat="1" x14ac:dyDescent="0.2">
      <c r="A506" s="1"/>
      <c r="B506" s="2"/>
      <c r="C506" s="3"/>
      <c r="D506" s="31"/>
      <c r="E506" s="2"/>
    </row>
    <row r="507" spans="1:5" s="15" customFormat="1" x14ac:dyDescent="0.2">
      <c r="A507" s="1"/>
      <c r="B507" s="2"/>
      <c r="C507" s="3"/>
      <c r="D507" s="31"/>
      <c r="E507" s="2"/>
    </row>
    <row r="508" spans="1:5" s="15" customFormat="1" x14ac:dyDescent="0.2">
      <c r="A508" s="1"/>
      <c r="B508" s="2"/>
      <c r="C508" s="3"/>
      <c r="D508" s="31"/>
      <c r="E508" s="2"/>
    </row>
    <row r="509" spans="1:5" s="15" customFormat="1" x14ac:dyDescent="0.2">
      <c r="A509" s="1"/>
      <c r="B509" s="2"/>
      <c r="C509" s="3"/>
      <c r="D509" s="31"/>
      <c r="E509" s="2"/>
    </row>
    <row r="510" spans="1:5" s="15" customFormat="1" x14ac:dyDescent="0.2">
      <c r="A510" s="1"/>
      <c r="B510" s="2"/>
      <c r="C510" s="3"/>
      <c r="D510" s="19"/>
      <c r="E510" s="20"/>
    </row>
    <row r="511" spans="1:5" s="15" customFormat="1" x14ac:dyDescent="0.2">
      <c r="A511" s="1"/>
      <c r="B511" s="2"/>
      <c r="C511" s="3"/>
      <c r="D511" s="31"/>
      <c r="E511" s="2"/>
    </row>
    <row r="512" spans="1:5" s="15" customFormat="1" x14ac:dyDescent="0.2">
      <c r="A512" s="1"/>
      <c r="B512" s="2"/>
      <c r="C512" s="3"/>
      <c r="D512" s="31"/>
      <c r="E512" s="2"/>
    </row>
    <row r="513" spans="1:5" s="15" customFormat="1" x14ac:dyDescent="0.2">
      <c r="A513" s="1"/>
      <c r="B513" s="2"/>
      <c r="C513" s="3"/>
      <c r="D513" s="31"/>
      <c r="E513" s="2"/>
    </row>
    <row r="514" spans="1:5" s="15" customFormat="1" x14ac:dyDescent="0.2">
      <c r="A514" s="1"/>
      <c r="B514" s="2"/>
      <c r="C514" s="3"/>
      <c r="D514" s="31"/>
      <c r="E514" s="2"/>
    </row>
    <row r="515" spans="1:5" s="15" customFormat="1" x14ac:dyDescent="0.2">
      <c r="A515" s="1"/>
      <c r="B515" s="2"/>
      <c r="C515" s="3"/>
      <c r="D515" s="19"/>
      <c r="E515" s="20"/>
    </row>
    <row r="516" spans="1:5" s="15" customFormat="1" x14ac:dyDescent="0.2">
      <c r="A516" s="1"/>
      <c r="B516" s="2"/>
      <c r="C516" s="3"/>
      <c r="D516" s="31"/>
      <c r="E516" s="2"/>
    </row>
    <row r="517" spans="1:5" s="15" customFormat="1" x14ac:dyDescent="0.2">
      <c r="A517" s="1"/>
      <c r="B517" s="2"/>
      <c r="C517" s="3"/>
      <c r="D517" s="31"/>
      <c r="E517" s="2"/>
    </row>
    <row r="518" spans="1:5" s="15" customFormat="1" x14ac:dyDescent="0.2">
      <c r="A518" s="1"/>
      <c r="B518" s="2"/>
      <c r="C518" s="3"/>
      <c r="D518" s="31"/>
      <c r="E518" s="2"/>
    </row>
    <row r="519" spans="1:5" s="15" customFormat="1" x14ac:dyDescent="0.2">
      <c r="A519" s="1"/>
      <c r="B519" s="2"/>
      <c r="C519" s="3"/>
      <c r="D519" s="31"/>
      <c r="E519" s="2"/>
    </row>
    <row r="520" spans="1:5" s="15" customFormat="1" x14ac:dyDescent="0.2">
      <c r="A520" s="1"/>
      <c r="B520" s="2"/>
      <c r="C520" s="3"/>
      <c r="D520" s="19"/>
      <c r="E520" s="20"/>
    </row>
    <row r="521" spans="1:5" s="15" customFormat="1" x14ac:dyDescent="0.2">
      <c r="A521" s="1"/>
      <c r="B521" s="2"/>
      <c r="C521" s="3"/>
      <c r="D521" s="31"/>
      <c r="E521" s="2"/>
    </row>
    <row r="522" spans="1:5" s="15" customFormat="1" x14ac:dyDescent="0.2">
      <c r="A522" s="1"/>
      <c r="B522" s="2"/>
      <c r="C522" s="3"/>
      <c r="D522" s="31"/>
      <c r="E522" s="2"/>
    </row>
    <row r="523" spans="1:5" s="15" customFormat="1" x14ac:dyDescent="0.2">
      <c r="A523" s="1"/>
      <c r="B523" s="2"/>
      <c r="C523" s="3"/>
      <c r="D523" s="31"/>
      <c r="E523" s="2"/>
    </row>
    <row r="524" spans="1:5" s="15" customFormat="1" x14ac:dyDescent="0.2">
      <c r="A524" s="1"/>
      <c r="B524" s="2"/>
      <c r="C524" s="3"/>
      <c r="D524" s="31"/>
      <c r="E524" s="2"/>
    </row>
    <row r="525" spans="1:5" s="15" customFormat="1" x14ac:dyDescent="0.2">
      <c r="A525" s="1"/>
      <c r="B525" s="2"/>
      <c r="C525" s="3"/>
      <c r="D525" s="19"/>
      <c r="E525" s="20"/>
    </row>
    <row r="526" spans="1:5" s="15" customFormat="1" x14ac:dyDescent="0.2">
      <c r="A526" s="1"/>
      <c r="B526" s="2"/>
      <c r="C526" s="3"/>
      <c r="D526" s="31"/>
      <c r="E526" s="2"/>
    </row>
    <row r="527" spans="1:5" s="15" customFormat="1" x14ac:dyDescent="0.2">
      <c r="A527" s="1"/>
      <c r="B527" s="2"/>
      <c r="C527" s="3"/>
      <c r="D527" s="31"/>
      <c r="E527" s="2"/>
    </row>
    <row r="528" spans="1:5" s="15" customFormat="1" x14ac:dyDescent="0.2">
      <c r="A528" s="1"/>
      <c r="B528" s="2"/>
      <c r="C528" s="3"/>
      <c r="D528" s="31"/>
      <c r="E528" s="2"/>
    </row>
    <row r="529" spans="1:5" s="15" customFormat="1" x14ac:dyDescent="0.2">
      <c r="A529" s="1"/>
      <c r="B529" s="2"/>
      <c r="C529" s="3"/>
      <c r="D529" s="31"/>
      <c r="E529" s="2"/>
    </row>
    <row r="530" spans="1:5" s="15" customFormat="1" x14ac:dyDescent="0.2">
      <c r="A530" s="1"/>
      <c r="B530" s="2"/>
      <c r="C530" s="3"/>
      <c r="D530" s="19"/>
      <c r="E530" s="20"/>
    </row>
    <row r="531" spans="1:5" s="15" customFormat="1" x14ac:dyDescent="0.2">
      <c r="A531" s="1"/>
      <c r="B531" s="2"/>
      <c r="C531" s="3"/>
      <c r="D531" s="31"/>
      <c r="E531" s="2"/>
    </row>
    <row r="532" spans="1:5" s="15" customFormat="1" x14ac:dyDescent="0.2">
      <c r="A532" s="1"/>
      <c r="B532" s="2"/>
      <c r="C532" s="3"/>
      <c r="D532" s="31"/>
      <c r="E532" s="2"/>
    </row>
    <row r="533" spans="1:5" s="15" customFormat="1" x14ac:dyDescent="0.2">
      <c r="A533" s="1"/>
      <c r="B533" s="2"/>
      <c r="C533" s="3"/>
      <c r="D533" s="31"/>
      <c r="E533" s="2"/>
    </row>
    <row r="534" spans="1:5" s="15" customFormat="1" x14ac:dyDescent="0.2">
      <c r="A534" s="1"/>
      <c r="B534" s="2"/>
      <c r="C534" s="3"/>
      <c r="D534" s="31"/>
      <c r="E534" s="2"/>
    </row>
    <row r="535" spans="1:5" s="15" customFormat="1" x14ac:dyDescent="0.2">
      <c r="A535" s="1"/>
      <c r="B535" s="2"/>
      <c r="C535" s="3"/>
      <c r="D535" s="19"/>
      <c r="E535" s="20"/>
    </row>
    <row r="536" spans="1:5" s="15" customFormat="1" x14ac:dyDescent="0.2">
      <c r="A536" s="1"/>
      <c r="B536" s="2"/>
      <c r="C536" s="3"/>
      <c r="D536" s="31"/>
      <c r="E536" s="2"/>
    </row>
    <row r="537" spans="1:5" s="15" customFormat="1" x14ac:dyDescent="0.2">
      <c r="A537" s="1"/>
      <c r="B537" s="2"/>
      <c r="C537" s="3"/>
      <c r="D537" s="31"/>
      <c r="E537" s="2"/>
    </row>
    <row r="538" spans="1:5" s="15" customFormat="1" x14ac:dyDescent="0.2">
      <c r="A538" s="1"/>
      <c r="B538" s="2"/>
      <c r="C538" s="3"/>
      <c r="D538" s="31"/>
      <c r="E538" s="2"/>
    </row>
    <row r="539" spans="1:5" s="15" customFormat="1" x14ac:dyDescent="0.2">
      <c r="A539" s="1"/>
      <c r="B539" s="2"/>
      <c r="C539" s="3"/>
      <c r="D539" s="31"/>
      <c r="E539" s="2"/>
    </row>
    <row r="540" spans="1:5" s="15" customFormat="1" x14ac:dyDescent="0.2">
      <c r="A540" s="1"/>
      <c r="B540" s="2"/>
      <c r="C540" s="3"/>
      <c r="D540" s="19"/>
      <c r="E540" s="20"/>
    </row>
    <row r="541" spans="1:5" s="15" customFormat="1" x14ac:dyDescent="0.2">
      <c r="A541" s="1"/>
      <c r="B541" s="2"/>
      <c r="C541" s="3"/>
      <c r="D541" s="31"/>
      <c r="E541" s="2"/>
    </row>
    <row r="542" spans="1:5" s="15" customFormat="1" x14ac:dyDescent="0.2">
      <c r="A542" s="1"/>
      <c r="B542" s="2"/>
      <c r="C542" s="3"/>
      <c r="D542" s="31"/>
      <c r="E542" s="2"/>
    </row>
    <row r="543" spans="1:5" s="15" customFormat="1" x14ac:dyDescent="0.2">
      <c r="A543" s="1"/>
      <c r="B543" s="2"/>
      <c r="C543" s="3"/>
      <c r="D543" s="31"/>
      <c r="E543" s="2"/>
    </row>
    <row r="544" spans="1:5" s="15" customFormat="1" x14ac:dyDescent="0.2">
      <c r="A544" s="1"/>
      <c r="B544" s="2"/>
      <c r="C544" s="3"/>
      <c r="D544" s="31"/>
      <c r="E544" s="2"/>
    </row>
    <row r="545" spans="1:5" s="15" customFormat="1" x14ac:dyDescent="0.2">
      <c r="A545" s="1"/>
      <c r="B545" s="2"/>
      <c r="C545" s="3"/>
      <c r="D545" s="19"/>
      <c r="E545" s="20"/>
    </row>
    <row r="546" spans="1:5" s="15" customFormat="1" x14ac:dyDescent="0.2">
      <c r="A546" s="1"/>
      <c r="B546" s="2"/>
      <c r="C546" s="3"/>
      <c r="D546" s="31"/>
      <c r="E546" s="2"/>
    </row>
    <row r="547" spans="1:5" s="15" customFormat="1" x14ac:dyDescent="0.2">
      <c r="A547" s="1"/>
      <c r="B547" s="2"/>
      <c r="C547" s="3"/>
      <c r="D547" s="31"/>
      <c r="E547" s="2"/>
    </row>
    <row r="548" spans="1:5" s="15" customFormat="1" x14ac:dyDescent="0.2">
      <c r="A548" s="1"/>
      <c r="B548" s="2"/>
      <c r="C548" s="3"/>
      <c r="D548" s="31"/>
      <c r="E548" s="2"/>
    </row>
    <row r="549" spans="1:5" s="15" customFormat="1" x14ac:dyDescent="0.2">
      <c r="A549" s="1"/>
      <c r="B549" s="2"/>
      <c r="C549" s="3"/>
      <c r="D549" s="31"/>
      <c r="E549" s="2"/>
    </row>
    <row r="550" spans="1:5" s="15" customFormat="1" x14ac:dyDescent="0.2">
      <c r="A550" s="1"/>
      <c r="B550" s="2"/>
      <c r="C550" s="3"/>
      <c r="D550" s="19"/>
      <c r="E550" s="20"/>
    </row>
    <row r="551" spans="1:5" s="15" customFormat="1" x14ac:dyDescent="0.2">
      <c r="A551" s="1"/>
      <c r="B551" s="2"/>
      <c r="C551" s="3"/>
      <c r="D551" s="31"/>
      <c r="E551" s="2"/>
    </row>
    <row r="552" spans="1:5" s="15" customFormat="1" x14ac:dyDescent="0.2">
      <c r="A552" s="1"/>
      <c r="B552" s="2"/>
      <c r="C552" s="3"/>
      <c r="D552" s="31"/>
      <c r="E552" s="2"/>
    </row>
    <row r="553" spans="1:5" s="15" customFormat="1" x14ac:dyDescent="0.2">
      <c r="A553" s="1"/>
      <c r="B553" s="2"/>
      <c r="C553" s="3"/>
      <c r="D553" s="31"/>
      <c r="E553" s="2"/>
    </row>
    <row r="554" spans="1:5" s="15" customFormat="1" x14ac:dyDescent="0.2">
      <c r="A554" s="1"/>
      <c r="B554" s="2"/>
      <c r="C554" s="3"/>
      <c r="D554" s="31"/>
      <c r="E554" s="2"/>
    </row>
    <row r="555" spans="1:5" s="15" customFormat="1" x14ac:dyDescent="0.2">
      <c r="A555" s="1"/>
      <c r="B555" s="2"/>
      <c r="C555" s="3"/>
      <c r="D555" s="19"/>
      <c r="E555" s="20"/>
    </row>
    <row r="556" spans="1:5" s="15" customFormat="1" x14ac:dyDescent="0.2">
      <c r="A556" s="1"/>
      <c r="B556" s="2"/>
      <c r="C556" s="3"/>
      <c r="D556" s="31"/>
      <c r="E556" s="2"/>
    </row>
    <row r="557" spans="1:5" s="15" customFormat="1" x14ac:dyDescent="0.2">
      <c r="A557" s="1"/>
      <c r="B557" s="2"/>
      <c r="C557" s="3"/>
      <c r="D557" s="31"/>
      <c r="E557" s="2"/>
    </row>
    <row r="558" spans="1:5" s="15" customFormat="1" x14ac:dyDescent="0.2">
      <c r="A558" s="1"/>
      <c r="B558" s="2"/>
      <c r="C558" s="3"/>
      <c r="D558" s="31"/>
      <c r="E558" s="2"/>
    </row>
    <row r="559" spans="1:5" s="15" customFormat="1" x14ac:dyDescent="0.2">
      <c r="A559" s="1"/>
      <c r="B559" s="2"/>
      <c r="C559" s="3"/>
      <c r="D559" s="31"/>
      <c r="E559" s="2"/>
    </row>
    <row r="560" spans="1:5" s="15" customFormat="1" x14ac:dyDescent="0.2">
      <c r="A560" s="1"/>
      <c r="B560" s="2"/>
      <c r="C560" s="3"/>
      <c r="D560" s="19"/>
      <c r="E560" s="20"/>
    </row>
    <row r="561" spans="1:5" s="15" customFormat="1" x14ac:dyDescent="0.2">
      <c r="A561" s="1"/>
      <c r="B561" s="2"/>
      <c r="C561" s="3"/>
      <c r="D561" s="31"/>
      <c r="E561" s="2"/>
    </row>
    <row r="562" spans="1:5" s="15" customFormat="1" x14ac:dyDescent="0.2">
      <c r="A562" s="1"/>
      <c r="B562" s="2"/>
      <c r="C562" s="3"/>
      <c r="D562" s="31"/>
      <c r="E562" s="2"/>
    </row>
    <row r="563" spans="1:5" s="15" customFormat="1" x14ac:dyDescent="0.2">
      <c r="A563" s="1"/>
      <c r="B563" s="2"/>
      <c r="C563" s="3"/>
      <c r="D563" s="31"/>
      <c r="E563" s="2"/>
    </row>
    <row r="564" spans="1:5" s="15" customFormat="1" x14ac:dyDescent="0.2">
      <c r="A564" s="1"/>
      <c r="B564" s="2"/>
      <c r="C564" s="3"/>
      <c r="D564" s="31"/>
      <c r="E564" s="2"/>
    </row>
    <row r="565" spans="1:5" s="15" customFormat="1" x14ac:dyDescent="0.2">
      <c r="A565" s="1"/>
      <c r="B565" s="2"/>
      <c r="C565" s="3"/>
      <c r="D565" s="19"/>
      <c r="E565" s="20"/>
    </row>
    <row r="566" spans="1:5" s="15" customFormat="1" x14ac:dyDescent="0.2">
      <c r="A566" s="1"/>
      <c r="B566" s="2"/>
      <c r="C566" s="3"/>
      <c r="D566" s="31"/>
      <c r="E566" s="2"/>
    </row>
    <row r="567" spans="1:5" s="15" customFormat="1" x14ac:dyDescent="0.2">
      <c r="A567" s="1"/>
      <c r="B567" s="2"/>
      <c r="C567" s="3"/>
      <c r="D567" s="31"/>
      <c r="E567" s="2"/>
    </row>
    <row r="568" spans="1:5" s="15" customFormat="1" x14ac:dyDescent="0.2">
      <c r="A568" s="1"/>
      <c r="B568" s="2"/>
      <c r="C568" s="3"/>
      <c r="D568" s="31"/>
      <c r="E568" s="2"/>
    </row>
    <row r="569" spans="1:5" s="15" customFormat="1" x14ac:dyDescent="0.2">
      <c r="A569" s="1"/>
      <c r="B569" s="2"/>
      <c r="C569" s="3"/>
      <c r="D569" s="31"/>
      <c r="E569" s="2"/>
    </row>
    <row r="570" spans="1:5" s="15" customFormat="1" x14ac:dyDescent="0.2">
      <c r="A570" s="1"/>
      <c r="B570" s="2"/>
      <c r="C570" s="3"/>
      <c r="D570" s="19"/>
      <c r="E570" s="20"/>
    </row>
    <row r="571" spans="1:5" s="15" customFormat="1" x14ac:dyDescent="0.2">
      <c r="A571" s="1"/>
      <c r="B571" s="2"/>
      <c r="C571" s="3"/>
      <c r="D571" s="31"/>
      <c r="E571" s="2"/>
    </row>
    <row r="572" spans="1:5" s="15" customFormat="1" x14ac:dyDescent="0.2">
      <c r="A572" s="1"/>
      <c r="B572" s="2"/>
      <c r="C572" s="3"/>
      <c r="D572" s="31"/>
      <c r="E572" s="2"/>
    </row>
    <row r="573" spans="1:5" s="15" customFormat="1" x14ac:dyDescent="0.2">
      <c r="A573" s="1"/>
      <c r="B573" s="2"/>
      <c r="C573" s="3"/>
      <c r="D573" s="31"/>
      <c r="E573" s="2"/>
    </row>
    <row r="574" spans="1:5" s="15" customFormat="1" x14ac:dyDescent="0.2">
      <c r="A574" s="1"/>
      <c r="B574" s="2"/>
      <c r="C574" s="3"/>
      <c r="D574" s="31"/>
      <c r="E574" s="2"/>
    </row>
    <row r="575" spans="1:5" s="15" customFormat="1" x14ac:dyDescent="0.2">
      <c r="A575" s="1"/>
      <c r="B575" s="2"/>
      <c r="C575" s="3"/>
      <c r="D575" s="19"/>
      <c r="E575" s="20"/>
    </row>
    <row r="576" spans="1:5" s="15" customFormat="1" x14ac:dyDescent="0.2">
      <c r="A576" s="1"/>
      <c r="B576" s="2"/>
      <c r="C576" s="3"/>
      <c r="D576" s="31"/>
      <c r="E576" s="2"/>
    </row>
    <row r="577" spans="1:5" s="15" customFormat="1" x14ac:dyDescent="0.2">
      <c r="A577" s="1"/>
      <c r="B577" s="2"/>
      <c r="C577" s="3"/>
      <c r="D577" s="31"/>
      <c r="E577" s="2"/>
    </row>
    <row r="578" spans="1:5" s="15" customFormat="1" x14ac:dyDescent="0.2">
      <c r="A578" s="1"/>
      <c r="B578" s="2"/>
      <c r="C578" s="3"/>
      <c r="D578" s="31"/>
      <c r="E578" s="2"/>
    </row>
    <row r="579" spans="1:5" s="15" customFormat="1" x14ac:dyDescent="0.2">
      <c r="A579" s="1"/>
      <c r="B579" s="2"/>
      <c r="C579" s="3"/>
      <c r="D579" s="31"/>
      <c r="E579" s="2"/>
    </row>
    <row r="580" spans="1:5" s="15" customFormat="1" x14ac:dyDescent="0.2">
      <c r="A580" s="1"/>
      <c r="B580" s="2"/>
      <c r="C580" s="3"/>
      <c r="D580" s="19"/>
      <c r="E580" s="20"/>
    </row>
    <row r="581" spans="1:5" s="15" customFormat="1" x14ac:dyDescent="0.2">
      <c r="A581" s="1"/>
      <c r="B581" s="2"/>
      <c r="C581" s="3"/>
      <c r="D581" s="31"/>
      <c r="E581" s="2"/>
    </row>
    <row r="582" spans="1:5" s="15" customFormat="1" x14ac:dyDescent="0.2">
      <c r="A582" s="1"/>
      <c r="B582" s="2"/>
      <c r="C582" s="3"/>
      <c r="D582" s="31"/>
      <c r="E582" s="2"/>
    </row>
    <row r="583" spans="1:5" s="15" customFormat="1" x14ac:dyDescent="0.2">
      <c r="A583" s="1"/>
      <c r="B583" s="2"/>
      <c r="C583" s="3"/>
      <c r="D583" s="31"/>
      <c r="E583" s="2"/>
    </row>
    <row r="584" spans="1:5" s="15" customFormat="1" x14ac:dyDescent="0.2">
      <c r="A584" s="1"/>
      <c r="B584" s="2"/>
      <c r="C584" s="3"/>
      <c r="D584" s="31"/>
      <c r="E584" s="2"/>
    </row>
    <row r="585" spans="1:5" s="15" customFormat="1" x14ac:dyDescent="0.2">
      <c r="A585" s="1"/>
      <c r="B585" s="2"/>
      <c r="C585" s="3"/>
      <c r="D585" s="19"/>
      <c r="E585" s="20"/>
    </row>
    <row r="586" spans="1:5" s="15" customFormat="1" x14ac:dyDescent="0.2">
      <c r="A586" s="1"/>
      <c r="B586" s="2"/>
      <c r="C586" s="3"/>
      <c r="D586" s="31"/>
      <c r="E586" s="2"/>
    </row>
    <row r="587" spans="1:5" s="15" customFormat="1" x14ac:dyDescent="0.2">
      <c r="A587" s="1"/>
      <c r="B587" s="2"/>
      <c r="C587" s="3"/>
      <c r="D587" s="31"/>
      <c r="E587" s="2"/>
    </row>
    <row r="588" spans="1:5" s="15" customFormat="1" x14ac:dyDescent="0.2">
      <c r="A588" s="1"/>
      <c r="B588" s="2"/>
      <c r="C588" s="3"/>
      <c r="D588" s="31"/>
      <c r="E588" s="2"/>
    </row>
    <row r="589" spans="1:5" s="15" customFormat="1" x14ac:dyDescent="0.2">
      <c r="A589" s="1"/>
      <c r="B589" s="2"/>
      <c r="C589" s="3"/>
      <c r="D589" s="31"/>
      <c r="E589" s="2"/>
    </row>
    <row r="590" spans="1:5" s="15" customFormat="1" x14ac:dyDescent="0.2">
      <c r="A590" s="1"/>
      <c r="B590" s="2"/>
      <c r="C590" s="3"/>
      <c r="D590" s="19"/>
      <c r="E590" s="20"/>
    </row>
    <row r="591" spans="1:5" s="15" customFormat="1" x14ac:dyDescent="0.2">
      <c r="A591" s="1"/>
      <c r="B591" s="2"/>
      <c r="C591" s="3"/>
      <c r="D591" s="31"/>
      <c r="E591" s="2"/>
    </row>
    <row r="592" spans="1:5" s="15" customFormat="1" x14ac:dyDescent="0.2">
      <c r="A592" s="1"/>
      <c r="B592" s="2"/>
      <c r="C592" s="3"/>
      <c r="D592" s="31"/>
      <c r="E592" s="2"/>
    </row>
    <row r="593" spans="1:5" s="15" customFormat="1" x14ac:dyDescent="0.2">
      <c r="A593" s="1"/>
      <c r="B593" s="2"/>
      <c r="C593" s="3"/>
      <c r="D593" s="31"/>
      <c r="E593" s="2"/>
    </row>
    <row r="594" spans="1:5" s="15" customFormat="1" x14ac:dyDescent="0.2">
      <c r="A594" s="1"/>
      <c r="B594" s="2"/>
      <c r="C594" s="3"/>
      <c r="D594" s="31"/>
      <c r="E594" s="2"/>
    </row>
    <row r="595" spans="1:5" s="15" customFormat="1" x14ac:dyDescent="0.2">
      <c r="A595" s="1"/>
      <c r="B595" s="2"/>
      <c r="C595" s="3"/>
      <c r="D595" s="19"/>
      <c r="E595" s="20"/>
    </row>
    <row r="596" spans="1:5" s="15" customFormat="1" x14ac:dyDescent="0.2">
      <c r="A596" s="1"/>
      <c r="B596" s="2"/>
      <c r="C596" s="3"/>
      <c r="D596" s="31"/>
      <c r="E596" s="2"/>
    </row>
    <row r="597" spans="1:5" s="15" customFormat="1" x14ac:dyDescent="0.2">
      <c r="A597" s="1"/>
      <c r="B597" s="2"/>
      <c r="C597" s="3"/>
      <c r="D597" s="31"/>
      <c r="E597" s="2"/>
    </row>
    <row r="598" spans="1:5" s="15" customFormat="1" x14ac:dyDescent="0.2">
      <c r="A598" s="1"/>
      <c r="B598" s="2"/>
      <c r="C598" s="3"/>
      <c r="D598" s="31"/>
      <c r="E598" s="2"/>
    </row>
    <row r="599" spans="1:5" s="15" customFormat="1" x14ac:dyDescent="0.2">
      <c r="A599" s="1"/>
      <c r="B599" s="2"/>
      <c r="C599" s="3"/>
      <c r="D599" s="31"/>
      <c r="E599" s="2"/>
    </row>
    <row r="600" spans="1:5" s="15" customFormat="1" x14ac:dyDescent="0.2">
      <c r="A600" s="1"/>
      <c r="B600" s="2"/>
      <c r="C600" s="3"/>
      <c r="D600" s="19"/>
      <c r="E600" s="20"/>
    </row>
    <row r="601" spans="1:5" s="15" customFormat="1" x14ac:dyDescent="0.2">
      <c r="A601" s="1"/>
      <c r="B601" s="2"/>
      <c r="C601" s="3"/>
      <c r="D601" s="31"/>
      <c r="E601" s="2"/>
    </row>
    <row r="602" spans="1:5" s="15" customFormat="1" x14ac:dyDescent="0.2">
      <c r="A602" s="1"/>
      <c r="B602" s="2"/>
      <c r="C602" s="3"/>
      <c r="D602" s="31"/>
      <c r="E602" s="2"/>
    </row>
    <row r="603" spans="1:5" s="15" customFormat="1" x14ac:dyDescent="0.2">
      <c r="A603" s="1"/>
      <c r="B603" s="2"/>
      <c r="C603" s="3"/>
      <c r="D603" s="31"/>
      <c r="E603" s="2"/>
    </row>
    <row r="604" spans="1:5" s="15" customFormat="1" x14ac:dyDescent="0.2">
      <c r="A604" s="1"/>
      <c r="B604" s="2"/>
      <c r="C604" s="3"/>
      <c r="D604" s="31"/>
      <c r="E604" s="2"/>
    </row>
    <row r="605" spans="1:5" s="15" customFormat="1" x14ac:dyDescent="0.2">
      <c r="A605" s="1"/>
      <c r="B605" s="2"/>
      <c r="C605" s="3"/>
      <c r="D605" s="19"/>
      <c r="E605" s="20"/>
    </row>
    <row r="606" spans="1:5" s="15" customFormat="1" x14ac:dyDescent="0.2">
      <c r="A606" s="1"/>
      <c r="B606" s="2"/>
      <c r="C606" s="3"/>
      <c r="D606" s="31"/>
      <c r="E606" s="2"/>
    </row>
    <row r="607" spans="1:5" s="15" customFormat="1" x14ac:dyDescent="0.2">
      <c r="A607" s="1"/>
      <c r="B607" s="2"/>
      <c r="C607" s="3"/>
      <c r="D607" s="31"/>
      <c r="E607" s="2"/>
    </row>
    <row r="608" spans="1:5" s="15" customFormat="1" x14ac:dyDescent="0.2">
      <c r="A608" s="1"/>
      <c r="B608" s="2"/>
      <c r="C608" s="3"/>
      <c r="D608" s="31"/>
      <c r="E608" s="2"/>
    </row>
    <row r="609" spans="1:5" s="15" customFormat="1" x14ac:dyDescent="0.2">
      <c r="A609" s="1"/>
      <c r="B609" s="2"/>
      <c r="C609" s="3"/>
      <c r="D609" s="31"/>
      <c r="E609" s="2"/>
    </row>
    <row r="610" spans="1:5" s="15" customFormat="1" x14ac:dyDescent="0.2">
      <c r="A610" s="1"/>
      <c r="B610" s="2"/>
      <c r="C610" s="3"/>
      <c r="D610" s="19"/>
      <c r="E610" s="20"/>
    </row>
    <row r="611" spans="1:5" s="15" customFormat="1" x14ac:dyDescent="0.2">
      <c r="A611" s="1"/>
      <c r="B611" s="2"/>
      <c r="C611" s="3"/>
      <c r="D611" s="31"/>
      <c r="E611" s="2"/>
    </row>
    <row r="612" spans="1:5" s="15" customFormat="1" x14ac:dyDescent="0.2">
      <c r="A612" s="1"/>
      <c r="B612" s="2"/>
      <c r="C612" s="3"/>
      <c r="D612" s="31"/>
      <c r="E612" s="2"/>
    </row>
    <row r="613" spans="1:5" s="15" customFormat="1" x14ac:dyDescent="0.2">
      <c r="A613" s="1"/>
      <c r="B613" s="2"/>
      <c r="C613" s="3"/>
      <c r="D613" s="31"/>
      <c r="E613" s="2"/>
    </row>
    <row r="614" spans="1:5" s="15" customFormat="1" x14ac:dyDescent="0.2">
      <c r="A614" s="1"/>
      <c r="B614" s="2"/>
      <c r="C614" s="3"/>
      <c r="D614" s="31"/>
      <c r="E614" s="2"/>
    </row>
    <row r="615" spans="1:5" s="15" customFormat="1" x14ac:dyDescent="0.2">
      <c r="A615" s="1"/>
      <c r="B615" s="2"/>
      <c r="C615" s="3"/>
      <c r="D615" s="19"/>
      <c r="E615" s="20"/>
    </row>
    <row r="616" spans="1:5" s="15" customFormat="1" x14ac:dyDescent="0.2">
      <c r="A616" s="1"/>
      <c r="B616" s="2"/>
      <c r="C616" s="3"/>
      <c r="D616" s="31"/>
      <c r="E616" s="2"/>
    </row>
    <row r="617" spans="1:5" s="15" customFormat="1" x14ac:dyDescent="0.2">
      <c r="A617" s="1"/>
      <c r="B617" s="2"/>
      <c r="C617" s="3"/>
      <c r="D617" s="31"/>
      <c r="E617" s="2"/>
    </row>
    <row r="618" spans="1:5" s="15" customFormat="1" x14ac:dyDescent="0.2">
      <c r="A618" s="1"/>
      <c r="B618" s="2"/>
      <c r="C618" s="3"/>
      <c r="D618" s="31"/>
      <c r="E618" s="2"/>
    </row>
    <row r="619" spans="1:5" s="15" customFormat="1" x14ac:dyDescent="0.2">
      <c r="A619" s="1"/>
      <c r="B619" s="2"/>
      <c r="C619" s="3"/>
      <c r="D619" s="31"/>
      <c r="E619" s="2"/>
    </row>
    <row r="620" spans="1:5" s="15" customFormat="1" x14ac:dyDescent="0.2">
      <c r="A620" s="1"/>
      <c r="B620" s="2"/>
      <c r="C620" s="3"/>
      <c r="D620" s="19"/>
      <c r="E620" s="20"/>
    </row>
    <row r="621" spans="1:5" s="15" customFormat="1" x14ac:dyDescent="0.2">
      <c r="A621" s="1"/>
      <c r="B621" s="2"/>
      <c r="C621" s="3"/>
      <c r="D621" s="31"/>
      <c r="E621" s="2"/>
    </row>
    <row r="622" spans="1:5" s="15" customFormat="1" x14ac:dyDescent="0.2">
      <c r="A622" s="1"/>
      <c r="B622" s="2"/>
      <c r="C622" s="3"/>
      <c r="D622" s="31"/>
      <c r="E622" s="2"/>
    </row>
    <row r="623" spans="1:5" s="15" customFormat="1" x14ac:dyDescent="0.2">
      <c r="A623" s="1"/>
      <c r="B623" s="2"/>
      <c r="C623" s="3"/>
      <c r="D623" s="31"/>
      <c r="E623" s="2"/>
    </row>
    <row r="624" spans="1:5" s="15" customFormat="1" x14ac:dyDescent="0.2">
      <c r="A624" s="1"/>
      <c r="B624" s="2"/>
      <c r="C624" s="3"/>
      <c r="D624" s="31"/>
      <c r="E624" s="2"/>
    </row>
    <row r="625" spans="1:5" s="15" customFormat="1" x14ac:dyDescent="0.2">
      <c r="A625" s="1"/>
      <c r="B625" s="2"/>
      <c r="C625" s="3"/>
      <c r="D625" s="19"/>
      <c r="E625" s="20"/>
    </row>
    <row r="626" spans="1:5" s="15" customFormat="1" x14ac:dyDescent="0.2">
      <c r="A626" s="1"/>
      <c r="B626" s="2"/>
      <c r="C626" s="3"/>
      <c r="D626" s="31"/>
      <c r="E626" s="2"/>
    </row>
    <row r="627" spans="1:5" s="15" customFormat="1" x14ac:dyDescent="0.2">
      <c r="A627" s="1"/>
      <c r="B627" s="2"/>
      <c r="C627" s="3"/>
      <c r="D627" s="31"/>
      <c r="E627" s="2"/>
    </row>
    <row r="628" spans="1:5" s="15" customFormat="1" x14ac:dyDescent="0.2">
      <c r="A628" s="1"/>
      <c r="B628" s="2"/>
      <c r="C628" s="3"/>
      <c r="D628" s="31"/>
      <c r="E628" s="2"/>
    </row>
    <row r="629" spans="1:5" s="15" customFormat="1" x14ac:dyDescent="0.2">
      <c r="A629" s="1"/>
      <c r="B629" s="2"/>
      <c r="C629" s="3"/>
      <c r="D629" s="31"/>
      <c r="E629" s="2"/>
    </row>
    <row r="630" spans="1:5" s="15" customFormat="1" x14ac:dyDescent="0.2">
      <c r="A630" s="1"/>
      <c r="B630" s="2"/>
      <c r="C630" s="3"/>
      <c r="D630" s="19"/>
      <c r="E630" s="20"/>
    </row>
    <row r="631" spans="1:5" s="15" customFormat="1" x14ac:dyDescent="0.2">
      <c r="A631" s="1"/>
      <c r="B631" s="2"/>
      <c r="C631" s="3"/>
      <c r="D631" s="31"/>
      <c r="E631" s="2"/>
    </row>
    <row r="632" spans="1:5" s="15" customFormat="1" x14ac:dyDescent="0.2">
      <c r="A632" s="1"/>
      <c r="B632" s="2"/>
      <c r="C632" s="3"/>
      <c r="D632" s="31"/>
      <c r="E632" s="2"/>
    </row>
    <row r="633" spans="1:5" s="15" customFormat="1" x14ac:dyDescent="0.2">
      <c r="A633" s="1"/>
      <c r="B633" s="2"/>
      <c r="C633" s="3"/>
      <c r="D633" s="31"/>
      <c r="E633" s="2"/>
    </row>
    <row r="634" spans="1:5" s="15" customFormat="1" x14ac:dyDescent="0.2">
      <c r="A634" s="1"/>
      <c r="B634" s="2"/>
      <c r="C634" s="3"/>
      <c r="D634" s="31"/>
      <c r="E634" s="2"/>
    </row>
    <row r="635" spans="1:5" s="15" customFormat="1" x14ac:dyDescent="0.2">
      <c r="A635" s="1"/>
      <c r="B635" s="2"/>
      <c r="C635" s="3"/>
      <c r="D635" s="19"/>
      <c r="E635" s="20"/>
    </row>
    <row r="636" spans="1:5" s="15" customFormat="1" x14ac:dyDescent="0.2">
      <c r="A636" s="1"/>
      <c r="B636" s="2"/>
      <c r="C636" s="3"/>
      <c r="D636" s="31"/>
      <c r="E636" s="2"/>
    </row>
    <row r="637" spans="1:5" s="15" customFormat="1" x14ac:dyDescent="0.2">
      <c r="A637" s="1"/>
      <c r="B637" s="2"/>
      <c r="C637" s="3"/>
      <c r="D637" s="31"/>
      <c r="E637" s="2"/>
    </row>
    <row r="638" spans="1:5" s="15" customFormat="1" x14ac:dyDescent="0.2">
      <c r="A638" s="1"/>
      <c r="B638" s="2"/>
      <c r="C638" s="3"/>
      <c r="D638" s="31"/>
      <c r="E638" s="2"/>
    </row>
    <row r="639" spans="1:5" s="15" customFormat="1" x14ac:dyDescent="0.2">
      <c r="A639" s="1"/>
      <c r="B639" s="2"/>
      <c r="C639" s="3"/>
      <c r="D639" s="31"/>
      <c r="E639" s="2"/>
    </row>
    <row r="640" spans="1:5" s="15" customFormat="1" x14ac:dyDescent="0.2">
      <c r="A640" s="1"/>
      <c r="B640" s="2"/>
      <c r="C640" s="3"/>
      <c r="D640" s="19"/>
      <c r="E640" s="20"/>
    </row>
    <row r="641" spans="1:5" s="15" customFormat="1" x14ac:dyDescent="0.2">
      <c r="A641" s="1"/>
      <c r="B641" s="2"/>
      <c r="C641" s="3"/>
      <c r="D641" s="31"/>
      <c r="E641" s="2"/>
    </row>
    <row r="642" spans="1:5" s="15" customFormat="1" x14ac:dyDescent="0.2">
      <c r="A642" s="1"/>
      <c r="B642" s="2"/>
      <c r="C642" s="3"/>
      <c r="D642" s="31"/>
      <c r="E642" s="2"/>
    </row>
    <row r="643" spans="1:5" s="15" customFormat="1" x14ac:dyDescent="0.2">
      <c r="A643" s="1"/>
      <c r="B643" s="2"/>
      <c r="C643" s="3"/>
      <c r="D643" s="31"/>
      <c r="E643" s="2"/>
    </row>
    <row r="644" spans="1:5" s="15" customFormat="1" x14ac:dyDescent="0.2">
      <c r="A644" s="1"/>
      <c r="B644" s="2"/>
      <c r="C644" s="3"/>
      <c r="D644" s="31"/>
      <c r="E644" s="2"/>
    </row>
    <row r="645" spans="1:5" s="15" customFormat="1" x14ac:dyDescent="0.2">
      <c r="A645" s="1"/>
      <c r="B645" s="2"/>
      <c r="C645" s="3"/>
      <c r="D645" s="19"/>
      <c r="E645" s="20"/>
    </row>
    <row r="646" spans="1:5" s="15" customFormat="1" x14ac:dyDescent="0.2">
      <c r="A646" s="1"/>
      <c r="B646" s="2"/>
      <c r="C646" s="3"/>
      <c r="D646" s="31"/>
      <c r="E646" s="2"/>
    </row>
    <row r="647" spans="1:5" s="15" customFormat="1" x14ac:dyDescent="0.2">
      <c r="A647" s="1"/>
      <c r="B647" s="2"/>
      <c r="C647" s="3"/>
      <c r="D647" s="31"/>
      <c r="E647" s="2"/>
    </row>
    <row r="648" spans="1:5" s="15" customFormat="1" x14ac:dyDescent="0.2">
      <c r="A648" s="1"/>
      <c r="B648" s="2"/>
      <c r="C648" s="3"/>
      <c r="D648" s="31"/>
      <c r="E648" s="2"/>
    </row>
    <row r="649" spans="1:5" s="15" customFormat="1" x14ac:dyDescent="0.2">
      <c r="A649" s="1"/>
      <c r="B649" s="2"/>
      <c r="C649" s="3"/>
      <c r="D649" s="31"/>
      <c r="E649" s="2"/>
    </row>
    <row r="650" spans="1:5" s="15" customFormat="1" x14ac:dyDescent="0.2">
      <c r="A650" s="1"/>
      <c r="B650" s="2"/>
      <c r="C650" s="3"/>
      <c r="D650" s="19"/>
      <c r="E650" s="20"/>
    </row>
    <row r="651" spans="1:5" s="15" customFormat="1" x14ac:dyDescent="0.2">
      <c r="A651" s="1"/>
      <c r="B651" s="2"/>
      <c r="C651" s="3"/>
      <c r="D651" s="31"/>
      <c r="E651" s="2"/>
    </row>
    <row r="652" spans="1:5" s="15" customFormat="1" x14ac:dyDescent="0.2">
      <c r="A652" s="1"/>
      <c r="B652" s="2"/>
      <c r="C652" s="3"/>
      <c r="D652" s="31"/>
      <c r="E652" s="2"/>
    </row>
    <row r="653" spans="1:5" s="15" customFormat="1" x14ac:dyDescent="0.2">
      <c r="A653" s="1"/>
      <c r="B653" s="2"/>
      <c r="C653" s="3"/>
      <c r="D653" s="31"/>
      <c r="E653" s="2"/>
    </row>
    <row r="654" spans="1:5" s="15" customFormat="1" x14ac:dyDescent="0.2">
      <c r="A654" s="1"/>
      <c r="B654" s="2"/>
      <c r="C654" s="3"/>
      <c r="D654" s="31"/>
      <c r="E654" s="2"/>
    </row>
    <row r="655" spans="1:5" s="15" customFormat="1" x14ac:dyDescent="0.2">
      <c r="A655" s="1"/>
      <c r="B655" s="2"/>
      <c r="C655" s="3"/>
      <c r="D655" s="19"/>
      <c r="E655" s="20"/>
    </row>
    <row r="656" spans="1:5" s="15" customFormat="1" x14ac:dyDescent="0.2">
      <c r="A656" s="1"/>
      <c r="B656" s="2"/>
      <c r="C656" s="3"/>
      <c r="D656" s="31"/>
      <c r="E656" s="2"/>
    </row>
    <row r="657" spans="1:5" s="15" customFormat="1" x14ac:dyDescent="0.2">
      <c r="A657" s="1"/>
      <c r="B657" s="2"/>
      <c r="C657" s="3"/>
      <c r="D657" s="31"/>
      <c r="E657" s="2"/>
    </row>
    <row r="658" spans="1:5" s="15" customFormat="1" x14ac:dyDescent="0.2">
      <c r="A658" s="1"/>
      <c r="B658" s="2"/>
      <c r="C658" s="3"/>
      <c r="D658" s="31"/>
      <c r="E658" s="2"/>
    </row>
    <row r="659" spans="1:5" s="15" customFormat="1" x14ac:dyDescent="0.2">
      <c r="A659" s="1"/>
      <c r="B659" s="2"/>
      <c r="C659" s="3"/>
      <c r="D659" s="31"/>
      <c r="E659" s="2"/>
    </row>
    <row r="660" spans="1:5" s="15" customFormat="1" x14ac:dyDescent="0.2">
      <c r="A660" s="1"/>
      <c r="B660" s="2"/>
      <c r="C660" s="3"/>
      <c r="D660" s="19"/>
      <c r="E660" s="20"/>
    </row>
    <row r="661" spans="1:5" s="15" customFormat="1" x14ac:dyDescent="0.2">
      <c r="A661" s="1"/>
      <c r="B661" s="2"/>
      <c r="C661" s="3"/>
      <c r="D661" s="31"/>
      <c r="E661" s="2"/>
    </row>
    <row r="662" spans="1:5" s="15" customFormat="1" x14ac:dyDescent="0.2">
      <c r="A662" s="1"/>
      <c r="B662" s="2"/>
      <c r="C662" s="3"/>
      <c r="D662" s="31"/>
      <c r="E662" s="2"/>
    </row>
    <row r="663" spans="1:5" s="15" customFormat="1" x14ac:dyDescent="0.2">
      <c r="A663" s="1"/>
      <c r="B663" s="2"/>
      <c r="C663" s="3"/>
      <c r="D663" s="31"/>
      <c r="E663" s="2"/>
    </row>
    <row r="664" spans="1:5" s="15" customFormat="1" x14ac:dyDescent="0.2">
      <c r="A664" s="1"/>
      <c r="B664" s="2"/>
      <c r="C664" s="3"/>
      <c r="D664" s="31"/>
      <c r="E664" s="2"/>
    </row>
    <row r="665" spans="1:5" s="15" customFormat="1" x14ac:dyDescent="0.2">
      <c r="A665" s="1"/>
      <c r="B665" s="2"/>
      <c r="C665" s="3"/>
      <c r="D665" s="19"/>
      <c r="E665" s="20"/>
    </row>
    <row r="666" spans="1:5" s="15" customFormat="1" x14ac:dyDescent="0.2">
      <c r="A666" s="1"/>
      <c r="B666" s="2"/>
      <c r="C666" s="3"/>
      <c r="D666" s="31"/>
      <c r="E666" s="2"/>
    </row>
    <row r="667" spans="1:5" s="15" customFormat="1" x14ac:dyDescent="0.2">
      <c r="A667" s="1"/>
      <c r="B667" s="2"/>
      <c r="C667" s="3"/>
      <c r="D667" s="31"/>
      <c r="E667" s="2"/>
    </row>
    <row r="668" spans="1:5" s="15" customFormat="1" x14ac:dyDescent="0.2">
      <c r="A668" s="1"/>
      <c r="B668" s="2"/>
      <c r="C668" s="3"/>
      <c r="D668" s="31"/>
      <c r="E668" s="2"/>
    </row>
    <row r="669" spans="1:5" s="15" customFormat="1" x14ac:dyDescent="0.2">
      <c r="A669" s="1"/>
      <c r="B669" s="2"/>
      <c r="C669" s="3"/>
      <c r="D669" s="31"/>
      <c r="E669" s="2"/>
    </row>
    <row r="670" spans="1:5" s="15" customFormat="1" x14ac:dyDescent="0.2">
      <c r="A670" s="1"/>
      <c r="B670" s="2"/>
      <c r="C670" s="3"/>
      <c r="D670" s="19"/>
      <c r="E670" s="20"/>
    </row>
    <row r="671" spans="1:5" s="15" customFormat="1" x14ac:dyDescent="0.2">
      <c r="A671" s="1"/>
      <c r="B671" s="2"/>
      <c r="C671" s="3"/>
      <c r="D671" s="31"/>
      <c r="E671" s="2"/>
    </row>
    <row r="672" spans="1:5" s="15" customFormat="1" x14ac:dyDescent="0.2">
      <c r="A672" s="1"/>
      <c r="B672" s="2"/>
      <c r="C672" s="3"/>
      <c r="D672" s="31"/>
      <c r="E672" s="2"/>
    </row>
    <row r="673" spans="1:5" s="15" customFormat="1" x14ac:dyDescent="0.2">
      <c r="A673" s="1"/>
      <c r="B673" s="2"/>
      <c r="C673" s="3"/>
      <c r="D673" s="31"/>
      <c r="E673" s="2"/>
    </row>
    <row r="674" spans="1:5" s="15" customFormat="1" x14ac:dyDescent="0.2">
      <c r="A674" s="1"/>
      <c r="B674" s="2"/>
      <c r="C674" s="3"/>
      <c r="D674" s="31"/>
      <c r="E674" s="2"/>
    </row>
    <row r="675" spans="1:5" s="15" customFormat="1" x14ac:dyDescent="0.2">
      <c r="A675" s="1"/>
      <c r="B675" s="2"/>
      <c r="C675" s="3"/>
      <c r="D675" s="19"/>
      <c r="E675" s="20"/>
    </row>
    <row r="676" spans="1:5" s="15" customFormat="1" x14ac:dyDescent="0.2">
      <c r="A676" s="1"/>
      <c r="B676" s="2"/>
      <c r="C676" s="3"/>
      <c r="D676" s="31"/>
      <c r="E676" s="2"/>
    </row>
    <row r="677" spans="1:5" s="15" customFormat="1" x14ac:dyDescent="0.2">
      <c r="A677" s="1"/>
      <c r="B677" s="2"/>
      <c r="C677" s="3"/>
      <c r="D677" s="31"/>
      <c r="E677" s="2"/>
    </row>
    <row r="678" spans="1:5" s="15" customFormat="1" x14ac:dyDescent="0.2">
      <c r="A678" s="1"/>
      <c r="B678" s="2"/>
      <c r="C678" s="3"/>
      <c r="D678" s="31"/>
      <c r="E678" s="2"/>
    </row>
    <row r="679" spans="1:5" s="15" customFormat="1" x14ac:dyDescent="0.2">
      <c r="A679" s="1"/>
      <c r="B679" s="2"/>
      <c r="C679" s="3"/>
      <c r="D679" s="31"/>
      <c r="E679" s="2"/>
    </row>
    <row r="680" spans="1:5" s="15" customFormat="1" x14ac:dyDescent="0.2">
      <c r="A680" s="1"/>
      <c r="B680" s="2"/>
      <c r="C680" s="3"/>
      <c r="D680" s="19"/>
      <c r="E680" s="20"/>
    </row>
    <row r="681" spans="1:5" s="15" customFormat="1" x14ac:dyDescent="0.2">
      <c r="A681" s="1"/>
      <c r="B681" s="2"/>
      <c r="C681" s="3"/>
      <c r="D681" s="31"/>
      <c r="E681" s="2"/>
    </row>
    <row r="682" spans="1:5" s="15" customFormat="1" x14ac:dyDescent="0.2">
      <c r="A682" s="1"/>
      <c r="B682" s="2"/>
      <c r="C682" s="3"/>
      <c r="D682" s="31"/>
      <c r="E682" s="2"/>
    </row>
    <row r="683" spans="1:5" s="15" customFormat="1" x14ac:dyDescent="0.2">
      <c r="A683" s="1"/>
      <c r="B683" s="2"/>
      <c r="C683" s="3"/>
      <c r="D683" s="31"/>
      <c r="E683" s="2"/>
    </row>
    <row r="684" spans="1:5" s="15" customFormat="1" x14ac:dyDescent="0.2">
      <c r="A684" s="1"/>
      <c r="B684" s="2"/>
      <c r="C684" s="3"/>
      <c r="D684" s="31"/>
      <c r="E684" s="2"/>
    </row>
    <row r="685" spans="1:5" s="15" customFormat="1" x14ac:dyDescent="0.2">
      <c r="A685" s="1"/>
      <c r="B685" s="2"/>
      <c r="C685" s="3"/>
      <c r="D685" s="19"/>
      <c r="E685" s="20"/>
    </row>
    <row r="686" spans="1:5" s="15" customFormat="1" x14ac:dyDescent="0.2">
      <c r="A686" s="1"/>
      <c r="B686" s="2"/>
      <c r="C686" s="3"/>
      <c r="D686" s="31"/>
      <c r="E686" s="2"/>
    </row>
    <row r="687" spans="1:5" s="15" customFormat="1" x14ac:dyDescent="0.2">
      <c r="A687" s="1"/>
      <c r="B687" s="2"/>
      <c r="C687" s="3"/>
      <c r="D687" s="31"/>
      <c r="E687" s="2"/>
    </row>
    <row r="688" spans="1:5" s="15" customFormat="1" x14ac:dyDescent="0.2">
      <c r="A688" s="1"/>
      <c r="B688" s="2"/>
      <c r="C688" s="3"/>
      <c r="D688" s="31"/>
      <c r="E688" s="2"/>
    </row>
    <row r="689" spans="1:5" s="15" customFormat="1" x14ac:dyDescent="0.2">
      <c r="A689" s="1"/>
      <c r="B689" s="2"/>
      <c r="C689" s="3"/>
      <c r="D689" s="31"/>
      <c r="E689" s="2"/>
    </row>
    <row r="690" spans="1:5" s="15" customFormat="1" x14ac:dyDescent="0.2">
      <c r="A690" s="1"/>
      <c r="B690" s="2"/>
      <c r="C690" s="3"/>
      <c r="D690" s="19"/>
      <c r="E690" s="20"/>
    </row>
    <row r="691" spans="1:5" s="15" customFormat="1" x14ac:dyDescent="0.2">
      <c r="A691" s="1"/>
      <c r="B691" s="2"/>
      <c r="C691" s="3"/>
      <c r="D691" s="31"/>
      <c r="E691" s="2"/>
    </row>
    <row r="692" spans="1:5" s="15" customFormat="1" x14ac:dyDescent="0.2">
      <c r="A692" s="1"/>
      <c r="B692" s="2"/>
      <c r="C692" s="3"/>
      <c r="D692" s="31"/>
      <c r="E692" s="2"/>
    </row>
    <row r="693" spans="1:5" s="15" customFormat="1" x14ac:dyDescent="0.2">
      <c r="A693" s="1"/>
      <c r="B693" s="2"/>
      <c r="C693" s="3"/>
      <c r="D693" s="31"/>
      <c r="E693" s="2"/>
    </row>
    <row r="694" spans="1:5" s="15" customFormat="1" x14ac:dyDescent="0.2">
      <c r="A694" s="1"/>
      <c r="B694" s="2"/>
      <c r="C694" s="3"/>
      <c r="D694" s="31"/>
      <c r="E694" s="2"/>
    </row>
    <row r="695" spans="1:5" s="15" customFormat="1" x14ac:dyDescent="0.2">
      <c r="A695" s="1"/>
      <c r="B695" s="2"/>
      <c r="C695" s="3"/>
      <c r="D695" s="19"/>
      <c r="E695" s="20"/>
    </row>
    <row r="696" spans="1:5" s="15" customFormat="1" x14ac:dyDescent="0.2">
      <c r="A696" s="1"/>
      <c r="B696" s="2"/>
      <c r="C696" s="3"/>
      <c r="D696" s="31"/>
      <c r="E696" s="2"/>
    </row>
    <row r="697" spans="1:5" s="15" customFormat="1" x14ac:dyDescent="0.2">
      <c r="A697" s="1"/>
      <c r="B697" s="2"/>
      <c r="C697" s="3"/>
      <c r="D697" s="31"/>
      <c r="E697" s="2"/>
    </row>
    <row r="698" spans="1:5" s="15" customFormat="1" x14ac:dyDescent="0.2">
      <c r="A698" s="1"/>
      <c r="B698" s="2"/>
      <c r="C698" s="3"/>
      <c r="D698" s="31"/>
      <c r="E698" s="2"/>
    </row>
    <row r="699" spans="1:5" s="15" customFormat="1" x14ac:dyDescent="0.2">
      <c r="A699" s="1"/>
      <c r="B699" s="2"/>
      <c r="C699" s="3"/>
      <c r="D699" s="31"/>
      <c r="E699" s="2"/>
    </row>
    <row r="700" spans="1:5" s="15" customFormat="1" x14ac:dyDescent="0.2">
      <c r="A700" s="1"/>
      <c r="B700" s="2"/>
      <c r="C700" s="3"/>
      <c r="D700" s="19"/>
      <c r="E700" s="20"/>
    </row>
    <row r="701" spans="1:5" s="15" customFormat="1" x14ac:dyDescent="0.2">
      <c r="A701" s="1"/>
      <c r="B701" s="2"/>
      <c r="C701" s="3"/>
      <c r="D701" s="31"/>
      <c r="E701" s="2"/>
    </row>
    <row r="702" spans="1:5" s="15" customFormat="1" x14ac:dyDescent="0.2">
      <c r="A702" s="1"/>
      <c r="B702" s="2"/>
      <c r="C702" s="3"/>
      <c r="D702" s="31"/>
      <c r="E702" s="2"/>
    </row>
    <row r="703" spans="1:5" s="15" customFormat="1" x14ac:dyDescent="0.2">
      <c r="A703" s="1"/>
      <c r="B703" s="2"/>
      <c r="C703" s="3"/>
      <c r="D703" s="31"/>
      <c r="E703" s="2"/>
    </row>
    <row r="704" spans="1:5" s="15" customFormat="1" x14ac:dyDescent="0.2">
      <c r="A704" s="1"/>
      <c r="B704" s="2"/>
      <c r="C704" s="3"/>
      <c r="D704" s="31"/>
      <c r="E704" s="2"/>
    </row>
    <row r="705" spans="1:5" s="15" customFormat="1" x14ac:dyDescent="0.2">
      <c r="A705" s="1"/>
      <c r="B705" s="2"/>
      <c r="C705" s="3"/>
      <c r="D705" s="19"/>
      <c r="E705" s="20"/>
    </row>
    <row r="706" spans="1:5" s="15" customFormat="1" x14ac:dyDescent="0.2">
      <c r="A706" s="1"/>
      <c r="B706" s="2"/>
      <c r="C706" s="3"/>
      <c r="D706" s="31"/>
      <c r="E706" s="2"/>
    </row>
    <row r="707" spans="1:5" s="15" customFormat="1" x14ac:dyDescent="0.2">
      <c r="A707" s="1"/>
      <c r="B707" s="2"/>
      <c r="C707" s="3"/>
      <c r="D707" s="31"/>
      <c r="E707" s="2"/>
    </row>
    <row r="708" spans="1:5" s="15" customFormat="1" x14ac:dyDescent="0.2">
      <c r="A708" s="1"/>
      <c r="B708" s="2"/>
      <c r="C708" s="3"/>
      <c r="D708" s="31"/>
      <c r="E708" s="2"/>
    </row>
    <row r="709" spans="1:5" s="15" customFormat="1" x14ac:dyDescent="0.2">
      <c r="A709" s="1"/>
      <c r="B709" s="2"/>
      <c r="C709" s="3"/>
      <c r="D709" s="31"/>
      <c r="E709" s="2"/>
    </row>
    <row r="710" spans="1:5" s="15" customFormat="1" x14ac:dyDescent="0.2">
      <c r="A710" s="1"/>
      <c r="B710" s="2"/>
      <c r="C710" s="3"/>
      <c r="D710" s="19"/>
      <c r="E710" s="20"/>
    </row>
    <row r="711" spans="1:5" s="15" customFormat="1" x14ac:dyDescent="0.2">
      <c r="A711" s="1"/>
      <c r="B711" s="2"/>
      <c r="C711" s="3"/>
      <c r="D711" s="31"/>
      <c r="E711" s="2"/>
    </row>
    <row r="712" spans="1:5" s="15" customFormat="1" x14ac:dyDescent="0.2">
      <c r="A712" s="1"/>
      <c r="B712" s="2"/>
      <c r="C712" s="3"/>
      <c r="D712" s="31"/>
      <c r="E712" s="2"/>
    </row>
    <row r="713" spans="1:5" s="15" customFormat="1" x14ac:dyDescent="0.2">
      <c r="A713" s="1"/>
      <c r="B713" s="2"/>
      <c r="C713" s="3"/>
      <c r="D713" s="31"/>
      <c r="E713" s="2"/>
    </row>
    <row r="714" spans="1:5" s="15" customFormat="1" x14ac:dyDescent="0.2">
      <c r="A714" s="1"/>
      <c r="B714" s="2"/>
      <c r="C714" s="3"/>
      <c r="D714" s="31"/>
      <c r="E714" s="2"/>
    </row>
    <row r="715" spans="1:5" s="15" customFormat="1" x14ac:dyDescent="0.2">
      <c r="A715" s="1"/>
      <c r="B715" s="2"/>
      <c r="C715" s="3"/>
      <c r="D715" s="19"/>
      <c r="E715" s="20"/>
    </row>
    <row r="716" spans="1:5" s="15" customFormat="1" x14ac:dyDescent="0.2">
      <c r="A716" s="1"/>
      <c r="B716" s="2"/>
      <c r="C716" s="3"/>
      <c r="D716" s="31"/>
      <c r="E716" s="2"/>
    </row>
    <row r="717" spans="1:5" s="15" customFormat="1" x14ac:dyDescent="0.2">
      <c r="A717" s="1"/>
      <c r="B717" s="2"/>
      <c r="C717" s="3"/>
      <c r="D717" s="31"/>
      <c r="E717" s="2"/>
    </row>
    <row r="718" spans="1:5" s="15" customFormat="1" x14ac:dyDescent="0.2">
      <c r="A718" s="1"/>
      <c r="B718" s="2"/>
      <c r="C718" s="3"/>
      <c r="D718" s="31"/>
      <c r="E718" s="2"/>
    </row>
    <row r="719" spans="1:5" s="15" customFormat="1" x14ac:dyDescent="0.2">
      <c r="A719" s="1"/>
      <c r="B719" s="2"/>
      <c r="C719" s="3"/>
      <c r="D719" s="31"/>
      <c r="E719" s="2"/>
    </row>
    <row r="720" spans="1:5" s="15" customFormat="1" x14ac:dyDescent="0.2">
      <c r="A720" s="1"/>
      <c r="B720" s="2"/>
      <c r="C720" s="3"/>
      <c r="D720" s="19"/>
      <c r="E720" s="20"/>
    </row>
    <row r="721" spans="1:5" s="15" customFormat="1" x14ac:dyDescent="0.2">
      <c r="A721" s="1"/>
      <c r="B721" s="2"/>
      <c r="C721" s="3"/>
      <c r="D721" s="31"/>
      <c r="E721" s="2"/>
    </row>
    <row r="722" spans="1:5" s="15" customFormat="1" x14ac:dyDescent="0.2">
      <c r="A722" s="1"/>
      <c r="B722" s="2"/>
      <c r="C722" s="3"/>
      <c r="D722" s="31"/>
      <c r="E722" s="2"/>
    </row>
    <row r="723" spans="1:5" s="15" customFormat="1" x14ac:dyDescent="0.2">
      <c r="A723" s="1"/>
      <c r="B723" s="2"/>
      <c r="C723" s="3"/>
      <c r="D723" s="31"/>
      <c r="E723" s="2"/>
    </row>
    <row r="724" spans="1:5" s="15" customFormat="1" x14ac:dyDescent="0.2">
      <c r="A724" s="1"/>
      <c r="B724" s="2"/>
      <c r="C724" s="3"/>
      <c r="D724" s="31"/>
      <c r="E724" s="2"/>
    </row>
    <row r="725" spans="1:5" s="15" customFormat="1" x14ac:dyDescent="0.2">
      <c r="A725" s="1"/>
      <c r="B725" s="2"/>
      <c r="C725" s="3"/>
      <c r="D725" s="19"/>
      <c r="E725" s="20"/>
    </row>
    <row r="726" spans="1:5" s="15" customFormat="1" x14ac:dyDescent="0.2">
      <c r="A726" s="1"/>
      <c r="B726" s="2"/>
      <c r="C726" s="3"/>
      <c r="D726" s="31"/>
      <c r="E726" s="2"/>
    </row>
    <row r="727" spans="1:5" s="15" customFormat="1" x14ac:dyDescent="0.2">
      <c r="A727" s="1"/>
      <c r="B727" s="2"/>
      <c r="C727" s="3"/>
      <c r="D727" s="31"/>
      <c r="E727" s="2"/>
    </row>
    <row r="728" spans="1:5" s="15" customFormat="1" x14ac:dyDescent="0.2">
      <c r="A728" s="1"/>
      <c r="B728" s="2"/>
      <c r="C728" s="3"/>
      <c r="D728" s="31"/>
      <c r="E728" s="2"/>
    </row>
    <row r="729" spans="1:5" s="15" customFormat="1" x14ac:dyDescent="0.2">
      <c r="A729" s="1"/>
      <c r="B729" s="2"/>
      <c r="C729" s="3"/>
      <c r="D729" s="31"/>
      <c r="E729" s="2"/>
    </row>
    <row r="730" spans="1:5" s="15" customFormat="1" x14ac:dyDescent="0.2">
      <c r="A730" s="1"/>
      <c r="B730" s="2"/>
      <c r="C730" s="3"/>
      <c r="D730" s="19"/>
      <c r="E730" s="20"/>
    </row>
    <row r="731" spans="1:5" s="15" customFormat="1" x14ac:dyDescent="0.2">
      <c r="A731" s="1"/>
      <c r="B731" s="2"/>
      <c r="C731" s="3"/>
      <c r="D731" s="31"/>
      <c r="E731" s="2"/>
    </row>
    <row r="732" spans="1:5" s="15" customFormat="1" x14ac:dyDescent="0.2">
      <c r="A732" s="1"/>
      <c r="B732" s="2"/>
      <c r="C732" s="3"/>
      <c r="D732" s="31"/>
      <c r="E732" s="2"/>
    </row>
    <row r="733" spans="1:5" s="15" customFormat="1" x14ac:dyDescent="0.2">
      <c r="A733" s="1"/>
      <c r="B733" s="2"/>
      <c r="C733" s="3"/>
      <c r="D733" s="31"/>
      <c r="E733" s="2"/>
    </row>
    <row r="734" spans="1:5" s="15" customFormat="1" x14ac:dyDescent="0.2">
      <c r="A734" s="1"/>
      <c r="B734" s="2"/>
      <c r="C734" s="3"/>
      <c r="D734" s="31"/>
      <c r="E734" s="2"/>
    </row>
    <row r="735" spans="1:5" s="15" customFormat="1" x14ac:dyDescent="0.2">
      <c r="A735" s="1"/>
      <c r="B735" s="2"/>
      <c r="C735" s="3"/>
      <c r="D735" s="19"/>
      <c r="E735" s="20"/>
    </row>
    <row r="736" spans="1:5" s="15" customFormat="1" x14ac:dyDescent="0.2">
      <c r="A736" s="1"/>
      <c r="B736" s="2"/>
      <c r="C736" s="3"/>
      <c r="D736" s="31"/>
      <c r="E736" s="2"/>
    </row>
    <row r="737" spans="1:5" s="15" customFormat="1" x14ac:dyDescent="0.2">
      <c r="A737" s="1"/>
      <c r="B737" s="2"/>
      <c r="C737" s="3"/>
      <c r="D737" s="31"/>
      <c r="E737" s="2"/>
    </row>
    <row r="738" spans="1:5" s="15" customFormat="1" x14ac:dyDescent="0.2">
      <c r="A738" s="1"/>
      <c r="B738" s="2"/>
      <c r="C738" s="3"/>
      <c r="D738" s="31"/>
      <c r="E738" s="2"/>
    </row>
    <row r="739" spans="1:5" s="15" customFormat="1" x14ac:dyDescent="0.2">
      <c r="A739" s="1"/>
      <c r="B739" s="2"/>
      <c r="C739" s="3"/>
      <c r="D739" s="31"/>
      <c r="E739" s="2"/>
    </row>
    <row r="740" spans="1:5" s="15" customFormat="1" x14ac:dyDescent="0.2">
      <c r="A740" s="1"/>
      <c r="B740" s="2"/>
      <c r="C740" s="3"/>
      <c r="D740" s="19"/>
      <c r="E740" s="35"/>
    </row>
    <row r="741" spans="1:5" s="15" customFormat="1" x14ac:dyDescent="0.2">
      <c r="A741" s="1"/>
      <c r="B741" s="2"/>
      <c r="C741" s="3"/>
      <c r="D741" s="31"/>
      <c r="E741" s="2"/>
    </row>
    <row r="742" spans="1:5" s="15" customFormat="1" x14ac:dyDescent="0.2">
      <c r="A742" s="1"/>
      <c r="B742" s="2"/>
      <c r="C742" s="3"/>
      <c r="D742" s="31"/>
      <c r="E742" s="2"/>
    </row>
    <row r="743" spans="1:5" s="15" customFormat="1" x14ac:dyDescent="0.2">
      <c r="A743" s="1"/>
      <c r="B743" s="2"/>
      <c r="C743" s="3"/>
      <c r="D743" s="31"/>
      <c r="E743" s="2"/>
    </row>
    <row r="744" spans="1:5" s="15" customFormat="1" x14ac:dyDescent="0.2">
      <c r="A744" s="1"/>
      <c r="B744" s="2"/>
      <c r="C744" s="3"/>
      <c r="D744" s="31"/>
      <c r="E744" s="2"/>
    </row>
    <row r="745" spans="1:5" s="15" customFormat="1" x14ac:dyDescent="0.2">
      <c r="A745" s="1"/>
      <c r="B745" s="2"/>
      <c r="C745" s="3"/>
      <c r="D745" s="19"/>
      <c r="E745" s="20"/>
    </row>
    <row r="746" spans="1:5" s="15" customFormat="1" x14ac:dyDescent="0.2">
      <c r="A746" s="1"/>
      <c r="B746" s="2"/>
      <c r="C746" s="3"/>
      <c r="D746" s="31"/>
      <c r="E746" s="2"/>
    </row>
    <row r="747" spans="1:5" s="15" customFormat="1" x14ac:dyDescent="0.2">
      <c r="A747" s="1"/>
      <c r="B747" s="2"/>
      <c r="C747" s="3"/>
      <c r="D747" s="31"/>
      <c r="E747" s="2"/>
    </row>
    <row r="748" spans="1:5" s="15" customFormat="1" x14ac:dyDescent="0.2">
      <c r="A748" s="1"/>
      <c r="B748" s="2"/>
      <c r="C748" s="3"/>
      <c r="D748" s="31"/>
      <c r="E748" s="2"/>
    </row>
    <row r="749" spans="1:5" s="15" customFormat="1" x14ac:dyDescent="0.2">
      <c r="A749" s="1"/>
      <c r="B749" s="2"/>
      <c r="C749" s="3"/>
      <c r="D749" s="31"/>
      <c r="E749" s="2"/>
    </row>
    <row r="750" spans="1:5" s="15" customFormat="1" x14ac:dyDescent="0.2">
      <c r="A750" s="1"/>
      <c r="B750" s="2"/>
      <c r="C750" s="3"/>
      <c r="D750" s="19"/>
      <c r="E750" s="20"/>
    </row>
    <row r="751" spans="1:5" s="15" customFormat="1" x14ac:dyDescent="0.2">
      <c r="A751" s="1"/>
      <c r="B751" s="2"/>
      <c r="C751" s="3"/>
      <c r="D751" s="31"/>
      <c r="E751" s="2"/>
    </row>
    <row r="752" spans="1:5" s="15" customFormat="1" x14ac:dyDescent="0.2">
      <c r="A752" s="1"/>
      <c r="B752" s="2"/>
      <c r="C752" s="3"/>
      <c r="D752" s="31"/>
      <c r="E752" s="2"/>
    </row>
    <row r="753" spans="1:5" s="15" customFormat="1" x14ac:dyDescent="0.2">
      <c r="A753" s="1"/>
      <c r="B753" s="2"/>
      <c r="C753" s="3"/>
      <c r="D753" s="31"/>
      <c r="E753" s="2"/>
    </row>
    <row r="754" spans="1:5" s="15" customFormat="1" x14ac:dyDescent="0.2">
      <c r="A754" s="1"/>
      <c r="B754" s="2"/>
      <c r="C754" s="3"/>
      <c r="D754" s="31"/>
      <c r="E754" s="2"/>
    </row>
    <row r="755" spans="1:5" s="15" customFormat="1" x14ac:dyDescent="0.2">
      <c r="A755" s="1"/>
      <c r="B755" s="2"/>
      <c r="C755" s="3"/>
      <c r="D755" s="19"/>
      <c r="E755" s="20"/>
    </row>
    <row r="756" spans="1:5" s="15" customFormat="1" x14ac:dyDescent="0.2">
      <c r="A756" s="1"/>
      <c r="B756" s="2"/>
      <c r="C756" s="3"/>
      <c r="D756" s="31"/>
      <c r="E756" s="2"/>
    </row>
    <row r="757" spans="1:5" s="15" customFormat="1" x14ac:dyDescent="0.2">
      <c r="A757" s="1"/>
      <c r="B757" s="2"/>
      <c r="C757" s="3"/>
      <c r="D757" s="31"/>
      <c r="E757" s="2"/>
    </row>
    <row r="758" spans="1:5" s="15" customFormat="1" x14ac:dyDescent="0.2">
      <c r="A758" s="1"/>
      <c r="B758" s="2"/>
      <c r="C758" s="3"/>
      <c r="D758" s="31"/>
      <c r="E758" s="2"/>
    </row>
    <row r="759" spans="1:5" s="15" customFormat="1" x14ac:dyDescent="0.2">
      <c r="A759" s="1"/>
      <c r="B759" s="2"/>
      <c r="C759" s="3"/>
      <c r="D759" s="31"/>
      <c r="E759" s="2"/>
    </row>
    <row r="760" spans="1:5" s="15" customFormat="1" x14ac:dyDescent="0.2">
      <c r="A760" s="1"/>
      <c r="B760" s="2"/>
      <c r="C760" s="3"/>
      <c r="D760" s="19"/>
      <c r="E760" s="20"/>
    </row>
    <row r="761" spans="1:5" s="15" customFormat="1" x14ac:dyDescent="0.2">
      <c r="A761" s="1"/>
      <c r="B761" s="2"/>
      <c r="C761" s="3"/>
      <c r="D761" s="31"/>
      <c r="E761" s="2"/>
    </row>
    <row r="762" spans="1:5" s="15" customFormat="1" x14ac:dyDescent="0.2">
      <c r="A762" s="1"/>
      <c r="B762" s="2"/>
      <c r="C762" s="3"/>
      <c r="D762" s="31"/>
      <c r="E762" s="2"/>
    </row>
    <row r="763" spans="1:5" s="15" customFormat="1" x14ac:dyDescent="0.2">
      <c r="A763" s="1"/>
      <c r="B763" s="2"/>
      <c r="C763" s="3"/>
      <c r="D763" s="31"/>
      <c r="E763" s="2"/>
    </row>
    <row r="764" spans="1:5" s="15" customFormat="1" x14ac:dyDescent="0.2">
      <c r="A764" s="1"/>
      <c r="B764" s="2"/>
      <c r="C764" s="3"/>
      <c r="D764" s="31"/>
      <c r="E764" s="2"/>
    </row>
    <row r="765" spans="1:5" s="15" customFormat="1" x14ac:dyDescent="0.2">
      <c r="A765" s="1"/>
      <c r="B765" s="2"/>
      <c r="C765" s="3"/>
      <c r="D765" s="19"/>
      <c r="E765" s="20"/>
    </row>
    <row r="766" spans="1:5" s="15" customFormat="1" x14ac:dyDescent="0.2">
      <c r="A766" s="1"/>
      <c r="B766" s="2"/>
      <c r="C766" s="3"/>
      <c r="D766" s="31"/>
      <c r="E766" s="2"/>
    </row>
    <row r="767" spans="1:5" s="15" customFormat="1" x14ac:dyDescent="0.2">
      <c r="A767" s="1"/>
      <c r="B767" s="2"/>
      <c r="C767" s="3"/>
      <c r="D767" s="31"/>
      <c r="E767" s="2"/>
    </row>
    <row r="768" spans="1:5" s="15" customFormat="1" x14ac:dyDescent="0.2">
      <c r="A768" s="1"/>
      <c r="B768" s="2"/>
      <c r="C768" s="3"/>
      <c r="D768" s="31"/>
      <c r="E768" s="2"/>
    </row>
    <row r="769" spans="1:5" s="15" customFormat="1" x14ac:dyDescent="0.2">
      <c r="A769" s="1"/>
      <c r="B769" s="2"/>
      <c r="C769" s="3"/>
      <c r="D769" s="31"/>
      <c r="E769" s="2"/>
    </row>
    <row r="770" spans="1:5" s="15" customFormat="1" x14ac:dyDescent="0.2">
      <c r="A770" s="1"/>
      <c r="B770" s="2"/>
      <c r="C770" s="3"/>
      <c r="D770" s="19"/>
      <c r="E770" s="20"/>
    </row>
    <row r="771" spans="1:5" s="15" customFormat="1" x14ac:dyDescent="0.2">
      <c r="A771" s="1"/>
      <c r="B771" s="2"/>
      <c r="C771" s="3"/>
      <c r="D771" s="31"/>
      <c r="E771" s="2"/>
    </row>
    <row r="772" spans="1:5" s="15" customFormat="1" x14ac:dyDescent="0.2">
      <c r="A772" s="1"/>
      <c r="B772" s="2"/>
      <c r="C772" s="3"/>
      <c r="D772" s="31"/>
      <c r="E772" s="2"/>
    </row>
    <row r="773" spans="1:5" s="15" customFormat="1" x14ac:dyDescent="0.2">
      <c r="A773" s="1"/>
      <c r="B773" s="2"/>
      <c r="C773" s="3"/>
      <c r="D773" s="31"/>
      <c r="E773" s="2"/>
    </row>
    <row r="774" spans="1:5" s="15" customFormat="1" x14ac:dyDescent="0.2">
      <c r="A774" s="1"/>
      <c r="B774" s="2"/>
      <c r="C774" s="3"/>
      <c r="D774" s="31"/>
      <c r="E774" s="2"/>
    </row>
    <row r="775" spans="1:5" s="15" customFormat="1" x14ac:dyDescent="0.2">
      <c r="A775" s="1"/>
      <c r="B775" s="2"/>
      <c r="C775" s="3"/>
      <c r="D775" s="19"/>
      <c r="E775" s="20"/>
    </row>
    <row r="776" spans="1:5" s="15" customFormat="1" x14ac:dyDescent="0.2">
      <c r="A776" s="1"/>
      <c r="B776" s="2"/>
      <c r="C776" s="3"/>
      <c r="D776" s="31"/>
      <c r="E776" s="2"/>
    </row>
    <row r="777" spans="1:5" s="15" customFormat="1" x14ac:dyDescent="0.2">
      <c r="A777" s="1"/>
      <c r="B777" s="2"/>
      <c r="C777" s="3"/>
      <c r="D777" s="31"/>
      <c r="E777" s="2"/>
    </row>
    <row r="778" spans="1:5" s="15" customFormat="1" x14ac:dyDescent="0.2">
      <c r="A778" s="1"/>
      <c r="B778" s="2"/>
      <c r="C778" s="3"/>
      <c r="D778" s="31"/>
      <c r="E778" s="2"/>
    </row>
    <row r="779" spans="1:5" s="15" customFormat="1" x14ac:dyDescent="0.2">
      <c r="A779" s="1"/>
      <c r="B779" s="2"/>
      <c r="C779" s="3"/>
      <c r="D779" s="31"/>
      <c r="E779" s="2"/>
    </row>
    <row r="780" spans="1:5" s="15" customFormat="1" x14ac:dyDescent="0.2">
      <c r="A780" s="1"/>
      <c r="B780" s="2"/>
      <c r="C780" s="3"/>
      <c r="D780" s="19"/>
      <c r="E780" s="20"/>
    </row>
    <row r="781" spans="1:5" s="15" customFormat="1" x14ac:dyDescent="0.2">
      <c r="A781" s="1"/>
      <c r="B781" s="2"/>
      <c r="C781" s="3"/>
      <c r="D781" s="31"/>
      <c r="E781" s="2"/>
    </row>
    <row r="782" spans="1:5" s="15" customFormat="1" x14ac:dyDescent="0.2">
      <c r="A782" s="1"/>
      <c r="B782" s="2"/>
      <c r="C782" s="3"/>
      <c r="D782" s="31"/>
      <c r="E782" s="2"/>
    </row>
    <row r="783" spans="1:5" s="15" customFormat="1" x14ac:dyDescent="0.2">
      <c r="A783" s="1"/>
      <c r="B783" s="2"/>
      <c r="C783" s="3"/>
      <c r="D783" s="31"/>
      <c r="E783" s="2"/>
    </row>
    <row r="784" spans="1:5" s="15" customFormat="1" x14ac:dyDescent="0.2">
      <c r="A784" s="1"/>
      <c r="B784" s="2"/>
      <c r="C784" s="3"/>
      <c r="D784" s="31"/>
      <c r="E784" s="2"/>
    </row>
    <row r="785" spans="1:5" s="15" customFormat="1" x14ac:dyDescent="0.2">
      <c r="A785" s="1"/>
      <c r="B785" s="2"/>
      <c r="C785" s="3"/>
      <c r="D785" s="19"/>
      <c r="E785" s="20"/>
    </row>
    <row r="786" spans="1:5" s="15" customFormat="1" x14ac:dyDescent="0.2">
      <c r="A786" s="1"/>
      <c r="B786" s="2"/>
      <c r="C786" s="3"/>
      <c r="D786" s="31"/>
      <c r="E786" s="2"/>
    </row>
    <row r="787" spans="1:5" s="15" customFormat="1" x14ac:dyDescent="0.2">
      <c r="A787" s="1"/>
      <c r="B787" s="2"/>
      <c r="C787" s="3"/>
      <c r="D787" s="31"/>
      <c r="E787" s="2"/>
    </row>
    <row r="788" spans="1:5" s="15" customFormat="1" x14ac:dyDescent="0.2">
      <c r="A788" s="1"/>
      <c r="B788" s="2"/>
      <c r="C788" s="3"/>
      <c r="D788" s="31"/>
      <c r="E788" s="2"/>
    </row>
    <row r="789" spans="1:5" s="15" customFormat="1" x14ac:dyDescent="0.2">
      <c r="A789" s="1"/>
      <c r="B789" s="2"/>
      <c r="C789" s="3"/>
      <c r="D789" s="31"/>
      <c r="E789" s="2"/>
    </row>
    <row r="790" spans="1:5" s="15" customFormat="1" x14ac:dyDescent="0.2">
      <c r="A790" s="1"/>
      <c r="B790" s="2"/>
      <c r="C790" s="3"/>
      <c r="D790" s="19"/>
      <c r="E790" s="20"/>
    </row>
    <row r="791" spans="1:5" s="15" customFormat="1" x14ac:dyDescent="0.2">
      <c r="A791" s="1"/>
      <c r="B791" s="2"/>
      <c r="C791" s="3"/>
      <c r="D791" s="31"/>
      <c r="E791" s="2"/>
    </row>
    <row r="792" spans="1:5" s="15" customFormat="1" x14ac:dyDescent="0.2">
      <c r="A792" s="1"/>
      <c r="B792" s="2"/>
      <c r="C792" s="3"/>
      <c r="D792" s="31"/>
      <c r="E792" s="2"/>
    </row>
    <row r="793" spans="1:5" s="15" customFormat="1" x14ac:dyDescent="0.2">
      <c r="A793" s="1"/>
      <c r="B793" s="2"/>
      <c r="C793" s="3"/>
      <c r="D793" s="31"/>
      <c r="E793" s="2"/>
    </row>
    <row r="794" spans="1:5" s="15" customFormat="1" x14ac:dyDescent="0.2">
      <c r="A794" s="1"/>
      <c r="B794" s="2"/>
      <c r="C794" s="3"/>
      <c r="D794" s="31"/>
      <c r="E794" s="2"/>
    </row>
    <row r="795" spans="1:5" s="15" customFormat="1" x14ac:dyDescent="0.2">
      <c r="A795" s="1"/>
      <c r="B795" s="2"/>
      <c r="C795" s="3"/>
      <c r="D795" s="19"/>
      <c r="E795" s="20"/>
    </row>
    <row r="796" spans="1:5" s="15" customFormat="1" x14ac:dyDescent="0.2">
      <c r="A796" s="1"/>
      <c r="B796" s="2"/>
      <c r="C796" s="3"/>
      <c r="D796" s="31"/>
      <c r="E796" s="2"/>
    </row>
    <row r="797" spans="1:5" s="15" customFormat="1" x14ac:dyDescent="0.2">
      <c r="A797" s="1"/>
      <c r="B797" s="2"/>
      <c r="C797" s="3"/>
      <c r="D797" s="31"/>
      <c r="E797" s="2"/>
    </row>
    <row r="798" spans="1:5" s="15" customFormat="1" x14ac:dyDescent="0.2">
      <c r="A798" s="1"/>
      <c r="B798" s="2"/>
      <c r="C798" s="3"/>
      <c r="D798" s="31"/>
      <c r="E798" s="2"/>
    </row>
    <row r="799" spans="1:5" s="15" customFormat="1" x14ac:dyDescent="0.2">
      <c r="A799" s="1"/>
      <c r="B799" s="2"/>
      <c r="C799" s="3"/>
      <c r="D799" s="31"/>
      <c r="E799" s="2"/>
    </row>
    <row r="800" spans="1:5" s="15" customFormat="1" x14ac:dyDescent="0.2">
      <c r="A800" s="1"/>
      <c r="B800" s="2"/>
      <c r="C800" s="3"/>
      <c r="D800" s="19"/>
      <c r="E800" s="20"/>
    </row>
    <row r="801" spans="1:5" s="15" customFormat="1" x14ac:dyDescent="0.2">
      <c r="A801" s="1"/>
      <c r="B801" s="2"/>
      <c r="C801" s="3"/>
      <c r="D801" s="31"/>
      <c r="E801" s="2"/>
    </row>
    <row r="802" spans="1:5" s="15" customFormat="1" x14ac:dyDescent="0.2">
      <c r="A802" s="1"/>
      <c r="B802" s="2"/>
      <c r="C802" s="3"/>
      <c r="D802" s="31"/>
      <c r="E802" s="2"/>
    </row>
    <row r="803" spans="1:5" s="15" customFormat="1" x14ac:dyDescent="0.2">
      <c r="A803" s="1"/>
      <c r="B803" s="2"/>
      <c r="C803" s="3"/>
      <c r="D803" s="31"/>
      <c r="E803" s="2"/>
    </row>
    <row r="804" spans="1:5" s="15" customFormat="1" x14ac:dyDescent="0.2">
      <c r="A804" s="1"/>
      <c r="B804" s="2"/>
      <c r="C804" s="3"/>
      <c r="D804" s="31"/>
      <c r="E804" s="2"/>
    </row>
    <row r="805" spans="1:5" s="15" customFormat="1" x14ac:dyDescent="0.2">
      <c r="A805" s="1"/>
      <c r="B805" s="2"/>
      <c r="C805" s="3"/>
      <c r="D805" s="19"/>
      <c r="E805" s="20"/>
    </row>
    <row r="806" spans="1:5" s="15" customFormat="1" x14ac:dyDescent="0.2">
      <c r="A806" s="1"/>
      <c r="B806" s="2"/>
      <c r="C806" s="3"/>
      <c r="D806" s="31"/>
      <c r="E806" s="2"/>
    </row>
    <row r="807" spans="1:5" s="15" customFormat="1" x14ac:dyDescent="0.2">
      <c r="A807" s="1"/>
      <c r="B807" s="2"/>
      <c r="C807" s="3"/>
      <c r="D807" s="31"/>
      <c r="E807" s="2"/>
    </row>
    <row r="808" spans="1:5" s="15" customFormat="1" x14ac:dyDescent="0.2">
      <c r="A808" s="1"/>
      <c r="B808" s="2"/>
      <c r="C808" s="3"/>
      <c r="D808" s="31"/>
      <c r="E808" s="2"/>
    </row>
    <row r="809" spans="1:5" s="15" customFormat="1" x14ac:dyDescent="0.2">
      <c r="A809" s="1"/>
      <c r="B809" s="2"/>
      <c r="C809" s="3"/>
      <c r="D809" s="31"/>
      <c r="E809" s="2"/>
    </row>
    <row r="810" spans="1:5" s="15" customFormat="1" x14ac:dyDescent="0.2">
      <c r="A810" s="1"/>
      <c r="B810" s="2"/>
      <c r="C810" s="3"/>
      <c r="D810" s="19"/>
      <c r="E810" s="20"/>
    </row>
    <row r="811" spans="1:5" s="15" customFormat="1" x14ac:dyDescent="0.2">
      <c r="A811" s="1"/>
      <c r="B811" s="2"/>
      <c r="C811" s="3"/>
      <c r="D811" s="31"/>
      <c r="E811" s="2"/>
    </row>
    <row r="812" spans="1:5" s="15" customFormat="1" x14ac:dyDescent="0.2">
      <c r="A812" s="1"/>
      <c r="B812" s="2"/>
      <c r="C812" s="3"/>
      <c r="D812" s="31"/>
      <c r="E812" s="2"/>
    </row>
    <row r="813" spans="1:5" s="15" customFormat="1" x14ac:dyDescent="0.2">
      <c r="A813" s="1"/>
      <c r="B813" s="2"/>
      <c r="C813" s="3"/>
      <c r="D813" s="31"/>
      <c r="E813" s="2"/>
    </row>
    <row r="814" spans="1:5" s="15" customFormat="1" x14ac:dyDescent="0.2">
      <c r="A814" s="1"/>
      <c r="B814" s="2"/>
      <c r="C814" s="3"/>
      <c r="D814" s="31"/>
      <c r="E814" s="2"/>
    </row>
    <row r="815" spans="1:5" s="15" customFormat="1" x14ac:dyDescent="0.2">
      <c r="A815" s="1"/>
      <c r="B815" s="2"/>
      <c r="C815" s="3"/>
      <c r="D815" s="19"/>
      <c r="E815" s="20"/>
    </row>
    <row r="816" spans="1:5" s="15" customFormat="1" x14ac:dyDescent="0.2">
      <c r="A816" s="1"/>
      <c r="B816" s="2"/>
      <c r="C816" s="3"/>
      <c r="D816" s="31"/>
      <c r="E816" s="2"/>
    </row>
    <row r="817" spans="1:5" s="15" customFormat="1" x14ac:dyDescent="0.2">
      <c r="A817" s="1"/>
      <c r="B817" s="2"/>
      <c r="C817" s="3"/>
      <c r="D817" s="31"/>
      <c r="E817" s="2"/>
    </row>
    <row r="818" spans="1:5" s="15" customFormat="1" x14ac:dyDescent="0.2">
      <c r="A818" s="1"/>
      <c r="B818" s="2"/>
      <c r="C818" s="3"/>
      <c r="D818" s="31"/>
      <c r="E818" s="2"/>
    </row>
    <row r="819" spans="1:5" s="15" customFormat="1" x14ac:dyDescent="0.2">
      <c r="A819" s="1"/>
      <c r="B819" s="2"/>
      <c r="C819" s="3"/>
      <c r="D819" s="31"/>
      <c r="E819" s="2"/>
    </row>
    <row r="820" spans="1:5" s="15" customFormat="1" x14ac:dyDescent="0.2">
      <c r="A820" s="1"/>
      <c r="B820" s="2"/>
      <c r="C820" s="3"/>
      <c r="D820" s="19"/>
      <c r="E820" s="20"/>
    </row>
    <row r="821" spans="1:5" s="15" customFormat="1" x14ac:dyDescent="0.2">
      <c r="A821" s="1"/>
      <c r="B821" s="2"/>
      <c r="C821" s="3"/>
      <c r="D821" s="31"/>
      <c r="E821" s="2"/>
    </row>
    <row r="822" spans="1:5" s="15" customFormat="1" x14ac:dyDescent="0.2">
      <c r="A822" s="1"/>
      <c r="B822" s="2"/>
      <c r="C822" s="3"/>
      <c r="D822" s="31"/>
      <c r="E822" s="2"/>
    </row>
    <row r="823" spans="1:5" s="15" customFormat="1" x14ac:dyDescent="0.2">
      <c r="A823" s="1"/>
      <c r="B823" s="2"/>
      <c r="C823" s="3"/>
      <c r="D823" s="31"/>
      <c r="E823" s="2"/>
    </row>
    <row r="824" spans="1:5" s="15" customFormat="1" x14ac:dyDescent="0.2">
      <c r="A824" s="1"/>
      <c r="B824" s="2"/>
      <c r="C824" s="3"/>
      <c r="D824" s="31"/>
      <c r="E824" s="2"/>
    </row>
    <row r="825" spans="1:5" s="15" customFormat="1" x14ac:dyDescent="0.2">
      <c r="A825" s="1"/>
      <c r="B825" s="2"/>
      <c r="C825" s="3"/>
      <c r="D825" s="19"/>
      <c r="E825" s="20"/>
    </row>
    <row r="826" spans="1:5" s="15" customFormat="1" x14ac:dyDescent="0.2">
      <c r="A826" s="1"/>
      <c r="B826" s="2"/>
      <c r="C826" s="3"/>
      <c r="D826" s="31"/>
      <c r="E826" s="2"/>
    </row>
    <row r="827" spans="1:5" s="15" customFormat="1" x14ac:dyDescent="0.2">
      <c r="A827" s="1"/>
      <c r="B827" s="2"/>
      <c r="C827" s="3"/>
      <c r="D827" s="31"/>
      <c r="E827" s="2"/>
    </row>
    <row r="828" spans="1:5" s="15" customFormat="1" x14ac:dyDescent="0.2">
      <c r="A828" s="1"/>
      <c r="B828" s="2"/>
      <c r="C828" s="3"/>
      <c r="D828" s="31"/>
      <c r="E828" s="2"/>
    </row>
    <row r="829" spans="1:5" s="15" customFormat="1" x14ac:dyDescent="0.2">
      <c r="A829" s="1"/>
      <c r="B829" s="2"/>
      <c r="C829" s="3"/>
      <c r="D829" s="31"/>
      <c r="E829" s="2"/>
    </row>
    <row r="830" spans="1:5" s="15" customFormat="1" x14ac:dyDescent="0.2">
      <c r="A830" s="1"/>
      <c r="B830" s="2"/>
      <c r="C830" s="3"/>
      <c r="D830" s="19"/>
      <c r="E830" s="20"/>
    </row>
    <row r="831" spans="1:5" s="15" customFormat="1" x14ac:dyDescent="0.2">
      <c r="A831" s="1"/>
      <c r="B831" s="2"/>
      <c r="C831" s="3"/>
      <c r="D831" s="31"/>
      <c r="E831" s="2"/>
    </row>
    <row r="832" spans="1:5" s="15" customFormat="1" x14ac:dyDescent="0.2">
      <c r="A832" s="1"/>
      <c r="B832" s="2"/>
      <c r="C832" s="3"/>
      <c r="D832" s="31"/>
      <c r="E832" s="2"/>
    </row>
    <row r="833" spans="1:5" s="15" customFormat="1" x14ac:dyDescent="0.2">
      <c r="A833" s="1"/>
      <c r="B833" s="2"/>
      <c r="C833" s="3"/>
      <c r="D833" s="31"/>
      <c r="E833" s="2"/>
    </row>
    <row r="834" spans="1:5" s="15" customFormat="1" x14ac:dyDescent="0.2">
      <c r="A834" s="1"/>
      <c r="B834" s="2"/>
      <c r="C834" s="3"/>
      <c r="D834" s="31"/>
      <c r="E834" s="2"/>
    </row>
    <row r="835" spans="1:5" s="15" customFormat="1" x14ac:dyDescent="0.2">
      <c r="A835" s="1"/>
      <c r="B835" s="2"/>
      <c r="C835" s="3"/>
      <c r="D835" s="19"/>
      <c r="E835" s="20"/>
    </row>
    <row r="836" spans="1:5" s="15" customFormat="1" x14ac:dyDescent="0.2">
      <c r="A836" s="1"/>
      <c r="B836" s="2"/>
      <c r="C836" s="3"/>
      <c r="D836" s="31"/>
      <c r="E836" s="2"/>
    </row>
    <row r="837" spans="1:5" s="15" customFormat="1" x14ac:dyDescent="0.2">
      <c r="A837" s="1"/>
      <c r="B837" s="2"/>
      <c r="C837" s="3"/>
      <c r="D837" s="31"/>
      <c r="E837" s="2"/>
    </row>
    <row r="838" spans="1:5" s="15" customFormat="1" x14ac:dyDescent="0.2">
      <c r="A838" s="1"/>
      <c r="B838" s="2"/>
      <c r="C838" s="3"/>
      <c r="D838" s="31"/>
      <c r="E838" s="2"/>
    </row>
    <row r="839" spans="1:5" s="15" customFormat="1" x14ac:dyDescent="0.2">
      <c r="A839" s="1"/>
      <c r="B839" s="2"/>
      <c r="C839" s="3"/>
      <c r="D839" s="31"/>
      <c r="E839" s="2"/>
    </row>
    <row r="840" spans="1:5" s="15" customFormat="1" x14ac:dyDescent="0.2">
      <c r="A840" s="1"/>
      <c r="B840" s="2"/>
      <c r="C840" s="3"/>
      <c r="D840" s="19"/>
      <c r="E840" s="20"/>
    </row>
    <row r="841" spans="1:5" s="15" customFormat="1" x14ac:dyDescent="0.2">
      <c r="A841" s="1"/>
      <c r="B841" s="2"/>
      <c r="C841" s="3"/>
      <c r="D841" s="31"/>
      <c r="E841" s="2"/>
    </row>
    <row r="842" spans="1:5" s="15" customFormat="1" x14ac:dyDescent="0.2">
      <c r="A842" s="1"/>
      <c r="B842" s="2"/>
      <c r="C842" s="3"/>
      <c r="D842" s="31"/>
      <c r="E842" s="2"/>
    </row>
    <row r="843" spans="1:5" s="15" customFormat="1" x14ac:dyDescent="0.2">
      <c r="A843" s="1"/>
      <c r="B843" s="2"/>
      <c r="C843" s="3"/>
      <c r="D843" s="31"/>
      <c r="E843" s="2"/>
    </row>
    <row r="844" spans="1:5" s="15" customFormat="1" x14ac:dyDescent="0.2">
      <c r="A844" s="1"/>
      <c r="B844" s="2"/>
      <c r="C844" s="3"/>
      <c r="D844" s="31"/>
      <c r="E844" s="2"/>
    </row>
    <row r="845" spans="1:5" s="15" customFormat="1" x14ac:dyDescent="0.2">
      <c r="A845" s="1"/>
      <c r="B845" s="2"/>
      <c r="C845" s="3"/>
      <c r="D845" s="19"/>
      <c r="E845" s="20"/>
    </row>
    <row r="846" spans="1:5" s="15" customFormat="1" x14ac:dyDescent="0.2">
      <c r="A846" s="1"/>
      <c r="B846" s="2"/>
      <c r="C846" s="3"/>
      <c r="D846" s="31"/>
      <c r="E846" s="2"/>
    </row>
    <row r="847" spans="1:5" s="15" customFormat="1" x14ac:dyDescent="0.2">
      <c r="A847" s="1"/>
      <c r="B847" s="2"/>
      <c r="C847" s="3"/>
      <c r="D847" s="31"/>
      <c r="E847" s="2"/>
    </row>
    <row r="848" spans="1:5" s="15" customFormat="1" x14ac:dyDescent="0.2">
      <c r="A848" s="1"/>
      <c r="B848" s="2"/>
      <c r="C848" s="3"/>
      <c r="D848" s="31"/>
      <c r="E848" s="2"/>
    </row>
    <row r="849" spans="1:5" s="15" customFormat="1" x14ac:dyDescent="0.2">
      <c r="A849" s="1"/>
      <c r="B849" s="2"/>
      <c r="C849" s="3"/>
      <c r="D849" s="31"/>
      <c r="E849" s="2"/>
    </row>
    <row r="850" spans="1:5" s="15" customFormat="1" x14ac:dyDescent="0.2">
      <c r="A850" s="1"/>
      <c r="B850" s="2"/>
      <c r="C850" s="3"/>
      <c r="D850" s="19"/>
      <c r="E850" s="20"/>
    </row>
    <row r="851" spans="1:5" s="15" customFormat="1" x14ac:dyDescent="0.2">
      <c r="A851" s="1"/>
      <c r="B851" s="2"/>
      <c r="C851" s="3"/>
      <c r="D851" s="31"/>
      <c r="E851" s="2"/>
    </row>
    <row r="852" spans="1:5" s="15" customFormat="1" x14ac:dyDescent="0.2">
      <c r="A852" s="1"/>
      <c r="B852" s="2"/>
      <c r="C852" s="3"/>
      <c r="D852" s="31"/>
      <c r="E852" s="2"/>
    </row>
    <row r="853" spans="1:5" s="15" customFormat="1" x14ac:dyDescent="0.2">
      <c r="A853" s="1"/>
      <c r="B853" s="2"/>
      <c r="C853" s="3"/>
      <c r="D853" s="31"/>
      <c r="E853" s="2"/>
    </row>
    <row r="854" spans="1:5" s="15" customFormat="1" x14ac:dyDescent="0.2">
      <c r="A854" s="1"/>
      <c r="B854" s="2"/>
      <c r="C854" s="3"/>
      <c r="D854" s="31"/>
      <c r="E854" s="2"/>
    </row>
    <row r="855" spans="1:5" s="15" customFormat="1" x14ac:dyDescent="0.2">
      <c r="A855" s="1"/>
      <c r="B855" s="2"/>
      <c r="C855" s="3"/>
      <c r="D855" s="19"/>
      <c r="E855" s="20"/>
    </row>
    <row r="856" spans="1:5" s="15" customFormat="1" x14ac:dyDescent="0.2">
      <c r="A856" s="1"/>
      <c r="B856" s="2"/>
      <c r="C856" s="3"/>
      <c r="D856" s="31"/>
      <c r="E856" s="2"/>
    </row>
    <row r="857" spans="1:5" s="15" customFormat="1" x14ac:dyDescent="0.2">
      <c r="A857" s="1"/>
      <c r="B857" s="2"/>
      <c r="C857" s="3"/>
      <c r="D857" s="31"/>
      <c r="E857" s="2"/>
    </row>
    <row r="858" spans="1:5" s="15" customFormat="1" x14ac:dyDescent="0.2">
      <c r="A858" s="1"/>
      <c r="B858" s="2"/>
      <c r="C858" s="3"/>
      <c r="D858" s="31"/>
      <c r="E858" s="2"/>
    </row>
    <row r="859" spans="1:5" s="15" customFormat="1" x14ac:dyDescent="0.2">
      <c r="A859" s="1"/>
      <c r="B859" s="2"/>
      <c r="C859" s="3"/>
      <c r="D859" s="31"/>
      <c r="E859" s="2"/>
    </row>
    <row r="860" spans="1:5" s="15" customFormat="1" x14ac:dyDescent="0.2">
      <c r="A860" s="1"/>
      <c r="B860" s="2"/>
      <c r="C860" s="3"/>
      <c r="D860" s="19"/>
      <c r="E860" s="20"/>
    </row>
    <row r="861" spans="1:5" s="15" customFormat="1" x14ac:dyDescent="0.2">
      <c r="A861" s="1"/>
      <c r="B861" s="2"/>
      <c r="C861" s="3"/>
      <c r="D861" s="31"/>
      <c r="E861" s="2"/>
    </row>
    <row r="862" spans="1:5" s="15" customFormat="1" x14ac:dyDescent="0.2">
      <c r="A862" s="1"/>
      <c r="B862" s="2"/>
      <c r="C862" s="3"/>
      <c r="D862" s="31"/>
      <c r="E862" s="2"/>
    </row>
    <row r="863" spans="1:5" s="15" customFormat="1" x14ac:dyDescent="0.2">
      <c r="A863" s="1"/>
      <c r="B863" s="2"/>
      <c r="C863" s="3"/>
      <c r="D863" s="31"/>
      <c r="E863" s="2"/>
    </row>
    <row r="864" spans="1:5" s="15" customFormat="1" x14ac:dyDescent="0.2">
      <c r="A864" s="1"/>
      <c r="B864" s="2"/>
      <c r="C864" s="3"/>
      <c r="D864" s="31"/>
      <c r="E864" s="2"/>
    </row>
    <row r="865" spans="1:5" s="15" customFormat="1" x14ac:dyDescent="0.2">
      <c r="A865" s="1"/>
      <c r="B865" s="2"/>
      <c r="C865" s="3"/>
      <c r="D865" s="19"/>
      <c r="E865" s="20"/>
    </row>
    <row r="866" spans="1:5" s="15" customFormat="1" x14ac:dyDescent="0.2">
      <c r="A866" s="1"/>
      <c r="B866" s="2"/>
      <c r="C866" s="3"/>
      <c r="D866" s="31"/>
      <c r="E866" s="2"/>
    </row>
    <row r="867" spans="1:5" s="15" customFormat="1" x14ac:dyDescent="0.2">
      <c r="A867" s="1"/>
      <c r="B867" s="2"/>
      <c r="C867" s="3"/>
      <c r="D867" s="31"/>
      <c r="E867" s="2"/>
    </row>
    <row r="868" spans="1:5" s="15" customFormat="1" x14ac:dyDescent="0.2">
      <c r="A868" s="1"/>
      <c r="B868" s="2"/>
      <c r="C868" s="3"/>
      <c r="D868" s="31"/>
      <c r="E868" s="2"/>
    </row>
    <row r="869" spans="1:5" s="15" customFormat="1" x14ac:dyDescent="0.2">
      <c r="A869" s="1"/>
      <c r="B869" s="2"/>
      <c r="C869" s="3"/>
      <c r="D869" s="31"/>
      <c r="E869" s="2"/>
    </row>
    <row r="870" spans="1:5" s="15" customFormat="1" x14ac:dyDescent="0.2">
      <c r="A870" s="1"/>
      <c r="B870" s="2"/>
      <c r="C870" s="3"/>
      <c r="D870" s="19"/>
      <c r="E870" s="20"/>
    </row>
    <row r="871" spans="1:5" s="15" customFormat="1" x14ac:dyDescent="0.2">
      <c r="A871" s="1"/>
      <c r="B871" s="2"/>
      <c r="C871" s="3"/>
      <c r="D871" s="31"/>
      <c r="E871" s="2"/>
    </row>
    <row r="872" spans="1:5" s="15" customFormat="1" x14ac:dyDescent="0.2">
      <c r="A872" s="1"/>
      <c r="B872" s="2"/>
      <c r="C872" s="3"/>
      <c r="D872" s="31"/>
      <c r="E872" s="2"/>
    </row>
    <row r="873" spans="1:5" s="15" customFormat="1" x14ac:dyDescent="0.2">
      <c r="A873" s="1"/>
      <c r="B873" s="2"/>
      <c r="C873" s="3"/>
      <c r="D873" s="31"/>
      <c r="E873" s="2"/>
    </row>
    <row r="874" spans="1:5" s="15" customFormat="1" x14ac:dyDescent="0.2">
      <c r="A874" s="1"/>
      <c r="B874" s="2"/>
      <c r="C874" s="3"/>
      <c r="D874" s="31"/>
      <c r="E874" s="2"/>
    </row>
    <row r="875" spans="1:5" s="15" customFormat="1" x14ac:dyDescent="0.2">
      <c r="A875" s="1"/>
      <c r="B875" s="2"/>
      <c r="C875" s="3"/>
      <c r="D875" s="19"/>
      <c r="E875" s="20"/>
    </row>
    <row r="876" spans="1:5" s="15" customFormat="1" x14ac:dyDescent="0.2">
      <c r="A876" s="1"/>
      <c r="B876" s="2"/>
      <c r="C876" s="3"/>
      <c r="D876" s="31"/>
      <c r="E876" s="2"/>
    </row>
    <row r="877" spans="1:5" s="15" customFormat="1" x14ac:dyDescent="0.2">
      <c r="A877" s="1"/>
      <c r="B877" s="2"/>
      <c r="C877" s="3"/>
      <c r="D877" s="31"/>
      <c r="E877" s="2"/>
    </row>
    <row r="878" spans="1:5" s="15" customFormat="1" x14ac:dyDescent="0.2">
      <c r="A878" s="1"/>
      <c r="B878" s="2"/>
      <c r="C878" s="3"/>
      <c r="D878" s="31"/>
      <c r="E878" s="2"/>
    </row>
    <row r="879" spans="1:5" s="15" customFormat="1" x14ac:dyDescent="0.2">
      <c r="A879" s="1"/>
      <c r="B879" s="2"/>
      <c r="C879" s="3"/>
      <c r="D879" s="31"/>
      <c r="E879" s="2"/>
    </row>
    <row r="880" spans="1:5" s="15" customFormat="1" x14ac:dyDescent="0.2">
      <c r="A880" s="1"/>
      <c r="B880" s="2"/>
      <c r="C880" s="3"/>
      <c r="D880" s="19"/>
      <c r="E880" s="20"/>
    </row>
    <row r="881" spans="1:5" s="15" customFormat="1" x14ac:dyDescent="0.2">
      <c r="A881" s="1"/>
      <c r="B881" s="2"/>
      <c r="C881" s="3"/>
      <c r="D881" s="31"/>
      <c r="E881" s="2"/>
    </row>
    <row r="882" spans="1:5" s="15" customFormat="1" x14ac:dyDescent="0.2">
      <c r="A882" s="1"/>
      <c r="B882" s="2"/>
      <c r="C882" s="3"/>
      <c r="D882" s="31"/>
      <c r="E882" s="2"/>
    </row>
    <row r="883" spans="1:5" s="15" customFormat="1" x14ac:dyDescent="0.2">
      <c r="A883" s="1"/>
      <c r="B883" s="2"/>
      <c r="C883" s="3"/>
      <c r="D883" s="31"/>
      <c r="E883" s="2"/>
    </row>
    <row r="884" spans="1:5" s="15" customFormat="1" x14ac:dyDescent="0.2">
      <c r="A884" s="1"/>
      <c r="B884" s="2"/>
      <c r="C884" s="3"/>
      <c r="D884" s="31"/>
      <c r="E884" s="2"/>
    </row>
    <row r="885" spans="1:5" s="15" customFormat="1" x14ac:dyDescent="0.2">
      <c r="A885" s="1"/>
      <c r="B885" s="2"/>
      <c r="C885" s="3"/>
      <c r="D885" s="19"/>
      <c r="E885" s="20"/>
    </row>
    <row r="886" spans="1:5" s="15" customFormat="1" x14ac:dyDescent="0.2">
      <c r="A886" s="1"/>
      <c r="B886" s="2"/>
      <c r="C886" s="3"/>
      <c r="D886" s="31"/>
      <c r="E886" s="2"/>
    </row>
    <row r="887" spans="1:5" s="15" customFormat="1" x14ac:dyDescent="0.2">
      <c r="A887" s="1"/>
      <c r="B887" s="2"/>
      <c r="C887" s="3"/>
      <c r="D887" s="31"/>
      <c r="E887" s="2"/>
    </row>
    <row r="888" spans="1:5" s="15" customFormat="1" x14ac:dyDescent="0.2">
      <c r="A888" s="1"/>
      <c r="B888" s="2"/>
      <c r="C888" s="3"/>
      <c r="D888" s="31"/>
      <c r="E888" s="2"/>
    </row>
    <row r="889" spans="1:5" s="15" customFormat="1" x14ac:dyDescent="0.2">
      <c r="A889" s="1"/>
      <c r="B889" s="2"/>
      <c r="C889" s="3"/>
      <c r="D889" s="31"/>
      <c r="E889" s="2"/>
    </row>
    <row r="890" spans="1:5" s="15" customFormat="1" x14ac:dyDescent="0.2">
      <c r="A890" s="1"/>
      <c r="B890" s="2"/>
      <c r="C890" s="3"/>
      <c r="D890" s="19"/>
      <c r="E890" s="20"/>
    </row>
    <row r="891" spans="1:5" s="15" customFormat="1" x14ac:dyDescent="0.2">
      <c r="A891" s="1"/>
      <c r="B891" s="2"/>
      <c r="C891" s="3"/>
      <c r="D891" s="31"/>
      <c r="E891" s="2"/>
    </row>
    <row r="892" spans="1:5" s="15" customFormat="1" x14ac:dyDescent="0.2">
      <c r="A892" s="1"/>
      <c r="B892" s="2"/>
      <c r="C892" s="3"/>
      <c r="D892" s="31"/>
      <c r="E892" s="2"/>
    </row>
    <row r="893" spans="1:5" s="15" customFormat="1" x14ac:dyDescent="0.2">
      <c r="A893" s="1"/>
      <c r="B893" s="2"/>
      <c r="C893" s="3"/>
      <c r="D893" s="31"/>
      <c r="E893" s="2"/>
    </row>
    <row r="894" spans="1:5" s="15" customFormat="1" x14ac:dyDescent="0.2">
      <c r="A894" s="1"/>
      <c r="B894" s="2"/>
      <c r="C894" s="3"/>
      <c r="D894" s="31"/>
      <c r="E894" s="2"/>
    </row>
    <row r="895" spans="1:5" s="15" customFormat="1" x14ac:dyDescent="0.2">
      <c r="A895" s="1"/>
      <c r="B895" s="2"/>
      <c r="C895" s="3"/>
      <c r="D895" s="19"/>
      <c r="E895" s="20"/>
    </row>
    <row r="896" spans="1:5" s="15" customFormat="1" x14ac:dyDescent="0.2">
      <c r="A896" s="1"/>
      <c r="B896" s="2"/>
      <c r="C896" s="3"/>
      <c r="D896" s="31"/>
      <c r="E896" s="2"/>
    </row>
    <row r="897" spans="1:5" s="15" customFormat="1" x14ac:dyDescent="0.2">
      <c r="A897" s="1"/>
      <c r="B897" s="2"/>
      <c r="C897" s="3"/>
      <c r="D897" s="31"/>
      <c r="E897" s="2"/>
    </row>
    <row r="898" spans="1:5" s="15" customFormat="1" x14ac:dyDescent="0.2">
      <c r="A898" s="1"/>
      <c r="B898" s="2"/>
      <c r="C898" s="3"/>
      <c r="D898" s="31"/>
      <c r="E898" s="2"/>
    </row>
    <row r="899" spans="1:5" s="15" customFormat="1" x14ac:dyDescent="0.2">
      <c r="A899" s="1"/>
      <c r="B899" s="2"/>
      <c r="C899" s="3"/>
      <c r="D899" s="31"/>
      <c r="E899" s="2"/>
    </row>
    <row r="900" spans="1:5" s="15" customFormat="1" x14ac:dyDescent="0.2">
      <c r="A900" s="1"/>
      <c r="B900" s="2"/>
      <c r="C900" s="3"/>
      <c r="D900" s="19"/>
      <c r="E900" s="20"/>
    </row>
    <row r="901" spans="1:5" s="15" customFormat="1" x14ac:dyDescent="0.2">
      <c r="A901" s="1"/>
      <c r="B901" s="2"/>
      <c r="C901" s="3"/>
      <c r="D901" s="31"/>
      <c r="E901" s="2"/>
    </row>
    <row r="902" spans="1:5" s="15" customFormat="1" x14ac:dyDescent="0.2">
      <c r="A902" s="1"/>
      <c r="B902" s="2"/>
      <c r="C902" s="3"/>
      <c r="D902" s="31"/>
      <c r="E902" s="2"/>
    </row>
    <row r="903" spans="1:5" s="15" customFormat="1" x14ac:dyDescent="0.2">
      <c r="A903" s="1"/>
      <c r="B903" s="2"/>
      <c r="C903" s="3"/>
      <c r="D903" s="31"/>
      <c r="E903" s="2"/>
    </row>
    <row r="904" spans="1:5" s="15" customFormat="1" x14ac:dyDescent="0.2">
      <c r="A904" s="1"/>
      <c r="B904" s="2"/>
      <c r="C904" s="3"/>
      <c r="D904" s="31"/>
      <c r="E904" s="2"/>
    </row>
    <row r="905" spans="1:5" s="15" customFormat="1" x14ac:dyDescent="0.2">
      <c r="A905" s="1"/>
      <c r="B905" s="2"/>
      <c r="C905" s="3"/>
      <c r="D905" s="19"/>
      <c r="E905" s="20"/>
    </row>
    <row r="906" spans="1:5" s="15" customFormat="1" x14ac:dyDescent="0.2">
      <c r="A906" s="1"/>
      <c r="B906" s="2"/>
      <c r="C906" s="3"/>
      <c r="D906" s="31"/>
      <c r="E906" s="2"/>
    </row>
    <row r="907" spans="1:5" s="15" customFormat="1" x14ac:dyDescent="0.2">
      <c r="A907" s="1"/>
      <c r="B907" s="2"/>
      <c r="C907" s="3"/>
      <c r="D907" s="31"/>
      <c r="E907" s="2"/>
    </row>
    <row r="908" spans="1:5" s="15" customFormat="1" x14ac:dyDescent="0.2">
      <c r="A908" s="1"/>
      <c r="B908" s="2"/>
      <c r="C908" s="3"/>
      <c r="D908" s="31"/>
      <c r="E908" s="2"/>
    </row>
    <row r="909" spans="1:5" s="15" customFormat="1" x14ac:dyDescent="0.2">
      <c r="A909" s="1"/>
      <c r="B909" s="2"/>
      <c r="C909" s="3"/>
      <c r="D909" s="31"/>
      <c r="E909" s="2"/>
    </row>
    <row r="910" spans="1:5" s="15" customFormat="1" x14ac:dyDescent="0.2">
      <c r="A910" s="1"/>
      <c r="B910" s="2"/>
      <c r="C910" s="3"/>
      <c r="D910" s="19"/>
      <c r="E910" s="20"/>
    </row>
    <row r="911" spans="1:5" s="15" customFormat="1" x14ac:dyDescent="0.2">
      <c r="A911" s="1"/>
      <c r="B911" s="2"/>
      <c r="C911" s="3"/>
      <c r="D911" s="31"/>
      <c r="E911" s="2"/>
    </row>
    <row r="912" spans="1:5" s="15" customFormat="1" x14ac:dyDescent="0.2">
      <c r="A912" s="1"/>
      <c r="B912" s="2"/>
      <c r="C912" s="3"/>
      <c r="D912" s="31"/>
      <c r="E912" s="2"/>
    </row>
    <row r="913" spans="1:5" s="15" customFormat="1" x14ac:dyDescent="0.2">
      <c r="A913" s="1"/>
      <c r="B913" s="2"/>
      <c r="C913" s="3"/>
      <c r="D913" s="31"/>
      <c r="E913" s="2"/>
    </row>
    <row r="914" spans="1:5" s="15" customFormat="1" x14ac:dyDescent="0.2">
      <c r="A914" s="1"/>
      <c r="B914" s="2"/>
      <c r="C914" s="3"/>
      <c r="D914" s="31"/>
      <c r="E914" s="2"/>
    </row>
    <row r="915" spans="1:5" s="15" customFormat="1" x14ac:dyDescent="0.2">
      <c r="A915" s="1"/>
      <c r="B915" s="2"/>
      <c r="C915" s="3"/>
      <c r="D915" s="19"/>
      <c r="E915" s="20"/>
    </row>
    <row r="916" spans="1:5" s="15" customFormat="1" x14ac:dyDescent="0.2">
      <c r="A916" s="1"/>
      <c r="B916" s="2"/>
      <c r="C916" s="3"/>
      <c r="D916" s="31"/>
      <c r="E916" s="2"/>
    </row>
    <row r="917" spans="1:5" s="15" customFormat="1" x14ac:dyDescent="0.2">
      <c r="A917" s="1"/>
      <c r="B917" s="2"/>
      <c r="C917" s="3"/>
      <c r="D917" s="31"/>
      <c r="E917" s="2"/>
    </row>
    <row r="918" spans="1:5" s="15" customFormat="1" x14ac:dyDescent="0.2">
      <c r="A918" s="1"/>
      <c r="B918" s="2"/>
      <c r="C918" s="3"/>
      <c r="D918" s="31"/>
      <c r="E918" s="2"/>
    </row>
    <row r="919" spans="1:5" s="15" customFormat="1" x14ac:dyDescent="0.2">
      <c r="A919" s="1"/>
      <c r="B919" s="2"/>
      <c r="C919" s="3"/>
      <c r="D919" s="31"/>
      <c r="E919" s="2"/>
    </row>
    <row r="920" spans="1:5" s="15" customFormat="1" x14ac:dyDescent="0.2">
      <c r="A920" s="1"/>
      <c r="B920" s="2"/>
      <c r="C920" s="3"/>
      <c r="D920" s="19"/>
      <c r="E920" s="20"/>
    </row>
    <row r="921" spans="1:5" s="15" customFormat="1" x14ac:dyDescent="0.2">
      <c r="A921" s="1"/>
      <c r="B921" s="2"/>
      <c r="C921" s="3"/>
      <c r="D921" s="31"/>
      <c r="E921" s="2"/>
    </row>
    <row r="922" spans="1:5" s="15" customFormat="1" x14ac:dyDescent="0.2">
      <c r="A922" s="1"/>
      <c r="B922" s="2"/>
      <c r="C922" s="3"/>
      <c r="D922" s="31"/>
      <c r="E922" s="2"/>
    </row>
    <row r="923" spans="1:5" s="15" customFormat="1" x14ac:dyDescent="0.2">
      <c r="A923" s="1"/>
      <c r="B923" s="2"/>
      <c r="C923" s="3"/>
      <c r="D923" s="31"/>
      <c r="E923" s="2"/>
    </row>
    <row r="924" spans="1:5" s="15" customFormat="1" x14ac:dyDescent="0.2">
      <c r="A924" s="1"/>
      <c r="B924" s="2"/>
      <c r="C924" s="3"/>
      <c r="D924" s="31"/>
      <c r="E924" s="2"/>
    </row>
    <row r="925" spans="1:5" s="15" customFormat="1" x14ac:dyDescent="0.2">
      <c r="A925" s="1"/>
      <c r="B925" s="2"/>
      <c r="C925" s="3"/>
      <c r="D925" s="19"/>
      <c r="E925" s="20"/>
    </row>
    <row r="926" spans="1:5" s="15" customFormat="1" x14ac:dyDescent="0.2">
      <c r="A926" s="1"/>
      <c r="B926" s="2"/>
      <c r="C926" s="3"/>
      <c r="D926" s="31"/>
      <c r="E926" s="2"/>
    </row>
    <row r="927" spans="1:5" s="15" customFormat="1" x14ac:dyDescent="0.2">
      <c r="A927" s="1"/>
      <c r="B927" s="2"/>
      <c r="C927" s="3"/>
      <c r="D927" s="31"/>
      <c r="E927" s="2"/>
    </row>
    <row r="928" spans="1:5" s="15" customFormat="1" x14ac:dyDescent="0.2">
      <c r="A928" s="1"/>
      <c r="B928" s="2"/>
      <c r="C928" s="3"/>
      <c r="D928" s="31"/>
      <c r="E928" s="2"/>
    </row>
    <row r="929" spans="1:5" s="15" customFormat="1" x14ac:dyDescent="0.2">
      <c r="A929" s="1"/>
      <c r="B929" s="2"/>
      <c r="C929" s="3"/>
      <c r="D929" s="31"/>
      <c r="E929" s="2"/>
    </row>
    <row r="930" spans="1:5" s="15" customFormat="1" x14ac:dyDescent="0.2">
      <c r="A930" s="1"/>
      <c r="B930" s="2"/>
      <c r="C930" s="3"/>
      <c r="D930" s="19"/>
      <c r="E930" s="20"/>
    </row>
    <row r="931" spans="1:5" s="15" customFormat="1" x14ac:dyDescent="0.2">
      <c r="A931" s="1"/>
      <c r="B931" s="2"/>
      <c r="C931" s="3"/>
      <c r="D931" s="31"/>
      <c r="E931" s="2"/>
    </row>
    <row r="932" spans="1:5" s="15" customFormat="1" x14ac:dyDescent="0.2">
      <c r="A932" s="1"/>
      <c r="B932" s="2"/>
      <c r="C932" s="3"/>
      <c r="D932" s="31"/>
      <c r="E932" s="2"/>
    </row>
    <row r="933" spans="1:5" s="15" customFormat="1" x14ac:dyDescent="0.2">
      <c r="A933" s="1"/>
      <c r="B933" s="2"/>
      <c r="C933" s="3"/>
      <c r="D933" s="31"/>
      <c r="E933" s="2"/>
    </row>
    <row r="934" spans="1:5" s="15" customFormat="1" x14ac:dyDescent="0.2">
      <c r="A934" s="1"/>
      <c r="B934" s="2"/>
      <c r="C934" s="3"/>
      <c r="D934" s="31"/>
      <c r="E934" s="2"/>
    </row>
    <row r="935" spans="1:5" s="15" customFormat="1" x14ac:dyDescent="0.2">
      <c r="A935" s="1"/>
      <c r="B935" s="2"/>
      <c r="C935" s="3"/>
      <c r="D935" s="19"/>
      <c r="E935" s="20"/>
    </row>
    <row r="936" spans="1:5" s="15" customFormat="1" x14ac:dyDescent="0.2">
      <c r="A936" s="1"/>
      <c r="B936" s="2"/>
      <c r="C936" s="3"/>
      <c r="D936" s="31"/>
      <c r="E936" s="2"/>
    </row>
    <row r="937" spans="1:5" s="15" customFormat="1" x14ac:dyDescent="0.2">
      <c r="A937" s="1"/>
      <c r="B937" s="2"/>
      <c r="C937" s="3"/>
      <c r="D937" s="31"/>
      <c r="E937" s="2"/>
    </row>
    <row r="938" spans="1:5" s="15" customFormat="1" x14ac:dyDescent="0.2">
      <c r="A938" s="1"/>
      <c r="B938" s="2"/>
      <c r="C938" s="3"/>
      <c r="D938" s="31"/>
      <c r="E938" s="2"/>
    </row>
    <row r="939" spans="1:5" s="15" customFormat="1" x14ac:dyDescent="0.2">
      <c r="A939" s="1"/>
      <c r="B939" s="2"/>
      <c r="C939" s="3"/>
      <c r="D939" s="31"/>
      <c r="E939" s="2"/>
    </row>
    <row r="940" spans="1:5" s="15" customFormat="1" x14ac:dyDescent="0.2">
      <c r="A940" s="1"/>
      <c r="B940" s="2"/>
      <c r="C940" s="3"/>
      <c r="D940" s="19"/>
      <c r="E940" s="20"/>
    </row>
    <row r="941" spans="1:5" s="15" customFormat="1" x14ac:dyDescent="0.2">
      <c r="A941" s="1"/>
      <c r="B941" s="2"/>
      <c r="C941" s="3"/>
      <c r="D941" s="31"/>
      <c r="E941" s="2"/>
    </row>
    <row r="942" spans="1:5" s="15" customFormat="1" x14ac:dyDescent="0.2">
      <c r="A942" s="1"/>
      <c r="B942" s="2"/>
      <c r="C942" s="3"/>
      <c r="D942" s="31"/>
      <c r="E942" s="2"/>
    </row>
    <row r="943" spans="1:5" s="15" customFormat="1" x14ac:dyDescent="0.2">
      <c r="A943" s="1"/>
      <c r="B943" s="2"/>
      <c r="C943" s="3"/>
      <c r="D943" s="31"/>
      <c r="E943" s="2"/>
    </row>
    <row r="944" spans="1:5" s="15" customFormat="1" x14ac:dyDescent="0.2">
      <c r="A944" s="1"/>
      <c r="B944" s="2"/>
      <c r="C944" s="3"/>
      <c r="D944" s="31"/>
      <c r="E944" s="2"/>
    </row>
    <row r="945" spans="1:5" s="15" customFormat="1" x14ac:dyDescent="0.2">
      <c r="A945" s="1"/>
      <c r="B945" s="2"/>
      <c r="C945" s="3"/>
      <c r="D945" s="19"/>
      <c r="E945" s="20"/>
    </row>
    <row r="946" spans="1:5" s="15" customFormat="1" x14ac:dyDescent="0.2">
      <c r="A946" s="1"/>
      <c r="B946" s="2"/>
      <c r="C946" s="3"/>
      <c r="D946" s="31"/>
      <c r="E946" s="2"/>
    </row>
    <row r="947" spans="1:5" s="15" customFormat="1" x14ac:dyDescent="0.2">
      <c r="A947" s="1"/>
      <c r="B947" s="2"/>
      <c r="C947" s="3"/>
      <c r="D947" s="31"/>
      <c r="E947" s="2"/>
    </row>
    <row r="948" spans="1:5" s="15" customFormat="1" x14ac:dyDescent="0.2">
      <c r="A948" s="1"/>
      <c r="B948" s="2"/>
      <c r="C948" s="3"/>
      <c r="D948" s="31"/>
      <c r="E948" s="2"/>
    </row>
    <row r="949" spans="1:5" s="15" customFormat="1" x14ac:dyDescent="0.2">
      <c r="A949" s="1"/>
      <c r="B949" s="2"/>
      <c r="C949" s="3"/>
      <c r="D949" s="31"/>
      <c r="E949" s="2"/>
    </row>
    <row r="950" spans="1:5" s="15" customFormat="1" x14ac:dyDescent="0.2">
      <c r="A950" s="1"/>
      <c r="B950" s="2"/>
      <c r="C950" s="3"/>
      <c r="D950" s="19"/>
      <c r="E950" s="20"/>
    </row>
    <row r="951" spans="1:5" s="15" customFormat="1" x14ac:dyDescent="0.2">
      <c r="A951" s="1"/>
      <c r="B951" s="2"/>
      <c r="C951" s="3"/>
      <c r="D951" s="31"/>
      <c r="E951" s="2"/>
    </row>
    <row r="952" spans="1:5" s="15" customFormat="1" x14ac:dyDescent="0.2">
      <c r="A952" s="1"/>
      <c r="B952" s="2"/>
      <c r="C952" s="3"/>
      <c r="D952" s="31"/>
      <c r="E952" s="2"/>
    </row>
    <row r="953" spans="1:5" s="15" customFormat="1" x14ac:dyDescent="0.2">
      <c r="A953" s="1"/>
      <c r="B953" s="2"/>
      <c r="C953" s="3"/>
      <c r="D953" s="31"/>
      <c r="E953" s="2"/>
    </row>
    <row r="954" spans="1:5" s="15" customFormat="1" x14ac:dyDescent="0.2">
      <c r="A954" s="1"/>
      <c r="B954" s="2"/>
      <c r="C954" s="3"/>
      <c r="D954" s="31"/>
      <c r="E954" s="2"/>
    </row>
    <row r="955" spans="1:5" s="15" customFormat="1" x14ac:dyDescent="0.2">
      <c r="A955" s="1"/>
      <c r="B955" s="2"/>
      <c r="C955" s="3"/>
      <c r="D955" s="19"/>
      <c r="E955" s="20"/>
    </row>
    <row r="956" spans="1:5" s="15" customFormat="1" x14ac:dyDescent="0.2">
      <c r="A956" s="1"/>
      <c r="B956" s="2"/>
      <c r="C956" s="3"/>
      <c r="D956" s="31"/>
      <c r="E956" s="2"/>
    </row>
    <row r="957" spans="1:5" s="15" customFormat="1" x14ac:dyDescent="0.2">
      <c r="A957" s="1"/>
      <c r="B957" s="2"/>
      <c r="C957" s="3"/>
      <c r="D957" s="31"/>
      <c r="E957" s="2"/>
    </row>
    <row r="958" spans="1:5" s="15" customFormat="1" x14ac:dyDescent="0.2">
      <c r="A958" s="1"/>
      <c r="B958" s="2"/>
      <c r="C958" s="3"/>
      <c r="D958" s="31"/>
      <c r="E958" s="2"/>
    </row>
    <row r="959" spans="1:5" s="15" customFormat="1" x14ac:dyDescent="0.2">
      <c r="A959" s="1"/>
      <c r="B959" s="2"/>
      <c r="C959" s="3"/>
      <c r="D959" s="31"/>
      <c r="E959" s="2"/>
    </row>
    <row r="960" spans="1:5" s="15" customFormat="1" x14ac:dyDescent="0.2">
      <c r="A960" s="1"/>
      <c r="B960" s="2"/>
      <c r="C960" s="3"/>
      <c r="D960" s="19"/>
      <c r="E960" s="20"/>
    </row>
    <row r="961" spans="1:5" s="15" customFormat="1" x14ac:dyDescent="0.2">
      <c r="A961" s="1"/>
      <c r="B961" s="2"/>
      <c r="C961" s="3"/>
      <c r="D961" s="31"/>
      <c r="E961" s="2"/>
    </row>
    <row r="962" spans="1:5" s="15" customFormat="1" x14ac:dyDescent="0.2">
      <c r="A962" s="1"/>
      <c r="B962" s="2"/>
      <c r="C962" s="3"/>
      <c r="D962" s="31"/>
      <c r="E962" s="2"/>
    </row>
    <row r="963" spans="1:5" s="15" customFormat="1" x14ac:dyDescent="0.2">
      <c r="A963" s="1"/>
      <c r="B963" s="2"/>
      <c r="C963" s="3"/>
      <c r="D963" s="31"/>
      <c r="E963" s="2"/>
    </row>
    <row r="964" spans="1:5" s="15" customFormat="1" x14ac:dyDescent="0.2">
      <c r="A964" s="1"/>
      <c r="B964" s="2"/>
      <c r="C964" s="3"/>
      <c r="D964" s="31"/>
      <c r="E964" s="2"/>
    </row>
    <row r="965" spans="1:5" s="15" customFormat="1" x14ac:dyDescent="0.2">
      <c r="A965" s="1"/>
      <c r="B965" s="2"/>
      <c r="C965" s="3"/>
      <c r="D965" s="19"/>
      <c r="E965" s="20"/>
    </row>
    <row r="966" spans="1:5" s="15" customFormat="1" x14ac:dyDescent="0.2">
      <c r="A966" s="1"/>
      <c r="B966" s="2"/>
      <c r="C966" s="3"/>
      <c r="D966" s="31"/>
      <c r="E966" s="2"/>
    </row>
    <row r="967" spans="1:5" s="15" customFormat="1" x14ac:dyDescent="0.2">
      <c r="A967" s="1"/>
      <c r="B967" s="2"/>
      <c r="C967" s="3"/>
      <c r="D967" s="31"/>
      <c r="E967" s="2"/>
    </row>
    <row r="968" spans="1:5" s="15" customFormat="1" x14ac:dyDescent="0.2">
      <c r="A968" s="1"/>
      <c r="B968" s="2"/>
      <c r="C968" s="3"/>
      <c r="D968" s="31"/>
      <c r="E968" s="2"/>
    </row>
    <row r="969" spans="1:5" s="15" customFormat="1" x14ac:dyDescent="0.2">
      <c r="A969" s="1"/>
      <c r="B969" s="2"/>
      <c r="C969" s="3"/>
      <c r="D969" s="31"/>
      <c r="E969" s="2"/>
    </row>
    <row r="970" spans="1:5" s="15" customFormat="1" x14ac:dyDescent="0.2">
      <c r="A970" s="1"/>
      <c r="B970" s="2"/>
      <c r="C970" s="3"/>
      <c r="D970" s="19"/>
      <c r="E970" s="20"/>
    </row>
    <row r="971" spans="1:5" s="15" customFormat="1" x14ac:dyDescent="0.2">
      <c r="A971" s="1"/>
      <c r="B971" s="2"/>
      <c r="C971" s="3"/>
      <c r="D971" s="31"/>
      <c r="E971" s="2"/>
    </row>
    <row r="972" spans="1:5" s="15" customFormat="1" x14ac:dyDescent="0.2">
      <c r="A972" s="1"/>
      <c r="B972" s="2"/>
      <c r="C972" s="3"/>
      <c r="D972" s="31"/>
      <c r="E972" s="2"/>
    </row>
    <row r="973" spans="1:5" s="15" customFormat="1" x14ac:dyDescent="0.2">
      <c r="A973" s="1"/>
      <c r="B973" s="2"/>
      <c r="C973" s="3"/>
      <c r="D973" s="31"/>
      <c r="E973" s="2"/>
    </row>
    <row r="974" spans="1:5" s="15" customFormat="1" x14ac:dyDescent="0.2">
      <c r="A974" s="1"/>
      <c r="B974" s="2"/>
      <c r="C974" s="3"/>
      <c r="D974" s="31"/>
      <c r="E974" s="2"/>
    </row>
    <row r="975" spans="1:5" s="15" customFormat="1" x14ac:dyDescent="0.2">
      <c r="A975" s="1"/>
      <c r="B975" s="2"/>
      <c r="C975" s="3"/>
      <c r="D975" s="19"/>
      <c r="E975" s="20"/>
    </row>
    <row r="976" spans="1:5" s="15" customFormat="1" x14ac:dyDescent="0.2">
      <c r="A976" s="1"/>
      <c r="B976" s="2"/>
      <c r="C976" s="3"/>
      <c r="D976" s="31"/>
      <c r="E976" s="2"/>
    </row>
    <row r="977" spans="1:5" s="15" customFormat="1" x14ac:dyDescent="0.2">
      <c r="A977" s="1"/>
      <c r="B977" s="2"/>
      <c r="C977" s="3"/>
      <c r="D977" s="31"/>
      <c r="E977" s="2"/>
    </row>
    <row r="978" spans="1:5" s="15" customFormat="1" x14ac:dyDescent="0.2">
      <c r="A978" s="1"/>
      <c r="B978" s="2"/>
      <c r="C978" s="3"/>
      <c r="D978" s="31"/>
      <c r="E978" s="2"/>
    </row>
    <row r="979" spans="1:5" s="15" customFormat="1" x14ac:dyDescent="0.2">
      <c r="A979" s="1"/>
      <c r="B979" s="2"/>
      <c r="C979" s="3"/>
      <c r="D979" s="31"/>
      <c r="E979" s="2"/>
    </row>
    <row r="980" spans="1:5" s="15" customFormat="1" x14ac:dyDescent="0.2">
      <c r="A980" s="1"/>
      <c r="B980" s="2"/>
      <c r="C980" s="3"/>
      <c r="D980" s="19"/>
      <c r="E980" s="20"/>
    </row>
    <row r="981" spans="1:5" s="15" customFormat="1" x14ac:dyDescent="0.2">
      <c r="A981" s="1"/>
      <c r="B981" s="2"/>
      <c r="C981" s="3"/>
      <c r="D981" s="31"/>
      <c r="E981" s="2"/>
    </row>
    <row r="982" spans="1:5" s="15" customFormat="1" x14ac:dyDescent="0.2">
      <c r="A982" s="1"/>
      <c r="B982" s="2"/>
      <c r="C982" s="3"/>
      <c r="D982" s="31"/>
      <c r="E982" s="2"/>
    </row>
    <row r="983" spans="1:5" s="15" customFormat="1" x14ac:dyDescent="0.2">
      <c r="A983" s="1"/>
      <c r="B983" s="2"/>
      <c r="C983" s="3"/>
      <c r="D983" s="31"/>
      <c r="E983" s="2"/>
    </row>
    <row r="984" spans="1:5" s="15" customFormat="1" x14ac:dyDescent="0.2">
      <c r="A984" s="1"/>
      <c r="B984" s="2"/>
      <c r="C984" s="3"/>
      <c r="D984" s="31"/>
      <c r="E984" s="2"/>
    </row>
    <row r="985" spans="1:5" s="15" customFormat="1" x14ac:dyDescent="0.2">
      <c r="A985" s="1"/>
      <c r="B985" s="2"/>
      <c r="C985" s="3"/>
      <c r="D985" s="19"/>
      <c r="E985" s="20"/>
    </row>
    <row r="986" spans="1:5" s="15" customFormat="1" x14ac:dyDescent="0.2">
      <c r="A986" s="1"/>
      <c r="B986" s="2"/>
      <c r="C986" s="3"/>
      <c r="D986" s="31"/>
      <c r="E986" s="2"/>
    </row>
    <row r="987" spans="1:5" s="15" customFormat="1" x14ac:dyDescent="0.2">
      <c r="A987" s="1"/>
      <c r="B987" s="2"/>
      <c r="C987" s="3"/>
      <c r="D987" s="31"/>
      <c r="E987" s="2"/>
    </row>
    <row r="988" spans="1:5" s="15" customFormat="1" x14ac:dyDescent="0.2">
      <c r="A988" s="1"/>
      <c r="B988" s="2"/>
      <c r="C988" s="3"/>
      <c r="D988" s="31"/>
      <c r="E988" s="2"/>
    </row>
    <row r="989" spans="1:5" s="15" customFormat="1" x14ac:dyDescent="0.2">
      <c r="A989" s="1"/>
      <c r="B989" s="2"/>
      <c r="C989" s="3"/>
      <c r="D989" s="31"/>
      <c r="E989" s="2"/>
    </row>
    <row r="990" spans="1:5" s="15" customFormat="1" x14ac:dyDescent="0.2">
      <c r="A990" s="1"/>
      <c r="B990" s="2"/>
      <c r="C990" s="3"/>
      <c r="D990" s="19"/>
      <c r="E990" s="20"/>
    </row>
    <row r="991" spans="1:5" s="15" customFormat="1" x14ac:dyDescent="0.2">
      <c r="A991" s="1"/>
      <c r="B991" s="2"/>
      <c r="C991" s="3"/>
      <c r="D991" s="31"/>
      <c r="E991" s="2"/>
    </row>
    <row r="992" spans="1:5" s="15" customFormat="1" x14ac:dyDescent="0.2">
      <c r="A992" s="1"/>
      <c r="B992" s="2"/>
      <c r="C992" s="3"/>
      <c r="D992" s="31"/>
      <c r="E992" s="2"/>
    </row>
    <row r="993" spans="1:5" s="15" customFormat="1" x14ac:dyDescent="0.2">
      <c r="A993" s="1"/>
      <c r="B993" s="2"/>
      <c r="C993" s="3"/>
      <c r="D993" s="31"/>
      <c r="E993" s="2"/>
    </row>
    <row r="994" spans="1:5" s="15" customFormat="1" x14ac:dyDescent="0.2">
      <c r="A994" s="1"/>
      <c r="B994" s="2"/>
      <c r="C994" s="3"/>
      <c r="D994" s="31"/>
      <c r="E994" s="2"/>
    </row>
    <row r="995" spans="1:5" s="15" customFormat="1" x14ac:dyDescent="0.2">
      <c r="A995" s="1"/>
      <c r="B995" s="2"/>
      <c r="C995" s="3"/>
      <c r="D995" s="19"/>
      <c r="E995" s="20"/>
    </row>
    <row r="996" spans="1:5" s="15" customFormat="1" x14ac:dyDescent="0.2">
      <c r="A996" s="1"/>
      <c r="B996" s="2"/>
      <c r="C996" s="3"/>
      <c r="D996" s="31"/>
      <c r="E996" s="2"/>
    </row>
    <row r="997" spans="1:5" s="15" customFormat="1" x14ac:dyDescent="0.2">
      <c r="A997" s="1"/>
      <c r="B997" s="2"/>
      <c r="C997" s="3"/>
      <c r="D997" s="31"/>
      <c r="E997" s="2"/>
    </row>
    <row r="998" spans="1:5" s="15" customFormat="1" x14ac:dyDescent="0.2">
      <c r="A998" s="1"/>
      <c r="B998" s="2"/>
      <c r="C998" s="3"/>
      <c r="D998" s="31"/>
      <c r="E998" s="2"/>
    </row>
    <row r="999" spans="1:5" s="15" customFormat="1" x14ac:dyDescent="0.2">
      <c r="A999" s="1"/>
      <c r="B999" s="2"/>
      <c r="C999" s="3"/>
      <c r="D999" s="31"/>
      <c r="E999" s="2"/>
    </row>
    <row r="1000" spans="1:5" s="15" customFormat="1" x14ac:dyDescent="0.2">
      <c r="A1000" s="1"/>
      <c r="B1000" s="2"/>
      <c r="C1000" s="3"/>
      <c r="D1000" s="19"/>
      <c r="E1000" s="20"/>
    </row>
    <row r="1001" spans="1:5" s="15" customFormat="1" x14ac:dyDescent="0.2">
      <c r="A1001" s="1"/>
      <c r="B1001" s="2"/>
      <c r="C1001" s="3"/>
      <c r="D1001" s="31"/>
      <c r="E1001" s="2"/>
    </row>
    <row r="1002" spans="1:5" s="15" customFormat="1" x14ac:dyDescent="0.2">
      <c r="A1002" s="1"/>
      <c r="B1002" s="2"/>
      <c r="C1002" s="3"/>
      <c r="D1002" s="31"/>
      <c r="E1002" s="2"/>
    </row>
    <row r="1003" spans="1:5" s="15" customFormat="1" x14ac:dyDescent="0.2">
      <c r="A1003" s="1"/>
      <c r="B1003" s="2"/>
      <c r="C1003" s="3"/>
      <c r="D1003" s="31"/>
      <c r="E1003" s="2"/>
    </row>
    <row r="1004" spans="1:5" s="15" customFormat="1" x14ac:dyDescent="0.2">
      <c r="A1004" s="1"/>
      <c r="B1004" s="2"/>
      <c r="C1004" s="3"/>
      <c r="D1004" s="31"/>
      <c r="E1004" s="2"/>
    </row>
    <row r="1005" spans="1:5" s="15" customFormat="1" x14ac:dyDescent="0.2">
      <c r="A1005" s="1"/>
      <c r="B1005" s="2"/>
      <c r="C1005" s="3"/>
      <c r="D1005" s="19"/>
      <c r="E1005" s="20"/>
    </row>
    <row r="1006" spans="1:5" s="15" customFormat="1" x14ac:dyDescent="0.2">
      <c r="A1006" s="1"/>
      <c r="B1006" s="2"/>
      <c r="C1006" s="3"/>
      <c r="D1006" s="31"/>
      <c r="E1006" s="2"/>
    </row>
    <row r="1007" spans="1:5" s="15" customFormat="1" x14ac:dyDescent="0.2">
      <c r="A1007" s="1"/>
      <c r="B1007" s="2"/>
      <c r="C1007" s="3"/>
      <c r="D1007" s="31"/>
      <c r="E1007" s="2"/>
    </row>
    <row r="1008" spans="1:5" s="15" customFormat="1" x14ac:dyDescent="0.2">
      <c r="A1008" s="1"/>
      <c r="B1008" s="2"/>
      <c r="C1008" s="3"/>
      <c r="D1008" s="31"/>
      <c r="E1008" s="2"/>
    </row>
    <row r="1009" spans="1:5" s="15" customFormat="1" x14ac:dyDescent="0.2">
      <c r="A1009" s="1"/>
      <c r="B1009" s="2"/>
      <c r="C1009" s="3"/>
      <c r="D1009" s="31"/>
      <c r="E1009" s="2"/>
    </row>
    <row r="1010" spans="1:5" s="15" customFormat="1" x14ac:dyDescent="0.2">
      <c r="A1010" s="1"/>
      <c r="B1010" s="2"/>
      <c r="C1010" s="3"/>
      <c r="D1010" s="19"/>
      <c r="E1010" s="20"/>
    </row>
    <row r="1011" spans="1:5" s="15" customFormat="1" x14ac:dyDescent="0.2">
      <c r="A1011" s="1"/>
      <c r="B1011" s="2"/>
      <c r="C1011" s="3"/>
      <c r="D1011" s="31"/>
      <c r="E1011" s="2"/>
    </row>
    <row r="1012" spans="1:5" s="15" customFormat="1" x14ac:dyDescent="0.2">
      <c r="A1012" s="1"/>
      <c r="B1012" s="2"/>
      <c r="C1012" s="3"/>
      <c r="D1012" s="31"/>
      <c r="E1012" s="2"/>
    </row>
    <row r="1013" spans="1:5" s="15" customFormat="1" x14ac:dyDescent="0.2">
      <c r="A1013" s="1"/>
      <c r="B1013" s="2"/>
      <c r="C1013" s="3"/>
      <c r="D1013" s="31"/>
      <c r="E1013" s="2"/>
    </row>
    <row r="1014" spans="1:5" s="15" customFormat="1" x14ac:dyDescent="0.2">
      <c r="A1014" s="1"/>
      <c r="B1014" s="2"/>
      <c r="C1014" s="3"/>
      <c r="D1014" s="31"/>
      <c r="E1014" s="2"/>
    </row>
    <row r="1015" spans="1:5" s="15" customFormat="1" x14ac:dyDescent="0.2">
      <c r="A1015" s="1"/>
      <c r="B1015" s="2"/>
      <c r="C1015" s="3"/>
      <c r="D1015" s="19"/>
      <c r="E1015" s="20"/>
    </row>
    <row r="1016" spans="1:5" s="15" customFormat="1" x14ac:dyDescent="0.2">
      <c r="A1016" s="1"/>
      <c r="B1016" s="2"/>
      <c r="C1016" s="3"/>
      <c r="D1016" s="31"/>
      <c r="E1016" s="2"/>
    </row>
    <row r="1017" spans="1:5" s="15" customFormat="1" x14ac:dyDescent="0.2">
      <c r="A1017" s="1"/>
      <c r="B1017" s="2"/>
      <c r="C1017" s="3"/>
      <c r="D1017" s="31"/>
      <c r="E1017" s="2"/>
    </row>
    <row r="1018" spans="1:5" s="15" customFormat="1" x14ac:dyDescent="0.2">
      <c r="A1018" s="1"/>
      <c r="B1018" s="2"/>
      <c r="C1018" s="3"/>
      <c r="D1018" s="31"/>
      <c r="E1018" s="2"/>
    </row>
    <row r="1019" spans="1:5" s="15" customFormat="1" x14ac:dyDescent="0.2">
      <c r="A1019" s="1"/>
      <c r="B1019" s="2"/>
      <c r="C1019" s="3"/>
      <c r="D1019" s="31"/>
      <c r="E1019" s="2"/>
    </row>
    <row r="1020" spans="1:5" s="15" customFormat="1" x14ac:dyDescent="0.2">
      <c r="A1020" s="1"/>
      <c r="B1020" s="2"/>
      <c r="C1020" s="3"/>
      <c r="D1020" s="19"/>
      <c r="E1020" s="20"/>
    </row>
    <row r="1021" spans="1:5" s="15" customFormat="1" x14ac:dyDescent="0.2">
      <c r="A1021" s="1"/>
      <c r="B1021" s="2"/>
      <c r="C1021" s="3"/>
      <c r="D1021" s="31"/>
      <c r="E1021" s="2"/>
    </row>
    <row r="1022" spans="1:5" s="15" customFormat="1" x14ac:dyDescent="0.2">
      <c r="A1022" s="1"/>
      <c r="B1022" s="2"/>
      <c r="C1022" s="3"/>
      <c r="D1022" s="31"/>
      <c r="E1022" s="2"/>
    </row>
    <row r="1023" spans="1:5" s="15" customFormat="1" x14ac:dyDescent="0.2">
      <c r="A1023" s="1"/>
      <c r="B1023" s="2"/>
      <c r="C1023" s="3"/>
      <c r="D1023" s="31"/>
      <c r="E1023" s="2"/>
    </row>
    <row r="1024" spans="1:5" s="15" customFormat="1" x14ac:dyDescent="0.2">
      <c r="A1024" s="1"/>
      <c r="B1024" s="2"/>
      <c r="C1024" s="3"/>
      <c r="D1024" s="31"/>
      <c r="E1024" s="2"/>
    </row>
    <row r="1025" spans="1:5" s="15" customFormat="1" x14ac:dyDescent="0.2">
      <c r="A1025" s="1"/>
      <c r="B1025" s="2"/>
      <c r="C1025" s="3"/>
      <c r="D1025" s="19"/>
      <c r="E1025" s="20"/>
    </row>
    <row r="1026" spans="1:5" s="15" customFormat="1" x14ac:dyDescent="0.2">
      <c r="A1026" s="1"/>
      <c r="B1026" s="2"/>
      <c r="C1026" s="3"/>
      <c r="D1026" s="31"/>
      <c r="E1026" s="2"/>
    </row>
    <row r="1027" spans="1:5" s="15" customFormat="1" x14ac:dyDescent="0.2">
      <c r="A1027" s="1"/>
      <c r="B1027" s="2"/>
      <c r="C1027" s="3"/>
      <c r="D1027" s="31"/>
      <c r="E1027" s="2"/>
    </row>
    <row r="1028" spans="1:5" s="15" customFormat="1" x14ac:dyDescent="0.2">
      <c r="A1028" s="1"/>
      <c r="B1028" s="2"/>
      <c r="C1028" s="3"/>
      <c r="D1028" s="31"/>
      <c r="E1028" s="2"/>
    </row>
    <row r="1029" spans="1:5" s="15" customFormat="1" x14ac:dyDescent="0.2">
      <c r="A1029" s="1"/>
      <c r="B1029" s="2"/>
      <c r="C1029" s="3"/>
      <c r="D1029" s="31"/>
      <c r="E1029" s="2"/>
    </row>
    <row r="1030" spans="1:5" s="15" customFormat="1" x14ac:dyDescent="0.2">
      <c r="A1030" s="1"/>
      <c r="B1030" s="2"/>
      <c r="C1030" s="3"/>
      <c r="D1030" s="19"/>
      <c r="E1030" s="20"/>
    </row>
    <row r="1031" spans="1:5" s="15" customFormat="1" x14ac:dyDescent="0.2">
      <c r="A1031" s="1"/>
      <c r="B1031" s="2"/>
      <c r="C1031" s="3"/>
      <c r="D1031" s="31"/>
      <c r="E1031" s="2"/>
    </row>
    <row r="1032" spans="1:5" s="15" customFormat="1" x14ac:dyDescent="0.2">
      <c r="A1032" s="1"/>
      <c r="B1032" s="2"/>
      <c r="C1032" s="3"/>
      <c r="D1032" s="31"/>
      <c r="E1032" s="2"/>
    </row>
    <row r="1033" spans="1:5" s="15" customFormat="1" x14ac:dyDescent="0.2">
      <c r="A1033" s="1"/>
      <c r="B1033" s="2"/>
      <c r="C1033" s="3"/>
      <c r="D1033" s="31"/>
      <c r="E1033" s="2"/>
    </row>
    <row r="1034" spans="1:5" s="15" customFormat="1" x14ac:dyDescent="0.2">
      <c r="A1034" s="1"/>
      <c r="B1034" s="2"/>
      <c r="C1034" s="3"/>
      <c r="D1034" s="31"/>
      <c r="E1034" s="2"/>
    </row>
    <row r="1035" spans="1:5" s="15" customFormat="1" x14ac:dyDescent="0.2">
      <c r="A1035" s="1"/>
      <c r="B1035" s="2"/>
      <c r="C1035" s="3"/>
      <c r="D1035" s="19"/>
      <c r="E1035" s="20"/>
    </row>
    <row r="1036" spans="1:5" s="15" customFormat="1" x14ac:dyDescent="0.2">
      <c r="A1036" s="1"/>
      <c r="B1036" s="2"/>
      <c r="C1036" s="3"/>
      <c r="D1036" s="31"/>
      <c r="E1036" s="2"/>
    </row>
    <row r="1037" spans="1:5" s="15" customFormat="1" x14ac:dyDescent="0.2">
      <c r="A1037" s="1"/>
      <c r="B1037" s="2"/>
      <c r="C1037" s="3"/>
      <c r="D1037" s="31"/>
      <c r="E1037" s="2"/>
    </row>
    <row r="1038" spans="1:5" s="15" customFormat="1" x14ac:dyDescent="0.2">
      <c r="A1038" s="1"/>
      <c r="B1038" s="2"/>
      <c r="C1038" s="3"/>
      <c r="D1038" s="31"/>
      <c r="E1038" s="2"/>
    </row>
    <row r="1039" spans="1:5" s="15" customFormat="1" x14ac:dyDescent="0.2">
      <c r="A1039" s="1"/>
      <c r="B1039" s="2"/>
      <c r="C1039" s="3"/>
      <c r="D1039" s="31"/>
      <c r="E1039" s="2"/>
    </row>
    <row r="1040" spans="1:5" s="15" customFormat="1" x14ac:dyDescent="0.2">
      <c r="A1040" s="1"/>
      <c r="B1040" s="2"/>
      <c r="C1040" s="3"/>
      <c r="D1040" s="19"/>
      <c r="E1040" s="20"/>
    </row>
    <row r="1041" spans="1:5" s="15" customFormat="1" x14ac:dyDescent="0.2">
      <c r="A1041" s="1"/>
      <c r="B1041" s="2"/>
      <c r="C1041" s="3"/>
      <c r="D1041" s="31"/>
      <c r="E1041" s="2"/>
    </row>
    <row r="1042" spans="1:5" s="15" customFormat="1" x14ac:dyDescent="0.2">
      <c r="A1042" s="1"/>
      <c r="B1042" s="2"/>
      <c r="C1042" s="3"/>
      <c r="D1042" s="31"/>
      <c r="E1042" s="2"/>
    </row>
    <row r="1043" spans="1:5" s="15" customFormat="1" x14ac:dyDescent="0.2">
      <c r="A1043" s="1"/>
      <c r="B1043" s="2"/>
      <c r="C1043" s="3"/>
      <c r="D1043" s="31"/>
      <c r="E1043" s="2"/>
    </row>
    <row r="1044" spans="1:5" s="15" customFormat="1" x14ac:dyDescent="0.2">
      <c r="A1044" s="1"/>
      <c r="B1044" s="2"/>
      <c r="C1044" s="3"/>
      <c r="D1044" s="31"/>
      <c r="E1044" s="2"/>
    </row>
    <row r="1045" spans="1:5" s="15" customFormat="1" x14ac:dyDescent="0.2">
      <c r="A1045" s="1"/>
      <c r="B1045" s="2"/>
      <c r="C1045" s="3"/>
      <c r="D1045" s="19"/>
      <c r="E1045" s="20"/>
    </row>
    <row r="1046" spans="1:5" s="15" customFormat="1" x14ac:dyDescent="0.2">
      <c r="A1046" s="1"/>
      <c r="B1046" s="2"/>
      <c r="C1046" s="3"/>
      <c r="D1046" s="31"/>
      <c r="E1046" s="2"/>
    </row>
    <row r="1047" spans="1:5" s="15" customFormat="1" x14ac:dyDescent="0.2">
      <c r="A1047" s="1"/>
      <c r="B1047" s="2"/>
      <c r="C1047" s="3"/>
      <c r="D1047" s="31"/>
      <c r="E1047" s="2"/>
    </row>
    <row r="1048" spans="1:5" s="15" customFormat="1" x14ac:dyDescent="0.2">
      <c r="A1048" s="1"/>
      <c r="B1048" s="2"/>
      <c r="C1048" s="3"/>
      <c r="D1048" s="31"/>
      <c r="E1048" s="2"/>
    </row>
    <row r="1049" spans="1:5" s="15" customFormat="1" x14ac:dyDescent="0.2">
      <c r="A1049" s="1"/>
      <c r="B1049" s="2"/>
      <c r="C1049" s="3"/>
      <c r="D1049" s="31"/>
      <c r="E1049" s="2"/>
    </row>
    <row r="1050" spans="1:5" s="15" customFormat="1" x14ac:dyDescent="0.2">
      <c r="A1050" s="1"/>
      <c r="B1050" s="2"/>
      <c r="C1050" s="3"/>
      <c r="D1050" s="19"/>
      <c r="E1050" s="20"/>
    </row>
    <row r="1051" spans="1:5" s="15" customFormat="1" x14ac:dyDescent="0.2">
      <c r="A1051" s="1"/>
      <c r="B1051" s="2"/>
      <c r="C1051" s="3"/>
      <c r="D1051" s="31"/>
      <c r="E1051" s="2"/>
    </row>
    <row r="1052" spans="1:5" s="15" customFormat="1" x14ac:dyDescent="0.2">
      <c r="A1052" s="1"/>
      <c r="B1052" s="2"/>
      <c r="C1052" s="3"/>
      <c r="D1052" s="31"/>
      <c r="E1052" s="2"/>
    </row>
    <row r="1053" spans="1:5" s="15" customFormat="1" x14ac:dyDescent="0.2">
      <c r="A1053" s="1"/>
      <c r="B1053" s="2"/>
      <c r="C1053" s="3"/>
      <c r="D1053" s="31"/>
      <c r="E1053" s="2"/>
    </row>
    <row r="1054" spans="1:5" s="15" customFormat="1" x14ac:dyDescent="0.2">
      <c r="A1054" s="1"/>
      <c r="B1054" s="2"/>
      <c r="C1054" s="3"/>
      <c r="D1054" s="31"/>
      <c r="E1054" s="2"/>
    </row>
    <row r="1055" spans="1:5" s="15" customFormat="1" x14ac:dyDescent="0.2">
      <c r="A1055" s="1"/>
      <c r="B1055" s="2"/>
      <c r="C1055" s="3"/>
      <c r="D1055" s="19"/>
      <c r="E1055" s="20"/>
    </row>
    <row r="1056" spans="1:5" s="15" customFormat="1" x14ac:dyDescent="0.2">
      <c r="A1056" s="1"/>
      <c r="B1056" s="2"/>
      <c r="C1056" s="3"/>
      <c r="D1056" s="31"/>
      <c r="E1056" s="2"/>
    </row>
    <row r="1057" spans="1:5" s="15" customFormat="1" x14ac:dyDescent="0.2">
      <c r="A1057" s="1"/>
      <c r="B1057" s="2"/>
      <c r="C1057" s="3"/>
      <c r="D1057" s="31"/>
      <c r="E1057" s="2"/>
    </row>
    <row r="1058" spans="1:5" s="15" customFormat="1" x14ac:dyDescent="0.2">
      <c r="A1058" s="1"/>
      <c r="B1058" s="2"/>
      <c r="C1058" s="3"/>
      <c r="D1058" s="31"/>
      <c r="E1058" s="2"/>
    </row>
    <row r="1059" spans="1:5" s="15" customFormat="1" x14ac:dyDescent="0.2">
      <c r="A1059" s="1"/>
      <c r="B1059" s="2"/>
      <c r="C1059" s="3"/>
      <c r="D1059" s="31"/>
      <c r="E1059" s="2"/>
    </row>
    <row r="1060" spans="1:5" s="15" customFormat="1" x14ac:dyDescent="0.2">
      <c r="A1060" s="1"/>
      <c r="B1060" s="2"/>
      <c r="C1060" s="3"/>
      <c r="D1060" s="19"/>
      <c r="E1060" s="20"/>
    </row>
    <row r="1061" spans="1:5" s="15" customFormat="1" x14ac:dyDescent="0.2">
      <c r="A1061" s="1"/>
      <c r="B1061" s="2"/>
      <c r="C1061" s="3"/>
      <c r="D1061" s="31"/>
      <c r="E1061" s="2"/>
    </row>
    <row r="1062" spans="1:5" s="15" customFormat="1" x14ac:dyDescent="0.2">
      <c r="A1062" s="1"/>
      <c r="B1062" s="2"/>
      <c r="C1062" s="3"/>
      <c r="D1062" s="31"/>
      <c r="E1062" s="2"/>
    </row>
    <row r="1063" spans="1:5" s="15" customFormat="1" x14ac:dyDescent="0.2">
      <c r="A1063" s="1"/>
      <c r="B1063" s="2"/>
      <c r="C1063" s="3"/>
      <c r="D1063" s="31"/>
      <c r="E1063" s="2"/>
    </row>
    <row r="1064" spans="1:5" s="15" customFormat="1" x14ac:dyDescent="0.2">
      <c r="A1064" s="1"/>
      <c r="B1064" s="2"/>
      <c r="C1064" s="3"/>
      <c r="D1064" s="31"/>
      <c r="E1064" s="2"/>
    </row>
    <row r="1065" spans="1:5" s="15" customFormat="1" x14ac:dyDescent="0.2">
      <c r="A1065" s="1"/>
      <c r="B1065" s="2"/>
      <c r="C1065" s="3"/>
      <c r="D1065" s="19"/>
      <c r="E1065" s="20"/>
    </row>
    <row r="1066" spans="1:5" s="15" customFormat="1" x14ac:dyDescent="0.2">
      <c r="A1066" s="1"/>
      <c r="B1066" s="2"/>
      <c r="C1066" s="3"/>
      <c r="D1066" s="31"/>
      <c r="E1066" s="2"/>
    </row>
    <row r="1067" spans="1:5" s="15" customFormat="1" x14ac:dyDescent="0.2">
      <c r="A1067" s="1"/>
      <c r="B1067" s="2"/>
      <c r="C1067" s="3"/>
      <c r="D1067" s="31"/>
      <c r="E1067" s="2"/>
    </row>
    <row r="1068" spans="1:5" s="15" customFormat="1" x14ac:dyDescent="0.2">
      <c r="A1068" s="1"/>
      <c r="B1068" s="2"/>
      <c r="C1068" s="3"/>
      <c r="D1068" s="31"/>
      <c r="E1068" s="2"/>
    </row>
    <row r="1069" spans="1:5" s="15" customFormat="1" x14ac:dyDescent="0.2">
      <c r="A1069" s="1"/>
      <c r="B1069" s="2"/>
      <c r="C1069" s="3"/>
      <c r="D1069" s="31"/>
      <c r="E1069" s="2"/>
    </row>
    <row r="1070" spans="1:5" s="15" customFormat="1" x14ac:dyDescent="0.2">
      <c r="A1070" s="1"/>
      <c r="B1070" s="2"/>
      <c r="C1070" s="3"/>
      <c r="D1070" s="19"/>
      <c r="E1070" s="20"/>
    </row>
    <row r="1071" spans="1:5" s="15" customFormat="1" x14ac:dyDescent="0.2">
      <c r="A1071" s="1"/>
      <c r="B1071" s="2"/>
      <c r="C1071" s="3"/>
      <c r="D1071" s="31"/>
      <c r="E1071" s="2"/>
    </row>
    <row r="1072" spans="1:5" s="15" customFormat="1" x14ac:dyDescent="0.2">
      <c r="A1072" s="1"/>
      <c r="B1072" s="2"/>
      <c r="C1072" s="3"/>
      <c r="D1072" s="31"/>
      <c r="E1072" s="2"/>
    </row>
    <row r="1073" spans="1:5" s="15" customFormat="1" x14ac:dyDescent="0.2">
      <c r="A1073" s="1"/>
      <c r="B1073" s="2"/>
      <c r="C1073" s="3"/>
      <c r="D1073" s="31"/>
      <c r="E1073" s="2"/>
    </row>
    <row r="1074" spans="1:5" s="15" customFormat="1" x14ac:dyDescent="0.2">
      <c r="A1074" s="1"/>
      <c r="B1074" s="2"/>
      <c r="C1074" s="3"/>
      <c r="D1074" s="31"/>
      <c r="E1074" s="2"/>
    </row>
    <row r="1075" spans="1:5" s="15" customFormat="1" x14ac:dyDescent="0.2">
      <c r="A1075" s="1"/>
      <c r="B1075" s="2"/>
      <c r="C1075" s="3"/>
      <c r="D1075" s="19"/>
      <c r="E1075" s="20"/>
    </row>
    <row r="1076" spans="1:5" s="15" customFormat="1" x14ac:dyDescent="0.2">
      <c r="A1076" s="1"/>
      <c r="B1076" s="2"/>
      <c r="C1076" s="3"/>
      <c r="D1076" s="31"/>
      <c r="E1076" s="2"/>
    </row>
    <row r="1077" spans="1:5" s="15" customFormat="1" x14ac:dyDescent="0.2">
      <c r="A1077" s="1"/>
      <c r="B1077" s="2"/>
      <c r="C1077" s="3"/>
      <c r="D1077" s="31"/>
      <c r="E1077" s="2"/>
    </row>
    <row r="1078" spans="1:5" s="15" customFormat="1" x14ac:dyDescent="0.2">
      <c r="A1078" s="1"/>
      <c r="B1078" s="2"/>
      <c r="C1078" s="3"/>
      <c r="D1078" s="31"/>
      <c r="E1078" s="2"/>
    </row>
    <row r="1079" spans="1:5" s="15" customFormat="1" x14ac:dyDescent="0.2">
      <c r="A1079" s="1"/>
      <c r="B1079" s="2"/>
      <c r="C1079" s="3"/>
      <c r="D1079" s="31"/>
      <c r="E1079" s="2"/>
    </row>
    <row r="1080" spans="1:5" s="15" customFormat="1" x14ac:dyDescent="0.2">
      <c r="A1080" s="1"/>
      <c r="B1080" s="2"/>
      <c r="C1080" s="3"/>
      <c r="D1080" s="19"/>
      <c r="E1080" s="20"/>
    </row>
    <row r="1081" spans="1:5" s="15" customFormat="1" x14ac:dyDescent="0.2">
      <c r="A1081" s="1"/>
      <c r="B1081" s="2"/>
      <c r="C1081" s="3"/>
      <c r="D1081" s="31"/>
      <c r="E1081" s="2"/>
    </row>
    <row r="1082" spans="1:5" s="15" customFormat="1" x14ac:dyDescent="0.2">
      <c r="A1082" s="1"/>
      <c r="B1082" s="2"/>
      <c r="C1082" s="3"/>
      <c r="D1082" s="31"/>
      <c r="E1082" s="2"/>
    </row>
    <row r="1083" spans="1:5" s="15" customFormat="1" x14ac:dyDescent="0.2">
      <c r="A1083" s="1"/>
      <c r="B1083" s="2"/>
      <c r="C1083" s="3"/>
      <c r="D1083" s="31"/>
      <c r="E1083" s="2"/>
    </row>
    <row r="1084" spans="1:5" s="15" customFormat="1" x14ac:dyDescent="0.2">
      <c r="A1084" s="1"/>
      <c r="B1084" s="2"/>
      <c r="C1084" s="3"/>
      <c r="D1084" s="31"/>
      <c r="E1084" s="2"/>
    </row>
    <row r="1085" spans="1:5" s="15" customFormat="1" x14ac:dyDescent="0.2">
      <c r="A1085" s="1"/>
      <c r="B1085" s="2"/>
      <c r="C1085" s="3"/>
      <c r="D1085" s="19"/>
      <c r="E1085" s="20"/>
    </row>
    <row r="1086" spans="1:5" s="15" customFormat="1" x14ac:dyDescent="0.2">
      <c r="A1086" s="1"/>
      <c r="B1086" s="2"/>
      <c r="C1086" s="3"/>
      <c r="D1086" s="31"/>
      <c r="E1086" s="2"/>
    </row>
    <row r="1087" spans="1:5" s="15" customFormat="1" x14ac:dyDescent="0.2">
      <c r="A1087" s="1"/>
      <c r="B1087" s="2"/>
      <c r="C1087" s="3"/>
      <c r="D1087" s="31"/>
      <c r="E1087" s="2"/>
    </row>
    <row r="1088" spans="1:5" s="15" customFormat="1" x14ac:dyDescent="0.2">
      <c r="A1088" s="1"/>
      <c r="B1088" s="2"/>
      <c r="C1088" s="3"/>
      <c r="D1088" s="31"/>
      <c r="E1088" s="2"/>
    </row>
    <row r="1089" spans="1:5" s="15" customFormat="1" x14ac:dyDescent="0.2">
      <c r="A1089" s="1"/>
      <c r="B1089" s="2"/>
      <c r="C1089" s="3"/>
      <c r="D1089" s="31"/>
      <c r="E1089" s="2"/>
    </row>
    <row r="1090" spans="1:5" s="15" customFormat="1" x14ac:dyDescent="0.2">
      <c r="A1090" s="1"/>
      <c r="B1090" s="2"/>
      <c r="C1090" s="3"/>
      <c r="D1090" s="19"/>
      <c r="E1090" s="20"/>
    </row>
    <row r="1091" spans="1:5" s="15" customFormat="1" x14ac:dyDescent="0.2">
      <c r="A1091" s="1"/>
      <c r="B1091" s="2"/>
      <c r="C1091" s="3"/>
      <c r="D1091" s="2"/>
      <c r="E1091" s="2"/>
    </row>
    <row r="1092" spans="1:5" s="15" customFormat="1" x14ac:dyDescent="0.2">
      <c r="A1092" s="1"/>
      <c r="B1092" s="2"/>
      <c r="C1092" s="3"/>
      <c r="D1092" s="2"/>
      <c r="E1092" s="2"/>
    </row>
    <row r="1093" spans="1:5" s="15" customFormat="1" x14ac:dyDescent="0.2">
      <c r="A1093" s="1"/>
      <c r="B1093" s="2"/>
      <c r="C1093" s="3"/>
      <c r="D1093" s="2"/>
      <c r="E1093" s="2"/>
    </row>
  </sheetData>
  <sheetProtection sheet="1" objects="1" scenarios="1"/>
  <hyperlinks>
    <hyperlink ref="A9" r:id="rId1" xr:uid="{00000000-0004-0000-0000-000000000000}"/>
    <hyperlink ref="C44" r:id="rId2" xr:uid="{00000000-0004-0000-0000-000001000000}"/>
    <hyperlink ref="C47" r:id="rId3" xr:uid="{00000000-0004-0000-0000-000002000000}"/>
    <hyperlink ref="C50" r:id="rId4" xr:uid="{00000000-0004-0000-0000-000003000000}"/>
    <hyperlink ref="C51" r:id="rId5" xr:uid="{00000000-0004-0000-0000-000004000000}"/>
    <hyperlink ref="C52" r:id="rId6" xr:uid="{00000000-0004-0000-0000-000005000000}"/>
    <hyperlink ref="C53" r:id="rId7" xr:uid="{00000000-0004-0000-0000-000006000000}"/>
    <hyperlink ref="C73" r:id="rId8" xr:uid="{00000000-0004-0000-0000-000007000000}"/>
  </hyperlinks>
  <pageMargins left="0.74791666666666701" right="0.74791666666666701" top="0.98402777777777795" bottom="0.9840277777777779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6"/>
  <sheetViews>
    <sheetView zoomScaleNormal="100" workbookViewId="0">
      <selection activeCell="B20" sqref="B20"/>
    </sheetView>
  </sheetViews>
  <sheetFormatPr defaultColWidth="8.85546875" defaultRowHeight="12.75" x14ac:dyDescent="0.2"/>
  <cols>
    <col min="1" max="1" width="45.140625" style="36" customWidth="1"/>
    <col min="2" max="2" width="42.7109375" style="36" customWidth="1"/>
    <col min="3" max="3" width="8.85546875" style="36"/>
    <col min="4" max="13" width="8.85546875" style="36" hidden="1"/>
    <col min="14" max="1024" width="8.85546875" style="36"/>
  </cols>
  <sheetData>
    <row r="1" spans="1:13" ht="25.5" x14ac:dyDescent="0.35">
      <c r="A1" s="37" t="str">
        <f>IF(ISBLANK(B3),"Vampire: The Eternal Struggle Tournament",B3)</f>
        <v>German Nationals 2024</v>
      </c>
    </row>
    <row r="2" spans="1:13" ht="6.6" customHeight="1" x14ac:dyDescent="0.2">
      <c r="A2" s="38"/>
      <c r="B2" s="39"/>
    </row>
    <row r="3" spans="1:13" x14ac:dyDescent="0.2">
      <c r="A3" s="40" t="s">
        <v>118</v>
      </c>
      <c r="B3" s="41" t="s">
        <v>119</v>
      </c>
      <c r="C3" s="42"/>
    </row>
    <row r="4" spans="1:13" x14ac:dyDescent="0.2">
      <c r="A4" s="43" t="s">
        <v>120</v>
      </c>
      <c r="B4" s="44">
        <v>45542</v>
      </c>
      <c r="C4" s="45"/>
    </row>
    <row r="5" spans="1:13" s="36" customFormat="1" x14ac:dyDescent="0.2">
      <c r="A5" s="46" t="s">
        <v>121</v>
      </c>
      <c r="B5" s="47">
        <f>IF(B4="","",B4+8)</f>
        <v>45550</v>
      </c>
      <c r="C5" s="45"/>
    </row>
    <row r="6" spans="1:13" x14ac:dyDescent="0.2">
      <c r="A6" s="43" t="s">
        <v>122</v>
      </c>
      <c r="B6" s="48" t="s">
        <v>123</v>
      </c>
      <c r="C6" s="49">
        <v>5810002</v>
      </c>
    </row>
    <row r="7" spans="1:13" x14ac:dyDescent="0.2">
      <c r="A7" s="50" t="s">
        <v>124</v>
      </c>
      <c r="B7" s="51" t="s">
        <v>125</v>
      </c>
      <c r="C7" s="45"/>
    </row>
    <row r="8" spans="1:13" x14ac:dyDescent="0.2">
      <c r="A8" s="43" t="s">
        <v>126</v>
      </c>
      <c r="B8" s="48" t="s">
        <v>127</v>
      </c>
      <c r="C8" s="45"/>
      <c r="D8" s="36" t="s">
        <v>127</v>
      </c>
      <c r="E8" s="36" t="s">
        <v>128</v>
      </c>
    </row>
    <row r="9" spans="1:13" x14ac:dyDescent="0.2">
      <c r="A9" s="50" t="s">
        <v>129</v>
      </c>
      <c r="B9" s="52" t="s">
        <v>130</v>
      </c>
      <c r="C9" s="45"/>
      <c r="D9" s="36" t="s">
        <v>131</v>
      </c>
      <c r="E9" s="36" t="s">
        <v>132</v>
      </c>
      <c r="F9" s="36" t="s">
        <v>130</v>
      </c>
      <c r="G9" s="36" t="s">
        <v>133</v>
      </c>
      <c r="H9" s="36" t="s">
        <v>134</v>
      </c>
      <c r="I9" s="36" t="s">
        <v>135</v>
      </c>
      <c r="J9" s="36" t="s">
        <v>136</v>
      </c>
      <c r="K9" s="36" t="s">
        <v>128</v>
      </c>
      <c r="L9" s="36" t="s">
        <v>137</v>
      </c>
      <c r="M9" s="36" t="s">
        <v>138</v>
      </c>
    </row>
    <row r="10" spans="1:13" x14ac:dyDescent="0.2">
      <c r="A10" s="53" t="s">
        <v>139</v>
      </c>
      <c r="B10" s="54">
        <f>Methuselahs!$A$4</f>
        <v>32</v>
      </c>
      <c r="C10" s="45"/>
      <c r="D10" s="36">
        <v>0</v>
      </c>
      <c r="E10" s="36">
        <v>0</v>
      </c>
      <c r="F10" s="36">
        <v>0.25</v>
      </c>
      <c r="G10" s="36">
        <v>0.25</v>
      </c>
      <c r="H10" s="36">
        <v>1</v>
      </c>
      <c r="I10" s="36">
        <v>0</v>
      </c>
      <c r="J10" s="36">
        <v>0</v>
      </c>
      <c r="K10" s="36">
        <v>0</v>
      </c>
      <c r="L10" s="36">
        <v>0</v>
      </c>
      <c r="M10" s="36">
        <v>0</v>
      </c>
    </row>
    <row r="11" spans="1:13" x14ac:dyDescent="0.2">
      <c r="A11" s="50" t="s">
        <v>140</v>
      </c>
      <c r="B11" s="52">
        <v>4</v>
      </c>
      <c r="C11" s="45"/>
      <c r="D11" s="36">
        <v>3</v>
      </c>
      <c r="E11" s="36">
        <v>4</v>
      </c>
    </row>
    <row r="12" spans="1:13" x14ac:dyDescent="0.2">
      <c r="A12" s="53" t="s">
        <v>141</v>
      </c>
      <c r="B12" s="54">
        <f ca="1">MAX('Round 1'!D7:D206)+MAX('Round 2'!D7:D206)+MAX('Round 3'!D7:D206)+1</f>
        <v>22</v>
      </c>
      <c r="C12" s="45"/>
    </row>
    <row r="13" spans="1:13" x14ac:dyDescent="0.2">
      <c r="A13" s="50" t="s">
        <v>142</v>
      </c>
      <c r="B13" s="51"/>
      <c r="C13" s="45"/>
    </row>
    <row r="14" spans="1:13" s="36" customFormat="1" x14ac:dyDescent="0.2">
      <c r="A14" s="43" t="s">
        <v>143</v>
      </c>
      <c r="B14" s="48"/>
      <c r="C14" s="45"/>
    </row>
    <row r="15" spans="1:13" s="36" customFormat="1" x14ac:dyDescent="0.2">
      <c r="A15" s="50" t="s">
        <v>144</v>
      </c>
      <c r="B15" s="51"/>
      <c r="C15" s="45"/>
    </row>
    <row r="16" spans="1:13" x14ac:dyDescent="0.2">
      <c r="A16" s="43" t="s">
        <v>145</v>
      </c>
      <c r="B16" s="48" t="s">
        <v>146</v>
      </c>
      <c r="C16" s="45"/>
    </row>
    <row r="17" spans="1:3" x14ac:dyDescent="0.2">
      <c r="A17" s="50" t="s">
        <v>147</v>
      </c>
      <c r="B17" s="51" t="s">
        <v>148</v>
      </c>
      <c r="C17" s="55">
        <v>1005687</v>
      </c>
    </row>
    <row r="18" spans="1:3" x14ac:dyDescent="0.2">
      <c r="A18" s="43" t="s">
        <v>149</v>
      </c>
      <c r="B18" s="48"/>
      <c r="C18" s="49" t="str">
        <f t="shared" ref="C18:C26" si="0">IF(ISBLANK(B18),"","VEKN id")</f>
        <v/>
      </c>
    </row>
    <row r="19" spans="1:3" x14ac:dyDescent="0.2">
      <c r="A19" s="50"/>
      <c r="B19" s="51"/>
      <c r="C19" s="55" t="str">
        <f t="shared" si="0"/>
        <v/>
      </c>
    </row>
    <row r="20" spans="1:3" x14ac:dyDescent="0.2">
      <c r="A20" s="43"/>
      <c r="B20" s="48"/>
      <c r="C20" s="49" t="str">
        <f t="shared" si="0"/>
        <v/>
      </c>
    </row>
    <row r="21" spans="1:3" x14ac:dyDescent="0.2">
      <c r="A21" s="50"/>
      <c r="B21" s="51"/>
      <c r="C21" s="55" t="str">
        <f t="shared" si="0"/>
        <v/>
      </c>
    </row>
    <row r="22" spans="1:3" x14ac:dyDescent="0.2">
      <c r="A22" s="43"/>
      <c r="B22" s="48"/>
      <c r="C22" s="49" t="str">
        <f t="shared" si="0"/>
        <v/>
      </c>
    </row>
    <row r="23" spans="1:3" x14ac:dyDescent="0.2">
      <c r="A23" s="50"/>
      <c r="B23" s="51"/>
      <c r="C23" s="55" t="str">
        <f t="shared" si="0"/>
        <v/>
      </c>
    </row>
    <row r="24" spans="1:3" x14ac:dyDescent="0.2">
      <c r="A24" s="43"/>
      <c r="B24" s="48"/>
      <c r="C24" s="49" t="str">
        <f t="shared" si="0"/>
        <v/>
      </c>
    </row>
    <row r="25" spans="1:3" x14ac:dyDescent="0.2">
      <c r="A25" s="50"/>
      <c r="B25" s="51"/>
      <c r="C25" s="55" t="str">
        <f t="shared" si="0"/>
        <v/>
      </c>
    </row>
    <row r="26" spans="1:3" x14ac:dyDescent="0.2">
      <c r="A26" s="56"/>
      <c r="B26" s="57"/>
      <c r="C26" s="58" t="str">
        <f t="shared" si="0"/>
        <v/>
      </c>
    </row>
  </sheetData>
  <dataValidations count="3">
    <dataValidation type="list" allowBlank="1" showInputMessage="1" showErrorMessage="1" promptTitle="Tournament level" prompt="Please select a tournament level from the dropdown list." sqref="B9" xr:uid="{00000000-0002-0000-0100-000000000000}">
      <formula1>$D$9:$M$9</formula1>
      <formula2>0</formula2>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formula2>0</formula2>
    </dataValidation>
    <dataValidation type="list" allowBlank="1" showInputMessage="1" showErrorMessage="1" sqref="B11" xr:uid="{00000000-0002-0000-0100-000002000000}">
      <formula1>$D$11:$E$11</formula1>
      <formula2>0</formula2>
    </dataValidation>
  </dataValidations>
  <pageMargins left="0.74791666666666701" right="0.74791666666666701" top="0.98402777777777795" bottom="0.9840277777777779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08"/>
  <sheetViews>
    <sheetView tabSelected="1" zoomScaleNormal="100" workbookViewId="0">
      <pane xSplit="3" ySplit="6" topLeftCell="D7" activePane="bottomRight" state="frozen"/>
      <selection pane="topRight" activeCell="D1" sqref="D1"/>
      <selection pane="bottomLeft" activeCell="A7" sqref="A7"/>
      <selection pane="bottomRight" activeCell="AD16" sqref="AD16"/>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59" customWidth="1"/>
    <col min="6" max="6" width="7.7109375" style="36" customWidth="1"/>
    <col min="7" max="7" width="5.85546875" style="60" customWidth="1"/>
    <col min="8" max="11" width="7.7109375" style="36" customWidth="1"/>
    <col min="12" max="12" width="7.7109375" style="61" customWidth="1"/>
    <col min="13" max="13" width="7.7109375" style="36" customWidth="1"/>
    <col min="14" max="14" width="7.7109375" style="61" customWidth="1"/>
    <col min="15" max="20" width="7.7109375" style="36" hidden="1" customWidth="1"/>
    <col min="21" max="21" width="7.7109375" style="61" customWidth="1"/>
    <col min="22" max="24" width="9.140625" style="36" hidden="1" customWidth="1"/>
    <col min="25" max="27" width="8.85546875" style="36" hidden="1"/>
    <col min="28" max="28" width="7.7109375" style="62" customWidth="1"/>
    <col min="29" max="1024" width="8.85546875" style="36"/>
  </cols>
  <sheetData>
    <row r="1" spans="1:28" ht="25.5" x14ac:dyDescent="0.35">
      <c r="A1" s="37" t="str">
        <f>IF(ISBLANK('Tournament Info'!B3),"Vampire: The Eternal Struggle Tournament",'Tournament Info'!B3)</f>
        <v>German Nationals 2024</v>
      </c>
      <c r="B1" s="63"/>
      <c r="C1" s="63"/>
      <c r="D1" s="63"/>
      <c r="E1" s="64"/>
      <c r="Z1" s="2">
        <f>HLOOKUP('Tournament Info'!$B$9,'Tournament Info'!$D$9:$M$10,2,0)</f>
        <v>0.25</v>
      </c>
      <c r="AA1" s="36">
        <v>90</v>
      </c>
    </row>
    <row r="2" spans="1:28" ht="12.95" customHeight="1" x14ac:dyDescent="0.2">
      <c r="A2" s="38"/>
      <c r="B2" s="38"/>
      <c r="C2" s="38"/>
      <c r="D2" s="38"/>
      <c r="E2" s="65"/>
      <c r="F2" s="39"/>
      <c r="G2" s="39"/>
      <c r="H2" s="39"/>
      <c r="I2" s="39"/>
      <c r="J2" s="39"/>
      <c r="K2" s="39"/>
      <c r="P2" s="36" t="s">
        <v>150</v>
      </c>
      <c r="Q2" s="36" t="s">
        <v>151</v>
      </c>
      <c r="R2" s="36" t="s">
        <v>152</v>
      </c>
      <c r="S2" s="36" t="s">
        <v>153</v>
      </c>
      <c r="T2" s="36" t="s">
        <v>154</v>
      </c>
      <c r="Y2" s="36" t="s">
        <v>155</v>
      </c>
      <c r="Z2" s="2">
        <f>LOG(MAX($A$4*$A$4,1),15)-1+$Z$1</f>
        <v>1.8095802480981549</v>
      </c>
      <c r="AA2" s="36">
        <v>30</v>
      </c>
    </row>
    <row r="3" spans="1:28" ht="18" x14ac:dyDescent="0.25">
      <c r="A3" s="66" t="s">
        <v>156</v>
      </c>
      <c r="B3" s="36"/>
      <c r="C3" s="36"/>
      <c r="D3" s="67"/>
      <c r="E3" s="68"/>
      <c r="O3" s="36">
        <v>0</v>
      </c>
      <c r="P3" s="36">
        <v>1</v>
      </c>
      <c r="Q3" s="36">
        <v>0.25</v>
      </c>
      <c r="R3" s="36">
        <v>0</v>
      </c>
      <c r="S3" s="36">
        <v>0.25</v>
      </c>
      <c r="T3" s="36">
        <v>0</v>
      </c>
      <c r="AA3" s="36">
        <v>30</v>
      </c>
    </row>
    <row r="4" spans="1:28" ht="17.25" customHeight="1" x14ac:dyDescent="0.2">
      <c r="A4" s="36">
        <f>COUNT($A$7:$A$206)</f>
        <v>32</v>
      </c>
      <c r="B4" s="36" t="s">
        <v>157</v>
      </c>
      <c r="C4" s="36"/>
      <c r="D4" s="36"/>
      <c r="E4" s="69"/>
      <c r="AA4" s="36">
        <v>30</v>
      </c>
    </row>
    <row r="5" spans="1:28" s="85" customFormat="1" ht="15.75" x14ac:dyDescent="0.25">
      <c r="A5" s="70" t="s">
        <v>158</v>
      </c>
      <c r="B5" s="71" t="s">
        <v>158</v>
      </c>
      <c r="C5" s="71" t="s">
        <v>158</v>
      </c>
      <c r="D5" s="71" t="s">
        <v>158</v>
      </c>
      <c r="E5" s="72" t="s">
        <v>159</v>
      </c>
      <c r="F5" s="73"/>
      <c r="G5" s="74" t="s">
        <v>160</v>
      </c>
      <c r="H5" s="75" t="s">
        <v>161</v>
      </c>
      <c r="I5" s="76"/>
      <c r="J5" s="77"/>
      <c r="K5" s="78"/>
      <c r="L5" s="79" t="s">
        <v>162</v>
      </c>
      <c r="M5" s="80" t="s">
        <v>163</v>
      </c>
      <c r="N5" s="81" t="s">
        <v>164</v>
      </c>
      <c r="O5" s="82" t="s">
        <v>165</v>
      </c>
      <c r="P5" s="82" t="s">
        <v>166</v>
      </c>
      <c r="Q5" s="82" t="s">
        <v>163</v>
      </c>
      <c r="R5" s="82" t="s">
        <v>167</v>
      </c>
      <c r="S5" s="82" t="s">
        <v>168</v>
      </c>
      <c r="T5" s="82" t="s">
        <v>158</v>
      </c>
      <c r="U5" s="81" t="s">
        <v>169</v>
      </c>
      <c r="V5" s="83" t="s">
        <v>170</v>
      </c>
      <c r="W5" s="83" t="s">
        <v>171</v>
      </c>
      <c r="X5" s="83" t="s">
        <v>172</v>
      </c>
      <c r="Y5" s="82" t="s">
        <v>158</v>
      </c>
      <c r="Z5" s="82" t="s">
        <v>169</v>
      </c>
      <c r="AA5" s="36">
        <v>30</v>
      </c>
      <c r="AB5" s="84" t="s">
        <v>173</v>
      </c>
    </row>
    <row r="6" spans="1:28" s="99" customFormat="1" ht="15" customHeight="1" x14ac:dyDescent="0.25">
      <c r="A6" s="86" t="s">
        <v>174</v>
      </c>
      <c r="B6" s="87" t="s">
        <v>175</v>
      </c>
      <c r="C6" s="87" t="s">
        <v>176</v>
      </c>
      <c r="D6" s="87" t="s">
        <v>177</v>
      </c>
      <c r="E6" s="88" t="s">
        <v>174</v>
      </c>
      <c r="F6" s="89" t="s">
        <v>178</v>
      </c>
      <c r="G6" s="90" t="s">
        <v>168</v>
      </c>
      <c r="H6" s="91" t="s">
        <v>179</v>
      </c>
      <c r="I6" s="92" t="s">
        <v>180</v>
      </c>
      <c r="J6" s="93" t="s">
        <v>181</v>
      </c>
      <c r="K6" s="94" t="s">
        <v>182</v>
      </c>
      <c r="L6" s="94" t="s">
        <v>183</v>
      </c>
      <c r="M6" s="95" t="s">
        <v>184</v>
      </c>
      <c r="N6" s="96" t="s">
        <v>182</v>
      </c>
      <c r="O6" s="97">
        <f ca="1">IF(ISERR(MAX($I$7:$I$206)),1,MAX($I$7:$I$206)+1)</f>
        <v>11</v>
      </c>
      <c r="P6" s="97">
        <f ca="1">IF(ISERR(MAX($J$7:$J$206)),1,MAX($J$7:$J$206)+1)</f>
        <v>181</v>
      </c>
      <c r="Q6" s="83">
        <f>IF(ISERR(MAX($M$7:$M$206)),1,MAX($M$7:$M$206)+1)</f>
        <v>1</v>
      </c>
      <c r="R6" s="97" t="s">
        <v>182</v>
      </c>
      <c r="S6" s="97" t="s">
        <v>185</v>
      </c>
      <c r="T6" s="97" t="s">
        <v>186</v>
      </c>
      <c r="U6" s="96" t="s">
        <v>182</v>
      </c>
      <c r="V6" s="83">
        <f ca="1">IF(ISERR(MAX($V$7:$V$206)),1,MAX($V$7:$V$206)+1)</f>
        <v>33</v>
      </c>
      <c r="W6" s="83">
        <f>MAX(MPlayerNo)+1</f>
        <v>33</v>
      </c>
      <c r="X6" s="83" t="s">
        <v>182</v>
      </c>
      <c r="Y6" s="97" t="s">
        <v>186</v>
      </c>
      <c r="Z6" s="97" t="s">
        <v>182</v>
      </c>
      <c r="AA6" s="97" t="s">
        <v>187</v>
      </c>
      <c r="AB6" s="98" t="s">
        <v>188</v>
      </c>
    </row>
    <row r="7" spans="1:28" s="110" customFormat="1" ht="12.95" customHeight="1" x14ac:dyDescent="0.2">
      <c r="A7" s="100">
        <v>32</v>
      </c>
      <c r="B7" s="101"/>
      <c r="C7" s="101"/>
      <c r="D7" s="101"/>
      <c r="E7" s="102">
        <v>2616620129</v>
      </c>
      <c r="F7" s="103">
        <f ca="1">IF(ISBLANK($A7),"",SUM(IF(ISNA(IF(VLOOKUP($A7,'Round 1'!$A$7:$J$206,COLUMN('Round 1'!$H$7),0),1,NA())),0,1),IF(ISNA(IF(VLOOKUP($A7,'Round 2'!$A$7:$J$206,COLUMN('Round 1'!$H$7),0),1,NA())),0,1),IF(ISNA(IF(VLOOKUP($A7,'Round 3'!$A$7:$J$206,COLUMN('Round 1'!$H$7),0),1,NA())),0,1),IF(ISNA(IF(VLOOKUP($A7,'Final Round'!$A$14:$K$18,1,0),1,NA())),0,1)))</f>
        <v>4</v>
      </c>
      <c r="G7" s="104"/>
      <c r="H7" s="105">
        <f ca="1">IF(ISBLANK($A7),"",IF(ISERROR(VLOOKUP($A7,'Round 1'!$A$7:$I$206,COLUMN('Round 1'!$G$7),0)),0,VLOOKUP($A7,'Round 1'!$A$7:$I$206,COLUMN('Round 1'!$G$7),0))+IF(ISERROR(VLOOKUP($A7,'Round 2'!$A$7:$I$206,COLUMN('Round 2'!$G$7),0)),0,VLOOKUP($A7,'Round 2'!$A$7:$I$206,COLUMN('Round 2'!$G$7),0))+IF(ISERROR(VLOOKUP($A7,'Round 3'!$A$7:$I$206,COLUMN('Round 3'!$G$7),0)),0,VLOOKUP($A7,'Round 3'!$A$7:$I$206,COLUMN('Round 3'!$G$7),0)))</f>
        <v>2</v>
      </c>
      <c r="I7" s="106">
        <f ca="1">IF(ISBLANK($A7),"",IF(ISERROR(VLOOKUP($A7,'Round 1'!$A$7:$I$206,COLUMN('Round 1'!$F$7),0)),0,VLOOKUP($A7,'Round 1'!$A$7:$I$206,COLUMN('Round 1'!$F$7),0))+IF(ISERROR(VLOOKUP($A7,'Round 2'!$A$7:$I$206,COLUMN('Round 2'!$F$7),0)),0,VLOOKUP($A7,'Round 2'!$A$7:$I$206,COLUMN('Round 2'!$F$7),0))+IF(ISERROR(VLOOKUP($A7,'Round 3'!$A$7:$I$206,COLUMN('Round 3'!$F$7),0)),0,VLOOKUP($A7,'Round 3'!$A$7:$I$206,COLUMN('Round 3'!$F$7),0)))</f>
        <v>7</v>
      </c>
      <c r="J7" s="105">
        <f ca="1">IF(ISBLANK($A7),"",IF(ISERROR(VLOOKUP($A7,'Round 1'!$A$7:$I$206,COLUMN('Round 1'!$H$7),0)),0,VLOOKUP($A7,'Round 1'!$A$7:$I$206,COLUMN('Round 1'!$H$7),0))+IF(ISERROR(VLOOKUP($A7,'Round 2'!$A$7:$I$206,COLUMN('Round 2'!$H$7),0)),0,VLOOKUP($A7,'Round 2'!$A$7:$I$206,COLUMN('Round 2'!$H$7),0))+IF(ISERROR(VLOOKUP($A7,'Round 3'!$A$7:$I$206,COLUMN('Round 3'!$H$7),0)),0,VLOOKUP($A7,'Round 3'!$A$7:$I$206,COLUMN('Round 3'!$H$7),0)))</f>
        <v>162</v>
      </c>
      <c r="K7" s="106">
        <f t="shared" ref="K7:K38" ca="1" si="0">IF(ISBLANK(A7),"",RANK(P7,$P$7:$P$206))</f>
        <v>4</v>
      </c>
      <c r="L7" s="107" t="str">
        <f t="shared" ref="L7:L38" ca="1" si="1">IF(ISBLANK($G7),IF($K7&gt;5,"",IF(AND(ISNA(MATCH(K7+1,$K$7:$K$206,0)),$K7&lt;$A$4),"TIE","")),"DQ")</f>
        <v/>
      </c>
      <c r="M7" s="108"/>
      <c r="N7" s="109">
        <f t="shared" ref="N7:N38" ca="1" si="2">IF(ISBLANK($G7),$R7,"DQ")</f>
        <v>4</v>
      </c>
      <c r="O7" s="110">
        <f t="shared" ref="O7:O38" ca="1" si="3">IF(ISBLANK(A7),"",$H7*$O$6+$I7)</f>
        <v>29</v>
      </c>
      <c r="P7" s="110">
        <f t="shared" ref="P7:P38" ca="1" si="4">IF(ISBLANK(A7),"",$O7*10*$P$6+$J7)</f>
        <v>52652</v>
      </c>
      <c r="Q7" s="110">
        <f t="shared" ref="Q7:Q38" ca="1" si="5">IF(ISBLANK($G7),IF(ISBLANK($A7),-10,$P7*$Q$6+IF($M7&gt;0,$Q$6-1-$M7,0)),-1)</f>
        <v>52652</v>
      </c>
      <c r="R7" s="110">
        <f t="shared" ref="R7:R38" ca="1" si="6">IF(ISBLANK($A7),"",RANK($Q7,$Q$7:$Q$206))</f>
        <v>4</v>
      </c>
      <c r="S7" s="110">
        <f t="shared" ref="S7:S38" ca="1" si="7">IF(ISNA(MATCH($R7+1,$R$7:$R$206,0)),IF($R7=MAX($A$7:$A$206),$R7,-1),$R7)</f>
        <v>4</v>
      </c>
      <c r="T7" s="110">
        <f t="shared" ref="T7:T38" si="8">$A7</f>
        <v>32</v>
      </c>
      <c r="U7" s="109">
        <f ca="1">IF(N('Final Round'!$J$14)&gt;0,IF(ISBLANK($A7),"",IF($N7&gt;5,$N7,VLOOKUP($A7,'Final Round'!$A$14:$K$18,COLUMN('Final Round'!$J$1),0))),"")</f>
        <v>2</v>
      </c>
      <c r="V7" s="110">
        <f t="shared" ref="V7:V38" ca="1" si="9">IF(ISNUMBER($U7),$U7,$R7)</f>
        <v>2</v>
      </c>
      <c r="W7" s="110">
        <f t="shared" ref="W7:W38" ca="1" si="10">IF(ISBLANK($A7),"",($V$6-$V7)*$W$6+$W$6-$A7)</f>
        <v>1024</v>
      </c>
      <c r="X7" s="110">
        <f t="shared" ref="X7:X38" ca="1" si="11">IF(ISBLANK($A7),"",RANK($W7,$W$7:$W$206))</f>
        <v>5</v>
      </c>
      <c r="Y7" s="110">
        <f t="shared" ref="Y7:Y38" si="12">$A7</f>
        <v>32</v>
      </c>
      <c r="Z7" s="110">
        <f t="shared" ref="Z7:Z38" ca="1" si="13">IF($U7="",$N7,$U7)</f>
        <v>2</v>
      </c>
      <c r="AA7" s="110">
        <f t="shared" ref="AA7:AA38" ca="1" si="14">IF($U7&lt;6,INDEX($AA$1:$AA$5,$Z7)*$Z$2,0)</f>
        <v>54.287407442944648</v>
      </c>
      <c r="AB7" s="109">
        <f ca="1">IF(ISBLANK($A7),"",5+4*(I7+IF(AA7=0,0,VLOOKUP($A7,'Final Round'!$A$14:$K$18,COLUMN('Final Round'!$G$1),0)))+8*(H7+IF(AA7=0,0,IF(VLOOKUP($A7,'Final Round'!$A$14:$K$18,COLUMN('Final Round'!$J$1),0)=1,1,0)))+$AA7)</f>
        <v>111.28740744294464</v>
      </c>
    </row>
    <row r="8" spans="1:28" ht="12.95" customHeight="1" x14ac:dyDescent="0.2">
      <c r="A8" s="111">
        <v>20</v>
      </c>
      <c r="B8" s="112"/>
      <c r="C8" s="112"/>
      <c r="D8" s="112"/>
      <c r="E8" s="113"/>
      <c r="F8" s="114">
        <f ca="1">IF(ISBLANK($A8),"",SUM(IF(ISNA(IF(VLOOKUP($A8,'Round 1'!$A$7:$J$206,COLUMN('Round 1'!$H$7),0),1,NA())),0,1),IF(ISNA(IF(VLOOKUP($A8,'Round 2'!$A$7:$J$206,COLUMN('Round 1'!$H$7),0),1,NA())),0,1),IF(ISNA(IF(VLOOKUP($A8,'Round 3'!$A$7:$J$206,COLUMN('Round 1'!$H$7),0),1,NA())),0,1),IF(ISNA(IF(VLOOKUP($A8,'Final Round'!$A$14:$K$18,1,0),1,NA())),0,1)))</f>
        <v>3</v>
      </c>
      <c r="G8" s="115"/>
      <c r="H8" s="116">
        <f ca="1">IF(ISBLANK($A8),"",IF(ISERROR(VLOOKUP($A8,'Round 1'!$A$7:$I$206,COLUMN('Round 1'!$G$7),0)),0,VLOOKUP($A8,'Round 1'!$A$7:$I$206,COLUMN('Round 1'!$G$7),0))+IF(ISERROR(VLOOKUP($A8,'Round 2'!$A$7:$I$206,COLUMN('Round 2'!$G$7),0)),0,VLOOKUP($A8,'Round 2'!$A$7:$I$206,COLUMN('Round 2'!$G$7),0))+IF(ISERROR(VLOOKUP($A8,'Round 3'!$A$7:$I$206,COLUMN('Round 3'!$G$7),0)),0,VLOOKUP($A8,'Round 3'!$A$7:$I$206,COLUMN('Round 3'!$G$7),0)))</f>
        <v>0</v>
      </c>
      <c r="I8" s="116">
        <f ca="1">IF(ISBLANK($A8),"",IF(ISERROR(VLOOKUP($A8,'Round 1'!$A$7:$I$206,COLUMN('Round 1'!$F$7),0)),0,VLOOKUP($A8,'Round 1'!$A$7:$I$206,COLUMN('Round 1'!$F$7),0))+IF(ISERROR(VLOOKUP($A8,'Round 2'!$A$7:$I$206,COLUMN('Round 2'!$F$7),0)),0,VLOOKUP($A8,'Round 2'!$A$7:$I$206,COLUMN('Round 2'!$F$7),0))+IF(ISERROR(VLOOKUP($A8,'Round 3'!$A$7:$I$206,COLUMN('Round 3'!$F$7),0)),0,VLOOKUP($A8,'Round 3'!$A$7:$I$206,COLUMN('Round 3'!$F$7),0)))</f>
        <v>3</v>
      </c>
      <c r="J8" s="117">
        <f ca="1">IF(ISBLANK($A8),"",IF(ISERROR(VLOOKUP($A8,'Round 1'!$A$7:$I$206,COLUMN('Round 1'!$H$7),0)),0,VLOOKUP($A8,'Round 1'!$A$7:$I$206,COLUMN('Round 1'!$H$7),0))+IF(ISERROR(VLOOKUP($A8,'Round 2'!$A$7:$I$206,COLUMN('Round 2'!$H$7),0)),0,VLOOKUP($A8,'Round 2'!$A$7:$I$206,COLUMN('Round 2'!$H$7),0))+IF(ISERROR(VLOOKUP($A8,'Round 3'!$A$7:$I$206,COLUMN('Round 3'!$H$7),0)),0,VLOOKUP($A8,'Round 3'!$A$7:$I$206,COLUMN('Round 3'!$H$7),0)))</f>
        <v>132</v>
      </c>
      <c r="K8" s="116">
        <f t="shared" ca="1" si="0"/>
        <v>13</v>
      </c>
      <c r="L8" s="118" t="str">
        <f t="shared" ca="1" si="1"/>
        <v/>
      </c>
      <c r="M8" s="119"/>
      <c r="N8" s="120">
        <f t="shared" ca="1" si="2"/>
        <v>13</v>
      </c>
      <c r="O8" s="36">
        <f t="shared" ca="1" si="3"/>
        <v>3</v>
      </c>
      <c r="P8" s="36">
        <f t="shared" ca="1" si="4"/>
        <v>5562</v>
      </c>
      <c r="Q8" s="36">
        <f t="shared" ca="1" si="5"/>
        <v>5562</v>
      </c>
      <c r="R8" s="36">
        <f t="shared" ca="1" si="6"/>
        <v>13</v>
      </c>
      <c r="S8" s="36">
        <f t="shared" ca="1" si="7"/>
        <v>13</v>
      </c>
      <c r="T8" s="36">
        <f t="shared" si="8"/>
        <v>20</v>
      </c>
      <c r="U8" s="120">
        <f ca="1">IF(N('Final Round'!$J$14)&gt;0,IF(ISBLANK($A8),"",IF($N8&gt;5,$N8,VLOOKUP($A8,'Final Round'!$A$14:$K$18,COLUMN('Final Round'!$J$1),0))),"")</f>
        <v>13</v>
      </c>
      <c r="V8" s="36">
        <f t="shared" ca="1" si="9"/>
        <v>13</v>
      </c>
      <c r="W8" s="36">
        <f t="shared" ca="1" si="10"/>
        <v>673</v>
      </c>
      <c r="X8" s="36">
        <f t="shared" ca="1" si="11"/>
        <v>13</v>
      </c>
      <c r="Y8" s="36">
        <f t="shared" si="12"/>
        <v>20</v>
      </c>
      <c r="Z8" s="36">
        <f t="shared" ca="1" si="13"/>
        <v>13</v>
      </c>
      <c r="AA8" s="36">
        <f t="shared" ca="1" si="14"/>
        <v>0</v>
      </c>
      <c r="AB8" s="121">
        <f ca="1">IF(ISBLANK($A8),"",5+4*(I8+IF(AA8=0,0,VLOOKUP($A8,'Final Round'!$A$14:$K$18,COLUMN('Final Round'!$G$1),0)))+8*(H8+IF(AA8=0,0,IF(VLOOKUP($A8,'Final Round'!$A$14:$K$18,COLUMN('Final Round'!$J$1),0)=1,1,0)))+$AA8)</f>
        <v>17</v>
      </c>
    </row>
    <row r="9" spans="1:28" s="110" customFormat="1" ht="12.95" customHeight="1" x14ac:dyDescent="0.2">
      <c r="A9" s="122">
        <v>31</v>
      </c>
      <c r="B9" s="123"/>
      <c r="C9" s="124"/>
      <c r="D9" s="124"/>
      <c r="E9" s="125">
        <v>4082837118</v>
      </c>
      <c r="F9" s="126">
        <f ca="1">IF(ISBLANK($A9),"",SUM(IF(ISNA(IF(VLOOKUP($A9,'Round 1'!$A$7:$J$206,COLUMN('Round 1'!$H$7),0),1,NA())),0,1),IF(ISNA(IF(VLOOKUP($A9,'Round 2'!$A$7:$J$206,COLUMN('Round 1'!$H$7),0),1,NA())),0,1),IF(ISNA(IF(VLOOKUP($A9,'Round 3'!$A$7:$J$206,COLUMN('Round 1'!$H$7),0),1,NA())),0,1),IF(ISNA(IF(VLOOKUP($A9,'Final Round'!$A$14:$K$18,1,0),1,NA())),0,1)))</f>
        <v>3</v>
      </c>
      <c r="G9" s="127"/>
      <c r="H9" s="128">
        <f ca="1">IF(ISBLANK($A9),"",IF(ISERROR(VLOOKUP($A9,'Round 1'!$A$7:$I$206,COLUMN('Round 1'!$G$7),0)),0,VLOOKUP($A9,'Round 1'!$A$7:$I$206,COLUMN('Round 1'!$G$7),0))+IF(ISERROR(VLOOKUP($A9,'Round 2'!$A$7:$I$206,COLUMN('Round 2'!$G$7),0)),0,VLOOKUP($A9,'Round 2'!$A$7:$I$206,COLUMN('Round 2'!$G$7),0))+IF(ISERROR(VLOOKUP($A9,'Round 3'!$A$7:$I$206,COLUMN('Round 3'!$G$7),0)),0,VLOOKUP($A9,'Round 3'!$A$7:$I$206,COLUMN('Round 3'!$G$7),0)))</f>
        <v>1</v>
      </c>
      <c r="I9" s="128">
        <f ca="1">IF(ISBLANK($A9),"",IF(ISERROR(VLOOKUP($A9,'Round 1'!$A$7:$I$206,COLUMN('Round 1'!$F$7),0)),0,VLOOKUP($A9,'Round 1'!$A$7:$I$206,COLUMN('Round 1'!$F$7),0))+IF(ISERROR(VLOOKUP($A9,'Round 2'!$A$7:$I$206,COLUMN('Round 2'!$F$7),0)),0,VLOOKUP($A9,'Round 2'!$A$7:$I$206,COLUMN('Round 2'!$F$7),0))+IF(ISERROR(VLOOKUP($A9,'Round 3'!$A$7:$I$206,COLUMN('Round 3'!$F$7),0)),0,VLOOKUP($A9,'Round 3'!$A$7:$I$206,COLUMN('Round 3'!$F$7),0)))</f>
        <v>3</v>
      </c>
      <c r="J9" s="129">
        <f ca="1">IF(ISBLANK($A9),"",IF(ISERROR(VLOOKUP($A9,'Round 1'!$A$7:$I$206,COLUMN('Round 1'!$H$7),0)),0,VLOOKUP($A9,'Round 1'!$A$7:$I$206,COLUMN('Round 1'!$H$7),0))+IF(ISERROR(VLOOKUP($A9,'Round 2'!$A$7:$I$206,COLUMN('Round 2'!$H$7),0)),0,VLOOKUP($A9,'Round 2'!$A$7:$I$206,COLUMN('Round 2'!$H$7),0))+IF(ISERROR(VLOOKUP($A9,'Round 3'!$A$7:$I$206,COLUMN('Round 3'!$H$7),0)),0,VLOOKUP($A9,'Round 3'!$A$7:$I$206,COLUMN('Round 3'!$H$7),0)))</f>
        <v>102</v>
      </c>
      <c r="K9" s="128">
        <f t="shared" ca="1" si="0"/>
        <v>12</v>
      </c>
      <c r="L9" s="130" t="str">
        <f t="shared" ca="1" si="1"/>
        <v/>
      </c>
      <c r="M9" s="131"/>
      <c r="N9" s="132">
        <f t="shared" ca="1" si="2"/>
        <v>12</v>
      </c>
      <c r="O9" s="110">
        <f t="shared" ca="1" si="3"/>
        <v>14</v>
      </c>
      <c r="P9" s="110">
        <f t="shared" ca="1" si="4"/>
        <v>25442</v>
      </c>
      <c r="Q9" s="110">
        <f t="shared" ca="1" si="5"/>
        <v>25442</v>
      </c>
      <c r="R9" s="110">
        <f t="shared" ca="1" si="6"/>
        <v>12</v>
      </c>
      <c r="S9" s="110">
        <f t="shared" ca="1" si="7"/>
        <v>12</v>
      </c>
      <c r="T9" s="110">
        <f t="shared" si="8"/>
        <v>31</v>
      </c>
      <c r="U9" s="132">
        <f ca="1">IF(N('Final Round'!$J$14)&gt;0,IF(ISBLANK($A9),"",IF($N9&gt;5,$N9,VLOOKUP($A9,'Final Round'!$A$14:$K$18,COLUMN('Final Round'!$J$1),0))),"")</f>
        <v>12</v>
      </c>
      <c r="V9" s="110">
        <f t="shared" ca="1" si="9"/>
        <v>12</v>
      </c>
      <c r="W9" s="110">
        <f t="shared" ca="1" si="10"/>
        <v>695</v>
      </c>
      <c r="X9" s="110">
        <f t="shared" ca="1" si="11"/>
        <v>12</v>
      </c>
      <c r="Y9" s="110">
        <f t="shared" si="12"/>
        <v>31</v>
      </c>
      <c r="Z9" s="110">
        <f t="shared" ca="1" si="13"/>
        <v>12</v>
      </c>
      <c r="AA9" s="110">
        <f t="shared" ca="1" si="14"/>
        <v>0</v>
      </c>
      <c r="AB9" s="133">
        <f ca="1">IF(ISBLANK($A9),"",5+4*(I9+IF(AA9=0,0,VLOOKUP($A9,'Final Round'!$A$14:$K$18,COLUMN('Final Round'!$G$1),0)))+8*(H9+IF(AA9=0,0,IF(VLOOKUP($A9,'Final Round'!$A$14:$K$18,COLUMN('Final Round'!$J$1),0)=1,1,0)))+$AA9)</f>
        <v>25</v>
      </c>
    </row>
    <row r="10" spans="1:28" s="110" customFormat="1" ht="12.95" customHeight="1" x14ac:dyDescent="0.2">
      <c r="A10" s="122">
        <v>12</v>
      </c>
      <c r="B10" s="123"/>
      <c r="C10" s="123"/>
      <c r="D10" s="124"/>
      <c r="E10" s="125">
        <v>1432209241</v>
      </c>
      <c r="F10" s="134">
        <f ca="1">IF(ISBLANK($A10),"",SUM(IF(ISNA(IF(VLOOKUP($A10,'Round 1'!$A$7:$J$206,COLUMN('Round 1'!$H$7),0),1,NA())),0,1),IF(ISNA(IF(VLOOKUP($A10,'Round 2'!$A$7:$J$206,COLUMN('Round 1'!$H$7),0),1,NA())),0,1),IF(ISNA(IF(VLOOKUP($A10,'Round 3'!$A$7:$J$206,COLUMN('Round 1'!$H$7),0),1,NA())),0,1),IF(ISNA(IF(VLOOKUP($A10,'Final Round'!$A$14:$K$18,1,0),1,NA())),0,1)))</f>
        <v>3</v>
      </c>
      <c r="G10" s="127"/>
      <c r="H10" s="128">
        <f ca="1">IF(ISBLANK($A10),"",IF(ISERROR(VLOOKUP($A10,'Round 1'!$A$7:$I$206,COLUMN('Round 1'!$G$7),0)),0,VLOOKUP($A10,'Round 1'!$A$7:$I$206,COLUMN('Round 1'!$G$7),0))+IF(ISERROR(VLOOKUP($A10,'Round 2'!$A$7:$I$206,COLUMN('Round 2'!$G$7),0)),0,VLOOKUP($A10,'Round 2'!$A$7:$I$206,COLUMN('Round 2'!$G$7),0))+IF(ISERROR(VLOOKUP($A10,'Round 3'!$A$7:$I$206,COLUMN('Round 3'!$G$7),0)),0,VLOOKUP($A10,'Round 3'!$A$7:$I$206,COLUMN('Round 3'!$G$7),0)))</f>
        <v>0</v>
      </c>
      <c r="I10" s="128">
        <f ca="1">IF(ISBLANK($A10),"",IF(ISERROR(VLOOKUP($A10,'Round 1'!$A$7:$I$206,COLUMN('Round 1'!$F$7),0)),0,VLOOKUP($A10,'Round 1'!$A$7:$I$206,COLUMN('Round 1'!$F$7),0))+IF(ISERROR(VLOOKUP($A10,'Round 2'!$A$7:$I$206,COLUMN('Round 2'!$F$7),0)),0,VLOOKUP($A10,'Round 2'!$A$7:$I$206,COLUMN('Round 2'!$F$7),0))+IF(ISERROR(VLOOKUP($A10,'Round 3'!$A$7:$I$206,COLUMN('Round 3'!$F$7),0)),0,VLOOKUP($A10,'Round 3'!$A$7:$I$206,COLUMN('Round 3'!$F$7),0)))</f>
        <v>3</v>
      </c>
      <c r="J10" s="129">
        <f ca="1">IF(ISBLANK($A10),"",IF(ISERROR(VLOOKUP($A10,'Round 1'!$A$7:$I$206,COLUMN('Round 1'!$H$7),0)),0,VLOOKUP($A10,'Round 1'!$A$7:$I$206,COLUMN('Round 1'!$H$7),0))+IF(ISERROR(VLOOKUP($A10,'Round 2'!$A$7:$I$206,COLUMN('Round 2'!$H$7),0)),0,VLOOKUP($A10,'Round 2'!$A$7:$I$206,COLUMN('Round 2'!$H$7),0))+IF(ISERROR(VLOOKUP($A10,'Round 3'!$A$7:$I$206,COLUMN('Round 3'!$H$7),0)),0,VLOOKUP($A10,'Round 3'!$A$7:$I$206,COLUMN('Round 3'!$H$7),0)))</f>
        <v>114</v>
      </c>
      <c r="K10" s="128">
        <f t="shared" ca="1" si="0"/>
        <v>15</v>
      </c>
      <c r="L10" s="135" t="str">
        <f t="shared" ca="1" si="1"/>
        <v/>
      </c>
      <c r="M10" s="136"/>
      <c r="N10" s="133">
        <f t="shared" ca="1" si="2"/>
        <v>15</v>
      </c>
      <c r="O10" s="110">
        <f t="shared" ca="1" si="3"/>
        <v>3</v>
      </c>
      <c r="P10" s="110">
        <f t="shared" ca="1" si="4"/>
        <v>5544</v>
      </c>
      <c r="Q10" s="110">
        <f t="shared" ca="1" si="5"/>
        <v>5544</v>
      </c>
      <c r="R10" s="110">
        <f t="shared" ca="1" si="6"/>
        <v>15</v>
      </c>
      <c r="S10" s="110">
        <f t="shared" ca="1" si="7"/>
        <v>-1</v>
      </c>
      <c r="T10" s="110">
        <f t="shared" si="8"/>
        <v>12</v>
      </c>
      <c r="U10" s="133">
        <f ca="1">IF(N('Final Round'!$J$14)&gt;0,IF(ISBLANK($A10),"",IF($N10&gt;5,$N10,VLOOKUP($A10,'Final Round'!$A$14:$K$18,COLUMN('Final Round'!$J$1),0))),"")</f>
        <v>15</v>
      </c>
      <c r="V10" s="110">
        <f t="shared" ca="1" si="9"/>
        <v>15</v>
      </c>
      <c r="W10" s="110">
        <f t="shared" ca="1" si="10"/>
        <v>615</v>
      </c>
      <c r="X10" s="110">
        <f t="shared" ca="1" si="11"/>
        <v>15</v>
      </c>
      <c r="Y10" s="110">
        <f t="shared" si="12"/>
        <v>12</v>
      </c>
      <c r="Z10" s="110">
        <f t="shared" ca="1" si="13"/>
        <v>15</v>
      </c>
      <c r="AA10" s="110">
        <f t="shared" ca="1" si="14"/>
        <v>0</v>
      </c>
      <c r="AB10" s="133">
        <f ca="1">IF(ISBLANK($A10),"",5+4*(I10+IF(AA10=0,0,VLOOKUP($A10,'Final Round'!$A$14:$K$18,COLUMN('Final Round'!$G$1),0)))+8*(H10+IF(AA10=0,0,IF(VLOOKUP($A10,'Final Round'!$A$14:$K$18,COLUMN('Final Round'!$J$1),0)=1,1,0)))+$AA10)</f>
        <v>17</v>
      </c>
    </row>
    <row r="11" spans="1:28" ht="12.95" customHeight="1" x14ac:dyDescent="0.2">
      <c r="A11" s="137">
        <v>24</v>
      </c>
      <c r="B11" s="138"/>
      <c r="C11" s="138"/>
      <c r="D11" s="138"/>
      <c r="E11" s="139">
        <v>1120048922</v>
      </c>
      <c r="F11" s="140">
        <f ca="1">IF(ISBLANK($A11),"",SUM(IF(ISNA(IF(VLOOKUP($A11,'Round 1'!$A$7:$J$206,COLUMN('Round 1'!$H$7),0),1,NA())),0,1),IF(ISNA(IF(VLOOKUP($A11,'Round 2'!$A$7:$J$206,COLUMN('Round 1'!$H$7),0),1,NA())),0,1),IF(ISNA(IF(VLOOKUP($A11,'Round 3'!$A$7:$J$206,COLUMN('Round 1'!$H$7),0),1,NA())),0,1),IF(ISNA(IF(VLOOKUP($A11,'Final Round'!$A$14:$K$18,1,0),1,NA())),0,1)))</f>
        <v>3</v>
      </c>
      <c r="G11" s="141"/>
      <c r="H11" s="142">
        <f ca="1">IF(ISBLANK($A11),"",IF(ISERROR(VLOOKUP($A11,'Round 1'!$A$7:$I$206,COLUMN('Round 1'!$G$7),0)),0,VLOOKUP($A11,'Round 1'!$A$7:$I$206,COLUMN('Round 1'!$G$7),0))+IF(ISERROR(VLOOKUP($A11,'Round 2'!$A$7:$I$206,COLUMN('Round 2'!$G$7),0)),0,VLOOKUP($A11,'Round 2'!$A$7:$I$206,COLUMN('Round 2'!$G$7),0))+IF(ISERROR(VLOOKUP($A11,'Round 3'!$A$7:$I$206,COLUMN('Round 3'!$G$7),0)),0,VLOOKUP($A11,'Round 3'!$A$7:$I$206,COLUMN('Round 3'!$G$7),0)))</f>
        <v>1</v>
      </c>
      <c r="I11" s="142">
        <f ca="1">IF(ISBLANK($A11),"",IF(ISERROR(VLOOKUP($A11,'Round 1'!$A$7:$I$206,COLUMN('Round 1'!$F$7),0)),0,VLOOKUP($A11,'Round 1'!$A$7:$I$206,COLUMN('Round 1'!$F$7),0))+IF(ISERROR(VLOOKUP($A11,'Round 2'!$A$7:$I$206,COLUMN('Round 2'!$F$7),0)),0,VLOOKUP($A11,'Round 2'!$A$7:$I$206,COLUMN('Round 2'!$F$7),0))+IF(ISERROR(VLOOKUP($A11,'Round 3'!$A$7:$I$206,COLUMN('Round 3'!$F$7),0)),0,VLOOKUP($A11,'Round 3'!$A$7:$I$206,COLUMN('Round 3'!$F$7),0)))</f>
        <v>4</v>
      </c>
      <c r="J11" s="143">
        <f ca="1">IF(ISBLANK($A11),"",IF(ISERROR(VLOOKUP($A11,'Round 1'!$A$7:$I$206,COLUMN('Round 1'!$H$7),0)),0,VLOOKUP($A11,'Round 1'!$A$7:$I$206,COLUMN('Round 1'!$H$7),0))+IF(ISERROR(VLOOKUP($A11,'Round 2'!$A$7:$I$206,COLUMN('Round 2'!$H$7),0)),0,VLOOKUP($A11,'Round 2'!$A$7:$I$206,COLUMN('Round 2'!$H$7),0))+IF(ISERROR(VLOOKUP($A11,'Round 3'!$A$7:$I$206,COLUMN('Round 3'!$H$7),0)),0,VLOOKUP($A11,'Round 3'!$A$7:$I$206,COLUMN('Round 3'!$H$7),0)))</f>
        <v>96</v>
      </c>
      <c r="K11" s="142">
        <f t="shared" ca="1" si="0"/>
        <v>9</v>
      </c>
      <c r="L11" s="144" t="str">
        <f t="shared" ca="1" si="1"/>
        <v/>
      </c>
      <c r="M11" s="145"/>
      <c r="N11" s="146">
        <f t="shared" ca="1" si="2"/>
        <v>9</v>
      </c>
      <c r="O11" s="36">
        <f t="shared" ca="1" si="3"/>
        <v>15</v>
      </c>
      <c r="P11" s="36">
        <f t="shared" ca="1" si="4"/>
        <v>27246</v>
      </c>
      <c r="Q11" s="36">
        <f t="shared" ca="1" si="5"/>
        <v>27246</v>
      </c>
      <c r="R11" s="36">
        <f t="shared" ca="1" si="6"/>
        <v>9</v>
      </c>
      <c r="S11" s="36">
        <f t="shared" ca="1" si="7"/>
        <v>9</v>
      </c>
      <c r="T11" s="36">
        <f t="shared" si="8"/>
        <v>24</v>
      </c>
      <c r="U11" s="146">
        <f ca="1">IF(N('Final Round'!$J$14)&gt;0,IF(ISBLANK($A11),"",IF($N11&gt;5,$N11,VLOOKUP($A11,'Final Round'!$A$14:$K$18,COLUMN('Final Round'!$J$1),0))),"")</f>
        <v>9</v>
      </c>
      <c r="V11" s="36">
        <f t="shared" ca="1" si="9"/>
        <v>9</v>
      </c>
      <c r="W11" s="36">
        <f t="shared" ca="1" si="10"/>
        <v>801</v>
      </c>
      <c r="X11" s="36">
        <f t="shared" ca="1" si="11"/>
        <v>9</v>
      </c>
      <c r="Y11" s="36">
        <f t="shared" si="12"/>
        <v>24</v>
      </c>
      <c r="Z11" s="36">
        <f t="shared" ca="1" si="13"/>
        <v>9</v>
      </c>
      <c r="AA11" s="36">
        <f t="shared" ca="1" si="14"/>
        <v>0</v>
      </c>
      <c r="AB11" s="147">
        <f ca="1">IF(ISBLANK($A11),"",5+4*(I11+IF(AA11=0,0,VLOOKUP($A11,'Final Round'!$A$14:$K$18,COLUMN('Final Round'!$G$1),0)))+8*(H11+IF(AA11=0,0,IF(VLOOKUP($A11,'Final Round'!$A$14:$K$18,COLUMN('Final Round'!$J$1),0)=1,1,0)))+$AA11)</f>
        <v>29</v>
      </c>
    </row>
    <row r="12" spans="1:28" ht="12.95" customHeight="1" x14ac:dyDescent="0.2">
      <c r="A12" s="111">
        <v>11</v>
      </c>
      <c r="B12" s="112"/>
      <c r="C12" s="112"/>
      <c r="D12" s="112"/>
      <c r="E12" s="113">
        <v>2306635701</v>
      </c>
      <c r="F12" s="114">
        <f ca="1">IF(ISBLANK($A12),"",SUM(IF(ISNA(IF(VLOOKUP($A12,'Round 1'!$A$7:$J$206,COLUMN('Round 1'!$H$7),0),1,NA())),0,1),IF(ISNA(IF(VLOOKUP($A12,'Round 2'!$A$7:$J$206,COLUMN('Round 1'!$H$7),0),1,NA())),0,1),IF(ISNA(IF(VLOOKUP($A12,'Round 3'!$A$7:$J$206,COLUMN('Round 1'!$H$7),0),1,NA())),0,1),IF(ISNA(IF(VLOOKUP($A12,'Final Round'!$A$14:$K$18,1,0),1,NA())),0,1)))</f>
        <v>3</v>
      </c>
      <c r="G12" s="115"/>
      <c r="H12" s="116">
        <f ca="1">IF(ISBLANK($A12),"",IF(ISERROR(VLOOKUP($A12,'Round 1'!$A$7:$I$206,COLUMN('Round 1'!$G$7),0)),0,VLOOKUP($A12,'Round 1'!$A$7:$I$206,COLUMN('Round 1'!$G$7),0))+IF(ISERROR(VLOOKUP($A12,'Round 2'!$A$7:$I$206,COLUMN('Round 2'!$G$7),0)),0,VLOOKUP($A12,'Round 2'!$A$7:$I$206,COLUMN('Round 2'!$G$7),0))+IF(ISERROR(VLOOKUP($A12,'Round 3'!$A$7:$I$206,COLUMN('Round 3'!$G$7),0)),0,VLOOKUP($A12,'Round 3'!$A$7:$I$206,COLUMN('Round 3'!$G$7),0)))</f>
        <v>1</v>
      </c>
      <c r="I12" s="116">
        <f ca="1">IF(ISBLANK($A12),"",IF(ISERROR(VLOOKUP($A12,'Round 1'!$A$7:$I$206,COLUMN('Round 1'!$F$7),0)),0,VLOOKUP($A12,'Round 1'!$A$7:$I$206,COLUMN('Round 1'!$F$7),0))+IF(ISERROR(VLOOKUP($A12,'Round 2'!$A$7:$I$206,COLUMN('Round 2'!$F$7),0)),0,VLOOKUP($A12,'Round 2'!$A$7:$I$206,COLUMN('Round 2'!$F$7),0))+IF(ISERROR(VLOOKUP($A12,'Round 3'!$A$7:$I$206,COLUMN('Round 3'!$F$7),0)),0,VLOOKUP($A12,'Round 3'!$A$7:$I$206,COLUMN('Round 3'!$F$7),0)))</f>
        <v>3</v>
      </c>
      <c r="J12" s="117">
        <f ca="1">IF(ISBLANK($A12),"",IF(ISERROR(VLOOKUP($A12,'Round 1'!$A$7:$I$206,COLUMN('Round 1'!$H$7),0)),0,VLOOKUP($A12,'Round 1'!$A$7:$I$206,COLUMN('Round 1'!$H$7),0))+IF(ISERROR(VLOOKUP($A12,'Round 2'!$A$7:$I$206,COLUMN('Round 2'!$H$7),0)),0,VLOOKUP($A12,'Round 2'!$A$7:$I$206,COLUMN('Round 2'!$H$7),0))+IF(ISERROR(VLOOKUP($A12,'Round 3'!$A$7:$I$206,COLUMN('Round 3'!$H$7),0)),0,VLOOKUP($A12,'Round 3'!$A$7:$I$206,COLUMN('Round 3'!$H$7),0)))</f>
        <v>114</v>
      </c>
      <c r="K12" s="116">
        <f t="shared" ca="1" si="0"/>
        <v>11</v>
      </c>
      <c r="L12" s="118" t="str">
        <f t="shared" ca="1" si="1"/>
        <v/>
      </c>
      <c r="M12" s="119"/>
      <c r="N12" s="120">
        <f t="shared" ca="1" si="2"/>
        <v>11</v>
      </c>
      <c r="O12" s="36">
        <f t="shared" ca="1" si="3"/>
        <v>14</v>
      </c>
      <c r="P12" s="36">
        <f t="shared" ca="1" si="4"/>
        <v>25454</v>
      </c>
      <c r="Q12" s="36">
        <f t="shared" ca="1" si="5"/>
        <v>25454</v>
      </c>
      <c r="R12" s="36">
        <f t="shared" ca="1" si="6"/>
        <v>11</v>
      </c>
      <c r="S12" s="36">
        <f t="shared" ca="1" si="7"/>
        <v>11</v>
      </c>
      <c r="T12" s="36">
        <f t="shared" si="8"/>
        <v>11</v>
      </c>
      <c r="U12" s="120">
        <f ca="1">IF(N('Final Round'!$J$14)&gt;0,IF(ISBLANK($A12),"",IF($N12&gt;5,$N12,VLOOKUP($A12,'Final Round'!$A$14:$K$18,COLUMN('Final Round'!$J$1),0))),"")</f>
        <v>11</v>
      </c>
      <c r="V12" s="36">
        <f t="shared" ca="1" si="9"/>
        <v>11</v>
      </c>
      <c r="W12" s="36">
        <f t="shared" ca="1" si="10"/>
        <v>748</v>
      </c>
      <c r="X12" s="36">
        <f t="shared" ca="1" si="11"/>
        <v>11</v>
      </c>
      <c r="Y12" s="36">
        <f t="shared" si="12"/>
        <v>11</v>
      </c>
      <c r="Z12" s="36">
        <f t="shared" ca="1" si="13"/>
        <v>11</v>
      </c>
      <c r="AA12" s="36">
        <f t="shared" ca="1" si="14"/>
        <v>0</v>
      </c>
      <c r="AB12" s="121">
        <f ca="1">IF(ISBLANK($A12),"",5+4*(I12+IF(AA12=0,0,VLOOKUP($A12,'Final Round'!$A$14:$K$18,COLUMN('Final Round'!$G$1),0)))+8*(H12+IF(AA12=0,0,IF(VLOOKUP($A12,'Final Round'!$A$14:$K$18,COLUMN('Final Round'!$J$1),0)=1,1,0)))+$AA12)</f>
        <v>25</v>
      </c>
    </row>
    <row r="13" spans="1:28" s="110" customFormat="1" ht="12.95" customHeight="1" x14ac:dyDescent="0.2">
      <c r="A13" s="122">
        <v>25</v>
      </c>
      <c r="B13" s="124"/>
      <c r="C13" s="124"/>
      <c r="D13" s="124"/>
      <c r="E13" s="125">
        <v>1245916115</v>
      </c>
      <c r="F13" s="126">
        <f ca="1">IF(ISBLANK($A13),"",SUM(IF(ISNA(IF(VLOOKUP($A13,'Round 1'!$A$7:$J$206,COLUMN('Round 1'!$H$7),0),1,NA())),0,1),IF(ISNA(IF(VLOOKUP($A13,'Round 2'!$A$7:$J$206,COLUMN('Round 1'!$H$7),0),1,NA())),0,1),IF(ISNA(IF(VLOOKUP($A13,'Round 3'!$A$7:$J$206,COLUMN('Round 1'!$H$7),0),1,NA())),0,1),IF(ISNA(IF(VLOOKUP($A13,'Final Round'!$A$14:$K$18,1,0),1,NA())),0,1)))</f>
        <v>3</v>
      </c>
      <c r="G13" s="127"/>
      <c r="H13" s="128">
        <f ca="1">IF(ISBLANK($A13),"",IF(ISERROR(VLOOKUP($A13,'Round 1'!$A$7:$I$206,COLUMN('Round 1'!$G$7),0)),0,VLOOKUP($A13,'Round 1'!$A$7:$I$206,COLUMN('Round 1'!$G$7),0))+IF(ISERROR(VLOOKUP($A13,'Round 2'!$A$7:$I$206,COLUMN('Round 2'!$G$7),0)),0,VLOOKUP($A13,'Round 2'!$A$7:$I$206,COLUMN('Round 2'!$G$7),0))+IF(ISERROR(VLOOKUP($A13,'Round 3'!$A$7:$I$206,COLUMN('Round 3'!$G$7),0)),0,VLOOKUP($A13,'Round 3'!$A$7:$I$206,COLUMN('Round 3'!$G$7),0)))</f>
        <v>0</v>
      </c>
      <c r="I13" s="128">
        <f ca="1">IF(ISBLANK($A13),"",IF(ISERROR(VLOOKUP($A13,'Round 1'!$A$7:$I$206,COLUMN('Round 1'!$F$7),0)),0,VLOOKUP($A13,'Round 1'!$A$7:$I$206,COLUMN('Round 1'!$F$7),0))+IF(ISERROR(VLOOKUP($A13,'Round 2'!$A$7:$I$206,COLUMN('Round 2'!$F$7),0)),0,VLOOKUP($A13,'Round 2'!$A$7:$I$206,COLUMN('Round 2'!$F$7),0))+IF(ISERROR(VLOOKUP($A13,'Round 3'!$A$7:$I$206,COLUMN('Round 3'!$F$7),0)),0,VLOOKUP($A13,'Round 3'!$A$7:$I$206,COLUMN('Round 3'!$F$7),0)))</f>
        <v>0.5</v>
      </c>
      <c r="J13" s="129">
        <f ca="1">IF(ISBLANK($A13),"",IF(ISERROR(VLOOKUP($A13,'Round 1'!$A$7:$I$206,COLUMN('Round 1'!$H$7),0)),0,VLOOKUP($A13,'Round 1'!$A$7:$I$206,COLUMN('Round 1'!$H$7),0))+IF(ISERROR(VLOOKUP($A13,'Round 2'!$A$7:$I$206,COLUMN('Round 2'!$H$7),0)),0,VLOOKUP($A13,'Round 2'!$A$7:$I$206,COLUMN('Round 2'!$H$7),0))+IF(ISERROR(VLOOKUP($A13,'Round 3'!$A$7:$I$206,COLUMN('Round 3'!$H$7),0)),0,VLOOKUP($A13,'Round 3'!$A$7:$I$206,COLUMN('Round 3'!$H$7),0)))</f>
        <v>96</v>
      </c>
      <c r="K13" s="128">
        <f t="shared" ca="1" si="0"/>
        <v>24</v>
      </c>
      <c r="L13" s="130" t="str">
        <f t="shared" ca="1" si="1"/>
        <v/>
      </c>
      <c r="M13" s="131"/>
      <c r="N13" s="132">
        <f t="shared" ca="1" si="2"/>
        <v>24</v>
      </c>
      <c r="O13" s="110">
        <f t="shared" ca="1" si="3"/>
        <v>0.5</v>
      </c>
      <c r="P13" s="110">
        <f t="shared" ca="1" si="4"/>
        <v>1001</v>
      </c>
      <c r="Q13" s="110">
        <f t="shared" ca="1" si="5"/>
        <v>1001</v>
      </c>
      <c r="R13" s="110">
        <f t="shared" ca="1" si="6"/>
        <v>24</v>
      </c>
      <c r="S13" s="110">
        <f t="shared" ca="1" si="7"/>
        <v>24</v>
      </c>
      <c r="T13" s="110">
        <f t="shared" si="8"/>
        <v>25</v>
      </c>
      <c r="U13" s="132">
        <f ca="1">IF(N('Final Round'!$J$14)&gt;0,IF(ISBLANK($A13),"",IF($N13&gt;5,$N13,VLOOKUP($A13,'Final Round'!$A$14:$K$18,COLUMN('Final Round'!$J$1),0))),"")</f>
        <v>24</v>
      </c>
      <c r="V13" s="110">
        <f t="shared" ca="1" si="9"/>
        <v>24</v>
      </c>
      <c r="W13" s="110">
        <f t="shared" ca="1" si="10"/>
        <v>305</v>
      </c>
      <c r="X13" s="110">
        <f t="shared" ca="1" si="11"/>
        <v>24</v>
      </c>
      <c r="Y13" s="110">
        <f t="shared" si="12"/>
        <v>25</v>
      </c>
      <c r="Z13" s="110">
        <f t="shared" ca="1" si="13"/>
        <v>24</v>
      </c>
      <c r="AA13" s="110">
        <f t="shared" ca="1" si="14"/>
        <v>0</v>
      </c>
      <c r="AB13" s="133">
        <f ca="1">IF(ISBLANK($A13),"",5+4*(I13+IF(AA13=0,0,VLOOKUP($A13,'Final Round'!$A$14:$K$18,COLUMN('Final Round'!$G$1),0)))+8*(H13+IF(AA13=0,0,IF(VLOOKUP($A13,'Final Round'!$A$14:$K$18,COLUMN('Final Round'!$J$1),0)=1,1,0)))+$AA13)</f>
        <v>7</v>
      </c>
    </row>
    <row r="14" spans="1:28" s="110" customFormat="1" ht="12.95" customHeight="1" x14ac:dyDescent="0.2">
      <c r="A14" s="122">
        <v>19</v>
      </c>
      <c r="B14" s="124"/>
      <c r="C14" s="124"/>
      <c r="D14" s="124"/>
      <c r="E14" s="125">
        <v>7569706323</v>
      </c>
      <c r="F14" s="126">
        <f ca="1">IF(ISBLANK($A14),"",SUM(IF(ISNA(IF(VLOOKUP($A14,'Round 1'!$A$7:$J$206,COLUMN('Round 1'!$H$7),0),1,NA())),0,1),IF(ISNA(IF(VLOOKUP($A14,'Round 2'!$A$7:$J$206,COLUMN('Round 1'!$H$7),0),1,NA())),0,1),IF(ISNA(IF(VLOOKUP($A14,'Round 3'!$A$7:$J$206,COLUMN('Round 1'!$H$7),0),1,NA())),0,1),IF(ISNA(IF(VLOOKUP($A14,'Final Round'!$A$14:$K$18,1,0),1,NA())),0,1)))</f>
        <v>4</v>
      </c>
      <c r="G14" s="127"/>
      <c r="H14" s="128">
        <f ca="1">IF(ISBLANK($A14),"",IF(ISERROR(VLOOKUP($A14,'Round 1'!$A$7:$I$206,COLUMN('Round 1'!$G$7),0)),0,VLOOKUP($A14,'Round 1'!$A$7:$I$206,COLUMN('Round 1'!$G$7),0))+IF(ISERROR(VLOOKUP($A14,'Round 2'!$A$7:$I$206,COLUMN('Round 2'!$G$7),0)),0,VLOOKUP($A14,'Round 2'!$A$7:$I$206,COLUMN('Round 2'!$G$7),0))+IF(ISERROR(VLOOKUP($A14,'Round 3'!$A$7:$I$206,COLUMN('Round 3'!$G$7),0)),0,VLOOKUP($A14,'Round 3'!$A$7:$I$206,COLUMN('Round 3'!$G$7),0)))</f>
        <v>2</v>
      </c>
      <c r="I14" s="128">
        <f ca="1">IF(ISBLANK($A14),"",IF(ISERROR(VLOOKUP($A14,'Round 1'!$A$7:$I$206,COLUMN('Round 1'!$F$7),0)),0,VLOOKUP($A14,'Round 1'!$A$7:$I$206,COLUMN('Round 1'!$F$7),0))+IF(ISERROR(VLOOKUP($A14,'Round 2'!$A$7:$I$206,COLUMN('Round 2'!$F$7),0)),0,VLOOKUP($A14,'Round 2'!$A$7:$I$206,COLUMN('Round 2'!$F$7),0))+IF(ISERROR(VLOOKUP($A14,'Round 3'!$A$7:$I$206,COLUMN('Round 3'!$F$7),0)),0,VLOOKUP($A14,'Round 3'!$A$7:$I$206,COLUMN('Round 3'!$F$7),0)))</f>
        <v>6</v>
      </c>
      <c r="J14" s="129">
        <f ca="1">IF(ISBLANK($A14),"",IF(ISERROR(VLOOKUP($A14,'Round 1'!$A$7:$I$206,COLUMN('Round 1'!$H$7),0)),0,VLOOKUP($A14,'Round 1'!$A$7:$I$206,COLUMN('Round 1'!$H$7),0))+IF(ISERROR(VLOOKUP($A14,'Round 2'!$A$7:$I$206,COLUMN('Round 2'!$H$7),0)),0,VLOOKUP($A14,'Round 2'!$A$7:$I$206,COLUMN('Round 2'!$H$7),0))+IF(ISERROR(VLOOKUP($A14,'Round 3'!$A$7:$I$206,COLUMN('Round 3'!$H$7),0)),0,VLOOKUP($A14,'Round 3'!$A$7:$I$206,COLUMN('Round 3'!$H$7),0)))</f>
        <v>144</v>
      </c>
      <c r="K14" s="128">
        <f t="shared" ca="1" si="0"/>
        <v>5</v>
      </c>
      <c r="L14" s="130" t="str">
        <f t="shared" ca="1" si="1"/>
        <v/>
      </c>
      <c r="M14" s="131"/>
      <c r="N14" s="132">
        <f t="shared" ca="1" si="2"/>
        <v>5</v>
      </c>
      <c r="O14" s="110">
        <f t="shared" ca="1" si="3"/>
        <v>28</v>
      </c>
      <c r="P14" s="110">
        <f t="shared" ca="1" si="4"/>
        <v>50824</v>
      </c>
      <c r="Q14" s="110">
        <f t="shared" ca="1" si="5"/>
        <v>50824</v>
      </c>
      <c r="R14" s="110">
        <f t="shared" ca="1" si="6"/>
        <v>5</v>
      </c>
      <c r="S14" s="110">
        <f t="shared" ca="1" si="7"/>
        <v>5</v>
      </c>
      <c r="T14" s="110">
        <f t="shared" si="8"/>
        <v>19</v>
      </c>
      <c r="U14" s="132">
        <f ca="1">IF(N('Final Round'!$J$14)&gt;0,IF(ISBLANK($A14),"",IF($N14&gt;5,$N14,VLOOKUP($A14,'Final Round'!$A$14:$K$18,COLUMN('Final Round'!$J$1),0))),"")</f>
        <v>2</v>
      </c>
      <c r="V14" s="110">
        <f t="shared" ca="1" si="9"/>
        <v>2</v>
      </c>
      <c r="W14" s="110">
        <f t="shared" ca="1" si="10"/>
        <v>1037</v>
      </c>
      <c r="X14" s="110">
        <f t="shared" ca="1" si="11"/>
        <v>4</v>
      </c>
      <c r="Y14" s="110">
        <f t="shared" si="12"/>
        <v>19</v>
      </c>
      <c r="Z14" s="110">
        <f t="shared" ca="1" si="13"/>
        <v>2</v>
      </c>
      <c r="AA14" s="110">
        <f t="shared" ca="1" si="14"/>
        <v>54.287407442944648</v>
      </c>
      <c r="AB14" s="133">
        <f ca="1">IF(ISBLANK($A14),"",5+4*(I14+IF(AA14=0,0,VLOOKUP($A14,'Final Round'!$A$14:$K$18,COLUMN('Final Round'!$G$1),0)))+8*(H14+IF(AA14=0,0,IF(VLOOKUP($A14,'Final Round'!$A$14:$K$18,COLUMN('Final Round'!$J$1),0)=1,1,0)))+$AA14)</f>
        <v>103.28740744294464</v>
      </c>
    </row>
    <row r="15" spans="1:28" s="110" customFormat="1" ht="12.95" customHeight="1" x14ac:dyDescent="0.2">
      <c r="A15" s="122">
        <v>17</v>
      </c>
      <c r="B15" s="124"/>
      <c r="C15" s="124"/>
      <c r="D15" s="124"/>
      <c r="E15" s="125">
        <v>8259539714</v>
      </c>
      <c r="F15" s="126">
        <f ca="1">IF(ISBLANK($A15),"",SUM(IF(ISNA(IF(VLOOKUP($A15,'Round 1'!$A$7:$J$206,COLUMN('Round 1'!$H$7),0),1,NA())),0,1),IF(ISNA(IF(VLOOKUP($A15,'Round 2'!$A$7:$J$206,COLUMN('Round 1'!$H$7),0),1,NA())),0,1),IF(ISNA(IF(VLOOKUP($A15,'Round 3'!$A$7:$J$206,COLUMN('Round 1'!$H$7),0),1,NA())),0,1),IF(ISNA(IF(VLOOKUP($A15,'Final Round'!$A$14:$K$18,1,0),1,NA())),0,1)))</f>
        <v>3</v>
      </c>
      <c r="G15" s="127"/>
      <c r="H15" s="128">
        <f ca="1">IF(ISBLANK($A15),"",IF(ISERROR(VLOOKUP($A15,'Round 1'!$A$7:$I$206,COLUMN('Round 1'!$G$7),0)),0,VLOOKUP($A15,'Round 1'!$A$7:$I$206,COLUMN('Round 1'!$G$7),0))+IF(ISERROR(VLOOKUP($A15,'Round 2'!$A$7:$I$206,COLUMN('Round 2'!$G$7),0)),0,VLOOKUP($A15,'Round 2'!$A$7:$I$206,COLUMN('Round 2'!$G$7),0))+IF(ISERROR(VLOOKUP($A15,'Round 3'!$A$7:$I$206,COLUMN('Round 3'!$G$7),0)),0,VLOOKUP($A15,'Round 3'!$A$7:$I$206,COLUMN('Round 3'!$G$7),0)))</f>
        <v>0</v>
      </c>
      <c r="I15" s="128">
        <f ca="1">IF(ISBLANK($A15),"",IF(ISERROR(VLOOKUP($A15,'Round 1'!$A$7:$I$206,COLUMN('Round 1'!$F$7),0)),0,VLOOKUP($A15,'Round 1'!$A$7:$I$206,COLUMN('Round 1'!$F$7),0))+IF(ISERROR(VLOOKUP($A15,'Round 2'!$A$7:$I$206,COLUMN('Round 2'!$F$7),0)),0,VLOOKUP($A15,'Round 2'!$A$7:$I$206,COLUMN('Round 2'!$F$7),0))+IF(ISERROR(VLOOKUP($A15,'Round 3'!$A$7:$I$206,COLUMN('Round 3'!$F$7),0)),0,VLOOKUP($A15,'Round 3'!$A$7:$I$206,COLUMN('Round 3'!$F$7),0)))</f>
        <v>3</v>
      </c>
      <c r="J15" s="129">
        <f ca="1">IF(ISBLANK($A15),"",IF(ISERROR(VLOOKUP($A15,'Round 1'!$A$7:$I$206,COLUMN('Round 1'!$H$7),0)),0,VLOOKUP($A15,'Round 1'!$A$7:$I$206,COLUMN('Round 1'!$H$7),0))+IF(ISERROR(VLOOKUP($A15,'Round 2'!$A$7:$I$206,COLUMN('Round 2'!$H$7),0)),0,VLOOKUP($A15,'Round 2'!$A$7:$I$206,COLUMN('Round 2'!$H$7),0))+IF(ISERROR(VLOOKUP($A15,'Round 3'!$A$7:$I$206,COLUMN('Round 3'!$H$7),0)),0,VLOOKUP($A15,'Round 3'!$A$7:$I$206,COLUMN('Round 3'!$H$7),0)))</f>
        <v>120</v>
      </c>
      <c r="K15" s="128">
        <f t="shared" ca="1" si="0"/>
        <v>14</v>
      </c>
      <c r="L15" s="130" t="str">
        <f t="shared" ca="1" si="1"/>
        <v/>
      </c>
      <c r="M15" s="131"/>
      <c r="N15" s="132">
        <f t="shared" ca="1" si="2"/>
        <v>14</v>
      </c>
      <c r="O15" s="110">
        <f t="shared" ca="1" si="3"/>
        <v>3</v>
      </c>
      <c r="P15" s="110">
        <f t="shared" ca="1" si="4"/>
        <v>5550</v>
      </c>
      <c r="Q15" s="110">
        <f t="shared" ca="1" si="5"/>
        <v>5550</v>
      </c>
      <c r="R15" s="110">
        <f t="shared" ca="1" si="6"/>
        <v>14</v>
      </c>
      <c r="S15" s="110">
        <f t="shared" ca="1" si="7"/>
        <v>14</v>
      </c>
      <c r="T15" s="110">
        <f t="shared" si="8"/>
        <v>17</v>
      </c>
      <c r="U15" s="132">
        <f ca="1">IF(N('Final Round'!$J$14)&gt;0,IF(ISBLANK($A15),"",IF($N15&gt;5,$N15,VLOOKUP($A15,'Final Round'!$A$14:$K$18,COLUMN('Final Round'!$J$1),0))),"")</f>
        <v>14</v>
      </c>
      <c r="V15" s="110">
        <f t="shared" ca="1" si="9"/>
        <v>14</v>
      </c>
      <c r="W15" s="110">
        <f t="shared" ca="1" si="10"/>
        <v>643</v>
      </c>
      <c r="X15" s="110">
        <f t="shared" ca="1" si="11"/>
        <v>14</v>
      </c>
      <c r="Y15" s="110">
        <f t="shared" si="12"/>
        <v>17</v>
      </c>
      <c r="Z15" s="110">
        <f t="shared" ca="1" si="13"/>
        <v>14</v>
      </c>
      <c r="AA15" s="110">
        <f t="shared" ca="1" si="14"/>
        <v>0</v>
      </c>
      <c r="AB15" s="133">
        <f ca="1">IF(ISBLANK($A15),"",5+4*(I15+IF(AA15=0,0,VLOOKUP($A15,'Final Round'!$A$14:$K$18,COLUMN('Final Round'!$G$1),0)))+8*(H15+IF(AA15=0,0,IF(VLOOKUP($A15,'Final Round'!$A$14:$K$18,COLUMN('Final Round'!$J$1),0)=1,1,0)))+$AA15)</f>
        <v>17</v>
      </c>
    </row>
    <row r="16" spans="1:28" s="110" customFormat="1" ht="12.95" customHeight="1" x14ac:dyDescent="0.2">
      <c r="A16" s="122">
        <v>29</v>
      </c>
      <c r="B16" s="124"/>
      <c r="C16" s="124"/>
      <c r="D16" s="124"/>
      <c r="E16" s="125">
        <v>2815044528</v>
      </c>
      <c r="F16" s="126">
        <f ca="1">IF(ISBLANK($A16),"",SUM(IF(ISNA(IF(VLOOKUP($A16,'Round 1'!$A$7:$J$206,COLUMN('Round 1'!$H$7),0),1,NA())),0,1),IF(ISNA(IF(VLOOKUP($A16,'Round 2'!$A$7:$J$206,COLUMN('Round 1'!$H$7),0),1,NA())),0,1),IF(ISNA(IF(VLOOKUP($A16,'Round 3'!$A$7:$J$206,COLUMN('Round 1'!$H$7),0),1,NA())),0,1),IF(ISNA(IF(VLOOKUP($A16,'Final Round'!$A$14:$K$18,1,0),1,NA())),0,1)))</f>
        <v>3</v>
      </c>
      <c r="G16" s="127"/>
      <c r="H16" s="128">
        <f ca="1">IF(ISBLANK($A16),"",IF(ISERROR(VLOOKUP($A16,'Round 1'!$A$7:$I$206,COLUMN('Round 1'!$G$7),0)),0,VLOOKUP($A16,'Round 1'!$A$7:$I$206,COLUMN('Round 1'!$G$7),0))+IF(ISERROR(VLOOKUP($A16,'Round 2'!$A$7:$I$206,COLUMN('Round 2'!$G$7),0)),0,VLOOKUP($A16,'Round 2'!$A$7:$I$206,COLUMN('Round 2'!$G$7),0))+IF(ISERROR(VLOOKUP($A16,'Round 3'!$A$7:$I$206,COLUMN('Round 3'!$G$7),0)),0,VLOOKUP($A16,'Round 3'!$A$7:$I$206,COLUMN('Round 3'!$G$7),0)))</f>
        <v>0</v>
      </c>
      <c r="I16" s="128">
        <f ca="1">IF(ISBLANK($A16),"",IF(ISERROR(VLOOKUP($A16,'Round 1'!$A$7:$I$206,COLUMN('Round 1'!$F$7),0)),0,VLOOKUP($A16,'Round 1'!$A$7:$I$206,COLUMN('Round 1'!$F$7),0))+IF(ISERROR(VLOOKUP($A16,'Round 2'!$A$7:$I$206,COLUMN('Round 2'!$F$7),0)),0,VLOOKUP($A16,'Round 2'!$A$7:$I$206,COLUMN('Round 2'!$F$7),0))+IF(ISERROR(VLOOKUP($A16,'Round 3'!$A$7:$I$206,COLUMN('Round 3'!$F$7),0)),0,VLOOKUP($A16,'Round 3'!$A$7:$I$206,COLUMN('Round 3'!$F$7),0)))</f>
        <v>0</v>
      </c>
      <c r="J16" s="129">
        <f ca="1">IF(ISBLANK($A16),"",IF(ISERROR(VLOOKUP($A16,'Round 1'!$A$7:$I$206,COLUMN('Round 1'!$H$7),0)),0,VLOOKUP($A16,'Round 1'!$A$7:$I$206,COLUMN('Round 1'!$H$7),0))+IF(ISERROR(VLOOKUP($A16,'Round 2'!$A$7:$I$206,COLUMN('Round 2'!$H$7),0)),0,VLOOKUP($A16,'Round 2'!$A$7:$I$206,COLUMN('Round 2'!$H$7),0))+IF(ISERROR(VLOOKUP($A16,'Round 3'!$A$7:$I$206,COLUMN('Round 3'!$H$7),0)),0,VLOOKUP($A16,'Round 3'!$A$7:$I$206,COLUMN('Round 3'!$H$7),0)))</f>
        <v>66</v>
      </c>
      <c r="K16" s="128">
        <f t="shared" ca="1" si="0"/>
        <v>29</v>
      </c>
      <c r="L16" s="130" t="str">
        <f t="shared" ca="1" si="1"/>
        <v/>
      </c>
      <c r="M16" s="131"/>
      <c r="N16" s="132">
        <f t="shared" ca="1" si="2"/>
        <v>29</v>
      </c>
      <c r="O16" s="110">
        <f t="shared" ca="1" si="3"/>
        <v>0</v>
      </c>
      <c r="P16" s="110">
        <f t="shared" ca="1" si="4"/>
        <v>66</v>
      </c>
      <c r="Q16" s="110">
        <f t="shared" ca="1" si="5"/>
        <v>66</v>
      </c>
      <c r="R16" s="110">
        <f t="shared" ca="1" si="6"/>
        <v>29</v>
      </c>
      <c r="S16" s="110">
        <f t="shared" ca="1" si="7"/>
        <v>-1</v>
      </c>
      <c r="T16" s="110">
        <f t="shared" si="8"/>
        <v>29</v>
      </c>
      <c r="U16" s="132">
        <f ca="1">IF(N('Final Round'!$J$14)&gt;0,IF(ISBLANK($A16),"",IF($N16&gt;5,$N16,VLOOKUP($A16,'Final Round'!$A$14:$K$18,COLUMN('Final Round'!$J$1),0))),"")</f>
        <v>29</v>
      </c>
      <c r="V16" s="110">
        <f t="shared" ca="1" si="9"/>
        <v>29</v>
      </c>
      <c r="W16" s="110">
        <f t="shared" ca="1" si="10"/>
        <v>136</v>
      </c>
      <c r="X16" s="110">
        <f t="shared" ca="1" si="11"/>
        <v>31</v>
      </c>
      <c r="Y16" s="110">
        <f t="shared" si="12"/>
        <v>29</v>
      </c>
      <c r="Z16" s="110">
        <f t="shared" ca="1" si="13"/>
        <v>29</v>
      </c>
      <c r="AA16" s="110">
        <f t="shared" ca="1" si="14"/>
        <v>0</v>
      </c>
      <c r="AB16" s="133">
        <f ca="1">IF(ISBLANK($A16),"",5+4*(I16+IF(AA16=0,0,VLOOKUP($A16,'Final Round'!$A$14:$K$18,COLUMN('Final Round'!$G$1),0)))+8*(H16+IF(AA16=0,0,IF(VLOOKUP($A16,'Final Round'!$A$14:$K$18,COLUMN('Final Round'!$J$1),0)=1,1,0)))+$AA16)</f>
        <v>5</v>
      </c>
    </row>
    <row r="17" spans="1:28" s="110" customFormat="1" ht="12.95" customHeight="1" x14ac:dyDescent="0.2">
      <c r="A17" s="122">
        <v>28</v>
      </c>
      <c r="B17" s="124"/>
      <c r="C17" s="124"/>
      <c r="D17" s="124"/>
      <c r="E17" s="125">
        <v>8638881481</v>
      </c>
      <c r="F17" s="126">
        <f ca="1">IF(ISBLANK($A17),"",SUM(IF(ISNA(IF(VLOOKUP($A17,'Round 1'!$A$7:$J$206,COLUMN('Round 1'!$H$7),0),1,NA())),0,1),IF(ISNA(IF(VLOOKUP($A17,'Round 2'!$A$7:$J$206,COLUMN('Round 1'!$H$7),0),1,NA())),0,1),IF(ISNA(IF(VLOOKUP($A17,'Round 3'!$A$7:$J$206,COLUMN('Round 1'!$H$7),0),1,NA())),0,1),IF(ISNA(IF(VLOOKUP($A17,'Final Round'!$A$14:$K$18,1,0),1,NA())),0,1)))</f>
        <v>4</v>
      </c>
      <c r="G17" s="127"/>
      <c r="H17" s="128">
        <f ca="1">IF(ISBLANK($A17),"",IF(ISERROR(VLOOKUP($A17,'Round 1'!$A$7:$I$206,COLUMN('Round 1'!$G$7),0)),0,VLOOKUP($A17,'Round 1'!$A$7:$I$206,COLUMN('Round 1'!$G$7),0))+IF(ISERROR(VLOOKUP($A17,'Round 2'!$A$7:$I$206,COLUMN('Round 2'!$G$7),0)),0,VLOOKUP($A17,'Round 2'!$A$7:$I$206,COLUMN('Round 2'!$G$7),0))+IF(ISERROR(VLOOKUP($A17,'Round 3'!$A$7:$I$206,COLUMN('Round 3'!$G$7),0)),0,VLOOKUP($A17,'Round 3'!$A$7:$I$206,COLUMN('Round 3'!$G$7),0)))</f>
        <v>3</v>
      </c>
      <c r="I17" s="128">
        <f ca="1">IF(ISBLANK($A17),"",IF(ISERROR(VLOOKUP($A17,'Round 1'!$A$7:$I$206,COLUMN('Round 1'!$F$7),0)),0,VLOOKUP($A17,'Round 1'!$A$7:$I$206,COLUMN('Round 1'!$F$7),0))+IF(ISERROR(VLOOKUP($A17,'Round 2'!$A$7:$I$206,COLUMN('Round 2'!$F$7),0)),0,VLOOKUP($A17,'Round 2'!$A$7:$I$206,COLUMN('Round 2'!$F$7),0))+IF(ISERROR(VLOOKUP($A17,'Round 3'!$A$7:$I$206,COLUMN('Round 3'!$F$7),0)),0,VLOOKUP($A17,'Round 3'!$A$7:$I$206,COLUMN('Round 3'!$F$7),0)))</f>
        <v>9</v>
      </c>
      <c r="J17" s="129">
        <f ca="1">IF(ISBLANK($A17),"",IF(ISERROR(VLOOKUP($A17,'Round 1'!$A$7:$I$206,COLUMN('Round 1'!$H$7),0)),0,VLOOKUP($A17,'Round 1'!$A$7:$I$206,COLUMN('Round 1'!$H$7),0))+IF(ISERROR(VLOOKUP($A17,'Round 2'!$A$7:$I$206,COLUMN('Round 2'!$H$7),0)),0,VLOOKUP($A17,'Round 2'!$A$7:$I$206,COLUMN('Round 2'!$H$7),0))+IF(ISERROR(VLOOKUP($A17,'Round 3'!$A$7:$I$206,COLUMN('Round 3'!$H$7),0)),0,VLOOKUP($A17,'Round 3'!$A$7:$I$206,COLUMN('Round 3'!$H$7),0)))</f>
        <v>180</v>
      </c>
      <c r="K17" s="128">
        <f t="shared" ca="1" si="0"/>
        <v>1</v>
      </c>
      <c r="L17" s="130" t="str">
        <f t="shared" ca="1" si="1"/>
        <v/>
      </c>
      <c r="M17" s="131"/>
      <c r="N17" s="132">
        <f t="shared" ca="1" si="2"/>
        <v>1</v>
      </c>
      <c r="O17" s="110">
        <f t="shared" ca="1" si="3"/>
        <v>42</v>
      </c>
      <c r="P17" s="110">
        <f t="shared" ca="1" si="4"/>
        <v>76200</v>
      </c>
      <c r="Q17" s="110">
        <f t="shared" ca="1" si="5"/>
        <v>76200</v>
      </c>
      <c r="R17" s="110">
        <f t="shared" ca="1" si="6"/>
        <v>1</v>
      </c>
      <c r="S17" s="110">
        <f t="shared" ca="1" si="7"/>
        <v>1</v>
      </c>
      <c r="T17" s="110">
        <f t="shared" si="8"/>
        <v>28</v>
      </c>
      <c r="U17" s="132">
        <f ca="1">IF(N('Final Round'!$J$14)&gt;0,IF(ISBLANK($A17),"",IF($N17&gt;5,$N17,VLOOKUP($A17,'Final Round'!$A$14:$K$18,COLUMN('Final Round'!$J$1),0))),"")</f>
        <v>1</v>
      </c>
      <c r="V17" s="110">
        <f t="shared" ca="1" si="9"/>
        <v>1</v>
      </c>
      <c r="W17" s="110">
        <f t="shared" ca="1" si="10"/>
        <v>1061</v>
      </c>
      <c r="X17" s="110">
        <f t="shared" ca="1" si="11"/>
        <v>1</v>
      </c>
      <c r="Y17" s="110">
        <f t="shared" si="12"/>
        <v>28</v>
      </c>
      <c r="Z17" s="110">
        <f t="shared" ca="1" si="13"/>
        <v>1</v>
      </c>
      <c r="AA17" s="110">
        <f t="shared" ca="1" si="14"/>
        <v>162.86222232883395</v>
      </c>
      <c r="AB17" s="133">
        <f ca="1">IF(ISBLANK($A17),"",5+4*(I17+IF(AA17=0,0,VLOOKUP($A17,'Final Round'!$A$14:$K$18,COLUMN('Final Round'!$G$1),0)))+8*(H17+IF(AA17=0,0,IF(VLOOKUP($A17,'Final Round'!$A$14:$K$18,COLUMN('Final Round'!$J$1),0)=1,1,0)))+$AA17)</f>
        <v>243.86222232883395</v>
      </c>
    </row>
    <row r="18" spans="1:28" ht="12.95" customHeight="1" x14ac:dyDescent="0.2">
      <c r="A18" s="111">
        <v>6</v>
      </c>
      <c r="B18" s="112"/>
      <c r="C18" s="112"/>
      <c r="D18" s="112"/>
      <c r="E18" s="113"/>
      <c r="F18" s="114">
        <f ca="1">IF(ISBLANK($A18),"",SUM(IF(ISNA(IF(VLOOKUP($A18,'Round 1'!$A$7:$J$206,COLUMN('Round 1'!$H$7),0),1,NA())),0,1),IF(ISNA(IF(VLOOKUP($A18,'Round 2'!$A$7:$J$206,COLUMN('Round 1'!$H$7),0),1,NA())),0,1),IF(ISNA(IF(VLOOKUP($A18,'Round 3'!$A$7:$J$206,COLUMN('Round 1'!$H$7),0),1,NA())),0,1),IF(ISNA(IF(VLOOKUP($A18,'Final Round'!$A$14:$K$18,1,0),1,NA())),0,1)))</f>
        <v>3</v>
      </c>
      <c r="G18" s="115"/>
      <c r="H18" s="116">
        <f ca="1">IF(ISBLANK($A18),"",IF(ISERROR(VLOOKUP($A18,'Round 1'!$A$7:$I$206,COLUMN('Round 1'!$G$7),0)),0,VLOOKUP($A18,'Round 1'!$A$7:$I$206,COLUMN('Round 1'!$G$7),0))+IF(ISERROR(VLOOKUP($A18,'Round 2'!$A$7:$I$206,COLUMN('Round 2'!$G$7),0)),0,VLOOKUP($A18,'Round 2'!$A$7:$I$206,COLUMN('Round 2'!$G$7),0))+IF(ISERROR(VLOOKUP($A18,'Round 3'!$A$7:$I$206,COLUMN('Round 3'!$G$7),0)),0,VLOOKUP($A18,'Round 3'!$A$7:$I$206,COLUMN('Round 3'!$G$7),0)))</f>
        <v>0</v>
      </c>
      <c r="I18" s="116">
        <f ca="1">IF(ISBLANK($A18),"",IF(ISERROR(VLOOKUP($A18,'Round 1'!$A$7:$I$206,COLUMN('Round 1'!$F$7),0)),0,VLOOKUP($A18,'Round 1'!$A$7:$I$206,COLUMN('Round 1'!$F$7),0))+IF(ISERROR(VLOOKUP($A18,'Round 2'!$A$7:$I$206,COLUMN('Round 2'!$F$7),0)),0,VLOOKUP($A18,'Round 2'!$A$7:$I$206,COLUMN('Round 2'!$F$7),0))+IF(ISERROR(VLOOKUP($A18,'Round 3'!$A$7:$I$206,COLUMN('Round 3'!$F$7),0)),0,VLOOKUP($A18,'Round 3'!$A$7:$I$206,COLUMN('Round 3'!$F$7),0)))</f>
        <v>0</v>
      </c>
      <c r="J18" s="117">
        <f ca="1">IF(ISBLANK($A18),"",IF(ISERROR(VLOOKUP($A18,'Round 1'!$A$7:$I$206,COLUMN('Round 1'!$H$7),0)),0,VLOOKUP($A18,'Round 1'!$A$7:$I$206,COLUMN('Round 1'!$H$7),0))+IF(ISERROR(VLOOKUP($A18,'Round 2'!$A$7:$I$206,COLUMN('Round 2'!$H$7),0)),0,VLOOKUP($A18,'Round 2'!$A$7:$I$206,COLUMN('Round 2'!$H$7),0))+IF(ISERROR(VLOOKUP($A18,'Round 3'!$A$7:$I$206,COLUMN('Round 3'!$H$7),0)),0,VLOOKUP($A18,'Round 3'!$A$7:$I$206,COLUMN('Round 3'!$H$7),0)))</f>
        <v>72</v>
      </c>
      <c r="K18" s="116">
        <f t="shared" ca="1" si="0"/>
        <v>27</v>
      </c>
      <c r="L18" s="118" t="str">
        <f t="shared" ca="1" si="1"/>
        <v/>
      </c>
      <c r="M18" s="119"/>
      <c r="N18" s="120">
        <f t="shared" ca="1" si="2"/>
        <v>27</v>
      </c>
      <c r="O18" s="36">
        <f t="shared" ca="1" si="3"/>
        <v>0</v>
      </c>
      <c r="P18" s="36">
        <f t="shared" ca="1" si="4"/>
        <v>72</v>
      </c>
      <c r="Q18" s="36">
        <f t="shared" ca="1" si="5"/>
        <v>72</v>
      </c>
      <c r="R18" s="36">
        <f t="shared" ca="1" si="6"/>
        <v>27</v>
      </c>
      <c r="S18" s="36">
        <f t="shared" ca="1" si="7"/>
        <v>27</v>
      </c>
      <c r="T18" s="36">
        <f t="shared" si="8"/>
        <v>6</v>
      </c>
      <c r="U18" s="120">
        <f ca="1">IF(N('Final Round'!$J$14)&gt;0,IF(ISBLANK($A18),"",IF($N18&gt;5,$N18,VLOOKUP($A18,'Final Round'!$A$14:$K$18,COLUMN('Final Round'!$J$1),0))),"")</f>
        <v>27</v>
      </c>
      <c r="V18" s="36">
        <f t="shared" ca="1" si="9"/>
        <v>27</v>
      </c>
      <c r="W18" s="36">
        <f t="shared" ca="1" si="10"/>
        <v>225</v>
      </c>
      <c r="X18" s="36">
        <f t="shared" ca="1" si="11"/>
        <v>27</v>
      </c>
      <c r="Y18" s="36">
        <f t="shared" si="12"/>
        <v>6</v>
      </c>
      <c r="Z18" s="36">
        <f t="shared" ca="1" si="13"/>
        <v>27</v>
      </c>
      <c r="AA18" s="36">
        <f t="shared" ca="1" si="14"/>
        <v>0</v>
      </c>
      <c r="AB18" s="121">
        <f ca="1">IF(ISBLANK($A18),"",5+4*(I18+IF(AA18=0,0,VLOOKUP($A18,'Final Round'!$A$14:$K$18,COLUMN('Final Round'!$G$1),0)))+8*(H18+IF(AA18=0,0,IF(VLOOKUP($A18,'Final Round'!$A$14:$K$18,COLUMN('Final Round'!$J$1),0)=1,1,0)))+$AA18)</f>
        <v>5</v>
      </c>
    </row>
    <row r="19" spans="1:28" ht="12.95" customHeight="1" x14ac:dyDescent="0.2">
      <c r="A19" s="137">
        <v>22</v>
      </c>
      <c r="B19" s="138"/>
      <c r="C19" s="138"/>
      <c r="D19" s="138"/>
      <c r="E19" s="139"/>
      <c r="F19" s="140">
        <f ca="1">IF(ISBLANK($A19),"",SUM(IF(ISNA(IF(VLOOKUP($A19,'Round 1'!$A$7:$J$206,COLUMN('Round 1'!$H$7),0),1,NA())),0,1),IF(ISNA(IF(VLOOKUP($A19,'Round 2'!$A$7:$J$206,COLUMN('Round 1'!$H$7),0),1,NA())),0,1),IF(ISNA(IF(VLOOKUP($A19,'Round 3'!$A$7:$J$206,COLUMN('Round 1'!$H$7),0),1,NA())),0,1),IF(ISNA(IF(VLOOKUP($A19,'Final Round'!$A$14:$K$18,1,0),1,NA())),0,1)))</f>
        <v>3</v>
      </c>
      <c r="G19" s="141"/>
      <c r="H19" s="142">
        <f ca="1">IF(ISBLANK($A19),"",IF(ISERROR(VLOOKUP($A19,'Round 1'!$A$7:$I$206,COLUMN('Round 1'!$G$7),0)),0,VLOOKUP($A19,'Round 1'!$A$7:$I$206,COLUMN('Round 1'!$G$7),0))+IF(ISERROR(VLOOKUP($A19,'Round 2'!$A$7:$I$206,COLUMN('Round 2'!$G$7),0)),0,VLOOKUP($A19,'Round 2'!$A$7:$I$206,COLUMN('Round 2'!$G$7),0))+IF(ISERROR(VLOOKUP($A19,'Round 3'!$A$7:$I$206,COLUMN('Round 3'!$G$7),0)),0,VLOOKUP($A19,'Round 3'!$A$7:$I$206,COLUMN('Round 3'!$G$7),0)))</f>
        <v>0</v>
      </c>
      <c r="I19" s="142">
        <f ca="1">IF(ISBLANK($A19),"",IF(ISERROR(VLOOKUP($A19,'Round 1'!$A$7:$I$206,COLUMN('Round 1'!$F$7),0)),0,VLOOKUP($A19,'Round 1'!$A$7:$I$206,COLUMN('Round 1'!$F$7),0))+IF(ISERROR(VLOOKUP($A19,'Round 2'!$A$7:$I$206,COLUMN('Round 2'!$F$7),0)),0,VLOOKUP($A19,'Round 2'!$A$7:$I$206,COLUMN('Round 2'!$F$7),0))+IF(ISERROR(VLOOKUP($A19,'Round 3'!$A$7:$I$206,COLUMN('Round 3'!$F$7),0)),0,VLOOKUP($A19,'Round 3'!$A$7:$I$206,COLUMN('Round 3'!$F$7),0)))</f>
        <v>0</v>
      </c>
      <c r="J19" s="143">
        <f ca="1">IF(ISBLANK($A19),"",IF(ISERROR(VLOOKUP($A19,'Round 1'!$A$7:$I$206,COLUMN('Round 1'!$H$7),0)),0,VLOOKUP($A19,'Round 1'!$A$7:$I$206,COLUMN('Round 1'!$H$7),0))+IF(ISERROR(VLOOKUP($A19,'Round 2'!$A$7:$I$206,COLUMN('Round 2'!$H$7),0)),0,VLOOKUP($A19,'Round 2'!$A$7:$I$206,COLUMN('Round 2'!$H$7),0))+IF(ISERROR(VLOOKUP($A19,'Round 3'!$A$7:$I$206,COLUMN('Round 3'!$H$7),0)),0,VLOOKUP($A19,'Round 3'!$A$7:$I$206,COLUMN('Round 3'!$H$7),0)))</f>
        <v>82</v>
      </c>
      <c r="K19" s="142">
        <f t="shared" ca="1" si="0"/>
        <v>26</v>
      </c>
      <c r="L19" s="144" t="str">
        <f t="shared" ca="1" si="1"/>
        <v/>
      </c>
      <c r="M19" s="145"/>
      <c r="N19" s="146">
        <f t="shared" ca="1" si="2"/>
        <v>26</v>
      </c>
      <c r="O19" s="36">
        <f t="shared" ca="1" si="3"/>
        <v>0</v>
      </c>
      <c r="P19" s="36">
        <f t="shared" ca="1" si="4"/>
        <v>82</v>
      </c>
      <c r="Q19" s="36">
        <f t="shared" ca="1" si="5"/>
        <v>82</v>
      </c>
      <c r="R19" s="36">
        <f t="shared" ca="1" si="6"/>
        <v>26</v>
      </c>
      <c r="S19" s="36">
        <f t="shared" ca="1" si="7"/>
        <v>26</v>
      </c>
      <c r="T19" s="36">
        <f t="shared" si="8"/>
        <v>22</v>
      </c>
      <c r="U19" s="146">
        <f ca="1">IF(N('Final Round'!$J$14)&gt;0,IF(ISBLANK($A19),"",IF($N19&gt;5,$N19,VLOOKUP($A19,'Final Round'!$A$14:$K$18,COLUMN('Final Round'!$J$1),0))),"")</f>
        <v>26</v>
      </c>
      <c r="V19" s="36">
        <f t="shared" ca="1" si="9"/>
        <v>26</v>
      </c>
      <c r="W19" s="36">
        <f t="shared" ca="1" si="10"/>
        <v>242</v>
      </c>
      <c r="X19" s="36">
        <f t="shared" ca="1" si="11"/>
        <v>26</v>
      </c>
      <c r="Y19" s="36">
        <f t="shared" si="12"/>
        <v>22</v>
      </c>
      <c r="Z19" s="36">
        <f t="shared" ca="1" si="13"/>
        <v>26</v>
      </c>
      <c r="AA19" s="36">
        <f t="shared" ca="1" si="14"/>
        <v>0</v>
      </c>
      <c r="AB19" s="147">
        <f ca="1">IF(ISBLANK($A19),"",5+4*(I19+IF(AA19=0,0,VLOOKUP($A19,'Final Round'!$A$14:$K$18,COLUMN('Final Round'!$G$1),0)))+8*(H19+IF(AA19=0,0,IF(VLOOKUP($A19,'Final Round'!$A$14:$K$18,COLUMN('Final Round'!$J$1),0)=1,1,0)))+$AA19)</f>
        <v>5</v>
      </c>
    </row>
    <row r="20" spans="1:28" s="110" customFormat="1" ht="12.95" customHeight="1" x14ac:dyDescent="0.2">
      <c r="A20" s="122">
        <v>15</v>
      </c>
      <c r="B20" s="124"/>
      <c r="C20" s="124"/>
      <c r="D20" s="124"/>
      <c r="E20" s="125">
        <v>8638191794</v>
      </c>
      <c r="F20" s="126">
        <f ca="1">IF(ISBLANK($A20),"",SUM(IF(ISNA(IF(VLOOKUP($A20,'Round 1'!$A$7:$J$206,COLUMN('Round 1'!$H$7),0),1,NA())),0,1),IF(ISNA(IF(VLOOKUP($A20,'Round 2'!$A$7:$J$206,COLUMN('Round 1'!$H$7),0),1,NA())),0,1),IF(ISNA(IF(VLOOKUP($A20,'Round 3'!$A$7:$J$206,COLUMN('Round 1'!$H$7),0),1,NA())),0,1),IF(ISNA(IF(VLOOKUP($A20,'Final Round'!$A$14:$K$18,1,0),1,NA())),0,1)))</f>
        <v>4</v>
      </c>
      <c r="G20" s="127"/>
      <c r="H20" s="128">
        <f ca="1">IF(ISBLANK($A20),"",IF(ISERROR(VLOOKUP($A20,'Round 1'!$A$7:$I$206,COLUMN('Round 1'!$G$7),0)),0,VLOOKUP($A20,'Round 1'!$A$7:$I$206,COLUMN('Round 1'!$G$7),0))+IF(ISERROR(VLOOKUP($A20,'Round 2'!$A$7:$I$206,COLUMN('Round 2'!$G$7),0)),0,VLOOKUP($A20,'Round 2'!$A$7:$I$206,COLUMN('Round 2'!$G$7),0))+IF(ISERROR(VLOOKUP($A20,'Round 3'!$A$7:$I$206,COLUMN('Round 3'!$G$7),0)),0,VLOOKUP($A20,'Round 3'!$A$7:$I$206,COLUMN('Round 3'!$G$7),0)))</f>
        <v>2</v>
      </c>
      <c r="I20" s="128">
        <f ca="1">IF(ISBLANK($A20),"",IF(ISERROR(VLOOKUP($A20,'Round 1'!$A$7:$I$206,COLUMN('Round 1'!$F$7),0)),0,VLOOKUP($A20,'Round 1'!$A$7:$I$206,COLUMN('Round 1'!$F$7),0))+IF(ISERROR(VLOOKUP($A20,'Round 2'!$A$7:$I$206,COLUMN('Round 2'!$F$7),0)),0,VLOOKUP($A20,'Round 2'!$A$7:$I$206,COLUMN('Round 2'!$F$7),0))+IF(ISERROR(VLOOKUP($A20,'Round 3'!$A$7:$I$206,COLUMN('Round 3'!$F$7),0)),0,VLOOKUP($A20,'Round 3'!$A$7:$I$206,COLUMN('Round 3'!$F$7),0)))</f>
        <v>10</v>
      </c>
      <c r="J20" s="129">
        <f ca="1">IF(ISBLANK($A20),"",IF(ISERROR(VLOOKUP($A20,'Round 1'!$A$7:$I$206,COLUMN('Round 1'!$H$7),0)),0,VLOOKUP($A20,'Round 1'!$A$7:$I$206,COLUMN('Round 1'!$H$7),0))+IF(ISERROR(VLOOKUP($A20,'Round 2'!$A$7:$I$206,COLUMN('Round 2'!$H$7),0)),0,VLOOKUP($A20,'Round 2'!$A$7:$I$206,COLUMN('Round 2'!$H$7),0))+IF(ISERROR(VLOOKUP($A20,'Round 3'!$A$7:$I$206,COLUMN('Round 3'!$H$7),0)),0,VLOOKUP($A20,'Round 3'!$A$7:$I$206,COLUMN('Round 3'!$H$7),0)))</f>
        <v>174</v>
      </c>
      <c r="K20" s="128">
        <f t="shared" ca="1" si="0"/>
        <v>2</v>
      </c>
      <c r="L20" s="130" t="str">
        <f t="shared" ca="1" si="1"/>
        <v/>
      </c>
      <c r="M20" s="131"/>
      <c r="N20" s="132">
        <f t="shared" ca="1" si="2"/>
        <v>2</v>
      </c>
      <c r="O20" s="110">
        <f t="shared" ca="1" si="3"/>
        <v>32</v>
      </c>
      <c r="P20" s="110">
        <f t="shared" ca="1" si="4"/>
        <v>58094</v>
      </c>
      <c r="Q20" s="110">
        <f t="shared" ca="1" si="5"/>
        <v>58094</v>
      </c>
      <c r="R20" s="110">
        <f t="shared" ca="1" si="6"/>
        <v>2</v>
      </c>
      <c r="S20" s="110">
        <f t="shared" ca="1" si="7"/>
        <v>2</v>
      </c>
      <c r="T20" s="110">
        <f t="shared" si="8"/>
        <v>15</v>
      </c>
      <c r="U20" s="132">
        <f ca="1">IF(N('Final Round'!$J$14)&gt;0,IF(ISBLANK($A20),"",IF($N20&gt;5,$N20,VLOOKUP($A20,'Final Round'!$A$14:$K$18,COLUMN('Final Round'!$J$1),0))),"")</f>
        <v>2</v>
      </c>
      <c r="V20" s="110">
        <f t="shared" ca="1" si="9"/>
        <v>2</v>
      </c>
      <c r="W20" s="110">
        <f t="shared" ca="1" si="10"/>
        <v>1041</v>
      </c>
      <c r="X20" s="110">
        <f t="shared" ca="1" si="11"/>
        <v>3</v>
      </c>
      <c r="Y20" s="110">
        <f t="shared" si="12"/>
        <v>15</v>
      </c>
      <c r="Z20" s="110">
        <f t="shared" ca="1" si="13"/>
        <v>2</v>
      </c>
      <c r="AA20" s="110">
        <f t="shared" ca="1" si="14"/>
        <v>54.287407442944648</v>
      </c>
      <c r="AB20" s="133">
        <f ca="1">IF(ISBLANK($A20),"",5+4*(I20+IF(AA20=0,0,VLOOKUP($A20,'Final Round'!$A$14:$K$18,COLUMN('Final Round'!$G$1),0)))+8*(H20+IF(AA20=0,0,IF(VLOOKUP($A20,'Final Round'!$A$14:$K$18,COLUMN('Final Round'!$J$1),0)=1,1,0)))+$AA20)</f>
        <v>115.28740744294464</v>
      </c>
    </row>
    <row r="21" spans="1:28" s="110" customFormat="1" ht="12.95" customHeight="1" x14ac:dyDescent="0.2">
      <c r="A21" s="122">
        <v>30</v>
      </c>
      <c r="B21" s="124"/>
      <c r="C21" s="124"/>
      <c r="D21" s="124"/>
      <c r="E21" s="125">
        <v>3152888133</v>
      </c>
      <c r="F21" s="126">
        <f ca="1">IF(ISBLANK($A21),"",SUM(IF(ISNA(IF(VLOOKUP($A21,'Round 1'!$A$7:$J$206,COLUMN('Round 1'!$H$7),0),1,NA())),0,1),IF(ISNA(IF(VLOOKUP($A21,'Round 2'!$A$7:$J$206,COLUMN('Round 1'!$H$7),0),1,NA())),0,1),IF(ISNA(IF(VLOOKUP($A21,'Round 3'!$A$7:$J$206,COLUMN('Round 1'!$H$7),0),1,NA())),0,1),IF(ISNA(IF(VLOOKUP($A21,'Final Round'!$A$14:$K$18,1,0),1,NA())),0,1)))</f>
        <v>3</v>
      </c>
      <c r="G21" s="127"/>
      <c r="H21" s="128">
        <f ca="1">IF(ISBLANK($A21),"",IF(ISERROR(VLOOKUP($A21,'Round 1'!$A$7:$I$206,COLUMN('Round 1'!$G$7),0)),0,VLOOKUP($A21,'Round 1'!$A$7:$I$206,COLUMN('Round 1'!$G$7),0))+IF(ISERROR(VLOOKUP($A21,'Round 2'!$A$7:$I$206,COLUMN('Round 2'!$G$7),0)),0,VLOOKUP($A21,'Round 2'!$A$7:$I$206,COLUMN('Round 2'!$G$7),0))+IF(ISERROR(VLOOKUP($A21,'Round 3'!$A$7:$I$206,COLUMN('Round 3'!$G$7),0)),0,VLOOKUP($A21,'Round 3'!$A$7:$I$206,COLUMN('Round 3'!$G$7),0)))</f>
        <v>0</v>
      </c>
      <c r="I21" s="128">
        <f ca="1">IF(ISBLANK($A21),"",IF(ISERROR(VLOOKUP($A21,'Round 1'!$A$7:$I$206,COLUMN('Round 1'!$F$7),0)),0,VLOOKUP($A21,'Round 1'!$A$7:$I$206,COLUMN('Round 1'!$F$7),0))+IF(ISERROR(VLOOKUP($A21,'Round 2'!$A$7:$I$206,COLUMN('Round 2'!$F$7),0)),0,VLOOKUP($A21,'Round 2'!$A$7:$I$206,COLUMN('Round 2'!$F$7),0))+IF(ISERROR(VLOOKUP($A21,'Round 3'!$A$7:$I$206,COLUMN('Round 3'!$F$7),0)),0,VLOOKUP($A21,'Round 3'!$A$7:$I$206,COLUMN('Round 3'!$F$7),0)))</f>
        <v>1</v>
      </c>
      <c r="J21" s="129">
        <f ca="1">IF(ISBLANK($A21),"",IF(ISERROR(VLOOKUP($A21,'Round 1'!$A$7:$I$206,COLUMN('Round 1'!$H$7),0)),0,VLOOKUP($A21,'Round 1'!$A$7:$I$206,COLUMN('Round 1'!$H$7),0))+IF(ISERROR(VLOOKUP($A21,'Round 2'!$A$7:$I$206,COLUMN('Round 2'!$H$7),0)),0,VLOOKUP($A21,'Round 2'!$A$7:$I$206,COLUMN('Round 2'!$H$7),0))+IF(ISERROR(VLOOKUP($A21,'Round 3'!$A$7:$I$206,COLUMN('Round 3'!$H$7),0)),0,VLOOKUP($A21,'Round 3'!$A$7:$I$206,COLUMN('Round 3'!$H$7),0)))</f>
        <v>102</v>
      </c>
      <c r="K21" s="128">
        <f t="shared" ca="1" si="0"/>
        <v>20</v>
      </c>
      <c r="L21" s="130" t="str">
        <f t="shared" ca="1" si="1"/>
        <v/>
      </c>
      <c r="M21" s="131"/>
      <c r="N21" s="132">
        <f t="shared" ca="1" si="2"/>
        <v>20</v>
      </c>
      <c r="O21" s="110">
        <f t="shared" ca="1" si="3"/>
        <v>1</v>
      </c>
      <c r="P21" s="110">
        <f t="shared" ca="1" si="4"/>
        <v>1912</v>
      </c>
      <c r="Q21" s="110">
        <f t="shared" ca="1" si="5"/>
        <v>1912</v>
      </c>
      <c r="R21" s="110">
        <f t="shared" ca="1" si="6"/>
        <v>20</v>
      </c>
      <c r="S21" s="110">
        <f t="shared" ca="1" si="7"/>
        <v>20</v>
      </c>
      <c r="T21" s="110">
        <f t="shared" si="8"/>
        <v>30</v>
      </c>
      <c r="U21" s="132">
        <f ca="1">IF(N('Final Round'!$J$14)&gt;0,IF(ISBLANK($A21),"",IF($N21&gt;5,$N21,VLOOKUP($A21,'Final Round'!$A$14:$K$18,COLUMN('Final Round'!$J$1),0))),"")</f>
        <v>20</v>
      </c>
      <c r="V21" s="110">
        <f t="shared" ca="1" si="9"/>
        <v>20</v>
      </c>
      <c r="W21" s="110">
        <f t="shared" ca="1" si="10"/>
        <v>432</v>
      </c>
      <c r="X21" s="110">
        <f t="shared" ca="1" si="11"/>
        <v>20</v>
      </c>
      <c r="Y21" s="110">
        <f t="shared" si="12"/>
        <v>30</v>
      </c>
      <c r="Z21" s="110">
        <f t="shared" ca="1" si="13"/>
        <v>20</v>
      </c>
      <c r="AA21" s="110">
        <f t="shared" ca="1" si="14"/>
        <v>0</v>
      </c>
      <c r="AB21" s="133">
        <f ca="1">IF(ISBLANK($A21),"",5+4*(I21+IF(AA21=0,0,VLOOKUP($A21,'Final Round'!$A$14:$K$18,COLUMN('Final Round'!$G$1),0)))+8*(H21+IF(AA21=0,0,IF(VLOOKUP($A21,'Final Round'!$A$14:$K$18,COLUMN('Final Round'!$J$1),0)=1,1,0)))+$AA21)</f>
        <v>9</v>
      </c>
    </row>
    <row r="22" spans="1:28" s="110" customFormat="1" ht="12.95" customHeight="1" x14ac:dyDescent="0.2">
      <c r="A22" s="122">
        <v>1</v>
      </c>
      <c r="B22" s="124"/>
      <c r="C22" s="124"/>
      <c r="D22" s="124"/>
      <c r="E22" s="125">
        <v>8887487780</v>
      </c>
      <c r="F22" s="126">
        <f ca="1">IF(ISBLANK($A22),"",SUM(IF(ISNA(IF(VLOOKUP($A22,'Round 1'!$A$7:$J$206,COLUMN('Round 1'!$H$7),0),1,NA())),0,1),IF(ISNA(IF(VLOOKUP($A22,'Round 2'!$A$7:$J$206,COLUMN('Round 1'!$H$7),0),1,NA())),0,1),IF(ISNA(IF(VLOOKUP($A22,'Round 3'!$A$7:$J$206,COLUMN('Round 1'!$H$7),0),1,NA())),0,1),IF(ISNA(IF(VLOOKUP($A22,'Final Round'!$A$14:$K$18,1,0),1,NA())),0,1)))</f>
        <v>3</v>
      </c>
      <c r="G22" s="127"/>
      <c r="H22" s="128">
        <f ca="1">IF(ISBLANK($A22),"",IF(ISERROR(VLOOKUP($A22,'Round 1'!$A$7:$I$206,COLUMN('Round 1'!$G$7),0)),0,VLOOKUP($A22,'Round 1'!$A$7:$I$206,COLUMN('Round 1'!$G$7),0))+IF(ISERROR(VLOOKUP($A22,'Round 2'!$A$7:$I$206,COLUMN('Round 2'!$G$7),0)),0,VLOOKUP($A22,'Round 2'!$A$7:$I$206,COLUMN('Round 2'!$G$7),0))+IF(ISERROR(VLOOKUP($A22,'Round 3'!$A$7:$I$206,COLUMN('Round 3'!$G$7),0)),0,VLOOKUP($A22,'Round 3'!$A$7:$I$206,COLUMN('Round 3'!$G$7),0)))</f>
        <v>0</v>
      </c>
      <c r="I22" s="128">
        <f ca="1">IF(ISBLANK($A22),"",IF(ISERROR(VLOOKUP($A22,'Round 1'!$A$7:$I$206,COLUMN('Round 1'!$F$7),0)),0,VLOOKUP($A22,'Round 1'!$A$7:$I$206,COLUMN('Round 1'!$F$7),0))+IF(ISERROR(VLOOKUP($A22,'Round 2'!$A$7:$I$206,COLUMN('Round 2'!$F$7),0)),0,VLOOKUP($A22,'Round 2'!$A$7:$I$206,COLUMN('Round 2'!$F$7),0))+IF(ISERROR(VLOOKUP($A22,'Round 3'!$A$7:$I$206,COLUMN('Round 3'!$F$7),0)),0,VLOOKUP($A22,'Round 3'!$A$7:$I$206,COLUMN('Round 3'!$F$7),0)))</f>
        <v>0</v>
      </c>
      <c r="J22" s="129">
        <f ca="1">IF(ISBLANK($A22),"",IF(ISERROR(VLOOKUP($A22,'Round 1'!$A$7:$I$206,COLUMN('Round 1'!$H$7),0)),0,VLOOKUP($A22,'Round 1'!$A$7:$I$206,COLUMN('Round 1'!$H$7),0))+IF(ISERROR(VLOOKUP($A22,'Round 2'!$A$7:$I$206,COLUMN('Round 2'!$H$7),0)),0,VLOOKUP($A22,'Round 2'!$A$7:$I$206,COLUMN('Round 2'!$H$7),0))+IF(ISERROR(VLOOKUP($A22,'Round 3'!$A$7:$I$206,COLUMN('Round 3'!$H$7),0)),0,VLOOKUP($A22,'Round 3'!$A$7:$I$206,COLUMN('Round 3'!$H$7),0)))</f>
        <v>66</v>
      </c>
      <c r="K22" s="128">
        <f t="shared" ca="1" si="0"/>
        <v>29</v>
      </c>
      <c r="L22" s="130" t="str">
        <f t="shared" ca="1" si="1"/>
        <v/>
      </c>
      <c r="M22" s="131"/>
      <c r="N22" s="132">
        <f t="shared" ca="1" si="2"/>
        <v>29</v>
      </c>
      <c r="O22" s="110">
        <f t="shared" ca="1" si="3"/>
        <v>0</v>
      </c>
      <c r="P22" s="110">
        <f t="shared" ca="1" si="4"/>
        <v>66</v>
      </c>
      <c r="Q22" s="110">
        <f t="shared" ca="1" si="5"/>
        <v>66</v>
      </c>
      <c r="R22" s="110">
        <f t="shared" ca="1" si="6"/>
        <v>29</v>
      </c>
      <c r="S22" s="110">
        <f t="shared" ca="1" si="7"/>
        <v>-1</v>
      </c>
      <c r="T22" s="110">
        <f t="shared" si="8"/>
        <v>1</v>
      </c>
      <c r="U22" s="132">
        <f ca="1">IF(N('Final Round'!$J$14)&gt;0,IF(ISBLANK($A22),"",IF($N22&gt;5,$N22,VLOOKUP($A22,'Final Round'!$A$14:$K$18,COLUMN('Final Round'!$J$1),0))),"")</f>
        <v>29</v>
      </c>
      <c r="V22" s="110">
        <f t="shared" ca="1" si="9"/>
        <v>29</v>
      </c>
      <c r="W22" s="110">
        <f t="shared" ca="1" si="10"/>
        <v>164</v>
      </c>
      <c r="X22" s="110">
        <f t="shared" ca="1" si="11"/>
        <v>29</v>
      </c>
      <c r="Y22" s="110">
        <f t="shared" si="12"/>
        <v>1</v>
      </c>
      <c r="Z22" s="110">
        <f t="shared" ca="1" si="13"/>
        <v>29</v>
      </c>
      <c r="AA22" s="110">
        <f t="shared" ca="1" si="14"/>
        <v>0</v>
      </c>
      <c r="AB22" s="133">
        <f ca="1">IF(ISBLANK($A22),"",5+4*(I22+IF(AA22=0,0,VLOOKUP($A22,'Final Round'!$A$14:$K$18,COLUMN('Final Round'!$G$1),0)))+8*(H22+IF(AA22=0,0,IF(VLOOKUP($A22,'Final Round'!$A$14:$K$18,COLUMN('Final Round'!$J$1),0)=1,1,0)))+$AA22)</f>
        <v>5</v>
      </c>
    </row>
    <row r="23" spans="1:28" s="110" customFormat="1" ht="12.95" customHeight="1" x14ac:dyDescent="0.2">
      <c r="A23" s="122">
        <v>5</v>
      </c>
      <c r="B23" s="124"/>
      <c r="C23" s="124"/>
      <c r="D23" s="124"/>
      <c r="E23" s="125">
        <v>3216114793</v>
      </c>
      <c r="F23" s="126">
        <f ca="1">IF(ISBLANK($A23),"",SUM(IF(ISNA(IF(VLOOKUP($A23,'Round 1'!$A$7:$J$206,COLUMN('Round 1'!$H$7),0),1,NA())),0,1),IF(ISNA(IF(VLOOKUP($A23,'Round 2'!$A$7:$J$206,COLUMN('Round 1'!$H$7),0),1,NA())),0,1),IF(ISNA(IF(VLOOKUP($A23,'Round 3'!$A$7:$J$206,COLUMN('Round 1'!$H$7),0),1,NA())),0,1),IF(ISNA(IF(VLOOKUP($A23,'Final Round'!$A$14:$K$18,1,0),1,NA())),0,1)))</f>
        <v>3</v>
      </c>
      <c r="G23" s="127"/>
      <c r="H23" s="128">
        <f ca="1">IF(ISBLANK($A23),"",IF(ISERROR(VLOOKUP($A23,'Round 1'!$A$7:$I$206,COLUMN('Round 1'!$G$7),0)),0,VLOOKUP($A23,'Round 1'!$A$7:$I$206,COLUMN('Round 1'!$G$7),0))+IF(ISERROR(VLOOKUP($A23,'Round 2'!$A$7:$I$206,COLUMN('Round 2'!$G$7),0)),0,VLOOKUP($A23,'Round 2'!$A$7:$I$206,COLUMN('Round 2'!$G$7),0))+IF(ISERROR(VLOOKUP($A23,'Round 3'!$A$7:$I$206,COLUMN('Round 3'!$G$7),0)),0,VLOOKUP($A23,'Round 3'!$A$7:$I$206,COLUMN('Round 3'!$G$7),0)))</f>
        <v>0</v>
      </c>
      <c r="I23" s="128">
        <f ca="1">IF(ISBLANK($A23),"",IF(ISERROR(VLOOKUP($A23,'Round 1'!$A$7:$I$206,COLUMN('Round 1'!$F$7),0)),0,VLOOKUP($A23,'Round 1'!$A$7:$I$206,COLUMN('Round 1'!$F$7),0))+IF(ISERROR(VLOOKUP($A23,'Round 2'!$A$7:$I$206,COLUMN('Round 2'!$F$7),0)),0,VLOOKUP($A23,'Round 2'!$A$7:$I$206,COLUMN('Round 2'!$F$7),0))+IF(ISERROR(VLOOKUP($A23,'Round 3'!$A$7:$I$206,COLUMN('Round 3'!$F$7),0)),0,VLOOKUP($A23,'Round 3'!$A$7:$I$206,COLUMN('Round 3'!$F$7),0)))</f>
        <v>2.5</v>
      </c>
      <c r="J23" s="129">
        <f ca="1">IF(ISBLANK($A23),"",IF(ISERROR(VLOOKUP($A23,'Round 1'!$A$7:$I$206,COLUMN('Round 1'!$H$7),0)),0,VLOOKUP($A23,'Round 1'!$A$7:$I$206,COLUMN('Round 1'!$H$7),0))+IF(ISERROR(VLOOKUP($A23,'Round 2'!$A$7:$I$206,COLUMN('Round 2'!$H$7),0)),0,VLOOKUP($A23,'Round 2'!$A$7:$I$206,COLUMN('Round 2'!$H$7),0))+IF(ISERROR(VLOOKUP($A23,'Round 3'!$A$7:$I$206,COLUMN('Round 3'!$H$7),0)),0,VLOOKUP($A23,'Round 3'!$A$7:$I$206,COLUMN('Round 3'!$H$7),0)))</f>
        <v>102</v>
      </c>
      <c r="K23" s="128">
        <f t="shared" ca="1" si="0"/>
        <v>17</v>
      </c>
      <c r="L23" s="130" t="str">
        <f t="shared" ca="1" si="1"/>
        <v/>
      </c>
      <c r="M23" s="131"/>
      <c r="N23" s="132">
        <f t="shared" ca="1" si="2"/>
        <v>17</v>
      </c>
      <c r="O23" s="110">
        <f t="shared" ca="1" si="3"/>
        <v>2.5</v>
      </c>
      <c r="P23" s="110">
        <f t="shared" ca="1" si="4"/>
        <v>4627</v>
      </c>
      <c r="Q23" s="110">
        <f t="shared" ca="1" si="5"/>
        <v>4627</v>
      </c>
      <c r="R23" s="110">
        <f t="shared" ca="1" si="6"/>
        <v>17</v>
      </c>
      <c r="S23" s="110">
        <f t="shared" ca="1" si="7"/>
        <v>17</v>
      </c>
      <c r="T23" s="110">
        <f t="shared" si="8"/>
        <v>5</v>
      </c>
      <c r="U23" s="132">
        <f ca="1">IF(N('Final Round'!$J$14)&gt;0,IF(ISBLANK($A23),"",IF($N23&gt;5,$N23,VLOOKUP($A23,'Final Round'!$A$14:$K$18,COLUMN('Final Round'!$J$1),0))),"")</f>
        <v>17</v>
      </c>
      <c r="V23" s="110">
        <f t="shared" ca="1" si="9"/>
        <v>17</v>
      </c>
      <c r="W23" s="110">
        <f t="shared" ca="1" si="10"/>
        <v>556</v>
      </c>
      <c r="X23" s="110">
        <f t="shared" ca="1" si="11"/>
        <v>17</v>
      </c>
      <c r="Y23" s="110">
        <f t="shared" si="12"/>
        <v>5</v>
      </c>
      <c r="Z23" s="110">
        <f t="shared" ca="1" si="13"/>
        <v>17</v>
      </c>
      <c r="AA23" s="110">
        <f t="shared" ca="1" si="14"/>
        <v>0</v>
      </c>
      <c r="AB23" s="133">
        <f ca="1">IF(ISBLANK($A23),"",5+4*(I23+IF(AA23=0,0,VLOOKUP($A23,'Final Round'!$A$14:$K$18,COLUMN('Final Round'!$G$1),0)))+8*(H23+IF(AA23=0,0,IF(VLOOKUP($A23,'Final Round'!$A$14:$K$18,COLUMN('Final Round'!$J$1),0)=1,1,0)))+$AA23)</f>
        <v>15</v>
      </c>
    </row>
    <row r="24" spans="1:28" s="110" customFormat="1" ht="12.95" customHeight="1" x14ac:dyDescent="0.2">
      <c r="A24" s="122">
        <v>16</v>
      </c>
      <c r="B24" s="124"/>
      <c r="C24" s="124"/>
      <c r="D24" s="124"/>
      <c r="E24" s="125">
        <v>1631978624</v>
      </c>
      <c r="F24" s="126">
        <f ca="1">IF(ISBLANK($A24),"",SUM(IF(ISNA(IF(VLOOKUP($A24,'Round 1'!$A$7:$J$206,COLUMN('Round 1'!$H$7),0),1,NA())),0,1),IF(ISNA(IF(VLOOKUP($A24,'Round 2'!$A$7:$J$206,COLUMN('Round 1'!$H$7),0),1,NA())),0,1),IF(ISNA(IF(VLOOKUP($A24,'Round 3'!$A$7:$J$206,COLUMN('Round 1'!$H$7),0),1,NA())),0,1),IF(ISNA(IF(VLOOKUP($A24,'Final Round'!$A$14:$K$18,1,0),1,NA())),0,1)))</f>
        <v>3</v>
      </c>
      <c r="G24" s="127"/>
      <c r="H24" s="128">
        <f ca="1">IF(ISBLANK($A24),"",IF(ISERROR(VLOOKUP($A24,'Round 1'!$A$7:$I$206,COLUMN('Round 1'!$G$7),0)),0,VLOOKUP($A24,'Round 1'!$A$7:$I$206,COLUMN('Round 1'!$G$7),0))+IF(ISERROR(VLOOKUP($A24,'Round 2'!$A$7:$I$206,COLUMN('Round 2'!$G$7),0)),0,VLOOKUP($A24,'Round 2'!$A$7:$I$206,COLUMN('Round 2'!$G$7),0))+IF(ISERROR(VLOOKUP($A24,'Round 3'!$A$7:$I$206,COLUMN('Round 3'!$G$7),0)),0,VLOOKUP($A24,'Round 3'!$A$7:$I$206,COLUMN('Round 3'!$G$7),0)))</f>
        <v>0</v>
      </c>
      <c r="I24" s="128">
        <f ca="1">IF(ISBLANK($A24),"",IF(ISERROR(VLOOKUP($A24,'Round 1'!$A$7:$I$206,COLUMN('Round 1'!$F$7),0)),0,VLOOKUP($A24,'Round 1'!$A$7:$I$206,COLUMN('Round 1'!$F$7),0))+IF(ISERROR(VLOOKUP($A24,'Round 2'!$A$7:$I$206,COLUMN('Round 2'!$F$7),0)),0,VLOOKUP($A24,'Round 2'!$A$7:$I$206,COLUMN('Round 2'!$F$7),0))+IF(ISERROR(VLOOKUP($A24,'Round 3'!$A$7:$I$206,COLUMN('Round 3'!$F$7),0)),0,VLOOKUP($A24,'Round 3'!$A$7:$I$206,COLUMN('Round 3'!$F$7),0)))</f>
        <v>1</v>
      </c>
      <c r="J24" s="129">
        <f ca="1">IF(ISBLANK($A24),"",IF(ISERROR(VLOOKUP($A24,'Round 1'!$A$7:$I$206,COLUMN('Round 1'!$H$7),0)),0,VLOOKUP($A24,'Round 1'!$A$7:$I$206,COLUMN('Round 1'!$H$7),0))+IF(ISERROR(VLOOKUP($A24,'Round 2'!$A$7:$I$206,COLUMN('Round 2'!$H$7),0)),0,VLOOKUP($A24,'Round 2'!$A$7:$I$206,COLUMN('Round 2'!$H$7),0))+IF(ISERROR(VLOOKUP($A24,'Round 3'!$A$7:$I$206,COLUMN('Round 3'!$H$7),0)),0,VLOOKUP($A24,'Round 3'!$A$7:$I$206,COLUMN('Round 3'!$H$7),0)))</f>
        <v>90</v>
      </c>
      <c r="K24" s="128">
        <f t="shared" ca="1" si="0"/>
        <v>22</v>
      </c>
      <c r="L24" s="130" t="str">
        <f t="shared" ca="1" si="1"/>
        <v/>
      </c>
      <c r="M24" s="131"/>
      <c r="N24" s="132">
        <f t="shared" ca="1" si="2"/>
        <v>22</v>
      </c>
      <c r="O24" s="110">
        <f t="shared" ca="1" si="3"/>
        <v>1</v>
      </c>
      <c r="P24" s="110">
        <f t="shared" ca="1" si="4"/>
        <v>1900</v>
      </c>
      <c r="Q24" s="110">
        <f t="shared" ca="1" si="5"/>
        <v>1900</v>
      </c>
      <c r="R24" s="110">
        <f t="shared" ca="1" si="6"/>
        <v>22</v>
      </c>
      <c r="S24" s="110">
        <f t="shared" ca="1" si="7"/>
        <v>22</v>
      </c>
      <c r="T24" s="110">
        <f t="shared" si="8"/>
        <v>16</v>
      </c>
      <c r="U24" s="132">
        <f ca="1">IF(N('Final Round'!$J$14)&gt;0,IF(ISBLANK($A24),"",IF($N24&gt;5,$N24,VLOOKUP($A24,'Final Round'!$A$14:$K$18,COLUMN('Final Round'!$J$1),0))),"")</f>
        <v>22</v>
      </c>
      <c r="V24" s="110">
        <f t="shared" ca="1" si="9"/>
        <v>22</v>
      </c>
      <c r="W24" s="110">
        <f t="shared" ca="1" si="10"/>
        <v>380</v>
      </c>
      <c r="X24" s="110">
        <f t="shared" ca="1" si="11"/>
        <v>22</v>
      </c>
      <c r="Y24" s="110">
        <f t="shared" si="12"/>
        <v>16</v>
      </c>
      <c r="Z24" s="110">
        <f t="shared" ca="1" si="13"/>
        <v>22</v>
      </c>
      <c r="AA24" s="110">
        <f t="shared" ca="1" si="14"/>
        <v>0</v>
      </c>
      <c r="AB24" s="133">
        <f ca="1">IF(ISBLANK($A24),"",5+4*(I24+IF(AA24=0,0,VLOOKUP($A24,'Final Round'!$A$14:$K$18,COLUMN('Final Round'!$G$1),0)))+8*(H24+IF(AA24=0,0,IF(VLOOKUP($A24,'Final Round'!$A$14:$K$18,COLUMN('Final Round'!$J$1),0)=1,1,0)))+$AA24)</f>
        <v>9</v>
      </c>
    </row>
    <row r="25" spans="1:28" s="110" customFormat="1" ht="12.95" customHeight="1" x14ac:dyDescent="0.2">
      <c r="A25" s="122">
        <v>9</v>
      </c>
      <c r="B25" s="124"/>
      <c r="C25" s="124"/>
      <c r="D25" s="124"/>
      <c r="E25" s="125">
        <v>2345334199</v>
      </c>
      <c r="F25" s="126">
        <f ca="1">IF(ISBLANK($A25),"",SUM(IF(ISNA(IF(VLOOKUP($A25,'Round 1'!$A$7:$J$206,COLUMN('Round 1'!$H$7),0),1,NA())),0,1),IF(ISNA(IF(VLOOKUP($A25,'Round 2'!$A$7:$J$206,COLUMN('Round 1'!$H$7),0),1,NA())),0,1),IF(ISNA(IF(VLOOKUP($A25,'Round 3'!$A$7:$J$206,COLUMN('Round 1'!$H$7),0),1,NA())),0,1),IF(ISNA(IF(VLOOKUP($A25,'Final Round'!$A$14:$K$18,1,0),1,NA())),0,1)))</f>
        <v>3</v>
      </c>
      <c r="G25" s="127"/>
      <c r="H25" s="128">
        <f ca="1">IF(ISBLANK($A25),"",IF(ISERROR(VLOOKUP($A25,'Round 1'!$A$7:$I$206,COLUMN('Round 1'!$G$7),0)),0,VLOOKUP($A25,'Round 1'!$A$7:$I$206,COLUMN('Round 1'!$G$7),0))+IF(ISERROR(VLOOKUP($A25,'Round 2'!$A$7:$I$206,COLUMN('Round 2'!$G$7),0)),0,VLOOKUP($A25,'Round 2'!$A$7:$I$206,COLUMN('Round 2'!$G$7),0))+IF(ISERROR(VLOOKUP($A25,'Round 3'!$A$7:$I$206,COLUMN('Round 3'!$G$7),0)),0,VLOOKUP($A25,'Round 3'!$A$7:$I$206,COLUMN('Round 3'!$G$7),0)))</f>
        <v>0</v>
      </c>
      <c r="I25" s="128">
        <f ca="1">IF(ISBLANK($A25),"",IF(ISERROR(VLOOKUP($A25,'Round 1'!$A$7:$I$206,COLUMN('Round 1'!$F$7),0)),0,VLOOKUP($A25,'Round 1'!$A$7:$I$206,COLUMN('Round 1'!$F$7),0))+IF(ISERROR(VLOOKUP($A25,'Round 2'!$A$7:$I$206,COLUMN('Round 2'!$F$7),0)),0,VLOOKUP($A25,'Round 2'!$A$7:$I$206,COLUMN('Round 2'!$F$7),0))+IF(ISERROR(VLOOKUP($A25,'Round 3'!$A$7:$I$206,COLUMN('Round 3'!$F$7),0)),0,VLOOKUP($A25,'Round 3'!$A$7:$I$206,COLUMN('Round 3'!$F$7),0)))</f>
        <v>2</v>
      </c>
      <c r="J25" s="129">
        <f ca="1">IF(ISBLANK($A25),"",IF(ISERROR(VLOOKUP($A25,'Round 1'!$A$7:$I$206,COLUMN('Round 1'!$H$7),0)),0,VLOOKUP($A25,'Round 1'!$A$7:$I$206,COLUMN('Round 1'!$H$7),0))+IF(ISERROR(VLOOKUP($A25,'Round 2'!$A$7:$I$206,COLUMN('Round 2'!$H$7),0)),0,VLOOKUP($A25,'Round 2'!$A$7:$I$206,COLUMN('Round 2'!$H$7),0))+IF(ISERROR(VLOOKUP($A25,'Round 3'!$A$7:$I$206,COLUMN('Round 3'!$H$7),0)),0,VLOOKUP($A25,'Round 3'!$A$7:$I$206,COLUMN('Round 3'!$H$7),0)))</f>
        <v>100</v>
      </c>
      <c r="K25" s="128">
        <f t="shared" ca="1" si="0"/>
        <v>18</v>
      </c>
      <c r="L25" s="130" t="str">
        <f t="shared" ca="1" si="1"/>
        <v/>
      </c>
      <c r="M25" s="131"/>
      <c r="N25" s="132">
        <f t="shared" ca="1" si="2"/>
        <v>18</v>
      </c>
      <c r="O25" s="110">
        <f t="shared" ca="1" si="3"/>
        <v>2</v>
      </c>
      <c r="P25" s="110">
        <f t="shared" ca="1" si="4"/>
        <v>3720</v>
      </c>
      <c r="Q25" s="110">
        <f t="shared" ca="1" si="5"/>
        <v>3720</v>
      </c>
      <c r="R25" s="110">
        <f t="shared" ca="1" si="6"/>
        <v>18</v>
      </c>
      <c r="S25" s="110">
        <f t="shared" ca="1" si="7"/>
        <v>18</v>
      </c>
      <c r="T25" s="110">
        <f t="shared" si="8"/>
        <v>9</v>
      </c>
      <c r="U25" s="132">
        <f ca="1">IF(N('Final Round'!$J$14)&gt;0,IF(ISBLANK($A25),"",IF($N25&gt;5,$N25,VLOOKUP($A25,'Final Round'!$A$14:$K$18,COLUMN('Final Round'!$J$1),0))),"")</f>
        <v>18</v>
      </c>
      <c r="V25" s="110">
        <f t="shared" ca="1" si="9"/>
        <v>18</v>
      </c>
      <c r="W25" s="110">
        <f t="shared" ca="1" si="10"/>
        <v>519</v>
      </c>
      <c r="X25" s="110">
        <f t="shared" ca="1" si="11"/>
        <v>18</v>
      </c>
      <c r="Y25" s="110">
        <f t="shared" si="12"/>
        <v>9</v>
      </c>
      <c r="Z25" s="110">
        <f t="shared" ca="1" si="13"/>
        <v>18</v>
      </c>
      <c r="AA25" s="110">
        <f t="shared" ca="1" si="14"/>
        <v>0</v>
      </c>
      <c r="AB25" s="133">
        <f ca="1">IF(ISBLANK($A25),"",5+4*(I25+IF(AA25=0,0,VLOOKUP($A25,'Final Round'!$A$14:$K$18,COLUMN('Final Round'!$G$1),0)))+8*(H25+IF(AA25=0,0,IF(VLOOKUP($A25,'Final Round'!$A$14:$K$18,COLUMN('Final Round'!$J$1),0)=1,1,0)))+$AA25)</f>
        <v>13</v>
      </c>
    </row>
    <row r="26" spans="1:28" s="110" customFormat="1" ht="12.95" customHeight="1" x14ac:dyDescent="0.2">
      <c r="A26" s="122">
        <v>18</v>
      </c>
      <c r="B26" s="124"/>
      <c r="C26" s="124"/>
      <c r="D26" s="124"/>
      <c r="E26" s="125">
        <v>1474068689</v>
      </c>
      <c r="F26" s="126">
        <f ca="1">IF(ISBLANK($A26),"",SUM(IF(ISNA(IF(VLOOKUP($A26,'Round 1'!$A$7:$J$206,COLUMN('Round 1'!$H$7),0),1,NA())),0,1),IF(ISNA(IF(VLOOKUP($A26,'Round 2'!$A$7:$J$206,COLUMN('Round 1'!$H$7),0),1,NA())),0,1),IF(ISNA(IF(VLOOKUP($A26,'Round 3'!$A$7:$J$206,COLUMN('Round 1'!$H$7),0),1,NA())),0,1),IF(ISNA(IF(VLOOKUP($A26,'Final Round'!$A$14:$K$18,1,0),1,NA())),0,1)))</f>
        <v>3</v>
      </c>
      <c r="G26" s="127"/>
      <c r="H26" s="128">
        <f ca="1">IF(ISBLANK($A26),"",IF(ISERROR(VLOOKUP($A26,'Round 1'!$A$7:$I$206,COLUMN('Round 1'!$G$7),0)),0,VLOOKUP($A26,'Round 1'!$A$7:$I$206,COLUMN('Round 1'!$G$7),0))+IF(ISERROR(VLOOKUP($A26,'Round 2'!$A$7:$I$206,COLUMN('Round 2'!$G$7),0)),0,VLOOKUP($A26,'Round 2'!$A$7:$I$206,COLUMN('Round 2'!$G$7),0))+IF(ISERROR(VLOOKUP($A26,'Round 3'!$A$7:$I$206,COLUMN('Round 3'!$G$7),0)),0,VLOOKUP($A26,'Round 3'!$A$7:$I$206,COLUMN('Round 3'!$G$7),0)))</f>
        <v>1</v>
      </c>
      <c r="I26" s="128">
        <f ca="1">IF(ISBLANK($A26),"",IF(ISERROR(VLOOKUP($A26,'Round 1'!$A$7:$I$206,COLUMN('Round 1'!$F$7),0)),0,VLOOKUP($A26,'Round 1'!$A$7:$I$206,COLUMN('Round 1'!$F$7),0))+IF(ISERROR(VLOOKUP($A26,'Round 2'!$A$7:$I$206,COLUMN('Round 2'!$F$7),0)),0,VLOOKUP($A26,'Round 2'!$A$7:$I$206,COLUMN('Round 2'!$F$7),0))+IF(ISERROR(VLOOKUP($A26,'Round 3'!$A$7:$I$206,COLUMN('Round 3'!$F$7),0)),0,VLOOKUP($A26,'Round 3'!$A$7:$I$206,COLUMN('Round 3'!$F$7),0)))</f>
        <v>5</v>
      </c>
      <c r="J26" s="129">
        <f ca="1">IF(ISBLANK($A26),"",IF(ISERROR(VLOOKUP($A26,'Round 1'!$A$7:$I$206,COLUMN('Round 1'!$H$7),0)),0,VLOOKUP($A26,'Round 1'!$A$7:$I$206,COLUMN('Round 1'!$H$7),0))+IF(ISERROR(VLOOKUP($A26,'Round 2'!$A$7:$I$206,COLUMN('Round 2'!$H$7),0)),0,VLOOKUP($A26,'Round 2'!$A$7:$I$206,COLUMN('Round 2'!$H$7),0))+IF(ISERROR(VLOOKUP($A26,'Round 3'!$A$7:$I$206,COLUMN('Round 3'!$H$7),0)),0,VLOOKUP($A26,'Round 3'!$A$7:$I$206,COLUMN('Round 3'!$H$7),0)))</f>
        <v>106</v>
      </c>
      <c r="K26" s="128">
        <f t="shared" ca="1" si="0"/>
        <v>7</v>
      </c>
      <c r="L26" s="130" t="str">
        <f t="shared" ca="1" si="1"/>
        <v/>
      </c>
      <c r="M26" s="131"/>
      <c r="N26" s="132">
        <f t="shared" ca="1" si="2"/>
        <v>7</v>
      </c>
      <c r="O26" s="110">
        <f t="shared" ca="1" si="3"/>
        <v>16</v>
      </c>
      <c r="P26" s="110">
        <f t="shared" ca="1" si="4"/>
        <v>29066</v>
      </c>
      <c r="Q26" s="110">
        <f t="shared" ca="1" si="5"/>
        <v>29066</v>
      </c>
      <c r="R26" s="110">
        <f t="shared" ca="1" si="6"/>
        <v>7</v>
      </c>
      <c r="S26" s="110">
        <f t="shared" ca="1" si="7"/>
        <v>7</v>
      </c>
      <c r="T26" s="110">
        <f t="shared" si="8"/>
        <v>18</v>
      </c>
      <c r="U26" s="132">
        <f ca="1">IF(N('Final Round'!$J$14)&gt;0,IF(ISBLANK($A26),"",IF($N26&gt;5,$N26,VLOOKUP($A26,'Final Round'!$A$14:$K$18,COLUMN('Final Round'!$J$1),0))),"")</f>
        <v>7</v>
      </c>
      <c r="V26" s="110">
        <f t="shared" ca="1" si="9"/>
        <v>7</v>
      </c>
      <c r="W26" s="110">
        <f t="shared" ca="1" si="10"/>
        <v>873</v>
      </c>
      <c r="X26" s="110">
        <f t="shared" ca="1" si="11"/>
        <v>7</v>
      </c>
      <c r="Y26" s="110">
        <f t="shared" si="12"/>
        <v>18</v>
      </c>
      <c r="Z26" s="110">
        <f t="shared" ca="1" si="13"/>
        <v>7</v>
      </c>
      <c r="AA26" s="110">
        <f t="shared" ca="1" si="14"/>
        <v>0</v>
      </c>
      <c r="AB26" s="133">
        <f ca="1">IF(ISBLANK($A26),"",5+4*(I26+IF(AA26=0,0,VLOOKUP($A26,'Final Round'!$A$14:$K$18,COLUMN('Final Round'!$G$1),0)))+8*(H26+IF(AA26=0,0,IF(VLOOKUP($A26,'Final Round'!$A$14:$K$18,COLUMN('Final Round'!$J$1),0)=1,1,0)))+$AA26)</f>
        <v>33</v>
      </c>
    </row>
    <row r="27" spans="1:28" s="110" customFormat="1" ht="12.95" customHeight="1" x14ac:dyDescent="0.2">
      <c r="A27" s="122">
        <v>13</v>
      </c>
      <c r="B27" s="124"/>
      <c r="C27" s="124"/>
      <c r="D27" s="124"/>
      <c r="E27" s="125">
        <v>2327404634</v>
      </c>
      <c r="F27" s="126">
        <f ca="1">IF(ISBLANK($A27),"",SUM(IF(ISNA(IF(VLOOKUP($A27,'Round 1'!$A$7:$J$206,COLUMN('Round 1'!$H$7),0),1,NA())),0,1),IF(ISNA(IF(VLOOKUP($A27,'Round 2'!$A$7:$J$206,COLUMN('Round 1'!$H$7),0),1,NA())),0,1),IF(ISNA(IF(VLOOKUP($A27,'Round 3'!$A$7:$J$206,COLUMN('Round 1'!$H$7),0),1,NA())),0,1),IF(ISNA(IF(VLOOKUP($A27,'Final Round'!$A$14:$K$18,1,0),1,NA())),0,1)))</f>
        <v>3</v>
      </c>
      <c r="G27" s="127"/>
      <c r="H27" s="128">
        <f ca="1">IF(ISBLANK($A27),"",IF(ISERROR(VLOOKUP($A27,'Round 1'!$A$7:$I$206,COLUMN('Round 1'!$G$7),0)),0,VLOOKUP($A27,'Round 1'!$A$7:$I$206,COLUMN('Round 1'!$G$7),0))+IF(ISERROR(VLOOKUP($A27,'Round 2'!$A$7:$I$206,COLUMN('Round 2'!$G$7),0)),0,VLOOKUP($A27,'Round 2'!$A$7:$I$206,COLUMN('Round 2'!$G$7),0))+IF(ISERROR(VLOOKUP($A27,'Round 3'!$A$7:$I$206,COLUMN('Round 3'!$G$7),0)),0,VLOOKUP($A27,'Round 3'!$A$7:$I$206,COLUMN('Round 3'!$G$7),0)))</f>
        <v>0</v>
      </c>
      <c r="I27" s="128">
        <f ca="1">IF(ISBLANK($A27),"",IF(ISERROR(VLOOKUP($A27,'Round 1'!$A$7:$I$206,COLUMN('Round 1'!$F$7),0)),0,VLOOKUP($A27,'Round 1'!$A$7:$I$206,COLUMN('Round 1'!$F$7),0))+IF(ISERROR(VLOOKUP($A27,'Round 2'!$A$7:$I$206,COLUMN('Round 2'!$F$7),0)),0,VLOOKUP($A27,'Round 2'!$A$7:$I$206,COLUMN('Round 2'!$F$7),0))+IF(ISERROR(VLOOKUP($A27,'Round 3'!$A$7:$I$206,COLUMN('Round 3'!$F$7),0)),0,VLOOKUP($A27,'Round 3'!$A$7:$I$206,COLUMN('Round 3'!$F$7),0)))</f>
        <v>1</v>
      </c>
      <c r="J27" s="129">
        <f ca="1">IF(ISBLANK($A27),"",IF(ISERROR(VLOOKUP($A27,'Round 1'!$A$7:$I$206,COLUMN('Round 1'!$H$7),0)),0,VLOOKUP($A27,'Round 1'!$A$7:$I$206,COLUMN('Round 1'!$H$7),0))+IF(ISERROR(VLOOKUP($A27,'Round 2'!$A$7:$I$206,COLUMN('Round 2'!$H$7),0)),0,VLOOKUP($A27,'Round 2'!$A$7:$I$206,COLUMN('Round 2'!$H$7),0))+IF(ISERROR(VLOOKUP($A27,'Round 3'!$A$7:$I$206,COLUMN('Round 3'!$H$7),0)),0,VLOOKUP($A27,'Round 3'!$A$7:$I$206,COLUMN('Round 3'!$H$7),0)))</f>
        <v>84</v>
      </c>
      <c r="K27" s="128">
        <f t="shared" ca="1" si="0"/>
        <v>23</v>
      </c>
      <c r="L27" s="130" t="str">
        <f t="shared" ca="1" si="1"/>
        <v/>
      </c>
      <c r="M27" s="131"/>
      <c r="N27" s="132">
        <f t="shared" ca="1" si="2"/>
        <v>23</v>
      </c>
      <c r="O27" s="110">
        <f t="shared" ca="1" si="3"/>
        <v>1</v>
      </c>
      <c r="P27" s="110">
        <f t="shared" ca="1" si="4"/>
        <v>1894</v>
      </c>
      <c r="Q27" s="110">
        <f t="shared" ca="1" si="5"/>
        <v>1894</v>
      </c>
      <c r="R27" s="110">
        <f t="shared" ca="1" si="6"/>
        <v>23</v>
      </c>
      <c r="S27" s="110">
        <f t="shared" ca="1" si="7"/>
        <v>23</v>
      </c>
      <c r="T27" s="110">
        <f t="shared" si="8"/>
        <v>13</v>
      </c>
      <c r="U27" s="132">
        <f ca="1">IF(N('Final Round'!$J$14)&gt;0,IF(ISBLANK($A27),"",IF($N27&gt;5,$N27,VLOOKUP($A27,'Final Round'!$A$14:$K$18,COLUMN('Final Round'!$J$1),0))),"")</f>
        <v>23</v>
      </c>
      <c r="V27" s="110">
        <f t="shared" ca="1" si="9"/>
        <v>23</v>
      </c>
      <c r="W27" s="110">
        <f t="shared" ca="1" si="10"/>
        <v>350</v>
      </c>
      <c r="X27" s="110">
        <f t="shared" ca="1" si="11"/>
        <v>23</v>
      </c>
      <c r="Y27" s="110">
        <f t="shared" si="12"/>
        <v>13</v>
      </c>
      <c r="Z27" s="110">
        <f t="shared" ca="1" si="13"/>
        <v>23</v>
      </c>
      <c r="AA27" s="110">
        <f t="shared" ca="1" si="14"/>
        <v>0</v>
      </c>
      <c r="AB27" s="133">
        <f ca="1">IF(ISBLANK($A27),"",5+4*(I27+IF(AA27=0,0,VLOOKUP($A27,'Final Round'!$A$14:$K$18,COLUMN('Final Round'!$G$1),0)))+8*(H27+IF(AA27=0,0,IF(VLOOKUP($A27,'Final Round'!$A$14:$K$18,COLUMN('Final Round'!$J$1),0)=1,1,0)))+$AA27)</f>
        <v>9</v>
      </c>
    </row>
    <row r="28" spans="1:28" s="110" customFormat="1" ht="12.95" customHeight="1" x14ac:dyDescent="0.2">
      <c r="A28" s="122">
        <v>14</v>
      </c>
      <c r="B28" s="124"/>
      <c r="C28" s="124"/>
      <c r="D28" s="124"/>
      <c r="E28" s="125">
        <v>3984662749</v>
      </c>
      <c r="F28" s="126">
        <f ca="1">IF(ISBLANK($A28),"",SUM(IF(ISNA(IF(VLOOKUP($A28,'Round 1'!$A$7:$J$206,COLUMN('Round 1'!$H$7),0),1,NA())),0,1),IF(ISNA(IF(VLOOKUP($A28,'Round 2'!$A$7:$J$206,COLUMN('Round 1'!$H$7),0),1,NA())),0,1),IF(ISNA(IF(VLOOKUP($A28,'Round 3'!$A$7:$J$206,COLUMN('Round 1'!$H$7),0),1,NA())),0,1),IF(ISNA(IF(VLOOKUP($A28,'Final Round'!$A$14:$K$18,1,0),1,NA())),0,1)))</f>
        <v>3</v>
      </c>
      <c r="G28" s="127"/>
      <c r="H28" s="128">
        <f ca="1">IF(ISBLANK($A28),"",IF(ISERROR(VLOOKUP($A28,'Round 1'!$A$7:$I$206,COLUMN('Round 1'!$G$7),0)),0,VLOOKUP($A28,'Round 1'!$A$7:$I$206,COLUMN('Round 1'!$G$7),0))+IF(ISERROR(VLOOKUP($A28,'Round 2'!$A$7:$I$206,COLUMN('Round 2'!$G$7),0)),0,VLOOKUP($A28,'Round 2'!$A$7:$I$206,COLUMN('Round 2'!$G$7),0))+IF(ISERROR(VLOOKUP($A28,'Round 3'!$A$7:$I$206,COLUMN('Round 3'!$G$7),0)),0,VLOOKUP($A28,'Round 3'!$A$7:$I$206,COLUMN('Round 3'!$G$7),0)))</f>
        <v>0</v>
      </c>
      <c r="I28" s="128">
        <f ca="1">IF(ISBLANK($A28),"",IF(ISERROR(VLOOKUP($A28,'Round 1'!$A$7:$I$206,COLUMN('Round 1'!$F$7),0)),0,VLOOKUP($A28,'Round 1'!$A$7:$I$206,COLUMN('Round 1'!$F$7),0))+IF(ISERROR(VLOOKUP($A28,'Round 2'!$A$7:$I$206,COLUMN('Round 2'!$F$7),0)),0,VLOOKUP($A28,'Round 2'!$A$7:$I$206,COLUMN('Round 2'!$F$7),0))+IF(ISERROR(VLOOKUP($A28,'Round 3'!$A$7:$I$206,COLUMN('Round 3'!$F$7),0)),0,VLOOKUP($A28,'Round 3'!$A$7:$I$206,COLUMN('Round 3'!$F$7),0)))</f>
        <v>0</v>
      </c>
      <c r="J28" s="129">
        <f ca="1">IF(ISBLANK($A28),"",IF(ISERROR(VLOOKUP($A28,'Round 1'!$A$7:$I$206,COLUMN('Round 1'!$H$7),0)),0,VLOOKUP($A28,'Round 1'!$A$7:$I$206,COLUMN('Round 1'!$H$7),0))+IF(ISERROR(VLOOKUP($A28,'Round 2'!$A$7:$I$206,COLUMN('Round 2'!$H$7),0)),0,VLOOKUP($A28,'Round 2'!$A$7:$I$206,COLUMN('Round 2'!$H$7),0))+IF(ISERROR(VLOOKUP($A28,'Round 3'!$A$7:$I$206,COLUMN('Round 3'!$H$7),0)),0,VLOOKUP($A28,'Round 3'!$A$7:$I$206,COLUMN('Round 3'!$H$7),0)))</f>
        <v>60</v>
      </c>
      <c r="K28" s="128">
        <f t="shared" ca="1" si="0"/>
        <v>32</v>
      </c>
      <c r="L28" s="130" t="str">
        <f t="shared" ca="1" si="1"/>
        <v/>
      </c>
      <c r="M28" s="131"/>
      <c r="N28" s="132">
        <f t="shared" ca="1" si="2"/>
        <v>32</v>
      </c>
      <c r="O28" s="110">
        <f t="shared" ca="1" si="3"/>
        <v>0</v>
      </c>
      <c r="P28" s="110">
        <f t="shared" ca="1" si="4"/>
        <v>60</v>
      </c>
      <c r="Q28" s="110">
        <f t="shared" ca="1" si="5"/>
        <v>60</v>
      </c>
      <c r="R28" s="110">
        <f t="shared" ca="1" si="6"/>
        <v>32</v>
      </c>
      <c r="S28" s="110">
        <f t="shared" ca="1" si="7"/>
        <v>32</v>
      </c>
      <c r="T28" s="110">
        <f t="shared" si="8"/>
        <v>14</v>
      </c>
      <c r="U28" s="132">
        <f ca="1">IF(N('Final Round'!$J$14)&gt;0,IF(ISBLANK($A28),"",IF($N28&gt;5,$N28,VLOOKUP($A28,'Final Round'!$A$14:$K$18,COLUMN('Final Round'!$J$1),0))),"")</f>
        <v>32</v>
      </c>
      <c r="V28" s="110">
        <f t="shared" ca="1" si="9"/>
        <v>32</v>
      </c>
      <c r="W28" s="110">
        <f t="shared" ca="1" si="10"/>
        <v>52</v>
      </c>
      <c r="X28" s="110">
        <f t="shared" ca="1" si="11"/>
        <v>32</v>
      </c>
      <c r="Y28" s="110">
        <f t="shared" si="12"/>
        <v>14</v>
      </c>
      <c r="Z28" s="110">
        <f t="shared" ca="1" si="13"/>
        <v>32</v>
      </c>
      <c r="AA28" s="110">
        <f t="shared" ca="1" si="14"/>
        <v>0</v>
      </c>
      <c r="AB28" s="133">
        <f ca="1">IF(ISBLANK($A28),"",5+4*(I28+IF(AA28=0,0,VLOOKUP($A28,'Final Round'!$A$14:$K$18,COLUMN('Final Round'!$G$1),0)))+8*(H28+IF(AA28=0,0,IF(VLOOKUP($A28,'Final Round'!$A$14:$K$18,COLUMN('Final Round'!$J$1),0)=1,1,0)))+$AA28)</f>
        <v>5</v>
      </c>
    </row>
    <row r="29" spans="1:28" s="110" customFormat="1" ht="12.95" customHeight="1" x14ac:dyDescent="0.2">
      <c r="A29" s="122">
        <v>4</v>
      </c>
      <c r="B29" s="124"/>
      <c r="C29" s="124"/>
      <c r="D29" s="124"/>
      <c r="E29" s="125">
        <v>1028087486</v>
      </c>
      <c r="F29" s="126">
        <f ca="1">IF(ISBLANK($A29),"",SUM(IF(ISNA(IF(VLOOKUP($A29,'Round 1'!$A$7:$J$206,COLUMN('Round 1'!$H$7),0),1,NA())),0,1),IF(ISNA(IF(VLOOKUP($A29,'Round 2'!$A$7:$J$206,COLUMN('Round 1'!$H$7),0),1,NA())),0,1),IF(ISNA(IF(VLOOKUP($A29,'Round 3'!$A$7:$J$206,COLUMN('Round 1'!$H$7),0),1,NA())),0,1),IF(ISNA(IF(VLOOKUP($A29,'Final Round'!$A$14:$K$18,1,0),1,NA())),0,1)))</f>
        <v>3</v>
      </c>
      <c r="G29" s="127"/>
      <c r="H29" s="128">
        <f ca="1">IF(ISBLANK($A29),"",IF(ISERROR(VLOOKUP($A29,'Round 1'!$A$7:$I$206,COLUMN('Round 1'!$G$7),0)),0,VLOOKUP($A29,'Round 1'!$A$7:$I$206,COLUMN('Round 1'!$G$7),0))+IF(ISERROR(VLOOKUP($A29,'Round 2'!$A$7:$I$206,COLUMN('Round 2'!$G$7),0)),0,VLOOKUP($A29,'Round 2'!$A$7:$I$206,COLUMN('Round 2'!$G$7),0))+IF(ISERROR(VLOOKUP($A29,'Round 3'!$A$7:$I$206,COLUMN('Round 3'!$G$7),0)),0,VLOOKUP($A29,'Round 3'!$A$7:$I$206,COLUMN('Round 3'!$G$7),0)))</f>
        <v>0</v>
      </c>
      <c r="I29" s="128">
        <f ca="1">IF(ISBLANK($A29),"",IF(ISERROR(VLOOKUP($A29,'Round 1'!$A$7:$I$206,COLUMN('Round 1'!$F$7),0)),0,VLOOKUP($A29,'Round 1'!$A$7:$I$206,COLUMN('Round 1'!$F$7),0))+IF(ISERROR(VLOOKUP($A29,'Round 2'!$A$7:$I$206,COLUMN('Round 2'!$F$7),0)),0,VLOOKUP($A29,'Round 2'!$A$7:$I$206,COLUMN('Round 2'!$F$7),0))+IF(ISERROR(VLOOKUP($A29,'Round 3'!$A$7:$I$206,COLUMN('Round 3'!$F$7),0)),0,VLOOKUP($A29,'Round 3'!$A$7:$I$206,COLUMN('Round 3'!$F$7),0)))</f>
        <v>0</v>
      </c>
      <c r="J29" s="129">
        <f ca="1">IF(ISBLANK($A29),"",IF(ISERROR(VLOOKUP($A29,'Round 1'!$A$7:$I$206,COLUMN('Round 1'!$H$7),0)),0,VLOOKUP($A29,'Round 1'!$A$7:$I$206,COLUMN('Round 1'!$H$7),0))+IF(ISERROR(VLOOKUP($A29,'Round 2'!$A$7:$I$206,COLUMN('Round 2'!$H$7),0)),0,VLOOKUP($A29,'Round 2'!$A$7:$I$206,COLUMN('Round 2'!$H$7),0))+IF(ISERROR(VLOOKUP($A29,'Round 3'!$A$7:$I$206,COLUMN('Round 3'!$H$7),0)),0,VLOOKUP($A29,'Round 3'!$A$7:$I$206,COLUMN('Round 3'!$H$7),0)))</f>
        <v>70</v>
      </c>
      <c r="K29" s="128">
        <f t="shared" ca="1" si="0"/>
        <v>28</v>
      </c>
      <c r="L29" s="130" t="str">
        <f t="shared" ca="1" si="1"/>
        <v/>
      </c>
      <c r="M29" s="131"/>
      <c r="N29" s="132">
        <f t="shared" ca="1" si="2"/>
        <v>28</v>
      </c>
      <c r="O29" s="110">
        <f t="shared" ca="1" si="3"/>
        <v>0</v>
      </c>
      <c r="P29" s="110">
        <f t="shared" ca="1" si="4"/>
        <v>70</v>
      </c>
      <c r="Q29" s="110">
        <f t="shared" ca="1" si="5"/>
        <v>70</v>
      </c>
      <c r="R29" s="110">
        <f t="shared" ca="1" si="6"/>
        <v>28</v>
      </c>
      <c r="S29" s="110">
        <f t="shared" ca="1" si="7"/>
        <v>28</v>
      </c>
      <c r="T29" s="110">
        <f t="shared" si="8"/>
        <v>4</v>
      </c>
      <c r="U29" s="132">
        <f ca="1">IF(N('Final Round'!$J$14)&gt;0,IF(ISBLANK($A29),"",IF($N29&gt;5,$N29,VLOOKUP($A29,'Final Round'!$A$14:$K$18,COLUMN('Final Round'!$J$1),0))),"")</f>
        <v>28</v>
      </c>
      <c r="V29" s="110">
        <f t="shared" ca="1" si="9"/>
        <v>28</v>
      </c>
      <c r="W29" s="110">
        <f t="shared" ca="1" si="10"/>
        <v>194</v>
      </c>
      <c r="X29" s="110">
        <f t="shared" ca="1" si="11"/>
        <v>28</v>
      </c>
      <c r="Y29" s="110">
        <f t="shared" si="12"/>
        <v>4</v>
      </c>
      <c r="Z29" s="110">
        <f t="shared" ca="1" si="13"/>
        <v>28</v>
      </c>
      <c r="AA29" s="110">
        <f t="shared" ca="1" si="14"/>
        <v>0</v>
      </c>
      <c r="AB29" s="133">
        <f ca="1">IF(ISBLANK($A29),"",5+4*(I29+IF(AA29=0,0,VLOOKUP($A29,'Final Round'!$A$14:$K$18,COLUMN('Final Round'!$G$1),0)))+8*(H29+IF(AA29=0,0,IF(VLOOKUP($A29,'Final Round'!$A$14:$K$18,COLUMN('Final Round'!$J$1),0)=1,1,0)))+$AA29)</f>
        <v>5</v>
      </c>
    </row>
    <row r="30" spans="1:28" s="110" customFormat="1" ht="12.95" customHeight="1" x14ac:dyDescent="0.2">
      <c r="A30" s="122">
        <v>21</v>
      </c>
      <c r="B30" s="124"/>
      <c r="C30" s="124"/>
      <c r="D30" s="124"/>
      <c r="E30" s="125">
        <v>9370279301</v>
      </c>
      <c r="F30" s="126">
        <f ca="1">IF(ISBLANK($A30),"",SUM(IF(ISNA(IF(VLOOKUP($A30,'Round 1'!$A$7:$J$206,COLUMN('Round 1'!$H$7),0),1,NA())),0,1),IF(ISNA(IF(VLOOKUP($A30,'Round 2'!$A$7:$J$206,COLUMN('Round 1'!$H$7),0),1,NA())),0,1),IF(ISNA(IF(VLOOKUP($A30,'Round 3'!$A$7:$J$206,COLUMN('Round 1'!$H$7),0),1,NA())),0,1),IF(ISNA(IF(VLOOKUP($A30,'Final Round'!$A$14:$K$18,1,0),1,NA())),0,1)))</f>
        <v>3</v>
      </c>
      <c r="G30" s="127"/>
      <c r="H30" s="128">
        <f ca="1">IF(ISBLANK($A30),"",IF(ISERROR(VLOOKUP($A30,'Round 1'!$A$7:$I$206,COLUMN('Round 1'!$G$7),0)),0,VLOOKUP($A30,'Round 1'!$A$7:$I$206,COLUMN('Round 1'!$G$7),0))+IF(ISERROR(VLOOKUP($A30,'Round 2'!$A$7:$I$206,COLUMN('Round 2'!$G$7),0)),0,VLOOKUP($A30,'Round 2'!$A$7:$I$206,COLUMN('Round 2'!$G$7),0))+IF(ISERROR(VLOOKUP($A30,'Round 3'!$A$7:$I$206,COLUMN('Round 3'!$G$7),0)),0,VLOOKUP($A30,'Round 3'!$A$7:$I$206,COLUMN('Round 3'!$G$7),0)))</f>
        <v>1</v>
      </c>
      <c r="I30" s="128">
        <f ca="1">IF(ISBLANK($A30),"",IF(ISERROR(VLOOKUP($A30,'Round 1'!$A$7:$I$206,COLUMN('Round 1'!$F$7),0)),0,VLOOKUP($A30,'Round 1'!$A$7:$I$206,COLUMN('Round 1'!$F$7),0))+IF(ISERROR(VLOOKUP($A30,'Round 2'!$A$7:$I$206,COLUMN('Round 2'!$F$7),0)),0,VLOOKUP($A30,'Round 2'!$A$7:$I$206,COLUMN('Round 2'!$F$7),0))+IF(ISERROR(VLOOKUP($A30,'Round 3'!$A$7:$I$206,COLUMN('Round 3'!$F$7),0)),0,VLOOKUP($A30,'Round 3'!$A$7:$I$206,COLUMN('Round 3'!$F$7),0)))</f>
        <v>3.5</v>
      </c>
      <c r="J30" s="129">
        <f ca="1">IF(ISBLANK($A30),"",IF(ISERROR(VLOOKUP($A30,'Round 1'!$A$7:$I$206,COLUMN('Round 1'!$H$7),0)),0,VLOOKUP($A30,'Round 1'!$A$7:$I$206,COLUMN('Round 1'!$H$7),0))+IF(ISERROR(VLOOKUP($A30,'Round 2'!$A$7:$I$206,COLUMN('Round 2'!$H$7),0)),0,VLOOKUP($A30,'Round 2'!$A$7:$I$206,COLUMN('Round 2'!$H$7),0))+IF(ISERROR(VLOOKUP($A30,'Round 3'!$A$7:$I$206,COLUMN('Round 3'!$H$7),0)),0,VLOOKUP($A30,'Round 3'!$A$7:$I$206,COLUMN('Round 3'!$H$7),0)))</f>
        <v>118</v>
      </c>
      <c r="K30" s="128">
        <f t="shared" ca="1" si="0"/>
        <v>10</v>
      </c>
      <c r="L30" s="130" t="str">
        <f t="shared" ca="1" si="1"/>
        <v/>
      </c>
      <c r="M30" s="131"/>
      <c r="N30" s="132">
        <f t="shared" ca="1" si="2"/>
        <v>10</v>
      </c>
      <c r="O30" s="110">
        <f t="shared" ca="1" si="3"/>
        <v>14.5</v>
      </c>
      <c r="P30" s="110">
        <f t="shared" ca="1" si="4"/>
        <v>26363</v>
      </c>
      <c r="Q30" s="110">
        <f t="shared" ca="1" si="5"/>
        <v>26363</v>
      </c>
      <c r="R30" s="110">
        <f t="shared" ca="1" si="6"/>
        <v>10</v>
      </c>
      <c r="S30" s="110">
        <f t="shared" ca="1" si="7"/>
        <v>10</v>
      </c>
      <c r="T30" s="110">
        <f t="shared" si="8"/>
        <v>21</v>
      </c>
      <c r="U30" s="132">
        <f ca="1">IF(N('Final Round'!$J$14)&gt;0,IF(ISBLANK($A30),"",IF($N30&gt;5,$N30,VLOOKUP($A30,'Final Round'!$A$14:$K$18,COLUMN('Final Round'!$J$1),0))),"")</f>
        <v>10</v>
      </c>
      <c r="V30" s="110">
        <f t="shared" ca="1" si="9"/>
        <v>10</v>
      </c>
      <c r="W30" s="110">
        <f t="shared" ca="1" si="10"/>
        <v>771</v>
      </c>
      <c r="X30" s="110">
        <f t="shared" ca="1" si="11"/>
        <v>10</v>
      </c>
      <c r="Y30" s="110">
        <f t="shared" si="12"/>
        <v>21</v>
      </c>
      <c r="Z30" s="110">
        <f t="shared" ca="1" si="13"/>
        <v>10</v>
      </c>
      <c r="AA30" s="110">
        <f t="shared" ca="1" si="14"/>
        <v>0</v>
      </c>
      <c r="AB30" s="133">
        <f ca="1">IF(ISBLANK($A30),"",5+4*(I30+IF(AA30=0,0,VLOOKUP($A30,'Final Round'!$A$14:$K$18,COLUMN('Final Round'!$G$1),0)))+8*(H30+IF(AA30=0,0,IF(VLOOKUP($A30,'Final Round'!$A$14:$K$18,COLUMN('Final Round'!$J$1),0)=1,1,0)))+$AA30)</f>
        <v>27</v>
      </c>
    </row>
    <row r="31" spans="1:28" s="110" customFormat="1" x14ac:dyDescent="0.2">
      <c r="A31" s="122">
        <v>26</v>
      </c>
      <c r="B31" s="124"/>
      <c r="C31" s="124"/>
      <c r="D31" s="124"/>
      <c r="E31" s="125">
        <v>8261671295</v>
      </c>
      <c r="F31" s="126">
        <f ca="1">IF(ISBLANK($A31),"",SUM(IF(ISNA(IF(VLOOKUP($A31,'Round 1'!$A$7:$J$206,COLUMN('Round 1'!$H$7),0),1,NA())),0,1),IF(ISNA(IF(VLOOKUP($A31,'Round 2'!$A$7:$J$206,COLUMN('Round 1'!$H$7),0),1,NA())),0,1),IF(ISNA(IF(VLOOKUP($A31,'Round 3'!$A$7:$J$206,COLUMN('Round 1'!$H$7),0),1,NA())),0,1),IF(ISNA(IF(VLOOKUP($A31,'Final Round'!$A$14:$K$18,1,0),1,NA())),0,1)))</f>
        <v>3</v>
      </c>
      <c r="G31" s="127"/>
      <c r="H31" s="128">
        <f ca="1">IF(ISBLANK($A31),"",IF(ISERROR(VLOOKUP($A31,'Round 1'!$A$7:$I$206,COLUMN('Round 1'!$G$7),0)),0,VLOOKUP($A31,'Round 1'!$A$7:$I$206,COLUMN('Round 1'!$G$7),0))+IF(ISERROR(VLOOKUP($A31,'Round 2'!$A$7:$I$206,COLUMN('Round 2'!$G$7),0)),0,VLOOKUP($A31,'Round 2'!$A$7:$I$206,COLUMN('Round 2'!$G$7),0))+IF(ISERROR(VLOOKUP($A31,'Round 3'!$A$7:$I$206,COLUMN('Round 3'!$G$7),0)),0,VLOOKUP($A31,'Round 3'!$A$7:$I$206,COLUMN('Round 3'!$G$7),0)))</f>
        <v>0</v>
      </c>
      <c r="I31" s="128">
        <f ca="1">IF(ISBLANK($A31),"",IF(ISERROR(VLOOKUP($A31,'Round 1'!$A$7:$I$206,COLUMN('Round 1'!$F$7),0)),0,VLOOKUP($A31,'Round 1'!$A$7:$I$206,COLUMN('Round 1'!$F$7),0))+IF(ISERROR(VLOOKUP($A31,'Round 2'!$A$7:$I$206,COLUMN('Round 2'!$F$7),0)),0,VLOOKUP($A31,'Round 2'!$A$7:$I$206,COLUMN('Round 2'!$F$7),0))+IF(ISERROR(VLOOKUP($A31,'Round 3'!$A$7:$I$206,COLUMN('Round 3'!$F$7),0)),0,VLOOKUP($A31,'Round 3'!$A$7:$I$206,COLUMN('Round 3'!$F$7),0)))</f>
        <v>3</v>
      </c>
      <c r="J31" s="129">
        <f ca="1">IF(ISBLANK($A31),"",IF(ISERROR(VLOOKUP($A31,'Round 1'!$A$7:$I$206,COLUMN('Round 1'!$H$7),0)),0,VLOOKUP($A31,'Round 1'!$A$7:$I$206,COLUMN('Round 1'!$H$7),0))+IF(ISERROR(VLOOKUP($A31,'Round 2'!$A$7:$I$206,COLUMN('Round 2'!$H$7),0)),0,VLOOKUP($A31,'Round 2'!$A$7:$I$206,COLUMN('Round 2'!$H$7),0))+IF(ISERROR(VLOOKUP($A31,'Round 3'!$A$7:$I$206,COLUMN('Round 3'!$H$7),0)),0,VLOOKUP($A31,'Round 3'!$A$7:$I$206,COLUMN('Round 3'!$H$7),0)))</f>
        <v>114</v>
      </c>
      <c r="K31" s="128">
        <f t="shared" ca="1" si="0"/>
        <v>15</v>
      </c>
      <c r="L31" s="130" t="str">
        <f t="shared" ca="1" si="1"/>
        <v/>
      </c>
      <c r="M31" s="131"/>
      <c r="N31" s="132">
        <f t="shared" ca="1" si="2"/>
        <v>15</v>
      </c>
      <c r="O31" s="110">
        <f t="shared" ca="1" si="3"/>
        <v>3</v>
      </c>
      <c r="P31" s="110">
        <f t="shared" ca="1" si="4"/>
        <v>5544</v>
      </c>
      <c r="Q31" s="110">
        <f t="shared" ca="1" si="5"/>
        <v>5544</v>
      </c>
      <c r="R31" s="110">
        <f t="shared" ca="1" si="6"/>
        <v>15</v>
      </c>
      <c r="S31" s="110">
        <f t="shared" ca="1" si="7"/>
        <v>-1</v>
      </c>
      <c r="T31" s="110">
        <f t="shared" si="8"/>
        <v>26</v>
      </c>
      <c r="U31" s="132">
        <f ca="1">IF(N('Final Round'!$J$14)&gt;0,IF(ISBLANK($A31),"",IF($N31&gt;5,$N31,VLOOKUP($A31,'Final Round'!$A$14:$K$18,COLUMN('Final Round'!$J$1),0))),"")</f>
        <v>15</v>
      </c>
      <c r="V31" s="110">
        <f t="shared" ca="1" si="9"/>
        <v>15</v>
      </c>
      <c r="W31" s="110">
        <f t="shared" ca="1" si="10"/>
        <v>601</v>
      </c>
      <c r="X31" s="110">
        <f t="shared" ca="1" si="11"/>
        <v>16</v>
      </c>
      <c r="Y31" s="110">
        <f t="shared" si="12"/>
        <v>26</v>
      </c>
      <c r="Z31" s="110">
        <f t="shared" ca="1" si="13"/>
        <v>15</v>
      </c>
      <c r="AA31" s="110">
        <f t="shared" ca="1" si="14"/>
        <v>0</v>
      </c>
      <c r="AB31" s="133">
        <f ca="1">IF(ISBLANK($A31),"",5+4*(I31+IF(AA31=0,0,VLOOKUP($A31,'Final Round'!$A$14:$K$18,COLUMN('Final Round'!$G$1),0)))+8*(H31+IF(AA31=0,0,IF(VLOOKUP($A31,'Final Round'!$A$14:$K$18,COLUMN('Final Round'!$J$1),0)=1,1,0)))+$AA31)</f>
        <v>17</v>
      </c>
    </row>
    <row r="32" spans="1:28" x14ac:dyDescent="0.2">
      <c r="A32" s="111">
        <v>2</v>
      </c>
      <c r="B32" s="112"/>
      <c r="C32" s="112"/>
      <c r="D32" s="112"/>
      <c r="E32" s="113"/>
      <c r="F32" s="114">
        <f ca="1">IF(ISBLANK($A32),"",SUM(IF(ISNA(IF(VLOOKUP($A32,'Round 1'!$A$7:$J$206,COLUMN('Round 1'!$H$7),0),1,NA())),0,1),IF(ISNA(IF(VLOOKUP($A32,'Round 2'!$A$7:$J$206,COLUMN('Round 1'!$H$7),0),1,NA())),0,1),IF(ISNA(IF(VLOOKUP($A32,'Round 3'!$A$7:$J$206,COLUMN('Round 1'!$H$7),0),1,NA())),0,1),IF(ISNA(IF(VLOOKUP($A32,'Final Round'!$A$14:$K$18,1,0),1,NA())),0,1)))</f>
        <v>3</v>
      </c>
      <c r="G32" s="115"/>
      <c r="H32" s="116">
        <f ca="1">IF(ISBLANK($A32),"",IF(ISERROR(VLOOKUP($A32,'Round 1'!$A$7:$I$206,COLUMN('Round 1'!$G$7),0)),0,VLOOKUP($A32,'Round 1'!$A$7:$I$206,COLUMN('Round 1'!$G$7),0))+IF(ISERROR(VLOOKUP($A32,'Round 2'!$A$7:$I$206,COLUMN('Round 2'!$G$7),0)),0,VLOOKUP($A32,'Round 2'!$A$7:$I$206,COLUMN('Round 2'!$G$7),0))+IF(ISERROR(VLOOKUP($A32,'Round 3'!$A$7:$I$206,COLUMN('Round 3'!$G$7),0)),0,VLOOKUP($A32,'Round 3'!$A$7:$I$206,COLUMN('Round 3'!$G$7),0)))</f>
        <v>0</v>
      </c>
      <c r="I32" s="116">
        <f ca="1">IF(ISBLANK($A32),"",IF(ISERROR(VLOOKUP($A32,'Round 1'!$A$7:$I$206,COLUMN('Round 1'!$F$7),0)),0,VLOOKUP($A32,'Round 1'!$A$7:$I$206,COLUMN('Round 1'!$F$7),0))+IF(ISERROR(VLOOKUP($A32,'Round 2'!$A$7:$I$206,COLUMN('Round 2'!$F$7),0)),0,VLOOKUP($A32,'Round 2'!$A$7:$I$206,COLUMN('Round 2'!$F$7),0))+IF(ISERROR(VLOOKUP($A32,'Round 3'!$A$7:$I$206,COLUMN('Round 3'!$F$7),0)),0,VLOOKUP($A32,'Round 3'!$A$7:$I$206,COLUMN('Round 3'!$F$7),0)))</f>
        <v>0</v>
      </c>
      <c r="J32" s="117">
        <f ca="1">IF(ISBLANK($A32),"",IF(ISERROR(VLOOKUP($A32,'Round 1'!$A$7:$I$206,COLUMN('Round 1'!$H$7),0)),0,VLOOKUP($A32,'Round 1'!$A$7:$I$206,COLUMN('Round 1'!$H$7),0))+IF(ISERROR(VLOOKUP($A32,'Round 2'!$A$7:$I$206,COLUMN('Round 2'!$H$7),0)),0,VLOOKUP($A32,'Round 2'!$A$7:$I$206,COLUMN('Round 2'!$H$7),0))+IF(ISERROR(VLOOKUP($A32,'Round 3'!$A$7:$I$206,COLUMN('Round 3'!$H$7),0)),0,VLOOKUP($A32,'Round 3'!$A$7:$I$206,COLUMN('Round 3'!$H$7),0)))</f>
        <v>66</v>
      </c>
      <c r="K32" s="116">
        <f t="shared" ca="1" si="0"/>
        <v>29</v>
      </c>
      <c r="L32" s="118" t="str">
        <f t="shared" ca="1" si="1"/>
        <v/>
      </c>
      <c r="M32" s="119"/>
      <c r="N32" s="120">
        <f t="shared" ca="1" si="2"/>
        <v>29</v>
      </c>
      <c r="O32" s="36">
        <f t="shared" ca="1" si="3"/>
        <v>0</v>
      </c>
      <c r="P32" s="36">
        <f t="shared" ca="1" si="4"/>
        <v>66</v>
      </c>
      <c r="Q32" s="36">
        <f t="shared" ca="1" si="5"/>
        <v>66</v>
      </c>
      <c r="R32" s="36">
        <f t="shared" ca="1" si="6"/>
        <v>29</v>
      </c>
      <c r="S32" s="36">
        <f t="shared" ca="1" si="7"/>
        <v>-1</v>
      </c>
      <c r="T32" s="36">
        <f t="shared" si="8"/>
        <v>2</v>
      </c>
      <c r="U32" s="120">
        <f ca="1">IF(N('Final Round'!$J$14)&gt;0,IF(ISBLANK($A32),"",IF($N32&gt;5,$N32,VLOOKUP($A32,'Final Round'!$A$14:$K$18,COLUMN('Final Round'!$J$1),0))),"")</f>
        <v>29</v>
      </c>
      <c r="V32" s="36">
        <f t="shared" ca="1" si="9"/>
        <v>29</v>
      </c>
      <c r="W32" s="36">
        <f t="shared" ca="1" si="10"/>
        <v>163</v>
      </c>
      <c r="X32" s="36">
        <f t="shared" ca="1" si="11"/>
        <v>30</v>
      </c>
      <c r="Y32" s="36">
        <f t="shared" si="12"/>
        <v>2</v>
      </c>
      <c r="Z32" s="36">
        <f t="shared" ca="1" si="13"/>
        <v>29</v>
      </c>
      <c r="AA32" s="36">
        <f t="shared" ca="1" si="14"/>
        <v>0</v>
      </c>
      <c r="AB32" s="121">
        <f ca="1">IF(ISBLANK($A32),"",5+4*(I32+IF(AA32=0,0,VLOOKUP($A32,'Final Round'!$A$14:$K$18,COLUMN('Final Round'!$G$1),0)))+8*(H32+IF(AA32=0,0,IF(VLOOKUP($A32,'Final Round'!$A$14:$K$18,COLUMN('Final Round'!$J$1),0)=1,1,0)))+$AA32)</f>
        <v>5</v>
      </c>
    </row>
    <row r="33" spans="1:28" s="110" customFormat="1" x14ac:dyDescent="0.2">
      <c r="A33" s="122">
        <v>10</v>
      </c>
      <c r="B33" s="124"/>
      <c r="C33" s="124"/>
      <c r="D33" s="124"/>
      <c r="E33" s="125">
        <v>9194606472</v>
      </c>
      <c r="F33" s="126">
        <f ca="1">IF(ISBLANK($A33),"",SUM(IF(ISNA(IF(VLOOKUP($A33,'Round 1'!$A$7:$J$206,COLUMN('Round 1'!$H$7),0),1,NA())),0,1),IF(ISNA(IF(VLOOKUP($A33,'Round 2'!$A$7:$J$206,COLUMN('Round 1'!$H$7),0),1,NA())),0,1),IF(ISNA(IF(VLOOKUP($A33,'Round 3'!$A$7:$J$206,COLUMN('Round 1'!$H$7),0),1,NA())),0,1),IF(ISNA(IF(VLOOKUP($A33,'Final Round'!$A$14:$K$18,1,0),1,NA())),0,1)))</f>
        <v>4</v>
      </c>
      <c r="G33" s="127"/>
      <c r="H33" s="128">
        <f ca="1">IF(ISBLANK($A33),"",IF(ISERROR(VLOOKUP($A33,'Round 1'!$A$7:$I$206,COLUMN('Round 1'!$G$7),0)),0,VLOOKUP($A33,'Round 1'!$A$7:$I$206,COLUMN('Round 1'!$G$7),0))+IF(ISERROR(VLOOKUP($A33,'Round 2'!$A$7:$I$206,COLUMN('Round 2'!$G$7),0)),0,VLOOKUP($A33,'Round 2'!$A$7:$I$206,COLUMN('Round 2'!$G$7),0))+IF(ISERROR(VLOOKUP($A33,'Round 3'!$A$7:$I$206,COLUMN('Round 3'!$G$7),0)),0,VLOOKUP($A33,'Round 3'!$A$7:$I$206,COLUMN('Round 3'!$G$7),0)))</f>
        <v>2</v>
      </c>
      <c r="I33" s="128">
        <f ca="1">IF(ISBLANK($A33),"",IF(ISERROR(VLOOKUP($A33,'Round 1'!$A$7:$I$206,COLUMN('Round 1'!$F$7),0)),0,VLOOKUP($A33,'Round 1'!$A$7:$I$206,COLUMN('Round 1'!$F$7),0))+IF(ISERROR(VLOOKUP($A33,'Round 2'!$A$7:$I$206,COLUMN('Round 2'!$F$7),0)),0,VLOOKUP($A33,'Round 2'!$A$7:$I$206,COLUMN('Round 2'!$F$7),0))+IF(ISERROR(VLOOKUP($A33,'Round 3'!$A$7:$I$206,COLUMN('Round 3'!$F$7),0)),0,VLOOKUP($A33,'Round 3'!$A$7:$I$206,COLUMN('Round 3'!$F$7),0)))</f>
        <v>8</v>
      </c>
      <c r="J33" s="129">
        <f ca="1">IF(ISBLANK($A33),"",IF(ISERROR(VLOOKUP($A33,'Round 1'!$A$7:$I$206,COLUMN('Round 1'!$H$7),0)),0,VLOOKUP($A33,'Round 1'!$A$7:$I$206,COLUMN('Round 1'!$H$7),0))+IF(ISERROR(VLOOKUP($A33,'Round 2'!$A$7:$I$206,COLUMN('Round 2'!$H$7),0)),0,VLOOKUP($A33,'Round 2'!$A$7:$I$206,COLUMN('Round 2'!$H$7),0))+IF(ISERROR(VLOOKUP($A33,'Round 3'!$A$7:$I$206,COLUMN('Round 3'!$H$7),0)),0,VLOOKUP($A33,'Round 3'!$A$7:$I$206,COLUMN('Round 3'!$H$7),0)))</f>
        <v>144</v>
      </c>
      <c r="K33" s="128">
        <f t="shared" ca="1" si="0"/>
        <v>3</v>
      </c>
      <c r="L33" s="130" t="str">
        <f t="shared" ca="1" si="1"/>
        <v/>
      </c>
      <c r="M33" s="131"/>
      <c r="N33" s="132">
        <f t="shared" ca="1" si="2"/>
        <v>3</v>
      </c>
      <c r="O33" s="110">
        <f t="shared" ca="1" si="3"/>
        <v>30</v>
      </c>
      <c r="P33" s="110">
        <f t="shared" ca="1" si="4"/>
        <v>54444</v>
      </c>
      <c r="Q33" s="110">
        <f t="shared" ca="1" si="5"/>
        <v>54444</v>
      </c>
      <c r="R33" s="110">
        <f t="shared" ca="1" si="6"/>
        <v>3</v>
      </c>
      <c r="S33" s="110">
        <f t="shared" ca="1" si="7"/>
        <v>3</v>
      </c>
      <c r="T33" s="110">
        <f t="shared" si="8"/>
        <v>10</v>
      </c>
      <c r="U33" s="132">
        <f ca="1">IF(N('Final Round'!$J$14)&gt;0,IF(ISBLANK($A33),"",IF($N33&gt;5,$N33,VLOOKUP($A33,'Final Round'!$A$14:$K$18,COLUMN('Final Round'!$J$1),0))),"")</f>
        <v>2</v>
      </c>
      <c r="V33" s="110">
        <f t="shared" ca="1" si="9"/>
        <v>2</v>
      </c>
      <c r="W33" s="110">
        <f t="shared" ca="1" si="10"/>
        <v>1046</v>
      </c>
      <c r="X33" s="110">
        <f t="shared" ca="1" si="11"/>
        <v>2</v>
      </c>
      <c r="Y33" s="110">
        <f t="shared" si="12"/>
        <v>10</v>
      </c>
      <c r="Z33" s="110">
        <f t="shared" ca="1" si="13"/>
        <v>2</v>
      </c>
      <c r="AA33" s="110">
        <f t="shared" ca="1" si="14"/>
        <v>54.287407442944648</v>
      </c>
      <c r="AB33" s="133">
        <f ca="1">IF(ISBLANK($A33),"",5+4*(I33+IF(AA33=0,0,VLOOKUP($A33,'Final Round'!$A$14:$K$18,COLUMN('Final Round'!$G$1),0)))+8*(H33+IF(AA33=0,0,IF(VLOOKUP($A33,'Final Round'!$A$14:$K$18,COLUMN('Final Round'!$J$1),0)=1,1,0)))+$AA33)</f>
        <v>107.28740744294464</v>
      </c>
    </row>
    <row r="34" spans="1:28" s="110" customFormat="1" x14ac:dyDescent="0.2">
      <c r="A34" s="122">
        <v>23</v>
      </c>
      <c r="B34" s="124"/>
      <c r="C34" s="124"/>
      <c r="D34" s="124"/>
      <c r="E34" s="125">
        <v>4885708539</v>
      </c>
      <c r="F34" s="126">
        <f ca="1">IF(ISBLANK($A34),"",SUM(IF(ISNA(IF(VLOOKUP($A34,'Round 1'!$A$7:$J$206,COLUMN('Round 1'!$H$7),0),1,NA())),0,1),IF(ISNA(IF(VLOOKUP($A34,'Round 2'!$A$7:$J$206,COLUMN('Round 1'!$H$7),0),1,NA())),0,1),IF(ISNA(IF(VLOOKUP($A34,'Round 3'!$A$7:$J$206,COLUMN('Round 1'!$H$7),0),1,NA())),0,1),IF(ISNA(IF(VLOOKUP($A34,'Final Round'!$A$14:$K$18,1,0),1,NA())),0,1)))</f>
        <v>3</v>
      </c>
      <c r="G34" s="127"/>
      <c r="H34" s="128">
        <f ca="1">IF(ISBLANK($A34),"",IF(ISERROR(VLOOKUP($A34,'Round 1'!$A$7:$I$206,COLUMN('Round 1'!$G$7),0)),0,VLOOKUP($A34,'Round 1'!$A$7:$I$206,COLUMN('Round 1'!$G$7),0))+IF(ISERROR(VLOOKUP($A34,'Round 2'!$A$7:$I$206,COLUMN('Round 2'!$G$7),0)),0,VLOOKUP($A34,'Round 2'!$A$7:$I$206,COLUMN('Round 2'!$G$7),0))+IF(ISERROR(VLOOKUP($A34,'Round 3'!$A$7:$I$206,COLUMN('Round 3'!$G$7),0)),0,VLOOKUP($A34,'Round 3'!$A$7:$I$206,COLUMN('Round 3'!$G$7),0)))</f>
        <v>0</v>
      </c>
      <c r="I34" s="128">
        <f ca="1">IF(ISBLANK($A34),"",IF(ISERROR(VLOOKUP($A34,'Round 1'!$A$7:$I$206,COLUMN('Round 1'!$F$7),0)),0,VLOOKUP($A34,'Round 1'!$A$7:$I$206,COLUMN('Round 1'!$F$7),0))+IF(ISERROR(VLOOKUP($A34,'Round 2'!$A$7:$I$206,COLUMN('Round 2'!$F$7),0)),0,VLOOKUP($A34,'Round 2'!$A$7:$I$206,COLUMN('Round 2'!$F$7),0))+IF(ISERROR(VLOOKUP($A34,'Round 3'!$A$7:$I$206,COLUMN('Round 3'!$F$7),0)),0,VLOOKUP($A34,'Round 3'!$A$7:$I$206,COLUMN('Round 3'!$F$7),0)))</f>
        <v>1.5</v>
      </c>
      <c r="J34" s="129">
        <f ca="1">IF(ISBLANK($A34),"",IF(ISERROR(VLOOKUP($A34,'Round 1'!$A$7:$I$206,COLUMN('Round 1'!$H$7),0)),0,VLOOKUP($A34,'Round 1'!$A$7:$I$206,COLUMN('Round 1'!$H$7),0))+IF(ISERROR(VLOOKUP($A34,'Round 2'!$A$7:$I$206,COLUMN('Round 2'!$H$7),0)),0,VLOOKUP($A34,'Round 2'!$A$7:$I$206,COLUMN('Round 2'!$H$7),0))+IF(ISERROR(VLOOKUP($A34,'Round 3'!$A$7:$I$206,COLUMN('Round 3'!$H$7),0)),0,VLOOKUP($A34,'Round 3'!$A$7:$I$206,COLUMN('Round 3'!$H$7),0)))</f>
        <v>100</v>
      </c>
      <c r="K34" s="128">
        <f t="shared" ca="1" si="0"/>
        <v>19</v>
      </c>
      <c r="L34" s="130" t="str">
        <f t="shared" ca="1" si="1"/>
        <v/>
      </c>
      <c r="M34" s="131"/>
      <c r="N34" s="132">
        <f t="shared" ca="1" si="2"/>
        <v>19</v>
      </c>
      <c r="O34" s="110">
        <f t="shared" ca="1" si="3"/>
        <v>1.5</v>
      </c>
      <c r="P34" s="110">
        <f t="shared" ca="1" si="4"/>
        <v>2815</v>
      </c>
      <c r="Q34" s="110">
        <f t="shared" ca="1" si="5"/>
        <v>2815</v>
      </c>
      <c r="R34" s="110">
        <f t="shared" ca="1" si="6"/>
        <v>19</v>
      </c>
      <c r="S34" s="110">
        <f t="shared" ca="1" si="7"/>
        <v>19</v>
      </c>
      <c r="T34" s="110">
        <f t="shared" si="8"/>
        <v>23</v>
      </c>
      <c r="U34" s="132">
        <f ca="1">IF(N('Final Round'!$J$14)&gt;0,IF(ISBLANK($A34),"",IF($N34&gt;5,$N34,VLOOKUP($A34,'Final Round'!$A$14:$K$18,COLUMN('Final Round'!$J$1),0))),"")</f>
        <v>19</v>
      </c>
      <c r="V34" s="110">
        <f t="shared" ca="1" si="9"/>
        <v>19</v>
      </c>
      <c r="W34" s="110">
        <f t="shared" ca="1" si="10"/>
        <v>472</v>
      </c>
      <c r="X34" s="110">
        <f t="shared" ca="1" si="11"/>
        <v>19</v>
      </c>
      <c r="Y34" s="110">
        <f t="shared" si="12"/>
        <v>23</v>
      </c>
      <c r="Z34" s="110">
        <f t="shared" ca="1" si="13"/>
        <v>19</v>
      </c>
      <c r="AA34" s="110">
        <f t="shared" ca="1" si="14"/>
        <v>0</v>
      </c>
      <c r="AB34" s="133">
        <f ca="1">IF(ISBLANK($A34),"",5+4*(I34+IF(AA34=0,0,VLOOKUP($A34,'Final Round'!$A$14:$K$18,COLUMN('Final Round'!$G$1),0)))+8*(H34+IF(AA34=0,0,IF(VLOOKUP($A34,'Final Round'!$A$14:$K$18,COLUMN('Final Round'!$J$1),0)=1,1,0)))+$AA34)</f>
        <v>11</v>
      </c>
    </row>
    <row r="35" spans="1:28" x14ac:dyDescent="0.2">
      <c r="A35" s="137">
        <v>8</v>
      </c>
      <c r="B35" s="138"/>
      <c r="C35" s="138"/>
      <c r="D35" s="138"/>
      <c r="E35" s="139"/>
      <c r="F35" s="140">
        <f ca="1">IF(ISBLANK($A35),"",SUM(IF(ISNA(IF(VLOOKUP($A35,'Round 1'!$A$7:$J$206,COLUMN('Round 1'!$H$7),0),1,NA())),0,1),IF(ISNA(IF(VLOOKUP($A35,'Round 2'!$A$7:$J$206,COLUMN('Round 1'!$H$7),0),1,NA())),0,1),IF(ISNA(IF(VLOOKUP($A35,'Round 3'!$A$7:$J$206,COLUMN('Round 1'!$H$7),0),1,NA())),0,1),IF(ISNA(IF(VLOOKUP($A35,'Final Round'!$A$14:$K$18,1,0),1,NA())),0,1)))</f>
        <v>3</v>
      </c>
      <c r="G35" s="141"/>
      <c r="H35" s="142">
        <f ca="1">IF(ISBLANK($A35),"",IF(ISERROR(VLOOKUP($A35,'Round 1'!$A$7:$I$206,COLUMN('Round 1'!$G$7),0)),0,VLOOKUP($A35,'Round 1'!$A$7:$I$206,COLUMN('Round 1'!$G$7),0))+IF(ISERROR(VLOOKUP($A35,'Round 2'!$A$7:$I$206,COLUMN('Round 2'!$G$7),0)),0,VLOOKUP($A35,'Round 2'!$A$7:$I$206,COLUMN('Round 2'!$G$7),0))+IF(ISERROR(VLOOKUP($A35,'Round 3'!$A$7:$I$206,COLUMN('Round 3'!$G$7),0)),0,VLOOKUP($A35,'Round 3'!$A$7:$I$206,COLUMN('Round 3'!$G$7),0)))</f>
        <v>0</v>
      </c>
      <c r="I35" s="142">
        <f ca="1">IF(ISBLANK($A35),"",IF(ISERROR(VLOOKUP($A35,'Round 1'!$A$7:$I$206,COLUMN('Round 1'!$F$7),0)),0,VLOOKUP($A35,'Round 1'!$A$7:$I$206,COLUMN('Round 1'!$F$7),0))+IF(ISERROR(VLOOKUP($A35,'Round 2'!$A$7:$I$206,COLUMN('Round 2'!$F$7),0)),0,VLOOKUP($A35,'Round 2'!$A$7:$I$206,COLUMN('Round 2'!$F$7),0))+IF(ISERROR(VLOOKUP($A35,'Round 3'!$A$7:$I$206,COLUMN('Round 3'!$F$7),0)),0,VLOOKUP($A35,'Round 3'!$A$7:$I$206,COLUMN('Round 3'!$F$7),0)))</f>
        <v>0.5</v>
      </c>
      <c r="J35" s="143">
        <f ca="1">IF(ISBLANK($A35),"",IF(ISERROR(VLOOKUP($A35,'Round 1'!$A$7:$I$206,COLUMN('Round 1'!$H$7),0)),0,VLOOKUP($A35,'Round 1'!$A$7:$I$206,COLUMN('Round 1'!$H$7),0))+IF(ISERROR(VLOOKUP($A35,'Round 2'!$A$7:$I$206,COLUMN('Round 2'!$H$7),0)),0,VLOOKUP($A35,'Round 2'!$A$7:$I$206,COLUMN('Round 2'!$H$7),0))+IF(ISERROR(VLOOKUP($A35,'Round 3'!$A$7:$I$206,COLUMN('Round 3'!$H$7),0)),0,VLOOKUP($A35,'Round 3'!$A$7:$I$206,COLUMN('Round 3'!$H$7),0)))</f>
        <v>84</v>
      </c>
      <c r="K35" s="142">
        <f t="shared" ca="1" si="0"/>
        <v>25</v>
      </c>
      <c r="L35" s="144" t="str">
        <f t="shared" ca="1" si="1"/>
        <v/>
      </c>
      <c r="M35" s="145"/>
      <c r="N35" s="146">
        <f t="shared" ca="1" si="2"/>
        <v>25</v>
      </c>
      <c r="O35" s="36">
        <f t="shared" ca="1" si="3"/>
        <v>0.5</v>
      </c>
      <c r="P35" s="36">
        <f t="shared" ca="1" si="4"/>
        <v>989</v>
      </c>
      <c r="Q35" s="36">
        <f t="shared" ca="1" si="5"/>
        <v>989</v>
      </c>
      <c r="R35" s="36">
        <f t="shared" ca="1" si="6"/>
        <v>25</v>
      </c>
      <c r="S35" s="36">
        <f t="shared" ca="1" si="7"/>
        <v>25</v>
      </c>
      <c r="T35" s="36">
        <f t="shared" si="8"/>
        <v>8</v>
      </c>
      <c r="U35" s="146">
        <f ca="1">IF(N('Final Round'!$J$14)&gt;0,IF(ISBLANK($A35),"",IF($N35&gt;5,$N35,VLOOKUP($A35,'Final Round'!$A$14:$K$18,COLUMN('Final Round'!$J$1),0))),"")</f>
        <v>25</v>
      </c>
      <c r="V35" s="36">
        <f t="shared" ca="1" si="9"/>
        <v>25</v>
      </c>
      <c r="W35" s="36">
        <f t="shared" ca="1" si="10"/>
        <v>289</v>
      </c>
      <c r="X35" s="36">
        <f t="shared" ca="1" si="11"/>
        <v>25</v>
      </c>
      <c r="Y35" s="36">
        <f t="shared" si="12"/>
        <v>8</v>
      </c>
      <c r="Z35" s="36">
        <f t="shared" ca="1" si="13"/>
        <v>25</v>
      </c>
      <c r="AA35" s="36">
        <f t="shared" ca="1" si="14"/>
        <v>0</v>
      </c>
      <c r="AB35" s="147">
        <f ca="1">IF(ISBLANK($A35),"",5+4*(I35+IF(AA35=0,0,VLOOKUP($A35,'Final Round'!$A$14:$K$18,COLUMN('Final Round'!$G$1),0)))+8*(H35+IF(AA35=0,0,IF(VLOOKUP($A35,'Final Round'!$A$14:$K$18,COLUMN('Final Round'!$J$1),0)=1,1,0)))+$AA35)</f>
        <v>7</v>
      </c>
    </row>
    <row r="36" spans="1:28" s="110" customFormat="1" x14ac:dyDescent="0.2">
      <c r="A36" s="122">
        <v>7</v>
      </c>
      <c r="B36" s="124"/>
      <c r="C36" s="124"/>
      <c r="D36" s="124"/>
      <c r="E36" s="125">
        <v>2777857404</v>
      </c>
      <c r="F36" s="126">
        <f ca="1">IF(ISBLANK($A36),"",SUM(IF(ISNA(IF(VLOOKUP($A36,'Round 1'!$A$7:$J$206,COLUMN('Round 1'!$H$7),0),1,NA())),0,1),IF(ISNA(IF(VLOOKUP($A36,'Round 2'!$A$7:$J$206,COLUMN('Round 1'!$H$7),0),1,NA())),0,1),IF(ISNA(IF(VLOOKUP($A36,'Round 3'!$A$7:$J$206,COLUMN('Round 1'!$H$7),0),1,NA())),0,1),IF(ISNA(IF(VLOOKUP($A36,'Final Round'!$A$14:$K$18,1,0),1,NA())),0,1)))</f>
        <v>3</v>
      </c>
      <c r="G36" s="127"/>
      <c r="H36" s="128">
        <f ca="1">IF(ISBLANK($A36),"",IF(ISERROR(VLOOKUP($A36,'Round 1'!$A$7:$I$206,COLUMN('Round 1'!$G$7),0)),0,VLOOKUP($A36,'Round 1'!$A$7:$I$206,COLUMN('Round 1'!$G$7),0))+IF(ISERROR(VLOOKUP($A36,'Round 2'!$A$7:$I$206,COLUMN('Round 2'!$G$7),0)),0,VLOOKUP($A36,'Round 2'!$A$7:$I$206,COLUMN('Round 2'!$G$7),0))+IF(ISERROR(VLOOKUP($A36,'Round 3'!$A$7:$I$206,COLUMN('Round 3'!$G$7),0)),0,VLOOKUP($A36,'Round 3'!$A$7:$I$206,COLUMN('Round 3'!$G$7),0)))</f>
        <v>1</v>
      </c>
      <c r="I36" s="128">
        <f ca="1">IF(ISBLANK($A36),"",IF(ISERROR(VLOOKUP($A36,'Round 1'!$A$7:$I$206,COLUMN('Round 1'!$F$7),0)),0,VLOOKUP($A36,'Round 1'!$A$7:$I$206,COLUMN('Round 1'!$F$7),0))+IF(ISERROR(VLOOKUP($A36,'Round 2'!$A$7:$I$206,COLUMN('Round 2'!$F$7),0)),0,VLOOKUP($A36,'Round 2'!$A$7:$I$206,COLUMN('Round 2'!$F$7),0))+IF(ISERROR(VLOOKUP($A36,'Round 3'!$A$7:$I$206,COLUMN('Round 3'!$F$7),0)),0,VLOOKUP($A36,'Round 3'!$A$7:$I$206,COLUMN('Round 3'!$F$7),0)))</f>
        <v>6</v>
      </c>
      <c r="J36" s="129">
        <f ca="1">IF(ISBLANK($A36),"",IF(ISERROR(VLOOKUP($A36,'Round 1'!$A$7:$I$206,COLUMN('Round 1'!$H$7),0)),0,VLOOKUP($A36,'Round 1'!$A$7:$I$206,COLUMN('Round 1'!$H$7),0))+IF(ISERROR(VLOOKUP($A36,'Round 2'!$A$7:$I$206,COLUMN('Round 2'!$H$7),0)),0,VLOOKUP($A36,'Round 2'!$A$7:$I$206,COLUMN('Round 2'!$H$7),0))+IF(ISERROR(VLOOKUP($A36,'Round 3'!$A$7:$I$206,COLUMN('Round 3'!$H$7),0)),0,VLOOKUP($A36,'Round 3'!$A$7:$I$206,COLUMN('Round 3'!$H$7),0)))</f>
        <v>156</v>
      </c>
      <c r="K36" s="128">
        <f t="shared" ca="1" si="0"/>
        <v>6</v>
      </c>
      <c r="L36" s="130" t="str">
        <f t="shared" ca="1" si="1"/>
        <v/>
      </c>
      <c r="M36" s="131"/>
      <c r="N36" s="132">
        <f t="shared" ca="1" si="2"/>
        <v>6</v>
      </c>
      <c r="O36" s="110">
        <f t="shared" ca="1" si="3"/>
        <v>17</v>
      </c>
      <c r="P36" s="110">
        <f t="shared" ca="1" si="4"/>
        <v>30926</v>
      </c>
      <c r="Q36" s="110">
        <f t="shared" ca="1" si="5"/>
        <v>30926</v>
      </c>
      <c r="R36" s="110">
        <f t="shared" ca="1" si="6"/>
        <v>6</v>
      </c>
      <c r="S36" s="110">
        <f t="shared" ca="1" si="7"/>
        <v>6</v>
      </c>
      <c r="T36" s="110">
        <f t="shared" si="8"/>
        <v>7</v>
      </c>
      <c r="U36" s="132">
        <f ca="1">IF(N('Final Round'!$J$14)&gt;0,IF(ISBLANK($A36),"",IF($N36&gt;5,$N36,VLOOKUP($A36,'Final Round'!$A$14:$K$18,COLUMN('Final Round'!$J$1),0))),"")</f>
        <v>6</v>
      </c>
      <c r="V36" s="110">
        <f t="shared" ca="1" si="9"/>
        <v>6</v>
      </c>
      <c r="W36" s="110">
        <f t="shared" ca="1" si="10"/>
        <v>917</v>
      </c>
      <c r="X36" s="110">
        <f t="shared" ca="1" si="11"/>
        <v>6</v>
      </c>
      <c r="Y36" s="110">
        <f t="shared" si="12"/>
        <v>7</v>
      </c>
      <c r="Z36" s="110">
        <f t="shared" ca="1" si="13"/>
        <v>6</v>
      </c>
      <c r="AA36" s="110">
        <f t="shared" ca="1" si="14"/>
        <v>0</v>
      </c>
      <c r="AB36" s="133">
        <f ca="1">IF(ISBLANK($A36),"",5+4*(I36+IF(AA36=0,0,VLOOKUP($A36,'Final Round'!$A$14:$K$18,COLUMN('Final Round'!$G$1),0)))+8*(H36+IF(AA36=0,0,IF(VLOOKUP($A36,'Final Round'!$A$14:$K$18,COLUMN('Final Round'!$J$1),0)=1,1,0)))+$AA36)</f>
        <v>37</v>
      </c>
    </row>
    <row r="37" spans="1:28" s="110" customFormat="1" x14ac:dyDescent="0.2">
      <c r="A37" s="122">
        <v>3</v>
      </c>
      <c r="B37" s="124"/>
      <c r="C37" s="124"/>
      <c r="D37" s="124"/>
      <c r="E37" s="125">
        <v>5978641163</v>
      </c>
      <c r="F37" s="126">
        <f ca="1">IF(ISBLANK($A37),"",SUM(IF(ISNA(IF(VLOOKUP($A37,'Round 1'!$A$7:$J$206,COLUMN('Round 1'!$H$7),0),1,NA())),0,1),IF(ISNA(IF(VLOOKUP($A37,'Round 2'!$A$7:$J$206,COLUMN('Round 1'!$H$7),0),1,NA())),0,1),IF(ISNA(IF(VLOOKUP($A37,'Round 3'!$A$7:$J$206,COLUMN('Round 1'!$H$7),0),1,NA())),0,1),IF(ISNA(IF(VLOOKUP($A37,'Final Round'!$A$14:$K$18,1,0),1,NA())),0,1)))</f>
        <v>3</v>
      </c>
      <c r="G37" s="127"/>
      <c r="H37" s="128">
        <f ca="1">IF(ISBLANK($A37),"",IF(ISERROR(VLOOKUP($A37,'Round 1'!$A$7:$I$206,COLUMN('Round 1'!$G$7),0)),0,VLOOKUP($A37,'Round 1'!$A$7:$I$206,COLUMN('Round 1'!$G$7),0))+IF(ISERROR(VLOOKUP($A37,'Round 2'!$A$7:$I$206,COLUMN('Round 2'!$G$7),0)),0,VLOOKUP($A37,'Round 2'!$A$7:$I$206,COLUMN('Round 2'!$G$7),0))+IF(ISERROR(VLOOKUP($A37,'Round 3'!$A$7:$I$206,COLUMN('Round 3'!$G$7),0)),0,VLOOKUP($A37,'Round 3'!$A$7:$I$206,COLUMN('Round 3'!$G$7),0)))</f>
        <v>1</v>
      </c>
      <c r="I37" s="128">
        <f ca="1">IF(ISBLANK($A37),"",IF(ISERROR(VLOOKUP($A37,'Round 1'!$A$7:$I$206,COLUMN('Round 1'!$F$7),0)),0,VLOOKUP($A37,'Round 1'!$A$7:$I$206,COLUMN('Round 1'!$F$7),0))+IF(ISERROR(VLOOKUP($A37,'Round 2'!$A$7:$I$206,COLUMN('Round 2'!$F$7),0)),0,VLOOKUP($A37,'Round 2'!$A$7:$I$206,COLUMN('Round 2'!$F$7),0))+IF(ISERROR(VLOOKUP($A37,'Round 3'!$A$7:$I$206,COLUMN('Round 3'!$F$7),0)),0,VLOOKUP($A37,'Round 3'!$A$7:$I$206,COLUMN('Round 3'!$F$7),0)))</f>
        <v>4.5</v>
      </c>
      <c r="J37" s="129">
        <f ca="1">IF(ISBLANK($A37),"",IF(ISERROR(VLOOKUP($A37,'Round 1'!$A$7:$I$206,COLUMN('Round 1'!$H$7),0)),0,VLOOKUP($A37,'Round 1'!$A$7:$I$206,COLUMN('Round 1'!$H$7),0))+IF(ISERROR(VLOOKUP($A37,'Round 2'!$A$7:$I$206,COLUMN('Round 2'!$H$7),0)),0,VLOOKUP($A37,'Round 2'!$A$7:$I$206,COLUMN('Round 2'!$H$7),0))+IF(ISERROR(VLOOKUP($A37,'Round 3'!$A$7:$I$206,COLUMN('Round 3'!$H$7),0)),0,VLOOKUP($A37,'Round 3'!$A$7:$I$206,COLUMN('Round 3'!$H$7),0)))</f>
        <v>144</v>
      </c>
      <c r="K37" s="128">
        <f t="shared" ca="1" si="0"/>
        <v>8</v>
      </c>
      <c r="L37" s="130" t="str">
        <f t="shared" ca="1" si="1"/>
        <v/>
      </c>
      <c r="M37" s="131"/>
      <c r="N37" s="132">
        <f t="shared" ca="1" si="2"/>
        <v>8</v>
      </c>
      <c r="O37" s="110">
        <f t="shared" ca="1" si="3"/>
        <v>15.5</v>
      </c>
      <c r="P37" s="110">
        <f t="shared" ca="1" si="4"/>
        <v>28199</v>
      </c>
      <c r="Q37" s="110">
        <f t="shared" ca="1" si="5"/>
        <v>28199</v>
      </c>
      <c r="R37" s="110">
        <f t="shared" ca="1" si="6"/>
        <v>8</v>
      </c>
      <c r="S37" s="110">
        <f t="shared" ca="1" si="7"/>
        <v>8</v>
      </c>
      <c r="T37" s="110">
        <f t="shared" si="8"/>
        <v>3</v>
      </c>
      <c r="U37" s="132">
        <f ca="1">IF(N('Final Round'!$J$14)&gt;0,IF(ISBLANK($A37),"",IF($N37&gt;5,$N37,VLOOKUP($A37,'Final Round'!$A$14:$K$18,COLUMN('Final Round'!$J$1),0))),"")</f>
        <v>8</v>
      </c>
      <c r="V37" s="110">
        <f t="shared" ca="1" si="9"/>
        <v>8</v>
      </c>
      <c r="W37" s="110">
        <f t="shared" ca="1" si="10"/>
        <v>855</v>
      </c>
      <c r="X37" s="110">
        <f t="shared" ca="1" si="11"/>
        <v>8</v>
      </c>
      <c r="Y37" s="110">
        <f t="shared" si="12"/>
        <v>3</v>
      </c>
      <c r="Z37" s="110">
        <f t="shared" ca="1" si="13"/>
        <v>8</v>
      </c>
      <c r="AA37" s="110">
        <f t="shared" ca="1" si="14"/>
        <v>0</v>
      </c>
      <c r="AB37" s="133">
        <f ca="1">IF(ISBLANK($A37),"",5+4*(I37+IF(AA37=0,0,VLOOKUP($A37,'Final Round'!$A$14:$K$18,COLUMN('Final Round'!$G$1),0)))+8*(H37+IF(AA37=0,0,IF(VLOOKUP($A37,'Final Round'!$A$14:$K$18,COLUMN('Final Round'!$J$1),0)=1,1,0)))+$AA37)</f>
        <v>31</v>
      </c>
    </row>
    <row r="38" spans="1:28" s="110" customFormat="1" x14ac:dyDescent="0.2">
      <c r="A38" s="122">
        <v>27</v>
      </c>
      <c r="B38" s="124"/>
      <c r="C38" s="124"/>
      <c r="D38" s="124"/>
      <c r="E38" s="125">
        <v>5521202573</v>
      </c>
      <c r="F38" s="126">
        <f ca="1">IF(ISBLANK($A38),"",SUM(IF(ISNA(IF(VLOOKUP($A38,'Round 1'!$A$7:$J$206,COLUMN('Round 1'!$H$7),0),1,NA())),0,1),IF(ISNA(IF(VLOOKUP($A38,'Round 2'!$A$7:$J$206,COLUMN('Round 1'!$H$7),0),1,NA())),0,1),IF(ISNA(IF(VLOOKUP($A38,'Round 3'!$A$7:$J$206,COLUMN('Round 1'!$H$7),0),1,NA())),0,1),IF(ISNA(IF(VLOOKUP($A38,'Final Round'!$A$14:$K$18,1,0),1,NA())),0,1)))</f>
        <v>3</v>
      </c>
      <c r="G38" s="127"/>
      <c r="H38" s="128">
        <f ca="1">IF(ISBLANK($A38),"",IF(ISERROR(VLOOKUP($A38,'Round 1'!$A$7:$I$206,COLUMN('Round 1'!$G$7),0)),0,VLOOKUP($A38,'Round 1'!$A$7:$I$206,COLUMN('Round 1'!$G$7),0))+IF(ISERROR(VLOOKUP($A38,'Round 2'!$A$7:$I$206,COLUMN('Round 2'!$G$7),0)),0,VLOOKUP($A38,'Round 2'!$A$7:$I$206,COLUMN('Round 2'!$G$7),0))+IF(ISERROR(VLOOKUP($A38,'Round 3'!$A$7:$I$206,COLUMN('Round 3'!$G$7),0)),0,VLOOKUP($A38,'Round 3'!$A$7:$I$206,COLUMN('Round 3'!$G$7),0)))</f>
        <v>0</v>
      </c>
      <c r="I38" s="128">
        <f ca="1">IF(ISBLANK($A38),"",IF(ISERROR(VLOOKUP($A38,'Round 1'!$A$7:$I$206,COLUMN('Round 1'!$F$7),0)),0,VLOOKUP($A38,'Round 1'!$A$7:$I$206,COLUMN('Round 1'!$F$7),0))+IF(ISERROR(VLOOKUP($A38,'Round 2'!$A$7:$I$206,COLUMN('Round 2'!$F$7),0)),0,VLOOKUP($A38,'Round 2'!$A$7:$I$206,COLUMN('Round 2'!$F$7),0))+IF(ISERROR(VLOOKUP($A38,'Round 3'!$A$7:$I$206,COLUMN('Round 3'!$F$7),0)),0,VLOOKUP($A38,'Round 3'!$A$7:$I$206,COLUMN('Round 3'!$F$7),0)))</f>
        <v>1</v>
      </c>
      <c r="J38" s="129">
        <f ca="1">IF(ISBLANK($A38),"",IF(ISERROR(VLOOKUP($A38,'Round 1'!$A$7:$I$206,COLUMN('Round 1'!$H$7),0)),0,VLOOKUP($A38,'Round 1'!$A$7:$I$206,COLUMN('Round 1'!$H$7),0))+IF(ISERROR(VLOOKUP($A38,'Round 2'!$A$7:$I$206,COLUMN('Round 2'!$H$7),0)),0,VLOOKUP($A38,'Round 2'!$A$7:$I$206,COLUMN('Round 2'!$H$7),0))+IF(ISERROR(VLOOKUP($A38,'Round 3'!$A$7:$I$206,COLUMN('Round 3'!$H$7),0)),0,VLOOKUP($A38,'Round 3'!$A$7:$I$206,COLUMN('Round 3'!$H$7),0)))</f>
        <v>96</v>
      </c>
      <c r="K38" s="128">
        <f t="shared" ca="1" si="0"/>
        <v>21</v>
      </c>
      <c r="L38" s="130" t="str">
        <f t="shared" ca="1" si="1"/>
        <v/>
      </c>
      <c r="M38" s="131"/>
      <c r="N38" s="132">
        <f t="shared" ca="1" si="2"/>
        <v>21</v>
      </c>
      <c r="O38" s="110">
        <f t="shared" ca="1" si="3"/>
        <v>1</v>
      </c>
      <c r="P38" s="110">
        <f t="shared" ca="1" si="4"/>
        <v>1906</v>
      </c>
      <c r="Q38" s="110">
        <f t="shared" ca="1" si="5"/>
        <v>1906</v>
      </c>
      <c r="R38" s="110">
        <f t="shared" ca="1" si="6"/>
        <v>21</v>
      </c>
      <c r="S38" s="110">
        <f t="shared" ca="1" si="7"/>
        <v>21</v>
      </c>
      <c r="T38" s="110">
        <f t="shared" si="8"/>
        <v>27</v>
      </c>
      <c r="U38" s="132">
        <f ca="1">IF(N('Final Round'!$J$14)&gt;0,IF(ISBLANK($A38),"",IF($N38&gt;5,$N38,VLOOKUP($A38,'Final Round'!$A$14:$K$18,COLUMN('Final Round'!$J$1),0))),"")</f>
        <v>21</v>
      </c>
      <c r="V38" s="110">
        <f t="shared" ca="1" si="9"/>
        <v>21</v>
      </c>
      <c r="W38" s="110">
        <f t="shared" ca="1" si="10"/>
        <v>402</v>
      </c>
      <c r="X38" s="110">
        <f t="shared" ca="1" si="11"/>
        <v>21</v>
      </c>
      <c r="Y38" s="110">
        <f t="shared" si="12"/>
        <v>27</v>
      </c>
      <c r="Z38" s="110">
        <f t="shared" ca="1" si="13"/>
        <v>21</v>
      </c>
      <c r="AA38" s="110">
        <f t="shared" ca="1" si="14"/>
        <v>0</v>
      </c>
      <c r="AB38" s="133">
        <f ca="1">IF(ISBLANK($A38),"",5+4*(I38+IF(AA38=0,0,VLOOKUP($A38,'Final Round'!$A$14:$K$18,COLUMN('Final Round'!$G$1),0)))+8*(H38+IF(AA38=0,0,IF(VLOOKUP($A38,'Final Round'!$A$14:$K$18,COLUMN('Final Round'!$J$1),0)=1,1,0)))+$AA38)</f>
        <v>9</v>
      </c>
    </row>
    <row r="39" spans="1:28" x14ac:dyDescent="0.2">
      <c r="A39" s="137"/>
      <c r="B39" s="138"/>
      <c r="C39" s="138"/>
      <c r="D39" s="138"/>
      <c r="E39" s="139"/>
      <c r="F39" s="140" t="str">
        <f>IF(ISBLANK($A39),"",SUM(IF(ISNA(IF(VLOOKUP($A39,'Round 1'!$A$7:$J$206,COLUMN('Round 1'!$H$7),0),1,NA())),0,1),IF(ISNA(IF(VLOOKUP($A39,'Round 2'!$A$7:$J$206,COLUMN('Round 1'!$H$7),0),1,NA())),0,1),IF(ISNA(IF(VLOOKUP($A39,'Round 3'!$A$7:$J$206,COLUMN('Round 1'!$H$7),0),1,NA())),0,1),IF(ISNA(IF(VLOOKUP($A39,'Final Round'!$A$14:$K$18,1,0),1,NA())),0,1)))</f>
        <v/>
      </c>
      <c r="G39" s="141"/>
      <c r="H39" s="142" t="str">
        <f>IF(ISBLANK($A39),"",IF(ISERROR(VLOOKUP($A39,'Round 1'!$A$7:$I$206,COLUMN('Round 1'!$G$7),0)),0,VLOOKUP($A39,'Round 1'!$A$7:$I$206,COLUMN('Round 1'!$G$7),0))+IF(ISERROR(VLOOKUP($A39,'Round 2'!$A$7:$I$206,COLUMN('Round 2'!$G$7),0)),0,VLOOKUP($A39,'Round 2'!$A$7:$I$206,COLUMN('Round 2'!$G$7),0))+IF(ISERROR(VLOOKUP($A39,'Round 3'!$A$7:$I$206,COLUMN('Round 3'!$G$7),0)),0,VLOOKUP($A39,'Round 3'!$A$7:$I$206,COLUMN('Round 3'!$G$7),0)))</f>
        <v/>
      </c>
      <c r="I39" s="142" t="str">
        <f>IF(ISBLANK($A39),"",IF(ISERROR(VLOOKUP($A39,'Round 1'!$A$7:$I$206,COLUMN('Round 1'!$F$7),0)),0,VLOOKUP($A39,'Round 1'!$A$7:$I$206,COLUMN('Round 1'!$F$7),0))+IF(ISERROR(VLOOKUP($A39,'Round 2'!$A$7:$I$206,COLUMN('Round 2'!$F$7),0)),0,VLOOKUP($A39,'Round 2'!$A$7:$I$206,COLUMN('Round 2'!$F$7),0))+IF(ISERROR(VLOOKUP($A39,'Round 3'!$A$7:$I$206,COLUMN('Round 3'!$F$7),0)),0,VLOOKUP($A39,'Round 3'!$A$7:$I$206,COLUMN('Round 3'!$F$7),0)))</f>
        <v/>
      </c>
      <c r="J39" s="143" t="str">
        <f>IF(ISBLANK($A39),"",IF(ISERROR(VLOOKUP($A39,'Round 1'!$A$7:$I$206,COLUMN('Round 1'!$H$7),0)),0,VLOOKUP($A39,'Round 1'!$A$7:$I$206,COLUMN('Round 1'!$H$7),0))+IF(ISERROR(VLOOKUP($A39,'Round 2'!$A$7:$I$206,COLUMN('Round 2'!$H$7),0)),0,VLOOKUP($A39,'Round 2'!$A$7:$I$206,COLUMN('Round 2'!$H$7),0))+IF(ISERROR(VLOOKUP($A39,'Round 3'!$A$7:$I$206,COLUMN('Round 3'!$H$7),0)),0,VLOOKUP($A39,'Round 3'!$A$7:$I$206,COLUMN('Round 3'!$H$7),0)))</f>
        <v/>
      </c>
      <c r="K39" s="142" t="str">
        <f t="shared" ref="K39:K70" si="15">IF(ISBLANK(A39),"",RANK(P39,$P$7:$P$206))</f>
        <v/>
      </c>
      <c r="L39" s="144" t="str">
        <f t="shared" ref="L39:L70" si="16">IF(ISBLANK($G39),IF($K39&gt;5,"",IF(AND(ISNA(MATCH(K39+1,$K$7:$K$206,0)),$K39&lt;$A$4),"TIE","")),"DQ")</f>
        <v/>
      </c>
      <c r="M39" s="145"/>
      <c r="N39" s="146" t="str">
        <f t="shared" ref="N39:N70" si="17">IF(ISBLANK($G39),$R39,"DQ")</f>
        <v/>
      </c>
      <c r="O39" s="36" t="str">
        <f t="shared" ref="O39:O70" si="18">IF(ISBLANK(A39),"",$H39*$O$6+$I39)</f>
        <v/>
      </c>
      <c r="P39" s="36" t="str">
        <f t="shared" ref="P39:P70" si="19">IF(ISBLANK(A39),"",$O39*10*$P$6+$J39)</f>
        <v/>
      </c>
      <c r="Q39" s="36">
        <f t="shared" ref="Q39:Q70" si="20">IF(ISBLANK($G39),IF(ISBLANK($A39),-10,$P39*$Q$6+IF($M39&gt;0,$Q$6-1-$M39,0)),-1)</f>
        <v>-10</v>
      </c>
      <c r="R39" s="36" t="str">
        <f t="shared" ref="R39:R70" si="21">IF(ISBLANK($A39),"",RANK($Q39,$Q$7:$Q$206))</f>
        <v/>
      </c>
      <c r="S39" s="36" t="str">
        <f t="shared" ref="S39:S70" si="22">IF(ISNA(MATCH($R39+1,$R$7:$R$206,0)),IF($R39=MAX($A$7:$A$206),$R39,-1),$R39)</f>
        <v/>
      </c>
      <c r="T39" s="36">
        <f t="shared" ref="T39:T70" si="23">$A39</f>
        <v>0</v>
      </c>
      <c r="U39" s="146" t="str">
        <f ca="1">IF(N('Final Round'!$J$14)&gt;0,IF(ISBLANK($A39),"",IF($N39&gt;5,$N39,VLOOKUP($A39,'Final Round'!$A$14:$K$18,COLUMN('Final Round'!$J$1),0))),"")</f>
        <v/>
      </c>
      <c r="V39" s="36" t="str">
        <f t="shared" ref="V39:V70" ca="1" si="24">IF(ISNUMBER($U39),$U39,$R39)</f>
        <v/>
      </c>
      <c r="W39" s="36" t="str">
        <f t="shared" ref="W39:W70" si="25">IF(ISBLANK($A39),"",($V$6-$V39)*$W$6+$W$6-$A39)</f>
        <v/>
      </c>
      <c r="X39" s="36" t="str">
        <f t="shared" ref="X39:X70" si="26">IF(ISBLANK($A39),"",RANK($W39,$W$7:$W$206))</f>
        <v/>
      </c>
      <c r="Y39" s="36">
        <f t="shared" ref="Y39:Y70" si="27">$A39</f>
        <v>0</v>
      </c>
      <c r="Z39" s="36" t="str">
        <f t="shared" ref="Z39:Z70" ca="1" si="28">IF($U39="",$N39,$U39)</f>
        <v/>
      </c>
      <c r="AA39" s="36">
        <f t="shared" ref="AA39:AA70" ca="1" si="29">IF($U39&lt;6,INDEX($AA$1:$AA$5,$Z39)*$Z$2,0)</f>
        <v>0</v>
      </c>
      <c r="AB39" s="147" t="str">
        <f>IF(ISBLANK($A39),"",5+4*(I39+IF(AA39=0,0,VLOOKUP($A39,'Final Round'!$A$14:$K$18,COLUMN('Final Round'!$G$1),0)))+8*(H39+IF(AA39=0,0,IF(VLOOKUP($A39,'Final Round'!$A$14:$K$18,COLUMN('Final Round'!$J$1),0)=1,1,0)))+$AA39)</f>
        <v/>
      </c>
    </row>
    <row r="40" spans="1:28" x14ac:dyDescent="0.2">
      <c r="A40" s="111"/>
      <c r="B40" s="112"/>
      <c r="C40" s="112"/>
      <c r="D40" s="112"/>
      <c r="E40" s="113"/>
      <c r="F40" s="114" t="str">
        <f>IF(ISBLANK($A40),"",SUM(IF(ISNA(IF(VLOOKUP($A40,'Round 1'!$A$7:$J$206,COLUMN('Round 1'!$H$7),0),1,NA())),0,1),IF(ISNA(IF(VLOOKUP($A40,'Round 2'!$A$7:$J$206,COLUMN('Round 1'!$H$7),0),1,NA())),0,1),IF(ISNA(IF(VLOOKUP($A40,'Round 3'!$A$7:$J$206,COLUMN('Round 1'!$H$7),0),1,NA())),0,1),IF(ISNA(IF(VLOOKUP($A40,'Final Round'!$A$14:$K$18,1,0),1,NA())),0,1)))</f>
        <v/>
      </c>
      <c r="G40" s="115"/>
      <c r="H40" s="116" t="str">
        <f>IF(ISBLANK($A40),"",IF(ISERROR(VLOOKUP($A40,'Round 1'!$A$7:$I$206,COLUMN('Round 1'!$G$7),0)),0,VLOOKUP($A40,'Round 1'!$A$7:$I$206,COLUMN('Round 1'!$G$7),0))+IF(ISERROR(VLOOKUP($A40,'Round 2'!$A$7:$I$206,COLUMN('Round 2'!$G$7),0)),0,VLOOKUP($A40,'Round 2'!$A$7:$I$206,COLUMN('Round 2'!$G$7),0))+IF(ISERROR(VLOOKUP($A40,'Round 3'!$A$7:$I$206,COLUMN('Round 3'!$G$7),0)),0,VLOOKUP($A40,'Round 3'!$A$7:$I$206,COLUMN('Round 3'!$G$7),0)))</f>
        <v/>
      </c>
      <c r="I40" s="116" t="str">
        <f>IF(ISBLANK($A40),"",IF(ISERROR(VLOOKUP($A40,'Round 1'!$A$7:$I$206,COLUMN('Round 1'!$F$7),0)),0,VLOOKUP($A40,'Round 1'!$A$7:$I$206,COLUMN('Round 1'!$F$7),0))+IF(ISERROR(VLOOKUP($A40,'Round 2'!$A$7:$I$206,COLUMN('Round 2'!$F$7),0)),0,VLOOKUP($A40,'Round 2'!$A$7:$I$206,COLUMN('Round 2'!$F$7),0))+IF(ISERROR(VLOOKUP($A40,'Round 3'!$A$7:$I$206,COLUMN('Round 3'!$F$7),0)),0,VLOOKUP($A40,'Round 3'!$A$7:$I$206,COLUMN('Round 3'!$F$7),0)))</f>
        <v/>
      </c>
      <c r="J40" s="117" t="str">
        <f>IF(ISBLANK($A40),"",IF(ISERROR(VLOOKUP($A40,'Round 1'!$A$7:$I$206,COLUMN('Round 1'!$H$7),0)),0,VLOOKUP($A40,'Round 1'!$A$7:$I$206,COLUMN('Round 1'!$H$7),0))+IF(ISERROR(VLOOKUP($A40,'Round 2'!$A$7:$I$206,COLUMN('Round 2'!$H$7),0)),0,VLOOKUP($A40,'Round 2'!$A$7:$I$206,COLUMN('Round 2'!$H$7),0))+IF(ISERROR(VLOOKUP($A40,'Round 3'!$A$7:$I$206,COLUMN('Round 3'!$H$7),0)),0,VLOOKUP($A40,'Round 3'!$A$7:$I$206,COLUMN('Round 3'!$H$7),0)))</f>
        <v/>
      </c>
      <c r="K40" s="116" t="str">
        <f t="shared" si="15"/>
        <v/>
      </c>
      <c r="L40" s="118" t="str">
        <f t="shared" si="16"/>
        <v/>
      </c>
      <c r="M40" s="119"/>
      <c r="N40" s="120" t="str">
        <f t="shared" si="17"/>
        <v/>
      </c>
      <c r="O40" s="36" t="str">
        <f t="shared" si="18"/>
        <v/>
      </c>
      <c r="P40" s="36" t="str">
        <f t="shared" si="19"/>
        <v/>
      </c>
      <c r="Q40" s="36">
        <f t="shared" si="20"/>
        <v>-10</v>
      </c>
      <c r="R40" s="36" t="str">
        <f t="shared" si="21"/>
        <v/>
      </c>
      <c r="S40" s="36" t="str">
        <f t="shared" si="22"/>
        <v/>
      </c>
      <c r="T40" s="36">
        <f t="shared" si="23"/>
        <v>0</v>
      </c>
      <c r="U40" s="120" t="str">
        <f ca="1">IF(N('Final Round'!$J$14)&gt;0,IF(ISBLANK($A40),"",IF($N40&gt;5,$N40,VLOOKUP($A40,'Final Round'!$A$14:$K$18,COLUMN('Final Round'!$J$1),0))),"")</f>
        <v/>
      </c>
      <c r="V40" s="36" t="str">
        <f t="shared" ca="1" si="24"/>
        <v/>
      </c>
      <c r="W40" s="36" t="str">
        <f t="shared" si="25"/>
        <v/>
      </c>
      <c r="X40" s="36" t="str">
        <f t="shared" si="26"/>
        <v/>
      </c>
      <c r="Y40" s="36">
        <f t="shared" si="27"/>
        <v>0</v>
      </c>
      <c r="Z40" s="36" t="str">
        <f t="shared" ca="1" si="28"/>
        <v/>
      </c>
      <c r="AA40" s="36">
        <f t="shared" ca="1" si="29"/>
        <v>0</v>
      </c>
      <c r="AB40" s="121" t="str">
        <f>IF(ISBLANK($A40),"",5+4*(I40+IF(AA40=0,0,VLOOKUP($A40,'Final Round'!$A$14:$K$18,COLUMN('Final Round'!$G$1),0)))+8*(H40+IF(AA40=0,0,IF(VLOOKUP($A40,'Final Round'!$A$14:$K$18,COLUMN('Final Round'!$J$1),0)=1,1,0)))+$AA40)</f>
        <v/>
      </c>
    </row>
    <row r="41" spans="1:28" x14ac:dyDescent="0.2">
      <c r="A41" s="137"/>
      <c r="B41" s="138"/>
      <c r="C41" s="138"/>
      <c r="D41" s="138"/>
      <c r="E41" s="139"/>
      <c r="F41" s="140" t="str">
        <f>IF(ISBLANK($A41),"",SUM(IF(ISNA(IF(VLOOKUP($A41,'Round 1'!$A$7:$J$206,COLUMN('Round 1'!$H$7),0),1,NA())),0,1),IF(ISNA(IF(VLOOKUP($A41,'Round 2'!$A$7:$J$206,COLUMN('Round 1'!$H$7),0),1,NA())),0,1),IF(ISNA(IF(VLOOKUP($A41,'Round 3'!$A$7:$J$206,COLUMN('Round 1'!$H$7),0),1,NA())),0,1),IF(ISNA(IF(VLOOKUP($A41,'Final Round'!$A$14:$K$18,1,0),1,NA())),0,1)))</f>
        <v/>
      </c>
      <c r="G41" s="141"/>
      <c r="H41" s="142" t="str">
        <f>IF(ISBLANK($A41),"",IF(ISERROR(VLOOKUP($A41,'Round 1'!$A$7:$I$206,COLUMN('Round 1'!$G$7),0)),0,VLOOKUP($A41,'Round 1'!$A$7:$I$206,COLUMN('Round 1'!$G$7),0))+IF(ISERROR(VLOOKUP($A41,'Round 2'!$A$7:$I$206,COLUMN('Round 2'!$G$7),0)),0,VLOOKUP($A41,'Round 2'!$A$7:$I$206,COLUMN('Round 2'!$G$7),0))+IF(ISERROR(VLOOKUP($A41,'Round 3'!$A$7:$I$206,COLUMN('Round 3'!$G$7),0)),0,VLOOKUP($A41,'Round 3'!$A$7:$I$206,COLUMN('Round 3'!$G$7),0)))</f>
        <v/>
      </c>
      <c r="I41" s="142" t="str">
        <f>IF(ISBLANK($A41),"",IF(ISERROR(VLOOKUP($A41,'Round 1'!$A$7:$I$206,COLUMN('Round 1'!$F$7),0)),0,VLOOKUP($A41,'Round 1'!$A$7:$I$206,COLUMN('Round 1'!$F$7),0))+IF(ISERROR(VLOOKUP($A41,'Round 2'!$A$7:$I$206,COLUMN('Round 2'!$F$7),0)),0,VLOOKUP($A41,'Round 2'!$A$7:$I$206,COLUMN('Round 2'!$F$7),0))+IF(ISERROR(VLOOKUP($A41,'Round 3'!$A$7:$I$206,COLUMN('Round 3'!$F$7),0)),0,VLOOKUP($A41,'Round 3'!$A$7:$I$206,COLUMN('Round 3'!$F$7),0)))</f>
        <v/>
      </c>
      <c r="J41" s="143" t="str">
        <f>IF(ISBLANK($A41),"",IF(ISERROR(VLOOKUP($A41,'Round 1'!$A$7:$I$206,COLUMN('Round 1'!$H$7),0)),0,VLOOKUP($A41,'Round 1'!$A$7:$I$206,COLUMN('Round 1'!$H$7),0))+IF(ISERROR(VLOOKUP($A41,'Round 2'!$A$7:$I$206,COLUMN('Round 2'!$H$7),0)),0,VLOOKUP($A41,'Round 2'!$A$7:$I$206,COLUMN('Round 2'!$H$7),0))+IF(ISERROR(VLOOKUP($A41,'Round 3'!$A$7:$I$206,COLUMN('Round 3'!$H$7),0)),0,VLOOKUP($A41,'Round 3'!$A$7:$I$206,COLUMN('Round 3'!$H$7),0)))</f>
        <v/>
      </c>
      <c r="K41" s="142" t="str">
        <f t="shared" si="15"/>
        <v/>
      </c>
      <c r="L41" s="144" t="str">
        <f t="shared" si="16"/>
        <v/>
      </c>
      <c r="M41" s="145"/>
      <c r="N41" s="146" t="str">
        <f t="shared" si="17"/>
        <v/>
      </c>
      <c r="O41" s="36" t="str">
        <f t="shared" si="18"/>
        <v/>
      </c>
      <c r="P41" s="36" t="str">
        <f t="shared" si="19"/>
        <v/>
      </c>
      <c r="Q41" s="36">
        <f t="shared" si="20"/>
        <v>-10</v>
      </c>
      <c r="R41" s="36" t="str">
        <f t="shared" si="21"/>
        <v/>
      </c>
      <c r="S41" s="36" t="str">
        <f t="shared" si="22"/>
        <v/>
      </c>
      <c r="T41" s="36">
        <f t="shared" si="23"/>
        <v>0</v>
      </c>
      <c r="U41" s="146" t="str">
        <f ca="1">IF(N('Final Round'!$J$14)&gt;0,IF(ISBLANK($A41),"",IF($N41&gt;5,$N41,VLOOKUP($A41,'Final Round'!$A$14:$K$18,COLUMN('Final Round'!$J$1),0))),"")</f>
        <v/>
      </c>
      <c r="V41" s="36" t="str">
        <f t="shared" ca="1" si="24"/>
        <v/>
      </c>
      <c r="W41" s="36" t="str">
        <f t="shared" si="25"/>
        <v/>
      </c>
      <c r="X41" s="36" t="str">
        <f t="shared" si="26"/>
        <v/>
      </c>
      <c r="Y41" s="36">
        <f t="shared" si="27"/>
        <v>0</v>
      </c>
      <c r="Z41" s="36" t="str">
        <f t="shared" ca="1" si="28"/>
        <v/>
      </c>
      <c r="AA41" s="36">
        <f t="shared" ca="1" si="29"/>
        <v>0</v>
      </c>
      <c r="AB41" s="147" t="str">
        <f>IF(ISBLANK($A41),"",5+4*(I41+IF(AA41=0,0,VLOOKUP($A41,'Final Round'!$A$14:$K$18,COLUMN('Final Round'!$G$1),0)))+8*(H41+IF(AA41=0,0,IF(VLOOKUP($A41,'Final Round'!$A$14:$K$18,COLUMN('Final Round'!$J$1),0)=1,1,0)))+$AA41)</f>
        <v/>
      </c>
    </row>
    <row r="42" spans="1:28" x14ac:dyDescent="0.2">
      <c r="A42" s="111"/>
      <c r="B42" s="112"/>
      <c r="C42" s="112"/>
      <c r="D42" s="112"/>
      <c r="E42" s="113"/>
      <c r="F42" s="114" t="str">
        <f>IF(ISBLANK($A42),"",SUM(IF(ISNA(IF(VLOOKUP($A42,'Round 1'!$A$7:$J$206,COLUMN('Round 1'!$H$7),0),1,NA())),0,1),IF(ISNA(IF(VLOOKUP($A42,'Round 2'!$A$7:$J$206,COLUMN('Round 1'!$H$7),0),1,NA())),0,1),IF(ISNA(IF(VLOOKUP($A42,'Round 3'!$A$7:$J$206,COLUMN('Round 1'!$H$7),0),1,NA())),0,1),IF(ISNA(IF(VLOOKUP($A42,'Final Round'!$A$14:$K$18,1,0),1,NA())),0,1)))</f>
        <v/>
      </c>
      <c r="G42" s="115"/>
      <c r="H42" s="116" t="str">
        <f>IF(ISBLANK($A42),"",IF(ISERROR(VLOOKUP($A42,'Round 1'!$A$7:$I$206,COLUMN('Round 1'!$G$7),0)),0,VLOOKUP($A42,'Round 1'!$A$7:$I$206,COLUMN('Round 1'!$G$7),0))+IF(ISERROR(VLOOKUP($A42,'Round 2'!$A$7:$I$206,COLUMN('Round 2'!$G$7),0)),0,VLOOKUP($A42,'Round 2'!$A$7:$I$206,COLUMN('Round 2'!$G$7),0))+IF(ISERROR(VLOOKUP($A42,'Round 3'!$A$7:$I$206,COLUMN('Round 3'!$G$7),0)),0,VLOOKUP($A42,'Round 3'!$A$7:$I$206,COLUMN('Round 3'!$G$7),0)))</f>
        <v/>
      </c>
      <c r="I42" s="116" t="str">
        <f>IF(ISBLANK($A42),"",IF(ISERROR(VLOOKUP($A42,'Round 1'!$A$7:$I$206,COLUMN('Round 1'!$F$7),0)),0,VLOOKUP($A42,'Round 1'!$A$7:$I$206,COLUMN('Round 1'!$F$7),0))+IF(ISERROR(VLOOKUP($A42,'Round 2'!$A$7:$I$206,COLUMN('Round 2'!$F$7),0)),0,VLOOKUP($A42,'Round 2'!$A$7:$I$206,COLUMN('Round 2'!$F$7),0))+IF(ISERROR(VLOOKUP($A42,'Round 3'!$A$7:$I$206,COLUMN('Round 3'!$F$7),0)),0,VLOOKUP($A42,'Round 3'!$A$7:$I$206,COLUMN('Round 3'!$F$7),0)))</f>
        <v/>
      </c>
      <c r="J42" s="117" t="str">
        <f>IF(ISBLANK($A42),"",IF(ISERROR(VLOOKUP($A42,'Round 1'!$A$7:$I$206,COLUMN('Round 1'!$H$7),0)),0,VLOOKUP($A42,'Round 1'!$A$7:$I$206,COLUMN('Round 1'!$H$7),0))+IF(ISERROR(VLOOKUP($A42,'Round 2'!$A$7:$I$206,COLUMN('Round 2'!$H$7),0)),0,VLOOKUP($A42,'Round 2'!$A$7:$I$206,COLUMN('Round 2'!$H$7),0))+IF(ISERROR(VLOOKUP($A42,'Round 3'!$A$7:$I$206,COLUMN('Round 3'!$H$7),0)),0,VLOOKUP($A42,'Round 3'!$A$7:$I$206,COLUMN('Round 3'!$H$7),0)))</f>
        <v/>
      </c>
      <c r="K42" s="116" t="str">
        <f t="shared" si="15"/>
        <v/>
      </c>
      <c r="L42" s="118" t="str">
        <f t="shared" si="16"/>
        <v/>
      </c>
      <c r="M42" s="119"/>
      <c r="N42" s="120" t="str">
        <f t="shared" si="17"/>
        <v/>
      </c>
      <c r="O42" s="36" t="str">
        <f t="shared" si="18"/>
        <v/>
      </c>
      <c r="P42" s="36" t="str">
        <f t="shared" si="19"/>
        <v/>
      </c>
      <c r="Q42" s="36">
        <f t="shared" si="20"/>
        <v>-10</v>
      </c>
      <c r="R42" s="36" t="str">
        <f t="shared" si="21"/>
        <v/>
      </c>
      <c r="S42" s="36" t="str">
        <f t="shared" si="22"/>
        <v/>
      </c>
      <c r="T42" s="36">
        <f t="shared" si="23"/>
        <v>0</v>
      </c>
      <c r="U42" s="120" t="str">
        <f ca="1">IF(N('Final Round'!$J$14)&gt;0,IF(ISBLANK($A42),"",IF($N42&gt;5,$N42,VLOOKUP($A42,'Final Round'!$A$14:$K$18,COLUMN('Final Round'!$J$1),0))),"")</f>
        <v/>
      </c>
      <c r="V42" s="36" t="str">
        <f t="shared" ca="1" si="24"/>
        <v/>
      </c>
      <c r="W42" s="36" t="str">
        <f t="shared" si="25"/>
        <v/>
      </c>
      <c r="X42" s="36" t="str">
        <f t="shared" si="26"/>
        <v/>
      </c>
      <c r="Y42" s="36">
        <f t="shared" si="27"/>
        <v>0</v>
      </c>
      <c r="Z42" s="36" t="str">
        <f t="shared" ca="1" si="28"/>
        <v/>
      </c>
      <c r="AA42" s="36">
        <f t="shared" ca="1" si="29"/>
        <v>0</v>
      </c>
      <c r="AB42" s="121" t="str">
        <f>IF(ISBLANK($A42),"",5+4*(I42+IF(AA42=0,0,VLOOKUP($A42,'Final Round'!$A$14:$K$18,COLUMN('Final Round'!$G$1),0)))+8*(H42+IF(AA42=0,0,IF(VLOOKUP($A42,'Final Round'!$A$14:$K$18,COLUMN('Final Round'!$J$1),0)=1,1,0)))+$AA42)</f>
        <v/>
      </c>
    </row>
    <row r="43" spans="1:28" x14ac:dyDescent="0.2">
      <c r="A43" s="137"/>
      <c r="B43" s="138"/>
      <c r="C43" s="138"/>
      <c r="D43" s="138"/>
      <c r="E43" s="139"/>
      <c r="F43" s="140" t="str">
        <f>IF(ISBLANK($A43),"",SUM(IF(ISNA(IF(VLOOKUP($A43,'Round 1'!$A$7:$J$206,COLUMN('Round 1'!$H$7),0),1,NA())),0,1),IF(ISNA(IF(VLOOKUP($A43,'Round 2'!$A$7:$J$206,COLUMN('Round 1'!$H$7),0),1,NA())),0,1),IF(ISNA(IF(VLOOKUP($A43,'Round 3'!$A$7:$J$206,COLUMN('Round 1'!$H$7),0),1,NA())),0,1),IF(ISNA(IF(VLOOKUP($A43,'Final Round'!$A$14:$K$18,1,0),1,NA())),0,1)))</f>
        <v/>
      </c>
      <c r="G43" s="141"/>
      <c r="H43" s="142" t="str">
        <f>IF(ISBLANK($A43),"",IF(ISERROR(VLOOKUP($A43,'Round 1'!$A$7:$I$206,COLUMN('Round 1'!$G$7),0)),0,VLOOKUP($A43,'Round 1'!$A$7:$I$206,COLUMN('Round 1'!$G$7),0))+IF(ISERROR(VLOOKUP($A43,'Round 2'!$A$7:$I$206,COLUMN('Round 2'!$G$7),0)),0,VLOOKUP($A43,'Round 2'!$A$7:$I$206,COLUMN('Round 2'!$G$7),0))+IF(ISERROR(VLOOKUP($A43,'Round 3'!$A$7:$I$206,COLUMN('Round 3'!$G$7),0)),0,VLOOKUP($A43,'Round 3'!$A$7:$I$206,COLUMN('Round 3'!$G$7),0)))</f>
        <v/>
      </c>
      <c r="I43" s="142" t="str">
        <f>IF(ISBLANK($A43),"",IF(ISERROR(VLOOKUP($A43,'Round 1'!$A$7:$I$206,COLUMN('Round 1'!$F$7),0)),0,VLOOKUP($A43,'Round 1'!$A$7:$I$206,COLUMN('Round 1'!$F$7),0))+IF(ISERROR(VLOOKUP($A43,'Round 2'!$A$7:$I$206,COLUMN('Round 2'!$F$7),0)),0,VLOOKUP($A43,'Round 2'!$A$7:$I$206,COLUMN('Round 2'!$F$7),0))+IF(ISERROR(VLOOKUP($A43,'Round 3'!$A$7:$I$206,COLUMN('Round 3'!$F$7),0)),0,VLOOKUP($A43,'Round 3'!$A$7:$I$206,COLUMN('Round 3'!$F$7),0)))</f>
        <v/>
      </c>
      <c r="J43" s="143" t="str">
        <f>IF(ISBLANK($A43),"",IF(ISERROR(VLOOKUP($A43,'Round 1'!$A$7:$I$206,COLUMN('Round 1'!$H$7),0)),0,VLOOKUP($A43,'Round 1'!$A$7:$I$206,COLUMN('Round 1'!$H$7),0))+IF(ISERROR(VLOOKUP($A43,'Round 2'!$A$7:$I$206,COLUMN('Round 2'!$H$7),0)),0,VLOOKUP($A43,'Round 2'!$A$7:$I$206,COLUMN('Round 2'!$H$7),0))+IF(ISERROR(VLOOKUP($A43,'Round 3'!$A$7:$I$206,COLUMN('Round 3'!$H$7),0)),0,VLOOKUP($A43,'Round 3'!$A$7:$I$206,COLUMN('Round 3'!$H$7),0)))</f>
        <v/>
      </c>
      <c r="K43" s="142" t="str">
        <f t="shared" si="15"/>
        <v/>
      </c>
      <c r="L43" s="144" t="str">
        <f t="shared" si="16"/>
        <v/>
      </c>
      <c r="M43" s="145"/>
      <c r="N43" s="146" t="str">
        <f t="shared" si="17"/>
        <v/>
      </c>
      <c r="O43" s="36" t="str">
        <f t="shared" si="18"/>
        <v/>
      </c>
      <c r="P43" s="36" t="str">
        <f t="shared" si="19"/>
        <v/>
      </c>
      <c r="Q43" s="36">
        <f t="shared" si="20"/>
        <v>-10</v>
      </c>
      <c r="R43" s="36" t="str">
        <f t="shared" si="21"/>
        <v/>
      </c>
      <c r="S43" s="36" t="str">
        <f t="shared" si="22"/>
        <v/>
      </c>
      <c r="T43" s="36">
        <f t="shared" si="23"/>
        <v>0</v>
      </c>
      <c r="U43" s="146" t="str">
        <f ca="1">IF(N('Final Round'!$J$14)&gt;0,IF(ISBLANK($A43),"",IF($N43&gt;5,$N43,VLOOKUP($A43,'Final Round'!$A$14:$K$18,COLUMN('Final Round'!$J$1),0))),"")</f>
        <v/>
      </c>
      <c r="V43" s="36" t="str">
        <f t="shared" ca="1" si="24"/>
        <v/>
      </c>
      <c r="W43" s="36" t="str">
        <f t="shared" si="25"/>
        <v/>
      </c>
      <c r="X43" s="36" t="str">
        <f t="shared" si="26"/>
        <v/>
      </c>
      <c r="Y43" s="36">
        <f t="shared" si="27"/>
        <v>0</v>
      </c>
      <c r="Z43" s="36" t="str">
        <f t="shared" ca="1" si="28"/>
        <v/>
      </c>
      <c r="AA43" s="36">
        <f t="shared" ca="1" si="29"/>
        <v>0</v>
      </c>
      <c r="AB43" s="147" t="str">
        <f>IF(ISBLANK($A43),"",5+4*(I43+IF(AA43=0,0,VLOOKUP($A43,'Final Round'!$A$14:$K$18,COLUMN('Final Round'!$G$1),0)))+8*(H43+IF(AA43=0,0,IF(VLOOKUP($A43,'Final Round'!$A$14:$K$18,COLUMN('Final Round'!$J$1),0)=1,1,0)))+$AA43)</f>
        <v/>
      </c>
    </row>
    <row r="44" spans="1:28" x14ac:dyDescent="0.2">
      <c r="A44" s="111"/>
      <c r="B44" s="112"/>
      <c r="C44" s="112"/>
      <c r="D44" s="112"/>
      <c r="E44" s="113"/>
      <c r="F44" s="114" t="str">
        <f>IF(ISBLANK($A44),"",SUM(IF(ISNA(IF(VLOOKUP($A44,'Round 1'!$A$7:$J$206,COLUMN('Round 1'!$H$7),0),1,NA())),0,1),IF(ISNA(IF(VLOOKUP($A44,'Round 2'!$A$7:$J$206,COLUMN('Round 1'!$H$7),0),1,NA())),0,1),IF(ISNA(IF(VLOOKUP($A44,'Round 3'!$A$7:$J$206,COLUMN('Round 1'!$H$7),0),1,NA())),0,1),IF(ISNA(IF(VLOOKUP($A44,'Final Round'!$A$14:$K$18,1,0),1,NA())),0,1)))</f>
        <v/>
      </c>
      <c r="G44" s="115"/>
      <c r="H44" s="116" t="str">
        <f>IF(ISBLANK($A44),"",IF(ISERROR(VLOOKUP($A44,'Round 1'!$A$7:$I$206,COLUMN('Round 1'!$G$7),0)),0,VLOOKUP($A44,'Round 1'!$A$7:$I$206,COLUMN('Round 1'!$G$7),0))+IF(ISERROR(VLOOKUP($A44,'Round 2'!$A$7:$I$206,COLUMN('Round 2'!$G$7),0)),0,VLOOKUP($A44,'Round 2'!$A$7:$I$206,COLUMN('Round 2'!$G$7),0))+IF(ISERROR(VLOOKUP($A44,'Round 3'!$A$7:$I$206,COLUMN('Round 3'!$G$7),0)),0,VLOOKUP($A44,'Round 3'!$A$7:$I$206,COLUMN('Round 3'!$G$7),0)))</f>
        <v/>
      </c>
      <c r="I44" s="116" t="str">
        <f>IF(ISBLANK($A44),"",IF(ISERROR(VLOOKUP($A44,'Round 1'!$A$7:$I$206,COLUMN('Round 1'!$F$7),0)),0,VLOOKUP($A44,'Round 1'!$A$7:$I$206,COLUMN('Round 1'!$F$7),0))+IF(ISERROR(VLOOKUP($A44,'Round 2'!$A$7:$I$206,COLUMN('Round 2'!$F$7),0)),0,VLOOKUP($A44,'Round 2'!$A$7:$I$206,COLUMN('Round 2'!$F$7),0))+IF(ISERROR(VLOOKUP($A44,'Round 3'!$A$7:$I$206,COLUMN('Round 3'!$F$7),0)),0,VLOOKUP($A44,'Round 3'!$A$7:$I$206,COLUMN('Round 3'!$F$7),0)))</f>
        <v/>
      </c>
      <c r="J44" s="117" t="str">
        <f>IF(ISBLANK($A44),"",IF(ISERROR(VLOOKUP($A44,'Round 1'!$A$7:$I$206,COLUMN('Round 1'!$H$7),0)),0,VLOOKUP($A44,'Round 1'!$A$7:$I$206,COLUMN('Round 1'!$H$7),0))+IF(ISERROR(VLOOKUP($A44,'Round 2'!$A$7:$I$206,COLUMN('Round 2'!$H$7),0)),0,VLOOKUP($A44,'Round 2'!$A$7:$I$206,COLUMN('Round 2'!$H$7),0))+IF(ISERROR(VLOOKUP($A44,'Round 3'!$A$7:$I$206,COLUMN('Round 3'!$H$7),0)),0,VLOOKUP($A44,'Round 3'!$A$7:$I$206,COLUMN('Round 3'!$H$7),0)))</f>
        <v/>
      </c>
      <c r="K44" s="116" t="str">
        <f t="shared" si="15"/>
        <v/>
      </c>
      <c r="L44" s="118" t="str">
        <f t="shared" si="16"/>
        <v/>
      </c>
      <c r="M44" s="119"/>
      <c r="N44" s="120" t="str">
        <f t="shared" si="17"/>
        <v/>
      </c>
      <c r="O44" s="36" t="str">
        <f t="shared" si="18"/>
        <v/>
      </c>
      <c r="P44" s="36" t="str">
        <f t="shared" si="19"/>
        <v/>
      </c>
      <c r="Q44" s="36">
        <f t="shared" si="20"/>
        <v>-10</v>
      </c>
      <c r="R44" s="36" t="str">
        <f t="shared" si="21"/>
        <v/>
      </c>
      <c r="S44" s="36" t="str">
        <f t="shared" si="22"/>
        <v/>
      </c>
      <c r="T44" s="36">
        <f t="shared" si="23"/>
        <v>0</v>
      </c>
      <c r="U44" s="120" t="str">
        <f ca="1">IF(N('Final Round'!$J$14)&gt;0,IF(ISBLANK($A44),"",IF($N44&gt;5,$N44,VLOOKUP($A44,'Final Round'!$A$14:$K$18,COLUMN('Final Round'!$J$1),0))),"")</f>
        <v/>
      </c>
      <c r="V44" s="36" t="str">
        <f t="shared" ca="1" si="24"/>
        <v/>
      </c>
      <c r="W44" s="36" t="str">
        <f t="shared" si="25"/>
        <v/>
      </c>
      <c r="X44" s="36" t="str">
        <f t="shared" si="26"/>
        <v/>
      </c>
      <c r="Y44" s="36">
        <f t="shared" si="27"/>
        <v>0</v>
      </c>
      <c r="Z44" s="36" t="str">
        <f t="shared" ca="1" si="28"/>
        <v/>
      </c>
      <c r="AA44" s="36">
        <f t="shared" ca="1" si="29"/>
        <v>0</v>
      </c>
      <c r="AB44" s="121" t="str">
        <f>IF(ISBLANK($A44),"",5+4*(I44+IF(AA44=0,0,VLOOKUP($A44,'Final Round'!$A$14:$K$18,COLUMN('Final Round'!$G$1),0)))+8*(H44+IF(AA44=0,0,IF(VLOOKUP($A44,'Final Round'!$A$14:$K$18,COLUMN('Final Round'!$J$1),0)=1,1,0)))+$AA44)</f>
        <v/>
      </c>
    </row>
    <row r="45" spans="1:28" x14ac:dyDescent="0.2">
      <c r="A45" s="137"/>
      <c r="B45" s="138"/>
      <c r="C45" s="138"/>
      <c r="D45" s="138"/>
      <c r="E45" s="139"/>
      <c r="F45" s="140" t="str">
        <f>IF(ISBLANK($A45),"",SUM(IF(ISNA(IF(VLOOKUP($A45,'Round 1'!$A$7:$J$206,COLUMN('Round 1'!$H$7),0),1,NA())),0,1),IF(ISNA(IF(VLOOKUP($A45,'Round 2'!$A$7:$J$206,COLUMN('Round 1'!$H$7),0),1,NA())),0,1),IF(ISNA(IF(VLOOKUP($A45,'Round 3'!$A$7:$J$206,COLUMN('Round 1'!$H$7),0),1,NA())),0,1),IF(ISNA(IF(VLOOKUP($A45,'Final Round'!$A$14:$K$18,1,0),1,NA())),0,1)))</f>
        <v/>
      </c>
      <c r="G45" s="141"/>
      <c r="H45" s="142" t="str">
        <f>IF(ISBLANK($A45),"",IF(ISERROR(VLOOKUP($A45,'Round 1'!$A$7:$I$206,COLUMN('Round 1'!$G$7),0)),0,VLOOKUP($A45,'Round 1'!$A$7:$I$206,COLUMN('Round 1'!$G$7),0))+IF(ISERROR(VLOOKUP($A45,'Round 2'!$A$7:$I$206,COLUMN('Round 2'!$G$7),0)),0,VLOOKUP($A45,'Round 2'!$A$7:$I$206,COLUMN('Round 2'!$G$7),0))+IF(ISERROR(VLOOKUP($A45,'Round 3'!$A$7:$I$206,COLUMN('Round 3'!$G$7),0)),0,VLOOKUP($A45,'Round 3'!$A$7:$I$206,COLUMN('Round 3'!$G$7),0)))</f>
        <v/>
      </c>
      <c r="I45" s="142" t="str">
        <f>IF(ISBLANK($A45),"",IF(ISERROR(VLOOKUP($A45,'Round 1'!$A$7:$I$206,COLUMN('Round 1'!$F$7),0)),0,VLOOKUP($A45,'Round 1'!$A$7:$I$206,COLUMN('Round 1'!$F$7),0))+IF(ISERROR(VLOOKUP($A45,'Round 2'!$A$7:$I$206,COLUMN('Round 2'!$F$7),0)),0,VLOOKUP($A45,'Round 2'!$A$7:$I$206,COLUMN('Round 2'!$F$7),0))+IF(ISERROR(VLOOKUP($A45,'Round 3'!$A$7:$I$206,COLUMN('Round 3'!$F$7),0)),0,VLOOKUP($A45,'Round 3'!$A$7:$I$206,COLUMN('Round 3'!$F$7),0)))</f>
        <v/>
      </c>
      <c r="J45" s="143" t="str">
        <f>IF(ISBLANK($A45),"",IF(ISERROR(VLOOKUP($A45,'Round 1'!$A$7:$I$206,COLUMN('Round 1'!$H$7),0)),0,VLOOKUP($A45,'Round 1'!$A$7:$I$206,COLUMN('Round 1'!$H$7),0))+IF(ISERROR(VLOOKUP($A45,'Round 2'!$A$7:$I$206,COLUMN('Round 2'!$H$7),0)),0,VLOOKUP($A45,'Round 2'!$A$7:$I$206,COLUMN('Round 2'!$H$7),0))+IF(ISERROR(VLOOKUP($A45,'Round 3'!$A$7:$I$206,COLUMN('Round 3'!$H$7),0)),0,VLOOKUP($A45,'Round 3'!$A$7:$I$206,COLUMN('Round 3'!$H$7),0)))</f>
        <v/>
      </c>
      <c r="K45" s="142" t="str">
        <f t="shared" si="15"/>
        <v/>
      </c>
      <c r="L45" s="144" t="str">
        <f t="shared" si="16"/>
        <v/>
      </c>
      <c r="M45" s="145"/>
      <c r="N45" s="146" t="str">
        <f t="shared" si="17"/>
        <v/>
      </c>
      <c r="O45" s="36" t="str">
        <f t="shared" si="18"/>
        <v/>
      </c>
      <c r="P45" s="36" t="str">
        <f t="shared" si="19"/>
        <v/>
      </c>
      <c r="Q45" s="36">
        <f t="shared" si="20"/>
        <v>-10</v>
      </c>
      <c r="R45" s="36" t="str">
        <f t="shared" si="21"/>
        <v/>
      </c>
      <c r="S45" s="36" t="str">
        <f t="shared" si="22"/>
        <v/>
      </c>
      <c r="T45" s="36">
        <f t="shared" si="23"/>
        <v>0</v>
      </c>
      <c r="U45" s="146" t="str">
        <f ca="1">IF(N('Final Round'!$J$14)&gt;0,IF(ISBLANK($A45),"",IF($N45&gt;5,$N45,VLOOKUP($A45,'Final Round'!$A$14:$K$18,COLUMN('Final Round'!$J$1),0))),"")</f>
        <v/>
      </c>
      <c r="V45" s="36" t="str">
        <f t="shared" ca="1" si="24"/>
        <v/>
      </c>
      <c r="W45" s="36" t="str">
        <f t="shared" si="25"/>
        <v/>
      </c>
      <c r="X45" s="36" t="str">
        <f t="shared" si="26"/>
        <v/>
      </c>
      <c r="Y45" s="36">
        <f t="shared" si="27"/>
        <v>0</v>
      </c>
      <c r="Z45" s="36" t="str">
        <f t="shared" ca="1" si="28"/>
        <v/>
      </c>
      <c r="AA45" s="36">
        <f t="shared" ca="1" si="29"/>
        <v>0</v>
      </c>
      <c r="AB45" s="147" t="str">
        <f>IF(ISBLANK($A45),"",5+4*(I45+IF(AA45=0,0,VLOOKUP($A45,'Final Round'!$A$14:$K$18,COLUMN('Final Round'!$G$1),0)))+8*(H45+IF(AA45=0,0,IF(VLOOKUP($A45,'Final Round'!$A$14:$K$18,COLUMN('Final Round'!$J$1),0)=1,1,0)))+$AA45)</f>
        <v/>
      </c>
    </row>
    <row r="46" spans="1:28" x14ac:dyDescent="0.2">
      <c r="A46" s="111"/>
      <c r="B46" s="112"/>
      <c r="C46" s="112"/>
      <c r="D46" s="112"/>
      <c r="E46" s="113"/>
      <c r="F46" s="114" t="str">
        <f>IF(ISBLANK($A46),"",SUM(IF(ISNA(IF(VLOOKUP($A46,'Round 1'!$A$7:$J$206,COLUMN('Round 1'!$H$7),0),1,NA())),0,1),IF(ISNA(IF(VLOOKUP($A46,'Round 2'!$A$7:$J$206,COLUMN('Round 1'!$H$7),0),1,NA())),0,1),IF(ISNA(IF(VLOOKUP($A46,'Round 3'!$A$7:$J$206,COLUMN('Round 1'!$H$7),0),1,NA())),0,1),IF(ISNA(IF(VLOOKUP($A46,'Final Round'!$A$14:$K$18,1,0),1,NA())),0,1)))</f>
        <v/>
      </c>
      <c r="G46" s="115"/>
      <c r="H46" s="116" t="str">
        <f>IF(ISBLANK($A46),"",IF(ISERROR(VLOOKUP($A46,'Round 1'!$A$7:$I$206,COLUMN('Round 1'!$G$7),0)),0,VLOOKUP($A46,'Round 1'!$A$7:$I$206,COLUMN('Round 1'!$G$7),0))+IF(ISERROR(VLOOKUP($A46,'Round 2'!$A$7:$I$206,COLUMN('Round 2'!$G$7),0)),0,VLOOKUP($A46,'Round 2'!$A$7:$I$206,COLUMN('Round 2'!$G$7),0))+IF(ISERROR(VLOOKUP($A46,'Round 3'!$A$7:$I$206,COLUMN('Round 3'!$G$7),0)),0,VLOOKUP($A46,'Round 3'!$A$7:$I$206,COLUMN('Round 3'!$G$7),0)))</f>
        <v/>
      </c>
      <c r="I46" s="116" t="str">
        <f>IF(ISBLANK($A46),"",IF(ISERROR(VLOOKUP($A46,'Round 1'!$A$7:$I$206,COLUMN('Round 1'!$F$7),0)),0,VLOOKUP($A46,'Round 1'!$A$7:$I$206,COLUMN('Round 1'!$F$7),0))+IF(ISERROR(VLOOKUP($A46,'Round 2'!$A$7:$I$206,COLUMN('Round 2'!$F$7),0)),0,VLOOKUP($A46,'Round 2'!$A$7:$I$206,COLUMN('Round 2'!$F$7),0))+IF(ISERROR(VLOOKUP($A46,'Round 3'!$A$7:$I$206,COLUMN('Round 3'!$F$7),0)),0,VLOOKUP($A46,'Round 3'!$A$7:$I$206,COLUMN('Round 3'!$F$7),0)))</f>
        <v/>
      </c>
      <c r="J46" s="117" t="str">
        <f>IF(ISBLANK($A46),"",IF(ISERROR(VLOOKUP($A46,'Round 1'!$A$7:$I$206,COLUMN('Round 1'!$H$7),0)),0,VLOOKUP($A46,'Round 1'!$A$7:$I$206,COLUMN('Round 1'!$H$7),0))+IF(ISERROR(VLOOKUP($A46,'Round 2'!$A$7:$I$206,COLUMN('Round 2'!$H$7),0)),0,VLOOKUP($A46,'Round 2'!$A$7:$I$206,COLUMN('Round 2'!$H$7),0))+IF(ISERROR(VLOOKUP($A46,'Round 3'!$A$7:$I$206,COLUMN('Round 3'!$H$7),0)),0,VLOOKUP($A46,'Round 3'!$A$7:$I$206,COLUMN('Round 3'!$H$7),0)))</f>
        <v/>
      </c>
      <c r="K46" s="116" t="str">
        <f t="shared" si="15"/>
        <v/>
      </c>
      <c r="L46" s="118" t="str">
        <f t="shared" si="16"/>
        <v/>
      </c>
      <c r="M46" s="119"/>
      <c r="N46" s="120" t="str">
        <f t="shared" si="17"/>
        <v/>
      </c>
      <c r="O46" s="36" t="str">
        <f t="shared" si="18"/>
        <v/>
      </c>
      <c r="P46" s="36" t="str">
        <f t="shared" si="19"/>
        <v/>
      </c>
      <c r="Q46" s="36">
        <f t="shared" si="20"/>
        <v>-10</v>
      </c>
      <c r="R46" s="36" t="str">
        <f t="shared" si="21"/>
        <v/>
      </c>
      <c r="S46" s="36" t="str">
        <f t="shared" si="22"/>
        <v/>
      </c>
      <c r="T46" s="36">
        <f t="shared" si="23"/>
        <v>0</v>
      </c>
      <c r="U46" s="120" t="str">
        <f ca="1">IF(N('Final Round'!$J$14)&gt;0,IF(ISBLANK($A46),"",IF($N46&gt;5,$N46,VLOOKUP($A46,'Final Round'!$A$14:$K$18,COLUMN('Final Round'!$J$1),0))),"")</f>
        <v/>
      </c>
      <c r="V46" s="36" t="str">
        <f t="shared" ca="1" si="24"/>
        <v/>
      </c>
      <c r="W46" s="36" t="str">
        <f t="shared" si="25"/>
        <v/>
      </c>
      <c r="X46" s="36" t="str">
        <f t="shared" si="26"/>
        <v/>
      </c>
      <c r="Y46" s="36">
        <f t="shared" si="27"/>
        <v>0</v>
      </c>
      <c r="Z46" s="36" t="str">
        <f t="shared" ca="1" si="28"/>
        <v/>
      </c>
      <c r="AA46" s="36">
        <f t="shared" ca="1" si="29"/>
        <v>0</v>
      </c>
      <c r="AB46" s="121" t="str">
        <f>IF(ISBLANK($A46),"",5+4*(I46+IF(AA46=0,0,VLOOKUP($A46,'Final Round'!$A$14:$K$18,COLUMN('Final Round'!$G$1),0)))+8*(H46+IF(AA46=0,0,IF(VLOOKUP($A46,'Final Round'!$A$14:$K$18,COLUMN('Final Round'!$J$1),0)=1,1,0)))+$AA46)</f>
        <v/>
      </c>
    </row>
    <row r="47" spans="1:28" x14ac:dyDescent="0.2">
      <c r="A47" s="137"/>
      <c r="B47" s="138"/>
      <c r="C47" s="138"/>
      <c r="D47" s="138"/>
      <c r="E47" s="139"/>
      <c r="F47" s="140" t="str">
        <f>IF(ISBLANK($A47),"",SUM(IF(ISNA(IF(VLOOKUP($A47,'Round 1'!$A$7:$J$206,COLUMN('Round 1'!$H$7),0),1,NA())),0,1),IF(ISNA(IF(VLOOKUP($A47,'Round 2'!$A$7:$J$206,COLUMN('Round 1'!$H$7),0),1,NA())),0,1),IF(ISNA(IF(VLOOKUP($A47,'Round 3'!$A$7:$J$206,COLUMN('Round 1'!$H$7),0),1,NA())),0,1),IF(ISNA(IF(VLOOKUP($A47,'Final Round'!$A$14:$K$18,1,0),1,NA())),0,1)))</f>
        <v/>
      </c>
      <c r="G47" s="141"/>
      <c r="H47" s="142" t="str">
        <f>IF(ISBLANK($A47),"",IF(ISERROR(VLOOKUP($A47,'Round 1'!$A$7:$I$206,COLUMN('Round 1'!$G$7),0)),0,VLOOKUP($A47,'Round 1'!$A$7:$I$206,COLUMN('Round 1'!$G$7),0))+IF(ISERROR(VLOOKUP($A47,'Round 2'!$A$7:$I$206,COLUMN('Round 2'!$G$7),0)),0,VLOOKUP($A47,'Round 2'!$A$7:$I$206,COLUMN('Round 2'!$G$7),0))+IF(ISERROR(VLOOKUP($A47,'Round 3'!$A$7:$I$206,COLUMN('Round 3'!$G$7),0)),0,VLOOKUP($A47,'Round 3'!$A$7:$I$206,COLUMN('Round 3'!$G$7),0)))</f>
        <v/>
      </c>
      <c r="I47" s="142" t="str">
        <f>IF(ISBLANK($A47),"",IF(ISERROR(VLOOKUP($A47,'Round 1'!$A$7:$I$206,COLUMN('Round 1'!$F$7),0)),0,VLOOKUP($A47,'Round 1'!$A$7:$I$206,COLUMN('Round 1'!$F$7),0))+IF(ISERROR(VLOOKUP($A47,'Round 2'!$A$7:$I$206,COLUMN('Round 2'!$F$7),0)),0,VLOOKUP($A47,'Round 2'!$A$7:$I$206,COLUMN('Round 2'!$F$7),0))+IF(ISERROR(VLOOKUP($A47,'Round 3'!$A$7:$I$206,COLUMN('Round 3'!$F$7),0)),0,VLOOKUP($A47,'Round 3'!$A$7:$I$206,COLUMN('Round 3'!$F$7),0)))</f>
        <v/>
      </c>
      <c r="J47" s="143" t="str">
        <f>IF(ISBLANK($A47),"",IF(ISERROR(VLOOKUP($A47,'Round 1'!$A$7:$I$206,COLUMN('Round 1'!$H$7),0)),0,VLOOKUP($A47,'Round 1'!$A$7:$I$206,COLUMN('Round 1'!$H$7),0))+IF(ISERROR(VLOOKUP($A47,'Round 2'!$A$7:$I$206,COLUMN('Round 2'!$H$7),0)),0,VLOOKUP($A47,'Round 2'!$A$7:$I$206,COLUMN('Round 2'!$H$7),0))+IF(ISERROR(VLOOKUP($A47,'Round 3'!$A$7:$I$206,COLUMN('Round 3'!$H$7),0)),0,VLOOKUP($A47,'Round 3'!$A$7:$I$206,COLUMN('Round 3'!$H$7),0)))</f>
        <v/>
      </c>
      <c r="K47" s="142" t="str">
        <f t="shared" si="15"/>
        <v/>
      </c>
      <c r="L47" s="144" t="str">
        <f t="shared" si="16"/>
        <v/>
      </c>
      <c r="M47" s="145"/>
      <c r="N47" s="146" t="str">
        <f t="shared" si="17"/>
        <v/>
      </c>
      <c r="O47" s="36" t="str">
        <f t="shared" si="18"/>
        <v/>
      </c>
      <c r="P47" s="36" t="str">
        <f t="shared" si="19"/>
        <v/>
      </c>
      <c r="Q47" s="36">
        <f t="shared" si="20"/>
        <v>-10</v>
      </c>
      <c r="R47" s="36" t="str">
        <f t="shared" si="21"/>
        <v/>
      </c>
      <c r="S47" s="36" t="str">
        <f t="shared" si="22"/>
        <v/>
      </c>
      <c r="T47" s="36">
        <f t="shared" si="23"/>
        <v>0</v>
      </c>
      <c r="U47" s="146" t="str">
        <f ca="1">IF(N('Final Round'!$J$14)&gt;0,IF(ISBLANK($A47),"",IF($N47&gt;5,$N47,VLOOKUP($A47,'Final Round'!$A$14:$K$18,COLUMN('Final Round'!$J$1),0))),"")</f>
        <v/>
      </c>
      <c r="V47" s="36" t="str">
        <f t="shared" ca="1" si="24"/>
        <v/>
      </c>
      <c r="W47" s="36" t="str">
        <f t="shared" si="25"/>
        <v/>
      </c>
      <c r="X47" s="36" t="str">
        <f t="shared" si="26"/>
        <v/>
      </c>
      <c r="Y47" s="36">
        <f t="shared" si="27"/>
        <v>0</v>
      </c>
      <c r="Z47" s="36" t="str">
        <f t="shared" ca="1" si="28"/>
        <v/>
      </c>
      <c r="AA47" s="36">
        <f t="shared" ca="1" si="29"/>
        <v>0</v>
      </c>
      <c r="AB47" s="147" t="str">
        <f>IF(ISBLANK($A47),"",5+4*(I47+IF(AA47=0,0,VLOOKUP($A47,'Final Round'!$A$14:$K$18,COLUMN('Final Round'!$G$1),0)))+8*(H47+IF(AA47=0,0,IF(VLOOKUP($A47,'Final Round'!$A$14:$K$18,COLUMN('Final Round'!$J$1),0)=1,1,0)))+$AA47)</f>
        <v/>
      </c>
    </row>
    <row r="48" spans="1:28" x14ac:dyDescent="0.2">
      <c r="A48" s="111"/>
      <c r="B48" s="112"/>
      <c r="C48" s="112"/>
      <c r="D48" s="112"/>
      <c r="E48" s="113"/>
      <c r="F48" s="114" t="str">
        <f>IF(ISBLANK($A48),"",SUM(IF(ISNA(IF(VLOOKUP($A48,'Round 1'!$A$7:$J$206,COLUMN('Round 1'!$H$7),0),1,NA())),0,1),IF(ISNA(IF(VLOOKUP($A48,'Round 2'!$A$7:$J$206,COLUMN('Round 1'!$H$7),0),1,NA())),0,1),IF(ISNA(IF(VLOOKUP($A48,'Round 3'!$A$7:$J$206,COLUMN('Round 1'!$H$7),0),1,NA())),0,1),IF(ISNA(IF(VLOOKUP($A48,'Final Round'!$A$14:$K$18,1,0),1,NA())),0,1)))</f>
        <v/>
      </c>
      <c r="G48" s="115"/>
      <c r="H48" s="116" t="str">
        <f>IF(ISBLANK($A48),"",IF(ISERROR(VLOOKUP($A48,'Round 1'!$A$7:$I$206,COLUMN('Round 1'!$G$7),0)),0,VLOOKUP($A48,'Round 1'!$A$7:$I$206,COLUMN('Round 1'!$G$7),0))+IF(ISERROR(VLOOKUP($A48,'Round 2'!$A$7:$I$206,COLUMN('Round 2'!$G$7),0)),0,VLOOKUP($A48,'Round 2'!$A$7:$I$206,COLUMN('Round 2'!$G$7),0))+IF(ISERROR(VLOOKUP($A48,'Round 3'!$A$7:$I$206,COLUMN('Round 3'!$G$7),0)),0,VLOOKUP($A48,'Round 3'!$A$7:$I$206,COLUMN('Round 3'!$G$7),0)))</f>
        <v/>
      </c>
      <c r="I48" s="116" t="str">
        <f>IF(ISBLANK($A48),"",IF(ISERROR(VLOOKUP($A48,'Round 1'!$A$7:$I$206,COLUMN('Round 1'!$F$7),0)),0,VLOOKUP($A48,'Round 1'!$A$7:$I$206,COLUMN('Round 1'!$F$7),0))+IF(ISERROR(VLOOKUP($A48,'Round 2'!$A$7:$I$206,COLUMN('Round 2'!$F$7),0)),0,VLOOKUP($A48,'Round 2'!$A$7:$I$206,COLUMN('Round 2'!$F$7),0))+IF(ISERROR(VLOOKUP($A48,'Round 3'!$A$7:$I$206,COLUMN('Round 3'!$F$7),0)),0,VLOOKUP($A48,'Round 3'!$A$7:$I$206,COLUMN('Round 3'!$F$7),0)))</f>
        <v/>
      </c>
      <c r="J48" s="117" t="str">
        <f>IF(ISBLANK($A48),"",IF(ISERROR(VLOOKUP($A48,'Round 1'!$A$7:$I$206,COLUMN('Round 1'!$H$7),0)),0,VLOOKUP($A48,'Round 1'!$A$7:$I$206,COLUMN('Round 1'!$H$7),0))+IF(ISERROR(VLOOKUP($A48,'Round 2'!$A$7:$I$206,COLUMN('Round 2'!$H$7),0)),0,VLOOKUP($A48,'Round 2'!$A$7:$I$206,COLUMN('Round 2'!$H$7),0))+IF(ISERROR(VLOOKUP($A48,'Round 3'!$A$7:$I$206,COLUMN('Round 3'!$H$7),0)),0,VLOOKUP($A48,'Round 3'!$A$7:$I$206,COLUMN('Round 3'!$H$7),0)))</f>
        <v/>
      </c>
      <c r="K48" s="116" t="str">
        <f t="shared" si="15"/>
        <v/>
      </c>
      <c r="L48" s="118" t="str">
        <f t="shared" si="16"/>
        <v/>
      </c>
      <c r="M48" s="119"/>
      <c r="N48" s="120" t="str">
        <f t="shared" si="17"/>
        <v/>
      </c>
      <c r="O48" s="36" t="str">
        <f t="shared" si="18"/>
        <v/>
      </c>
      <c r="P48" s="36" t="str">
        <f t="shared" si="19"/>
        <v/>
      </c>
      <c r="Q48" s="36">
        <f t="shared" si="20"/>
        <v>-10</v>
      </c>
      <c r="R48" s="36" t="str">
        <f t="shared" si="21"/>
        <v/>
      </c>
      <c r="S48" s="36" t="str">
        <f t="shared" si="22"/>
        <v/>
      </c>
      <c r="T48" s="36">
        <f t="shared" si="23"/>
        <v>0</v>
      </c>
      <c r="U48" s="120" t="str">
        <f ca="1">IF(N('Final Round'!$J$14)&gt;0,IF(ISBLANK($A48),"",IF($N48&gt;5,$N48,VLOOKUP($A48,'Final Round'!$A$14:$K$18,COLUMN('Final Round'!$J$1),0))),"")</f>
        <v/>
      </c>
      <c r="V48" s="36" t="str">
        <f t="shared" ca="1" si="24"/>
        <v/>
      </c>
      <c r="W48" s="36" t="str">
        <f t="shared" si="25"/>
        <v/>
      </c>
      <c r="X48" s="36" t="str">
        <f t="shared" si="26"/>
        <v/>
      </c>
      <c r="Y48" s="36">
        <f t="shared" si="27"/>
        <v>0</v>
      </c>
      <c r="Z48" s="36" t="str">
        <f t="shared" ca="1" si="28"/>
        <v/>
      </c>
      <c r="AA48" s="36">
        <f t="shared" ca="1" si="29"/>
        <v>0</v>
      </c>
      <c r="AB48" s="121" t="str">
        <f>IF(ISBLANK($A48),"",5+4*(I48+IF(AA48=0,0,VLOOKUP($A48,'Final Round'!$A$14:$K$18,COLUMN('Final Round'!$G$1),0)))+8*(H48+IF(AA48=0,0,IF(VLOOKUP($A48,'Final Round'!$A$14:$K$18,COLUMN('Final Round'!$J$1),0)=1,1,0)))+$AA48)</f>
        <v/>
      </c>
    </row>
    <row r="49" spans="1:28" x14ac:dyDescent="0.2">
      <c r="A49" s="137"/>
      <c r="B49" s="138"/>
      <c r="C49" s="138"/>
      <c r="D49" s="138"/>
      <c r="E49" s="139"/>
      <c r="F49" s="140" t="str">
        <f>IF(ISBLANK($A49),"",SUM(IF(ISNA(IF(VLOOKUP($A49,'Round 1'!$A$7:$J$206,COLUMN('Round 1'!$H$7),0),1,NA())),0,1),IF(ISNA(IF(VLOOKUP($A49,'Round 2'!$A$7:$J$206,COLUMN('Round 1'!$H$7),0),1,NA())),0,1),IF(ISNA(IF(VLOOKUP($A49,'Round 3'!$A$7:$J$206,COLUMN('Round 1'!$H$7),0),1,NA())),0,1),IF(ISNA(IF(VLOOKUP($A49,'Final Round'!$A$14:$K$18,1,0),1,NA())),0,1)))</f>
        <v/>
      </c>
      <c r="G49" s="141"/>
      <c r="H49" s="142" t="str">
        <f>IF(ISBLANK($A49),"",IF(ISERROR(VLOOKUP($A49,'Round 1'!$A$7:$I$206,COLUMN('Round 1'!$G$7),0)),0,VLOOKUP($A49,'Round 1'!$A$7:$I$206,COLUMN('Round 1'!$G$7),0))+IF(ISERROR(VLOOKUP($A49,'Round 2'!$A$7:$I$206,COLUMN('Round 2'!$G$7),0)),0,VLOOKUP($A49,'Round 2'!$A$7:$I$206,COLUMN('Round 2'!$G$7),0))+IF(ISERROR(VLOOKUP($A49,'Round 3'!$A$7:$I$206,COLUMN('Round 3'!$G$7),0)),0,VLOOKUP($A49,'Round 3'!$A$7:$I$206,COLUMN('Round 3'!$G$7),0)))</f>
        <v/>
      </c>
      <c r="I49" s="142" t="str">
        <f>IF(ISBLANK($A49),"",IF(ISERROR(VLOOKUP($A49,'Round 1'!$A$7:$I$206,COLUMN('Round 1'!$F$7),0)),0,VLOOKUP($A49,'Round 1'!$A$7:$I$206,COLUMN('Round 1'!$F$7),0))+IF(ISERROR(VLOOKUP($A49,'Round 2'!$A$7:$I$206,COLUMN('Round 2'!$F$7),0)),0,VLOOKUP($A49,'Round 2'!$A$7:$I$206,COLUMN('Round 2'!$F$7),0))+IF(ISERROR(VLOOKUP($A49,'Round 3'!$A$7:$I$206,COLUMN('Round 3'!$F$7),0)),0,VLOOKUP($A49,'Round 3'!$A$7:$I$206,COLUMN('Round 3'!$F$7),0)))</f>
        <v/>
      </c>
      <c r="J49" s="143" t="str">
        <f>IF(ISBLANK($A49),"",IF(ISERROR(VLOOKUP($A49,'Round 1'!$A$7:$I$206,COLUMN('Round 1'!$H$7),0)),0,VLOOKUP($A49,'Round 1'!$A$7:$I$206,COLUMN('Round 1'!$H$7),0))+IF(ISERROR(VLOOKUP($A49,'Round 2'!$A$7:$I$206,COLUMN('Round 2'!$H$7),0)),0,VLOOKUP($A49,'Round 2'!$A$7:$I$206,COLUMN('Round 2'!$H$7),0))+IF(ISERROR(VLOOKUP($A49,'Round 3'!$A$7:$I$206,COLUMN('Round 3'!$H$7),0)),0,VLOOKUP($A49,'Round 3'!$A$7:$I$206,COLUMN('Round 3'!$H$7),0)))</f>
        <v/>
      </c>
      <c r="K49" s="142" t="str">
        <f t="shared" si="15"/>
        <v/>
      </c>
      <c r="L49" s="144" t="str">
        <f t="shared" si="16"/>
        <v/>
      </c>
      <c r="M49" s="145"/>
      <c r="N49" s="146" t="str">
        <f t="shared" si="17"/>
        <v/>
      </c>
      <c r="O49" s="36" t="str">
        <f t="shared" si="18"/>
        <v/>
      </c>
      <c r="P49" s="36" t="str">
        <f t="shared" si="19"/>
        <v/>
      </c>
      <c r="Q49" s="36">
        <f t="shared" si="20"/>
        <v>-10</v>
      </c>
      <c r="R49" s="36" t="str">
        <f t="shared" si="21"/>
        <v/>
      </c>
      <c r="S49" s="36" t="str">
        <f t="shared" si="22"/>
        <v/>
      </c>
      <c r="T49" s="36">
        <f t="shared" si="23"/>
        <v>0</v>
      </c>
      <c r="U49" s="146" t="str">
        <f ca="1">IF(N('Final Round'!$J$14)&gt;0,IF(ISBLANK($A49),"",IF($N49&gt;5,$N49,VLOOKUP($A49,'Final Round'!$A$14:$K$18,COLUMN('Final Round'!$J$1),0))),"")</f>
        <v/>
      </c>
      <c r="V49" s="36" t="str">
        <f t="shared" ca="1" si="24"/>
        <v/>
      </c>
      <c r="W49" s="36" t="str">
        <f t="shared" si="25"/>
        <v/>
      </c>
      <c r="X49" s="36" t="str">
        <f t="shared" si="26"/>
        <v/>
      </c>
      <c r="Y49" s="36">
        <f t="shared" si="27"/>
        <v>0</v>
      </c>
      <c r="Z49" s="36" t="str">
        <f t="shared" ca="1" si="28"/>
        <v/>
      </c>
      <c r="AA49" s="36">
        <f t="shared" ca="1" si="29"/>
        <v>0</v>
      </c>
      <c r="AB49" s="147" t="str">
        <f>IF(ISBLANK($A49),"",5+4*(I49+IF(AA49=0,0,VLOOKUP($A49,'Final Round'!$A$14:$K$18,COLUMN('Final Round'!$G$1),0)))+8*(H49+IF(AA49=0,0,IF(VLOOKUP($A49,'Final Round'!$A$14:$K$18,COLUMN('Final Round'!$J$1),0)=1,1,0)))+$AA49)</f>
        <v/>
      </c>
    </row>
    <row r="50" spans="1:28" x14ac:dyDescent="0.2">
      <c r="A50" s="111"/>
      <c r="B50" s="112"/>
      <c r="C50" s="112"/>
      <c r="D50" s="112"/>
      <c r="E50" s="113"/>
      <c r="F50" s="114" t="str">
        <f>IF(ISBLANK($A50),"",SUM(IF(ISNA(IF(VLOOKUP($A50,'Round 1'!$A$7:$J$206,COLUMN('Round 1'!$H$7),0),1,NA())),0,1),IF(ISNA(IF(VLOOKUP($A50,'Round 2'!$A$7:$J$206,COLUMN('Round 1'!$H$7),0),1,NA())),0,1),IF(ISNA(IF(VLOOKUP($A50,'Round 3'!$A$7:$J$206,COLUMN('Round 1'!$H$7),0),1,NA())),0,1),IF(ISNA(IF(VLOOKUP($A50,'Final Round'!$A$14:$K$18,1,0),1,NA())),0,1)))</f>
        <v/>
      </c>
      <c r="G50" s="115"/>
      <c r="H50" s="116" t="str">
        <f>IF(ISBLANK($A50),"",IF(ISERROR(VLOOKUP($A50,'Round 1'!$A$7:$I$206,COLUMN('Round 1'!$G$7),0)),0,VLOOKUP($A50,'Round 1'!$A$7:$I$206,COLUMN('Round 1'!$G$7),0))+IF(ISERROR(VLOOKUP($A50,'Round 2'!$A$7:$I$206,COLUMN('Round 2'!$G$7),0)),0,VLOOKUP($A50,'Round 2'!$A$7:$I$206,COLUMN('Round 2'!$G$7),0))+IF(ISERROR(VLOOKUP($A50,'Round 3'!$A$7:$I$206,COLUMN('Round 3'!$G$7),0)),0,VLOOKUP($A50,'Round 3'!$A$7:$I$206,COLUMN('Round 3'!$G$7),0)))</f>
        <v/>
      </c>
      <c r="I50" s="116" t="str">
        <f>IF(ISBLANK($A50),"",IF(ISERROR(VLOOKUP($A50,'Round 1'!$A$7:$I$206,COLUMN('Round 1'!$F$7),0)),0,VLOOKUP($A50,'Round 1'!$A$7:$I$206,COLUMN('Round 1'!$F$7),0))+IF(ISERROR(VLOOKUP($A50,'Round 2'!$A$7:$I$206,COLUMN('Round 2'!$F$7),0)),0,VLOOKUP($A50,'Round 2'!$A$7:$I$206,COLUMN('Round 2'!$F$7),0))+IF(ISERROR(VLOOKUP($A50,'Round 3'!$A$7:$I$206,COLUMN('Round 3'!$F$7),0)),0,VLOOKUP($A50,'Round 3'!$A$7:$I$206,COLUMN('Round 3'!$F$7),0)))</f>
        <v/>
      </c>
      <c r="J50" s="117" t="str">
        <f>IF(ISBLANK($A50),"",IF(ISERROR(VLOOKUP($A50,'Round 1'!$A$7:$I$206,COLUMN('Round 1'!$H$7),0)),0,VLOOKUP($A50,'Round 1'!$A$7:$I$206,COLUMN('Round 1'!$H$7),0))+IF(ISERROR(VLOOKUP($A50,'Round 2'!$A$7:$I$206,COLUMN('Round 2'!$H$7),0)),0,VLOOKUP($A50,'Round 2'!$A$7:$I$206,COLUMN('Round 2'!$H$7),0))+IF(ISERROR(VLOOKUP($A50,'Round 3'!$A$7:$I$206,COLUMN('Round 3'!$H$7),0)),0,VLOOKUP($A50,'Round 3'!$A$7:$I$206,COLUMN('Round 3'!$H$7),0)))</f>
        <v/>
      </c>
      <c r="K50" s="116" t="str">
        <f t="shared" si="15"/>
        <v/>
      </c>
      <c r="L50" s="118" t="str">
        <f t="shared" si="16"/>
        <v/>
      </c>
      <c r="M50" s="119"/>
      <c r="N50" s="120" t="str">
        <f t="shared" si="17"/>
        <v/>
      </c>
      <c r="O50" s="36" t="str">
        <f t="shared" si="18"/>
        <v/>
      </c>
      <c r="P50" s="36" t="str">
        <f t="shared" si="19"/>
        <v/>
      </c>
      <c r="Q50" s="36">
        <f t="shared" si="20"/>
        <v>-10</v>
      </c>
      <c r="R50" s="36" t="str">
        <f t="shared" si="21"/>
        <v/>
      </c>
      <c r="S50" s="36" t="str">
        <f t="shared" si="22"/>
        <v/>
      </c>
      <c r="T50" s="36">
        <f t="shared" si="23"/>
        <v>0</v>
      </c>
      <c r="U50" s="120" t="str">
        <f ca="1">IF(N('Final Round'!$J$14)&gt;0,IF(ISBLANK($A50),"",IF($N50&gt;5,$N50,VLOOKUP($A50,'Final Round'!$A$14:$K$18,COLUMN('Final Round'!$J$1),0))),"")</f>
        <v/>
      </c>
      <c r="V50" s="36" t="str">
        <f t="shared" ca="1" si="24"/>
        <v/>
      </c>
      <c r="W50" s="36" t="str">
        <f t="shared" si="25"/>
        <v/>
      </c>
      <c r="X50" s="36" t="str">
        <f t="shared" si="26"/>
        <v/>
      </c>
      <c r="Y50" s="36">
        <f t="shared" si="27"/>
        <v>0</v>
      </c>
      <c r="Z50" s="36" t="str">
        <f t="shared" ca="1" si="28"/>
        <v/>
      </c>
      <c r="AA50" s="36">
        <f t="shared" ca="1" si="29"/>
        <v>0</v>
      </c>
      <c r="AB50" s="121" t="str">
        <f>IF(ISBLANK($A50),"",5+4*(I50+IF(AA50=0,0,VLOOKUP($A50,'Final Round'!$A$14:$K$18,COLUMN('Final Round'!$G$1),0)))+8*(H50+IF(AA50=0,0,IF(VLOOKUP($A50,'Final Round'!$A$14:$K$18,COLUMN('Final Round'!$J$1),0)=1,1,0)))+$AA50)</f>
        <v/>
      </c>
    </row>
    <row r="51" spans="1:28" x14ac:dyDescent="0.2">
      <c r="A51" s="137"/>
      <c r="B51" s="138"/>
      <c r="C51" s="138"/>
      <c r="D51" s="138"/>
      <c r="E51" s="139"/>
      <c r="F51" s="140" t="str">
        <f>IF(ISBLANK($A51),"",SUM(IF(ISNA(IF(VLOOKUP($A51,'Round 1'!$A$7:$J$206,COLUMN('Round 1'!$H$7),0),1,NA())),0,1),IF(ISNA(IF(VLOOKUP($A51,'Round 2'!$A$7:$J$206,COLUMN('Round 1'!$H$7),0),1,NA())),0,1),IF(ISNA(IF(VLOOKUP($A51,'Round 3'!$A$7:$J$206,COLUMN('Round 1'!$H$7),0),1,NA())),0,1),IF(ISNA(IF(VLOOKUP($A51,'Final Round'!$A$14:$K$18,1,0),1,NA())),0,1)))</f>
        <v/>
      </c>
      <c r="G51" s="141"/>
      <c r="H51" s="142" t="str">
        <f>IF(ISBLANK($A51),"",IF(ISERROR(VLOOKUP($A51,'Round 1'!$A$7:$I$206,COLUMN('Round 1'!$G$7),0)),0,VLOOKUP($A51,'Round 1'!$A$7:$I$206,COLUMN('Round 1'!$G$7),0))+IF(ISERROR(VLOOKUP($A51,'Round 2'!$A$7:$I$206,COLUMN('Round 2'!$G$7),0)),0,VLOOKUP($A51,'Round 2'!$A$7:$I$206,COLUMN('Round 2'!$G$7),0))+IF(ISERROR(VLOOKUP($A51,'Round 3'!$A$7:$I$206,COLUMN('Round 3'!$G$7),0)),0,VLOOKUP($A51,'Round 3'!$A$7:$I$206,COLUMN('Round 3'!$G$7),0)))</f>
        <v/>
      </c>
      <c r="I51" s="142" t="str">
        <f>IF(ISBLANK($A51),"",IF(ISERROR(VLOOKUP($A51,'Round 1'!$A$7:$I$206,COLUMN('Round 1'!$F$7),0)),0,VLOOKUP($A51,'Round 1'!$A$7:$I$206,COLUMN('Round 1'!$F$7),0))+IF(ISERROR(VLOOKUP($A51,'Round 2'!$A$7:$I$206,COLUMN('Round 2'!$F$7),0)),0,VLOOKUP($A51,'Round 2'!$A$7:$I$206,COLUMN('Round 2'!$F$7),0))+IF(ISERROR(VLOOKUP($A51,'Round 3'!$A$7:$I$206,COLUMN('Round 3'!$F$7),0)),0,VLOOKUP($A51,'Round 3'!$A$7:$I$206,COLUMN('Round 3'!$F$7),0)))</f>
        <v/>
      </c>
      <c r="J51" s="143" t="str">
        <f>IF(ISBLANK($A51),"",IF(ISERROR(VLOOKUP($A51,'Round 1'!$A$7:$I$206,COLUMN('Round 1'!$H$7),0)),0,VLOOKUP($A51,'Round 1'!$A$7:$I$206,COLUMN('Round 1'!$H$7),0))+IF(ISERROR(VLOOKUP($A51,'Round 2'!$A$7:$I$206,COLUMN('Round 2'!$H$7),0)),0,VLOOKUP($A51,'Round 2'!$A$7:$I$206,COLUMN('Round 2'!$H$7),0))+IF(ISERROR(VLOOKUP($A51,'Round 3'!$A$7:$I$206,COLUMN('Round 3'!$H$7),0)),0,VLOOKUP($A51,'Round 3'!$A$7:$I$206,COLUMN('Round 3'!$H$7),0)))</f>
        <v/>
      </c>
      <c r="K51" s="142" t="str">
        <f t="shared" si="15"/>
        <v/>
      </c>
      <c r="L51" s="144" t="str">
        <f t="shared" si="16"/>
        <v/>
      </c>
      <c r="M51" s="145"/>
      <c r="N51" s="146" t="str">
        <f t="shared" si="17"/>
        <v/>
      </c>
      <c r="O51" s="36" t="str">
        <f t="shared" si="18"/>
        <v/>
      </c>
      <c r="P51" s="36" t="str">
        <f t="shared" si="19"/>
        <v/>
      </c>
      <c r="Q51" s="36">
        <f t="shared" si="20"/>
        <v>-10</v>
      </c>
      <c r="R51" s="36" t="str">
        <f t="shared" si="21"/>
        <v/>
      </c>
      <c r="S51" s="36" t="str">
        <f t="shared" si="22"/>
        <v/>
      </c>
      <c r="T51" s="36">
        <f t="shared" si="23"/>
        <v>0</v>
      </c>
      <c r="U51" s="146" t="str">
        <f ca="1">IF(N('Final Round'!$J$14)&gt;0,IF(ISBLANK($A51),"",IF($N51&gt;5,$N51,VLOOKUP($A51,'Final Round'!$A$14:$K$18,COLUMN('Final Round'!$J$1),0))),"")</f>
        <v/>
      </c>
      <c r="V51" s="36" t="str">
        <f t="shared" ca="1" si="24"/>
        <v/>
      </c>
      <c r="W51" s="36" t="str">
        <f t="shared" si="25"/>
        <v/>
      </c>
      <c r="X51" s="36" t="str">
        <f t="shared" si="26"/>
        <v/>
      </c>
      <c r="Y51" s="36">
        <f t="shared" si="27"/>
        <v>0</v>
      </c>
      <c r="Z51" s="36" t="str">
        <f t="shared" ca="1" si="28"/>
        <v/>
      </c>
      <c r="AA51" s="36">
        <f t="shared" ca="1" si="29"/>
        <v>0</v>
      </c>
      <c r="AB51" s="147" t="str">
        <f>IF(ISBLANK($A51),"",5+4*(I51+IF(AA51=0,0,VLOOKUP($A51,'Final Round'!$A$14:$K$18,COLUMN('Final Round'!$G$1),0)))+8*(H51+IF(AA51=0,0,IF(VLOOKUP($A51,'Final Round'!$A$14:$K$18,COLUMN('Final Round'!$J$1),0)=1,1,0)))+$AA51)</f>
        <v/>
      </c>
    </row>
    <row r="52" spans="1:28" x14ac:dyDescent="0.2">
      <c r="A52" s="111"/>
      <c r="B52" s="112"/>
      <c r="C52" s="112"/>
      <c r="D52" s="112"/>
      <c r="E52" s="113"/>
      <c r="F52" s="114" t="str">
        <f>IF(ISBLANK($A52),"",SUM(IF(ISNA(IF(VLOOKUP($A52,'Round 1'!$A$7:$J$206,COLUMN('Round 1'!$H$7),0),1,NA())),0,1),IF(ISNA(IF(VLOOKUP($A52,'Round 2'!$A$7:$J$206,COLUMN('Round 1'!$H$7),0),1,NA())),0,1),IF(ISNA(IF(VLOOKUP($A52,'Round 3'!$A$7:$J$206,COLUMN('Round 1'!$H$7),0),1,NA())),0,1),IF(ISNA(IF(VLOOKUP($A52,'Final Round'!$A$14:$K$18,1,0),1,NA())),0,1)))</f>
        <v/>
      </c>
      <c r="G52" s="115"/>
      <c r="H52" s="116" t="str">
        <f>IF(ISBLANK($A52),"",IF(ISERROR(VLOOKUP($A52,'Round 1'!$A$7:$I$206,COLUMN('Round 1'!$G$7),0)),0,VLOOKUP($A52,'Round 1'!$A$7:$I$206,COLUMN('Round 1'!$G$7),0))+IF(ISERROR(VLOOKUP($A52,'Round 2'!$A$7:$I$206,COLUMN('Round 2'!$G$7),0)),0,VLOOKUP($A52,'Round 2'!$A$7:$I$206,COLUMN('Round 2'!$G$7),0))+IF(ISERROR(VLOOKUP($A52,'Round 3'!$A$7:$I$206,COLUMN('Round 3'!$G$7),0)),0,VLOOKUP($A52,'Round 3'!$A$7:$I$206,COLUMN('Round 3'!$G$7),0)))</f>
        <v/>
      </c>
      <c r="I52" s="116" t="str">
        <f>IF(ISBLANK($A52),"",IF(ISERROR(VLOOKUP($A52,'Round 1'!$A$7:$I$206,COLUMN('Round 1'!$F$7),0)),0,VLOOKUP($A52,'Round 1'!$A$7:$I$206,COLUMN('Round 1'!$F$7),0))+IF(ISERROR(VLOOKUP($A52,'Round 2'!$A$7:$I$206,COLUMN('Round 2'!$F$7),0)),0,VLOOKUP($A52,'Round 2'!$A$7:$I$206,COLUMN('Round 2'!$F$7),0))+IF(ISERROR(VLOOKUP($A52,'Round 3'!$A$7:$I$206,COLUMN('Round 3'!$F$7),0)),0,VLOOKUP($A52,'Round 3'!$A$7:$I$206,COLUMN('Round 3'!$F$7),0)))</f>
        <v/>
      </c>
      <c r="J52" s="117" t="str">
        <f>IF(ISBLANK($A52),"",IF(ISERROR(VLOOKUP($A52,'Round 1'!$A$7:$I$206,COLUMN('Round 1'!$H$7),0)),0,VLOOKUP($A52,'Round 1'!$A$7:$I$206,COLUMN('Round 1'!$H$7),0))+IF(ISERROR(VLOOKUP($A52,'Round 2'!$A$7:$I$206,COLUMN('Round 2'!$H$7),0)),0,VLOOKUP($A52,'Round 2'!$A$7:$I$206,COLUMN('Round 2'!$H$7),0))+IF(ISERROR(VLOOKUP($A52,'Round 3'!$A$7:$I$206,COLUMN('Round 3'!$H$7),0)),0,VLOOKUP($A52,'Round 3'!$A$7:$I$206,COLUMN('Round 3'!$H$7),0)))</f>
        <v/>
      </c>
      <c r="K52" s="116" t="str">
        <f t="shared" si="15"/>
        <v/>
      </c>
      <c r="L52" s="118" t="str">
        <f t="shared" si="16"/>
        <v/>
      </c>
      <c r="M52" s="119"/>
      <c r="N52" s="120" t="str">
        <f t="shared" si="17"/>
        <v/>
      </c>
      <c r="O52" s="36" t="str">
        <f t="shared" si="18"/>
        <v/>
      </c>
      <c r="P52" s="36" t="str">
        <f t="shared" si="19"/>
        <v/>
      </c>
      <c r="Q52" s="36">
        <f t="shared" si="20"/>
        <v>-10</v>
      </c>
      <c r="R52" s="36" t="str">
        <f t="shared" si="21"/>
        <v/>
      </c>
      <c r="S52" s="36" t="str">
        <f t="shared" si="22"/>
        <v/>
      </c>
      <c r="T52" s="36">
        <f t="shared" si="23"/>
        <v>0</v>
      </c>
      <c r="U52" s="120" t="str">
        <f ca="1">IF(N('Final Round'!$J$14)&gt;0,IF(ISBLANK($A52),"",IF($N52&gt;5,$N52,VLOOKUP($A52,'Final Round'!$A$14:$K$18,COLUMN('Final Round'!$J$1),0))),"")</f>
        <v/>
      </c>
      <c r="V52" s="36" t="str">
        <f t="shared" ca="1" si="24"/>
        <v/>
      </c>
      <c r="W52" s="36" t="str">
        <f t="shared" si="25"/>
        <v/>
      </c>
      <c r="X52" s="36" t="str">
        <f t="shared" si="26"/>
        <v/>
      </c>
      <c r="Y52" s="36">
        <f t="shared" si="27"/>
        <v>0</v>
      </c>
      <c r="Z52" s="36" t="str">
        <f t="shared" ca="1" si="28"/>
        <v/>
      </c>
      <c r="AA52" s="36">
        <f t="shared" ca="1" si="29"/>
        <v>0</v>
      </c>
      <c r="AB52" s="121" t="str">
        <f>IF(ISBLANK($A52),"",5+4*(I52+IF(AA52=0,0,VLOOKUP($A52,'Final Round'!$A$14:$K$18,COLUMN('Final Round'!$G$1),0)))+8*(H52+IF(AA52=0,0,IF(VLOOKUP($A52,'Final Round'!$A$14:$K$18,COLUMN('Final Round'!$J$1),0)=1,1,0)))+$AA52)</f>
        <v/>
      </c>
    </row>
    <row r="53" spans="1:28" x14ac:dyDescent="0.2">
      <c r="A53" s="137"/>
      <c r="B53" s="138"/>
      <c r="C53" s="138"/>
      <c r="D53" s="138"/>
      <c r="E53" s="139"/>
      <c r="F53" s="140" t="str">
        <f>IF(ISBLANK($A53),"",SUM(IF(ISNA(IF(VLOOKUP($A53,'Round 1'!$A$7:$J$206,COLUMN('Round 1'!$H$7),0),1,NA())),0,1),IF(ISNA(IF(VLOOKUP($A53,'Round 2'!$A$7:$J$206,COLUMN('Round 1'!$H$7),0),1,NA())),0,1),IF(ISNA(IF(VLOOKUP($A53,'Round 3'!$A$7:$J$206,COLUMN('Round 1'!$H$7),0),1,NA())),0,1),IF(ISNA(IF(VLOOKUP($A53,'Final Round'!$A$14:$K$18,1,0),1,NA())),0,1)))</f>
        <v/>
      </c>
      <c r="G53" s="141"/>
      <c r="H53" s="142" t="str">
        <f>IF(ISBLANK($A53),"",IF(ISERROR(VLOOKUP($A53,'Round 1'!$A$7:$I$206,COLUMN('Round 1'!$G$7),0)),0,VLOOKUP($A53,'Round 1'!$A$7:$I$206,COLUMN('Round 1'!$G$7),0))+IF(ISERROR(VLOOKUP($A53,'Round 2'!$A$7:$I$206,COLUMN('Round 2'!$G$7),0)),0,VLOOKUP($A53,'Round 2'!$A$7:$I$206,COLUMN('Round 2'!$G$7),0))+IF(ISERROR(VLOOKUP($A53,'Round 3'!$A$7:$I$206,COLUMN('Round 3'!$G$7),0)),0,VLOOKUP($A53,'Round 3'!$A$7:$I$206,COLUMN('Round 3'!$G$7),0)))</f>
        <v/>
      </c>
      <c r="I53" s="142" t="str">
        <f>IF(ISBLANK($A53),"",IF(ISERROR(VLOOKUP($A53,'Round 1'!$A$7:$I$206,COLUMN('Round 1'!$F$7),0)),0,VLOOKUP($A53,'Round 1'!$A$7:$I$206,COLUMN('Round 1'!$F$7),0))+IF(ISERROR(VLOOKUP($A53,'Round 2'!$A$7:$I$206,COLUMN('Round 2'!$F$7),0)),0,VLOOKUP($A53,'Round 2'!$A$7:$I$206,COLUMN('Round 2'!$F$7),0))+IF(ISERROR(VLOOKUP($A53,'Round 3'!$A$7:$I$206,COLUMN('Round 3'!$F$7),0)),0,VLOOKUP($A53,'Round 3'!$A$7:$I$206,COLUMN('Round 3'!$F$7),0)))</f>
        <v/>
      </c>
      <c r="J53" s="143" t="str">
        <f>IF(ISBLANK($A53),"",IF(ISERROR(VLOOKUP($A53,'Round 1'!$A$7:$I$206,COLUMN('Round 1'!$H$7),0)),0,VLOOKUP($A53,'Round 1'!$A$7:$I$206,COLUMN('Round 1'!$H$7),0))+IF(ISERROR(VLOOKUP($A53,'Round 2'!$A$7:$I$206,COLUMN('Round 2'!$H$7),0)),0,VLOOKUP($A53,'Round 2'!$A$7:$I$206,COLUMN('Round 2'!$H$7),0))+IF(ISERROR(VLOOKUP($A53,'Round 3'!$A$7:$I$206,COLUMN('Round 3'!$H$7),0)),0,VLOOKUP($A53,'Round 3'!$A$7:$I$206,COLUMN('Round 3'!$H$7),0)))</f>
        <v/>
      </c>
      <c r="K53" s="142" t="str">
        <f t="shared" si="15"/>
        <v/>
      </c>
      <c r="L53" s="144" t="str">
        <f t="shared" si="16"/>
        <v/>
      </c>
      <c r="M53" s="145"/>
      <c r="N53" s="146" t="str">
        <f t="shared" si="17"/>
        <v/>
      </c>
      <c r="O53" s="36" t="str">
        <f t="shared" si="18"/>
        <v/>
      </c>
      <c r="P53" s="36" t="str">
        <f t="shared" si="19"/>
        <v/>
      </c>
      <c r="Q53" s="36">
        <f t="shared" si="20"/>
        <v>-10</v>
      </c>
      <c r="R53" s="36" t="str">
        <f t="shared" si="21"/>
        <v/>
      </c>
      <c r="S53" s="36" t="str">
        <f t="shared" si="22"/>
        <v/>
      </c>
      <c r="T53" s="36">
        <f t="shared" si="23"/>
        <v>0</v>
      </c>
      <c r="U53" s="146" t="str">
        <f ca="1">IF(N('Final Round'!$J$14)&gt;0,IF(ISBLANK($A53),"",IF($N53&gt;5,$N53,VLOOKUP($A53,'Final Round'!$A$14:$K$18,COLUMN('Final Round'!$J$1),0))),"")</f>
        <v/>
      </c>
      <c r="V53" s="36" t="str">
        <f t="shared" ca="1" si="24"/>
        <v/>
      </c>
      <c r="W53" s="36" t="str">
        <f t="shared" si="25"/>
        <v/>
      </c>
      <c r="X53" s="36" t="str">
        <f t="shared" si="26"/>
        <v/>
      </c>
      <c r="Y53" s="36">
        <f t="shared" si="27"/>
        <v>0</v>
      </c>
      <c r="Z53" s="36" t="str">
        <f t="shared" ca="1" si="28"/>
        <v/>
      </c>
      <c r="AA53" s="36">
        <f t="shared" ca="1" si="29"/>
        <v>0</v>
      </c>
      <c r="AB53" s="147" t="str">
        <f>IF(ISBLANK($A53),"",5+4*(I53+IF(AA53=0,0,VLOOKUP($A53,'Final Round'!$A$14:$K$18,COLUMN('Final Round'!$G$1),0)))+8*(H53+IF(AA53=0,0,IF(VLOOKUP($A53,'Final Round'!$A$14:$K$18,COLUMN('Final Round'!$J$1),0)=1,1,0)))+$AA53)</f>
        <v/>
      </c>
    </row>
    <row r="54" spans="1:28" x14ac:dyDescent="0.2">
      <c r="A54" s="111"/>
      <c r="B54" s="112"/>
      <c r="C54" s="112"/>
      <c r="D54" s="112"/>
      <c r="E54" s="113"/>
      <c r="F54" s="114" t="str">
        <f>IF(ISBLANK($A54),"",SUM(IF(ISNA(IF(VLOOKUP($A54,'Round 1'!$A$7:$J$206,COLUMN('Round 1'!$H$7),0),1,NA())),0,1),IF(ISNA(IF(VLOOKUP($A54,'Round 2'!$A$7:$J$206,COLUMN('Round 1'!$H$7),0),1,NA())),0,1),IF(ISNA(IF(VLOOKUP($A54,'Round 3'!$A$7:$J$206,COLUMN('Round 1'!$H$7),0),1,NA())),0,1),IF(ISNA(IF(VLOOKUP($A54,'Final Round'!$A$14:$K$18,1,0),1,NA())),0,1)))</f>
        <v/>
      </c>
      <c r="G54" s="115"/>
      <c r="H54" s="116" t="str">
        <f>IF(ISBLANK($A54),"",IF(ISERROR(VLOOKUP($A54,'Round 1'!$A$7:$I$206,COLUMN('Round 1'!$G$7),0)),0,VLOOKUP($A54,'Round 1'!$A$7:$I$206,COLUMN('Round 1'!$G$7),0))+IF(ISERROR(VLOOKUP($A54,'Round 2'!$A$7:$I$206,COLUMN('Round 2'!$G$7),0)),0,VLOOKUP($A54,'Round 2'!$A$7:$I$206,COLUMN('Round 2'!$G$7),0))+IF(ISERROR(VLOOKUP($A54,'Round 3'!$A$7:$I$206,COLUMN('Round 3'!$G$7),0)),0,VLOOKUP($A54,'Round 3'!$A$7:$I$206,COLUMN('Round 3'!$G$7),0)))</f>
        <v/>
      </c>
      <c r="I54" s="116" t="str">
        <f>IF(ISBLANK($A54),"",IF(ISERROR(VLOOKUP($A54,'Round 1'!$A$7:$I$206,COLUMN('Round 1'!$F$7),0)),0,VLOOKUP($A54,'Round 1'!$A$7:$I$206,COLUMN('Round 1'!$F$7),0))+IF(ISERROR(VLOOKUP($A54,'Round 2'!$A$7:$I$206,COLUMN('Round 2'!$F$7),0)),0,VLOOKUP($A54,'Round 2'!$A$7:$I$206,COLUMN('Round 2'!$F$7),0))+IF(ISERROR(VLOOKUP($A54,'Round 3'!$A$7:$I$206,COLUMN('Round 3'!$F$7),0)),0,VLOOKUP($A54,'Round 3'!$A$7:$I$206,COLUMN('Round 3'!$F$7),0)))</f>
        <v/>
      </c>
      <c r="J54" s="117" t="str">
        <f>IF(ISBLANK($A54),"",IF(ISERROR(VLOOKUP($A54,'Round 1'!$A$7:$I$206,COLUMN('Round 1'!$H$7),0)),0,VLOOKUP($A54,'Round 1'!$A$7:$I$206,COLUMN('Round 1'!$H$7),0))+IF(ISERROR(VLOOKUP($A54,'Round 2'!$A$7:$I$206,COLUMN('Round 2'!$H$7),0)),0,VLOOKUP($A54,'Round 2'!$A$7:$I$206,COLUMN('Round 2'!$H$7),0))+IF(ISERROR(VLOOKUP($A54,'Round 3'!$A$7:$I$206,COLUMN('Round 3'!$H$7),0)),0,VLOOKUP($A54,'Round 3'!$A$7:$I$206,COLUMN('Round 3'!$H$7),0)))</f>
        <v/>
      </c>
      <c r="K54" s="116" t="str">
        <f t="shared" si="15"/>
        <v/>
      </c>
      <c r="L54" s="118" t="str">
        <f t="shared" si="16"/>
        <v/>
      </c>
      <c r="M54" s="119"/>
      <c r="N54" s="120" t="str">
        <f t="shared" si="17"/>
        <v/>
      </c>
      <c r="O54" s="36" t="str">
        <f t="shared" si="18"/>
        <v/>
      </c>
      <c r="P54" s="36" t="str">
        <f t="shared" si="19"/>
        <v/>
      </c>
      <c r="Q54" s="36">
        <f t="shared" si="20"/>
        <v>-10</v>
      </c>
      <c r="R54" s="36" t="str">
        <f t="shared" si="21"/>
        <v/>
      </c>
      <c r="S54" s="36" t="str">
        <f t="shared" si="22"/>
        <v/>
      </c>
      <c r="T54" s="36">
        <f t="shared" si="23"/>
        <v>0</v>
      </c>
      <c r="U54" s="120" t="str">
        <f ca="1">IF(N('Final Round'!$J$14)&gt;0,IF(ISBLANK($A54),"",IF($N54&gt;5,$N54,VLOOKUP($A54,'Final Round'!$A$14:$K$18,COLUMN('Final Round'!$J$1),0))),"")</f>
        <v/>
      </c>
      <c r="V54" s="36" t="str">
        <f t="shared" ca="1" si="24"/>
        <v/>
      </c>
      <c r="W54" s="36" t="str">
        <f t="shared" si="25"/>
        <v/>
      </c>
      <c r="X54" s="36" t="str">
        <f t="shared" si="26"/>
        <v/>
      </c>
      <c r="Y54" s="36">
        <f t="shared" si="27"/>
        <v>0</v>
      </c>
      <c r="Z54" s="36" t="str">
        <f t="shared" ca="1" si="28"/>
        <v/>
      </c>
      <c r="AA54" s="36">
        <f t="shared" ca="1" si="29"/>
        <v>0</v>
      </c>
      <c r="AB54" s="121" t="str">
        <f>IF(ISBLANK($A54),"",5+4*(I54+IF(AA54=0,0,VLOOKUP($A54,'Final Round'!$A$14:$K$18,COLUMN('Final Round'!$G$1),0)))+8*(H54+IF(AA54=0,0,IF(VLOOKUP($A54,'Final Round'!$A$14:$K$18,COLUMN('Final Round'!$J$1),0)=1,1,0)))+$AA54)</f>
        <v/>
      </c>
    </row>
    <row r="55" spans="1:28" x14ac:dyDescent="0.2">
      <c r="A55" s="137"/>
      <c r="B55" s="138"/>
      <c r="C55" s="138"/>
      <c r="D55" s="138"/>
      <c r="E55" s="139"/>
      <c r="F55" s="140" t="str">
        <f>IF(ISBLANK($A55),"",SUM(IF(ISNA(IF(VLOOKUP($A55,'Round 1'!$A$7:$J$206,COLUMN('Round 1'!$H$7),0),1,NA())),0,1),IF(ISNA(IF(VLOOKUP($A55,'Round 2'!$A$7:$J$206,COLUMN('Round 1'!$H$7),0),1,NA())),0,1),IF(ISNA(IF(VLOOKUP($A55,'Round 3'!$A$7:$J$206,COLUMN('Round 1'!$H$7),0),1,NA())),0,1),IF(ISNA(IF(VLOOKUP($A55,'Final Round'!$A$14:$K$18,1,0),1,NA())),0,1)))</f>
        <v/>
      </c>
      <c r="G55" s="141"/>
      <c r="H55" s="142" t="str">
        <f>IF(ISBLANK($A55),"",IF(ISERROR(VLOOKUP($A55,'Round 1'!$A$7:$I$206,COLUMN('Round 1'!$G$7),0)),0,VLOOKUP($A55,'Round 1'!$A$7:$I$206,COLUMN('Round 1'!$G$7),0))+IF(ISERROR(VLOOKUP($A55,'Round 2'!$A$7:$I$206,COLUMN('Round 2'!$G$7),0)),0,VLOOKUP($A55,'Round 2'!$A$7:$I$206,COLUMN('Round 2'!$G$7),0))+IF(ISERROR(VLOOKUP($A55,'Round 3'!$A$7:$I$206,COLUMN('Round 3'!$G$7),0)),0,VLOOKUP($A55,'Round 3'!$A$7:$I$206,COLUMN('Round 3'!$G$7),0)))</f>
        <v/>
      </c>
      <c r="I55" s="142" t="str">
        <f>IF(ISBLANK($A55),"",IF(ISERROR(VLOOKUP($A55,'Round 1'!$A$7:$I$206,COLUMN('Round 1'!$F$7),0)),0,VLOOKUP($A55,'Round 1'!$A$7:$I$206,COLUMN('Round 1'!$F$7),0))+IF(ISERROR(VLOOKUP($A55,'Round 2'!$A$7:$I$206,COLUMN('Round 2'!$F$7),0)),0,VLOOKUP($A55,'Round 2'!$A$7:$I$206,COLUMN('Round 2'!$F$7),0))+IF(ISERROR(VLOOKUP($A55,'Round 3'!$A$7:$I$206,COLUMN('Round 3'!$F$7),0)),0,VLOOKUP($A55,'Round 3'!$A$7:$I$206,COLUMN('Round 3'!$F$7),0)))</f>
        <v/>
      </c>
      <c r="J55" s="143" t="str">
        <f>IF(ISBLANK($A55),"",IF(ISERROR(VLOOKUP($A55,'Round 1'!$A$7:$I$206,COLUMN('Round 1'!$H$7),0)),0,VLOOKUP($A55,'Round 1'!$A$7:$I$206,COLUMN('Round 1'!$H$7),0))+IF(ISERROR(VLOOKUP($A55,'Round 2'!$A$7:$I$206,COLUMN('Round 2'!$H$7),0)),0,VLOOKUP($A55,'Round 2'!$A$7:$I$206,COLUMN('Round 2'!$H$7),0))+IF(ISERROR(VLOOKUP($A55,'Round 3'!$A$7:$I$206,COLUMN('Round 3'!$H$7),0)),0,VLOOKUP($A55,'Round 3'!$A$7:$I$206,COLUMN('Round 3'!$H$7),0)))</f>
        <v/>
      </c>
      <c r="K55" s="142" t="str">
        <f t="shared" si="15"/>
        <v/>
      </c>
      <c r="L55" s="144" t="str">
        <f t="shared" si="16"/>
        <v/>
      </c>
      <c r="M55" s="145"/>
      <c r="N55" s="146" t="str">
        <f t="shared" si="17"/>
        <v/>
      </c>
      <c r="O55" s="36" t="str">
        <f t="shared" si="18"/>
        <v/>
      </c>
      <c r="P55" s="36" t="str">
        <f t="shared" si="19"/>
        <v/>
      </c>
      <c r="Q55" s="36">
        <f t="shared" si="20"/>
        <v>-10</v>
      </c>
      <c r="R55" s="36" t="str">
        <f t="shared" si="21"/>
        <v/>
      </c>
      <c r="S55" s="36" t="str">
        <f t="shared" si="22"/>
        <v/>
      </c>
      <c r="T55" s="36">
        <f t="shared" si="23"/>
        <v>0</v>
      </c>
      <c r="U55" s="146" t="str">
        <f ca="1">IF(N('Final Round'!$J$14)&gt;0,IF(ISBLANK($A55),"",IF($N55&gt;5,$N55,VLOOKUP($A55,'Final Round'!$A$14:$K$18,COLUMN('Final Round'!$J$1),0))),"")</f>
        <v/>
      </c>
      <c r="V55" s="36" t="str">
        <f t="shared" ca="1" si="24"/>
        <v/>
      </c>
      <c r="W55" s="36" t="str">
        <f t="shared" si="25"/>
        <v/>
      </c>
      <c r="X55" s="36" t="str">
        <f t="shared" si="26"/>
        <v/>
      </c>
      <c r="Y55" s="36">
        <f t="shared" si="27"/>
        <v>0</v>
      </c>
      <c r="Z55" s="36" t="str">
        <f t="shared" ca="1" si="28"/>
        <v/>
      </c>
      <c r="AA55" s="36">
        <f t="shared" ca="1" si="29"/>
        <v>0</v>
      </c>
      <c r="AB55" s="147" t="str">
        <f>IF(ISBLANK($A55),"",5+4*(I55+IF(AA55=0,0,VLOOKUP($A55,'Final Round'!$A$14:$K$18,COLUMN('Final Round'!$G$1),0)))+8*(H55+IF(AA55=0,0,IF(VLOOKUP($A55,'Final Round'!$A$14:$K$18,COLUMN('Final Round'!$J$1),0)=1,1,0)))+$AA55)</f>
        <v/>
      </c>
    </row>
    <row r="56" spans="1:28" x14ac:dyDescent="0.2">
      <c r="A56" s="111"/>
      <c r="B56" s="112"/>
      <c r="C56" s="112"/>
      <c r="D56" s="112"/>
      <c r="E56" s="113"/>
      <c r="F56" s="114" t="str">
        <f>IF(ISBLANK($A56),"",SUM(IF(ISNA(IF(VLOOKUP($A56,'Round 1'!$A$7:$J$206,COLUMN('Round 1'!$H$7),0),1,NA())),0,1),IF(ISNA(IF(VLOOKUP($A56,'Round 2'!$A$7:$J$206,COLUMN('Round 1'!$H$7),0),1,NA())),0,1),IF(ISNA(IF(VLOOKUP($A56,'Round 3'!$A$7:$J$206,COLUMN('Round 1'!$H$7),0),1,NA())),0,1),IF(ISNA(IF(VLOOKUP($A56,'Final Round'!$A$14:$K$18,1,0),1,NA())),0,1)))</f>
        <v/>
      </c>
      <c r="G56" s="115"/>
      <c r="H56" s="116" t="str">
        <f>IF(ISBLANK($A56),"",IF(ISERROR(VLOOKUP($A56,'Round 1'!$A$7:$I$206,COLUMN('Round 1'!$G$7),0)),0,VLOOKUP($A56,'Round 1'!$A$7:$I$206,COLUMN('Round 1'!$G$7),0))+IF(ISERROR(VLOOKUP($A56,'Round 2'!$A$7:$I$206,COLUMN('Round 2'!$G$7),0)),0,VLOOKUP($A56,'Round 2'!$A$7:$I$206,COLUMN('Round 2'!$G$7),0))+IF(ISERROR(VLOOKUP($A56,'Round 3'!$A$7:$I$206,COLUMN('Round 3'!$G$7),0)),0,VLOOKUP($A56,'Round 3'!$A$7:$I$206,COLUMN('Round 3'!$G$7),0)))</f>
        <v/>
      </c>
      <c r="I56" s="116" t="str">
        <f>IF(ISBLANK($A56),"",IF(ISERROR(VLOOKUP($A56,'Round 1'!$A$7:$I$206,COLUMN('Round 1'!$F$7),0)),0,VLOOKUP($A56,'Round 1'!$A$7:$I$206,COLUMN('Round 1'!$F$7),0))+IF(ISERROR(VLOOKUP($A56,'Round 2'!$A$7:$I$206,COLUMN('Round 2'!$F$7),0)),0,VLOOKUP($A56,'Round 2'!$A$7:$I$206,COLUMN('Round 2'!$F$7),0))+IF(ISERROR(VLOOKUP($A56,'Round 3'!$A$7:$I$206,COLUMN('Round 3'!$F$7),0)),0,VLOOKUP($A56,'Round 3'!$A$7:$I$206,COLUMN('Round 3'!$F$7),0)))</f>
        <v/>
      </c>
      <c r="J56" s="117" t="str">
        <f>IF(ISBLANK($A56),"",IF(ISERROR(VLOOKUP($A56,'Round 1'!$A$7:$I$206,COLUMN('Round 1'!$H$7),0)),0,VLOOKUP($A56,'Round 1'!$A$7:$I$206,COLUMN('Round 1'!$H$7),0))+IF(ISERROR(VLOOKUP($A56,'Round 2'!$A$7:$I$206,COLUMN('Round 2'!$H$7),0)),0,VLOOKUP($A56,'Round 2'!$A$7:$I$206,COLUMN('Round 2'!$H$7),0))+IF(ISERROR(VLOOKUP($A56,'Round 3'!$A$7:$I$206,COLUMN('Round 3'!$H$7),0)),0,VLOOKUP($A56,'Round 3'!$A$7:$I$206,COLUMN('Round 3'!$H$7),0)))</f>
        <v/>
      </c>
      <c r="K56" s="116" t="str">
        <f t="shared" si="15"/>
        <v/>
      </c>
      <c r="L56" s="118" t="str">
        <f t="shared" si="16"/>
        <v/>
      </c>
      <c r="M56" s="119"/>
      <c r="N56" s="120" t="str">
        <f t="shared" si="17"/>
        <v/>
      </c>
      <c r="O56" s="36" t="str">
        <f t="shared" si="18"/>
        <v/>
      </c>
      <c r="P56" s="36" t="str">
        <f t="shared" si="19"/>
        <v/>
      </c>
      <c r="Q56" s="36">
        <f t="shared" si="20"/>
        <v>-10</v>
      </c>
      <c r="R56" s="36" t="str">
        <f t="shared" si="21"/>
        <v/>
      </c>
      <c r="S56" s="36" t="str">
        <f t="shared" si="22"/>
        <v/>
      </c>
      <c r="T56" s="36">
        <f t="shared" si="23"/>
        <v>0</v>
      </c>
      <c r="U56" s="120" t="str">
        <f ca="1">IF(N('Final Round'!$J$14)&gt;0,IF(ISBLANK($A56),"",IF($N56&gt;5,$N56,VLOOKUP($A56,'Final Round'!$A$14:$K$18,COLUMN('Final Round'!$J$1),0))),"")</f>
        <v/>
      </c>
      <c r="V56" s="36" t="str">
        <f t="shared" ca="1" si="24"/>
        <v/>
      </c>
      <c r="W56" s="36" t="str">
        <f t="shared" si="25"/>
        <v/>
      </c>
      <c r="X56" s="36" t="str">
        <f t="shared" si="26"/>
        <v/>
      </c>
      <c r="Y56" s="36">
        <f t="shared" si="27"/>
        <v>0</v>
      </c>
      <c r="Z56" s="36" t="str">
        <f t="shared" ca="1" si="28"/>
        <v/>
      </c>
      <c r="AA56" s="36">
        <f t="shared" ca="1" si="29"/>
        <v>0</v>
      </c>
      <c r="AB56" s="121" t="str">
        <f>IF(ISBLANK($A56),"",5+4*(I56+IF(AA56=0,0,VLOOKUP($A56,'Final Round'!$A$14:$K$18,COLUMN('Final Round'!$G$1),0)))+8*(H56+IF(AA56=0,0,IF(VLOOKUP($A56,'Final Round'!$A$14:$K$18,COLUMN('Final Round'!$J$1),0)=1,1,0)))+$AA56)</f>
        <v/>
      </c>
    </row>
    <row r="57" spans="1:28" x14ac:dyDescent="0.2">
      <c r="A57" s="137"/>
      <c r="B57" s="138"/>
      <c r="C57" s="138"/>
      <c r="D57" s="138"/>
      <c r="E57" s="139"/>
      <c r="F57" s="140" t="str">
        <f>IF(ISBLANK($A57),"",SUM(IF(ISNA(IF(VLOOKUP($A57,'Round 1'!$A$7:$J$206,COLUMN('Round 1'!$H$7),0),1,NA())),0,1),IF(ISNA(IF(VLOOKUP($A57,'Round 2'!$A$7:$J$206,COLUMN('Round 1'!$H$7),0),1,NA())),0,1),IF(ISNA(IF(VLOOKUP($A57,'Round 3'!$A$7:$J$206,COLUMN('Round 1'!$H$7),0),1,NA())),0,1),IF(ISNA(IF(VLOOKUP($A57,'Final Round'!$A$14:$K$18,1,0),1,NA())),0,1)))</f>
        <v/>
      </c>
      <c r="G57" s="141"/>
      <c r="H57" s="142" t="str">
        <f>IF(ISBLANK($A57),"",IF(ISERROR(VLOOKUP($A57,'Round 1'!$A$7:$I$206,COLUMN('Round 1'!$G$7),0)),0,VLOOKUP($A57,'Round 1'!$A$7:$I$206,COLUMN('Round 1'!$G$7),0))+IF(ISERROR(VLOOKUP($A57,'Round 2'!$A$7:$I$206,COLUMN('Round 2'!$G$7),0)),0,VLOOKUP($A57,'Round 2'!$A$7:$I$206,COLUMN('Round 2'!$G$7),0))+IF(ISERROR(VLOOKUP($A57,'Round 3'!$A$7:$I$206,COLUMN('Round 3'!$G$7),0)),0,VLOOKUP($A57,'Round 3'!$A$7:$I$206,COLUMN('Round 3'!$G$7),0)))</f>
        <v/>
      </c>
      <c r="I57" s="142" t="str">
        <f>IF(ISBLANK($A57),"",IF(ISERROR(VLOOKUP($A57,'Round 1'!$A$7:$I$206,COLUMN('Round 1'!$F$7),0)),0,VLOOKUP($A57,'Round 1'!$A$7:$I$206,COLUMN('Round 1'!$F$7),0))+IF(ISERROR(VLOOKUP($A57,'Round 2'!$A$7:$I$206,COLUMN('Round 2'!$F$7),0)),0,VLOOKUP($A57,'Round 2'!$A$7:$I$206,COLUMN('Round 2'!$F$7),0))+IF(ISERROR(VLOOKUP($A57,'Round 3'!$A$7:$I$206,COLUMN('Round 3'!$F$7),0)),0,VLOOKUP($A57,'Round 3'!$A$7:$I$206,COLUMN('Round 3'!$F$7),0)))</f>
        <v/>
      </c>
      <c r="J57" s="143" t="str">
        <f>IF(ISBLANK($A57),"",IF(ISERROR(VLOOKUP($A57,'Round 1'!$A$7:$I$206,COLUMN('Round 1'!$H$7),0)),0,VLOOKUP($A57,'Round 1'!$A$7:$I$206,COLUMN('Round 1'!$H$7),0))+IF(ISERROR(VLOOKUP($A57,'Round 2'!$A$7:$I$206,COLUMN('Round 2'!$H$7),0)),0,VLOOKUP($A57,'Round 2'!$A$7:$I$206,COLUMN('Round 2'!$H$7),0))+IF(ISERROR(VLOOKUP($A57,'Round 3'!$A$7:$I$206,COLUMN('Round 3'!$H$7),0)),0,VLOOKUP($A57,'Round 3'!$A$7:$I$206,COLUMN('Round 3'!$H$7),0)))</f>
        <v/>
      </c>
      <c r="K57" s="142" t="str">
        <f t="shared" si="15"/>
        <v/>
      </c>
      <c r="L57" s="144" t="str">
        <f t="shared" si="16"/>
        <v/>
      </c>
      <c r="M57" s="145"/>
      <c r="N57" s="146" t="str">
        <f t="shared" si="17"/>
        <v/>
      </c>
      <c r="O57" s="36" t="str">
        <f t="shared" si="18"/>
        <v/>
      </c>
      <c r="P57" s="36" t="str">
        <f t="shared" si="19"/>
        <v/>
      </c>
      <c r="Q57" s="36">
        <f t="shared" si="20"/>
        <v>-10</v>
      </c>
      <c r="R57" s="36" t="str">
        <f t="shared" si="21"/>
        <v/>
      </c>
      <c r="S57" s="36" t="str">
        <f t="shared" si="22"/>
        <v/>
      </c>
      <c r="T57" s="36">
        <f t="shared" si="23"/>
        <v>0</v>
      </c>
      <c r="U57" s="146" t="str">
        <f ca="1">IF(N('Final Round'!$J$14)&gt;0,IF(ISBLANK($A57),"",IF($N57&gt;5,$N57,VLOOKUP($A57,'Final Round'!$A$14:$K$18,COLUMN('Final Round'!$J$1),0))),"")</f>
        <v/>
      </c>
      <c r="V57" s="36" t="str">
        <f t="shared" ca="1" si="24"/>
        <v/>
      </c>
      <c r="W57" s="36" t="str">
        <f t="shared" si="25"/>
        <v/>
      </c>
      <c r="X57" s="36" t="str">
        <f t="shared" si="26"/>
        <v/>
      </c>
      <c r="Y57" s="36">
        <f t="shared" si="27"/>
        <v>0</v>
      </c>
      <c r="Z57" s="36" t="str">
        <f t="shared" ca="1" si="28"/>
        <v/>
      </c>
      <c r="AA57" s="36">
        <f t="shared" ca="1" si="29"/>
        <v>0</v>
      </c>
      <c r="AB57" s="147" t="str">
        <f>IF(ISBLANK($A57),"",5+4*(I57+IF(AA57=0,0,VLOOKUP($A57,'Final Round'!$A$14:$K$18,COLUMN('Final Round'!$G$1),0)))+8*(H57+IF(AA57=0,0,IF(VLOOKUP($A57,'Final Round'!$A$14:$K$18,COLUMN('Final Round'!$J$1),0)=1,1,0)))+$AA57)</f>
        <v/>
      </c>
    </row>
    <row r="58" spans="1:28" x14ac:dyDescent="0.2">
      <c r="A58" s="111"/>
      <c r="B58" s="112"/>
      <c r="C58" s="112"/>
      <c r="D58" s="112"/>
      <c r="E58" s="113"/>
      <c r="F58" s="114" t="str">
        <f>IF(ISBLANK($A58),"",SUM(IF(ISNA(IF(VLOOKUP($A58,'Round 1'!$A$7:$J$206,COLUMN('Round 1'!$H$7),0),1,NA())),0,1),IF(ISNA(IF(VLOOKUP($A58,'Round 2'!$A$7:$J$206,COLUMN('Round 1'!$H$7),0),1,NA())),0,1),IF(ISNA(IF(VLOOKUP($A58,'Round 3'!$A$7:$J$206,COLUMN('Round 1'!$H$7),0),1,NA())),0,1),IF(ISNA(IF(VLOOKUP($A58,'Final Round'!$A$14:$K$18,1,0),1,NA())),0,1)))</f>
        <v/>
      </c>
      <c r="G58" s="115"/>
      <c r="H58" s="116" t="str">
        <f>IF(ISBLANK($A58),"",IF(ISERROR(VLOOKUP($A58,'Round 1'!$A$7:$I$206,COLUMN('Round 1'!$G$7),0)),0,VLOOKUP($A58,'Round 1'!$A$7:$I$206,COLUMN('Round 1'!$G$7),0))+IF(ISERROR(VLOOKUP($A58,'Round 2'!$A$7:$I$206,COLUMN('Round 2'!$G$7),0)),0,VLOOKUP($A58,'Round 2'!$A$7:$I$206,COLUMN('Round 2'!$G$7),0))+IF(ISERROR(VLOOKUP($A58,'Round 3'!$A$7:$I$206,COLUMN('Round 3'!$G$7),0)),0,VLOOKUP($A58,'Round 3'!$A$7:$I$206,COLUMN('Round 3'!$G$7),0)))</f>
        <v/>
      </c>
      <c r="I58" s="116" t="str">
        <f>IF(ISBLANK($A58),"",IF(ISERROR(VLOOKUP($A58,'Round 1'!$A$7:$I$206,COLUMN('Round 1'!$F$7),0)),0,VLOOKUP($A58,'Round 1'!$A$7:$I$206,COLUMN('Round 1'!$F$7),0))+IF(ISERROR(VLOOKUP($A58,'Round 2'!$A$7:$I$206,COLUMN('Round 2'!$F$7),0)),0,VLOOKUP($A58,'Round 2'!$A$7:$I$206,COLUMN('Round 2'!$F$7),0))+IF(ISERROR(VLOOKUP($A58,'Round 3'!$A$7:$I$206,COLUMN('Round 3'!$F$7),0)),0,VLOOKUP($A58,'Round 3'!$A$7:$I$206,COLUMN('Round 3'!$F$7),0)))</f>
        <v/>
      </c>
      <c r="J58" s="117" t="str">
        <f>IF(ISBLANK($A58),"",IF(ISERROR(VLOOKUP($A58,'Round 1'!$A$7:$I$206,COLUMN('Round 1'!$H$7),0)),0,VLOOKUP($A58,'Round 1'!$A$7:$I$206,COLUMN('Round 1'!$H$7),0))+IF(ISERROR(VLOOKUP($A58,'Round 2'!$A$7:$I$206,COLUMN('Round 2'!$H$7),0)),0,VLOOKUP($A58,'Round 2'!$A$7:$I$206,COLUMN('Round 2'!$H$7),0))+IF(ISERROR(VLOOKUP($A58,'Round 3'!$A$7:$I$206,COLUMN('Round 3'!$H$7),0)),0,VLOOKUP($A58,'Round 3'!$A$7:$I$206,COLUMN('Round 3'!$H$7),0)))</f>
        <v/>
      </c>
      <c r="K58" s="116" t="str">
        <f t="shared" si="15"/>
        <v/>
      </c>
      <c r="L58" s="118" t="str">
        <f t="shared" si="16"/>
        <v/>
      </c>
      <c r="M58" s="119"/>
      <c r="N58" s="120" t="str">
        <f t="shared" si="17"/>
        <v/>
      </c>
      <c r="O58" s="36" t="str">
        <f t="shared" si="18"/>
        <v/>
      </c>
      <c r="P58" s="36" t="str">
        <f t="shared" si="19"/>
        <v/>
      </c>
      <c r="Q58" s="36">
        <f t="shared" si="20"/>
        <v>-10</v>
      </c>
      <c r="R58" s="36" t="str">
        <f t="shared" si="21"/>
        <v/>
      </c>
      <c r="S58" s="36" t="str">
        <f t="shared" si="22"/>
        <v/>
      </c>
      <c r="T58" s="36">
        <f t="shared" si="23"/>
        <v>0</v>
      </c>
      <c r="U58" s="120" t="str">
        <f ca="1">IF(N('Final Round'!$J$14)&gt;0,IF(ISBLANK($A58),"",IF($N58&gt;5,$N58,VLOOKUP($A58,'Final Round'!$A$14:$K$18,COLUMN('Final Round'!$J$1),0))),"")</f>
        <v/>
      </c>
      <c r="V58" s="36" t="str">
        <f t="shared" ca="1" si="24"/>
        <v/>
      </c>
      <c r="W58" s="36" t="str">
        <f t="shared" si="25"/>
        <v/>
      </c>
      <c r="X58" s="36" t="str">
        <f t="shared" si="26"/>
        <v/>
      </c>
      <c r="Y58" s="36">
        <f t="shared" si="27"/>
        <v>0</v>
      </c>
      <c r="Z58" s="36" t="str">
        <f t="shared" ca="1" si="28"/>
        <v/>
      </c>
      <c r="AA58" s="36">
        <f t="shared" ca="1" si="29"/>
        <v>0</v>
      </c>
      <c r="AB58" s="121" t="str">
        <f>IF(ISBLANK($A58),"",5+4*(I58+IF(AA58=0,0,VLOOKUP($A58,'Final Round'!$A$14:$K$18,COLUMN('Final Round'!$G$1),0)))+8*(H58+IF(AA58=0,0,IF(VLOOKUP($A58,'Final Round'!$A$14:$K$18,COLUMN('Final Round'!$J$1),0)=1,1,0)))+$AA58)</f>
        <v/>
      </c>
    </row>
    <row r="59" spans="1:28" x14ac:dyDescent="0.2">
      <c r="A59" s="137"/>
      <c r="B59" s="138"/>
      <c r="C59" s="138"/>
      <c r="D59" s="138"/>
      <c r="E59" s="139"/>
      <c r="F59" s="140" t="str">
        <f>IF(ISBLANK($A59),"",SUM(IF(ISNA(IF(VLOOKUP($A59,'Round 1'!$A$7:$J$206,COLUMN('Round 1'!$H$7),0),1,NA())),0,1),IF(ISNA(IF(VLOOKUP($A59,'Round 2'!$A$7:$J$206,COLUMN('Round 1'!$H$7),0),1,NA())),0,1),IF(ISNA(IF(VLOOKUP($A59,'Round 3'!$A$7:$J$206,COLUMN('Round 1'!$H$7),0),1,NA())),0,1),IF(ISNA(IF(VLOOKUP($A59,'Final Round'!$A$14:$K$18,1,0),1,NA())),0,1)))</f>
        <v/>
      </c>
      <c r="G59" s="141"/>
      <c r="H59" s="142" t="str">
        <f>IF(ISBLANK($A59),"",IF(ISERROR(VLOOKUP($A59,'Round 1'!$A$7:$I$206,COLUMN('Round 1'!$G$7),0)),0,VLOOKUP($A59,'Round 1'!$A$7:$I$206,COLUMN('Round 1'!$G$7),0))+IF(ISERROR(VLOOKUP($A59,'Round 2'!$A$7:$I$206,COLUMN('Round 2'!$G$7),0)),0,VLOOKUP($A59,'Round 2'!$A$7:$I$206,COLUMN('Round 2'!$G$7),0))+IF(ISERROR(VLOOKUP($A59,'Round 3'!$A$7:$I$206,COLUMN('Round 3'!$G$7),0)),0,VLOOKUP($A59,'Round 3'!$A$7:$I$206,COLUMN('Round 3'!$G$7),0)))</f>
        <v/>
      </c>
      <c r="I59" s="142" t="str">
        <f>IF(ISBLANK($A59),"",IF(ISERROR(VLOOKUP($A59,'Round 1'!$A$7:$I$206,COLUMN('Round 1'!$F$7),0)),0,VLOOKUP($A59,'Round 1'!$A$7:$I$206,COLUMN('Round 1'!$F$7),0))+IF(ISERROR(VLOOKUP($A59,'Round 2'!$A$7:$I$206,COLUMN('Round 2'!$F$7),0)),0,VLOOKUP($A59,'Round 2'!$A$7:$I$206,COLUMN('Round 2'!$F$7),0))+IF(ISERROR(VLOOKUP($A59,'Round 3'!$A$7:$I$206,COLUMN('Round 3'!$F$7),0)),0,VLOOKUP($A59,'Round 3'!$A$7:$I$206,COLUMN('Round 3'!$F$7),0)))</f>
        <v/>
      </c>
      <c r="J59" s="143" t="str">
        <f>IF(ISBLANK($A59),"",IF(ISERROR(VLOOKUP($A59,'Round 1'!$A$7:$I$206,COLUMN('Round 1'!$H$7),0)),0,VLOOKUP($A59,'Round 1'!$A$7:$I$206,COLUMN('Round 1'!$H$7),0))+IF(ISERROR(VLOOKUP($A59,'Round 2'!$A$7:$I$206,COLUMN('Round 2'!$H$7),0)),0,VLOOKUP($A59,'Round 2'!$A$7:$I$206,COLUMN('Round 2'!$H$7),0))+IF(ISERROR(VLOOKUP($A59,'Round 3'!$A$7:$I$206,COLUMN('Round 3'!$H$7),0)),0,VLOOKUP($A59,'Round 3'!$A$7:$I$206,COLUMN('Round 3'!$H$7),0)))</f>
        <v/>
      </c>
      <c r="K59" s="142" t="str">
        <f t="shared" si="15"/>
        <v/>
      </c>
      <c r="L59" s="144" t="str">
        <f t="shared" si="16"/>
        <v/>
      </c>
      <c r="M59" s="145"/>
      <c r="N59" s="146" t="str">
        <f t="shared" si="17"/>
        <v/>
      </c>
      <c r="O59" s="36" t="str">
        <f t="shared" si="18"/>
        <v/>
      </c>
      <c r="P59" s="36" t="str">
        <f t="shared" si="19"/>
        <v/>
      </c>
      <c r="Q59" s="36">
        <f t="shared" si="20"/>
        <v>-10</v>
      </c>
      <c r="R59" s="36" t="str">
        <f t="shared" si="21"/>
        <v/>
      </c>
      <c r="S59" s="36" t="str">
        <f t="shared" si="22"/>
        <v/>
      </c>
      <c r="T59" s="36">
        <f t="shared" si="23"/>
        <v>0</v>
      </c>
      <c r="U59" s="146" t="str">
        <f ca="1">IF(N('Final Round'!$J$14)&gt;0,IF(ISBLANK($A59),"",IF($N59&gt;5,$N59,VLOOKUP($A59,'Final Round'!$A$14:$K$18,COLUMN('Final Round'!$J$1),0))),"")</f>
        <v/>
      </c>
      <c r="V59" s="36" t="str">
        <f t="shared" ca="1" si="24"/>
        <v/>
      </c>
      <c r="W59" s="36" t="str">
        <f t="shared" si="25"/>
        <v/>
      </c>
      <c r="X59" s="36" t="str">
        <f t="shared" si="26"/>
        <v/>
      </c>
      <c r="Y59" s="36">
        <f t="shared" si="27"/>
        <v>0</v>
      </c>
      <c r="Z59" s="36" t="str">
        <f t="shared" ca="1" si="28"/>
        <v/>
      </c>
      <c r="AA59" s="36">
        <f t="shared" ca="1" si="29"/>
        <v>0</v>
      </c>
      <c r="AB59" s="147" t="str">
        <f>IF(ISBLANK($A59),"",5+4*(I59+IF(AA59=0,0,VLOOKUP($A59,'Final Round'!$A$14:$K$18,COLUMN('Final Round'!$G$1),0)))+8*(H59+IF(AA59=0,0,IF(VLOOKUP($A59,'Final Round'!$A$14:$K$18,COLUMN('Final Round'!$J$1),0)=1,1,0)))+$AA59)</f>
        <v/>
      </c>
    </row>
    <row r="60" spans="1:28" x14ac:dyDescent="0.2">
      <c r="A60" s="111"/>
      <c r="B60" s="112"/>
      <c r="C60" s="112"/>
      <c r="D60" s="112"/>
      <c r="E60" s="113"/>
      <c r="F60" s="114" t="str">
        <f>IF(ISBLANK($A60),"",SUM(IF(ISNA(IF(VLOOKUP($A60,'Round 1'!$A$7:$J$206,COLUMN('Round 1'!$H$7),0),1,NA())),0,1),IF(ISNA(IF(VLOOKUP($A60,'Round 2'!$A$7:$J$206,COLUMN('Round 1'!$H$7),0),1,NA())),0,1),IF(ISNA(IF(VLOOKUP($A60,'Round 3'!$A$7:$J$206,COLUMN('Round 1'!$H$7),0),1,NA())),0,1),IF(ISNA(IF(VLOOKUP($A60,'Final Round'!$A$14:$K$18,1,0),1,NA())),0,1)))</f>
        <v/>
      </c>
      <c r="G60" s="115"/>
      <c r="H60" s="116" t="str">
        <f>IF(ISBLANK($A60),"",IF(ISERROR(VLOOKUP($A60,'Round 1'!$A$7:$I$206,COLUMN('Round 1'!$G$7),0)),0,VLOOKUP($A60,'Round 1'!$A$7:$I$206,COLUMN('Round 1'!$G$7),0))+IF(ISERROR(VLOOKUP($A60,'Round 2'!$A$7:$I$206,COLUMN('Round 2'!$G$7),0)),0,VLOOKUP($A60,'Round 2'!$A$7:$I$206,COLUMN('Round 2'!$G$7),0))+IF(ISERROR(VLOOKUP($A60,'Round 3'!$A$7:$I$206,COLUMN('Round 3'!$G$7),0)),0,VLOOKUP($A60,'Round 3'!$A$7:$I$206,COLUMN('Round 3'!$G$7),0)))</f>
        <v/>
      </c>
      <c r="I60" s="116" t="str">
        <f>IF(ISBLANK($A60),"",IF(ISERROR(VLOOKUP($A60,'Round 1'!$A$7:$I$206,COLUMN('Round 1'!$F$7),0)),0,VLOOKUP($A60,'Round 1'!$A$7:$I$206,COLUMN('Round 1'!$F$7),0))+IF(ISERROR(VLOOKUP($A60,'Round 2'!$A$7:$I$206,COLUMN('Round 2'!$F$7),0)),0,VLOOKUP($A60,'Round 2'!$A$7:$I$206,COLUMN('Round 2'!$F$7),0))+IF(ISERROR(VLOOKUP($A60,'Round 3'!$A$7:$I$206,COLUMN('Round 3'!$F$7),0)),0,VLOOKUP($A60,'Round 3'!$A$7:$I$206,COLUMN('Round 3'!$F$7),0)))</f>
        <v/>
      </c>
      <c r="J60" s="117" t="str">
        <f>IF(ISBLANK($A60),"",IF(ISERROR(VLOOKUP($A60,'Round 1'!$A$7:$I$206,COLUMN('Round 1'!$H$7),0)),0,VLOOKUP($A60,'Round 1'!$A$7:$I$206,COLUMN('Round 1'!$H$7),0))+IF(ISERROR(VLOOKUP($A60,'Round 2'!$A$7:$I$206,COLUMN('Round 2'!$H$7),0)),0,VLOOKUP($A60,'Round 2'!$A$7:$I$206,COLUMN('Round 2'!$H$7),0))+IF(ISERROR(VLOOKUP($A60,'Round 3'!$A$7:$I$206,COLUMN('Round 3'!$H$7),0)),0,VLOOKUP($A60,'Round 3'!$A$7:$I$206,COLUMN('Round 3'!$H$7),0)))</f>
        <v/>
      </c>
      <c r="K60" s="116" t="str">
        <f t="shared" si="15"/>
        <v/>
      </c>
      <c r="L60" s="118" t="str">
        <f t="shared" si="16"/>
        <v/>
      </c>
      <c r="M60" s="119"/>
      <c r="N60" s="120" t="str">
        <f t="shared" si="17"/>
        <v/>
      </c>
      <c r="O60" s="36" t="str">
        <f t="shared" si="18"/>
        <v/>
      </c>
      <c r="P60" s="36" t="str">
        <f t="shared" si="19"/>
        <v/>
      </c>
      <c r="Q60" s="36">
        <f t="shared" si="20"/>
        <v>-10</v>
      </c>
      <c r="R60" s="36" t="str">
        <f t="shared" si="21"/>
        <v/>
      </c>
      <c r="S60" s="36" t="str">
        <f t="shared" si="22"/>
        <v/>
      </c>
      <c r="T60" s="36">
        <f t="shared" si="23"/>
        <v>0</v>
      </c>
      <c r="U60" s="120" t="str">
        <f ca="1">IF(N('Final Round'!$J$14)&gt;0,IF(ISBLANK($A60),"",IF($N60&gt;5,$N60,VLOOKUP($A60,'Final Round'!$A$14:$K$18,COLUMN('Final Round'!$J$1),0))),"")</f>
        <v/>
      </c>
      <c r="V60" s="36" t="str">
        <f t="shared" ca="1" si="24"/>
        <v/>
      </c>
      <c r="W60" s="36" t="str">
        <f t="shared" si="25"/>
        <v/>
      </c>
      <c r="X60" s="36" t="str">
        <f t="shared" si="26"/>
        <v/>
      </c>
      <c r="Y60" s="36">
        <f t="shared" si="27"/>
        <v>0</v>
      </c>
      <c r="Z60" s="36" t="str">
        <f t="shared" ca="1" si="28"/>
        <v/>
      </c>
      <c r="AA60" s="36">
        <f t="shared" ca="1" si="29"/>
        <v>0</v>
      </c>
      <c r="AB60" s="121" t="str">
        <f>IF(ISBLANK($A60),"",5+4*(I60+IF(AA60=0,0,VLOOKUP($A60,'Final Round'!$A$14:$K$18,COLUMN('Final Round'!$G$1),0)))+8*(H60+IF(AA60=0,0,IF(VLOOKUP($A60,'Final Round'!$A$14:$K$18,COLUMN('Final Round'!$J$1),0)=1,1,0)))+$AA60)</f>
        <v/>
      </c>
    </row>
    <row r="61" spans="1:28" x14ac:dyDescent="0.2">
      <c r="A61" s="137"/>
      <c r="B61" s="138"/>
      <c r="C61" s="138"/>
      <c r="D61" s="138"/>
      <c r="E61" s="139"/>
      <c r="F61" s="140" t="str">
        <f>IF(ISBLANK($A61),"",SUM(IF(ISNA(IF(VLOOKUP($A61,'Round 1'!$A$7:$J$206,COLUMN('Round 1'!$H$7),0),1,NA())),0,1),IF(ISNA(IF(VLOOKUP($A61,'Round 2'!$A$7:$J$206,COLUMN('Round 1'!$H$7),0),1,NA())),0,1),IF(ISNA(IF(VLOOKUP($A61,'Round 3'!$A$7:$J$206,COLUMN('Round 1'!$H$7),0),1,NA())),0,1),IF(ISNA(IF(VLOOKUP($A61,'Final Round'!$A$14:$K$18,1,0),1,NA())),0,1)))</f>
        <v/>
      </c>
      <c r="G61" s="141"/>
      <c r="H61" s="142" t="str">
        <f>IF(ISBLANK($A61),"",IF(ISERROR(VLOOKUP($A61,'Round 1'!$A$7:$I$206,COLUMN('Round 1'!$G$7),0)),0,VLOOKUP($A61,'Round 1'!$A$7:$I$206,COLUMN('Round 1'!$G$7),0))+IF(ISERROR(VLOOKUP($A61,'Round 2'!$A$7:$I$206,COLUMN('Round 2'!$G$7),0)),0,VLOOKUP($A61,'Round 2'!$A$7:$I$206,COLUMN('Round 2'!$G$7),0))+IF(ISERROR(VLOOKUP($A61,'Round 3'!$A$7:$I$206,COLUMN('Round 3'!$G$7),0)),0,VLOOKUP($A61,'Round 3'!$A$7:$I$206,COLUMN('Round 3'!$G$7),0)))</f>
        <v/>
      </c>
      <c r="I61" s="142" t="str">
        <f>IF(ISBLANK($A61),"",IF(ISERROR(VLOOKUP($A61,'Round 1'!$A$7:$I$206,COLUMN('Round 1'!$F$7),0)),0,VLOOKUP($A61,'Round 1'!$A$7:$I$206,COLUMN('Round 1'!$F$7),0))+IF(ISERROR(VLOOKUP($A61,'Round 2'!$A$7:$I$206,COLUMN('Round 2'!$F$7),0)),0,VLOOKUP($A61,'Round 2'!$A$7:$I$206,COLUMN('Round 2'!$F$7),0))+IF(ISERROR(VLOOKUP($A61,'Round 3'!$A$7:$I$206,COLUMN('Round 3'!$F$7),0)),0,VLOOKUP($A61,'Round 3'!$A$7:$I$206,COLUMN('Round 3'!$F$7),0)))</f>
        <v/>
      </c>
      <c r="J61" s="143" t="str">
        <f>IF(ISBLANK($A61),"",IF(ISERROR(VLOOKUP($A61,'Round 1'!$A$7:$I$206,COLUMN('Round 1'!$H$7),0)),0,VLOOKUP($A61,'Round 1'!$A$7:$I$206,COLUMN('Round 1'!$H$7),0))+IF(ISERROR(VLOOKUP($A61,'Round 2'!$A$7:$I$206,COLUMN('Round 2'!$H$7),0)),0,VLOOKUP($A61,'Round 2'!$A$7:$I$206,COLUMN('Round 2'!$H$7),0))+IF(ISERROR(VLOOKUP($A61,'Round 3'!$A$7:$I$206,COLUMN('Round 3'!$H$7),0)),0,VLOOKUP($A61,'Round 3'!$A$7:$I$206,COLUMN('Round 3'!$H$7),0)))</f>
        <v/>
      </c>
      <c r="K61" s="142" t="str">
        <f t="shared" si="15"/>
        <v/>
      </c>
      <c r="L61" s="144" t="str">
        <f t="shared" si="16"/>
        <v/>
      </c>
      <c r="M61" s="145"/>
      <c r="N61" s="146" t="str">
        <f t="shared" si="17"/>
        <v/>
      </c>
      <c r="O61" s="36" t="str">
        <f t="shared" si="18"/>
        <v/>
      </c>
      <c r="P61" s="36" t="str">
        <f t="shared" si="19"/>
        <v/>
      </c>
      <c r="Q61" s="36">
        <f t="shared" si="20"/>
        <v>-10</v>
      </c>
      <c r="R61" s="36" t="str">
        <f t="shared" si="21"/>
        <v/>
      </c>
      <c r="S61" s="36" t="str">
        <f t="shared" si="22"/>
        <v/>
      </c>
      <c r="T61" s="36">
        <f t="shared" si="23"/>
        <v>0</v>
      </c>
      <c r="U61" s="146" t="str">
        <f ca="1">IF(N('Final Round'!$J$14)&gt;0,IF(ISBLANK($A61),"",IF($N61&gt;5,$N61,VLOOKUP($A61,'Final Round'!$A$14:$K$18,COLUMN('Final Round'!$J$1),0))),"")</f>
        <v/>
      </c>
      <c r="V61" s="36" t="str">
        <f t="shared" ca="1" si="24"/>
        <v/>
      </c>
      <c r="W61" s="36" t="str">
        <f t="shared" si="25"/>
        <v/>
      </c>
      <c r="X61" s="36" t="str">
        <f t="shared" si="26"/>
        <v/>
      </c>
      <c r="Y61" s="36">
        <f t="shared" si="27"/>
        <v>0</v>
      </c>
      <c r="Z61" s="36" t="str">
        <f t="shared" ca="1" si="28"/>
        <v/>
      </c>
      <c r="AA61" s="36">
        <f t="shared" ca="1" si="29"/>
        <v>0</v>
      </c>
      <c r="AB61" s="147" t="str">
        <f>IF(ISBLANK($A61),"",5+4*(I61+IF(AA61=0,0,VLOOKUP($A61,'Final Round'!$A$14:$K$18,COLUMN('Final Round'!$G$1),0)))+8*(H61+IF(AA61=0,0,IF(VLOOKUP($A61,'Final Round'!$A$14:$K$18,COLUMN('Final Round'!$J$1),0)=1,1,0)))+$AA61)</f>
        <v/>
      </c>
    </row>
    <row r="62" spans="1:28" x14ac:dyDescent="0.2">
      <c r="A62" s="111"/>
      <c r="B62" s="112"/>
      <c r="C62" s="112"/>
      <c r="D62" s="112"/>
      <c r="E62" s="113"/>
      <c r="F62" s="114" t="str">
        <f>IF(ISBLANK($A62),"",SUM(IF(ISNA(IF(VLOOKUP($A62,'Round 1'!$A$7:$J$206,COLUMN('Round 1'!$H$7),0),1,NA())),0,1),IF(ISNA(IF(VLOOKUP($A62,'Round 2'!$A$7:$J$206,COLUMN('Round 1'!$H$7),0),1,NA())),0,1),IF(ISNA(IF(VLOOKUP($A62,'Round 3'!$A$7:$J$206,COLUMN('Round 1'!$H$7),0),1,NA())),0,1),IF(ISNA(IF(VLOOKUP($A62,'Final Round'!$A$14:$K$18,1,0),1,NA())),0,1)))</f>
        <v/>
      </c>
      <c r="G62" s="115"/>
      <c r="H62" s="116" t="str">
        <f>IF(ISBLANK($A62),"",IF(ISERROR(VLOOKUP($A62,'Round 1'!$A$7:$I$206,COLUMN('Round 1'!$G$7),0)),0,VLOOKUP($A62,'Round 1'!$A$7:$I$206,COLUMN('Round 1'!$G$7),0))+IF(ISERROR(VLOOKUP($A62,'Round 2'!$A$7:$I$206,COLUMN('Round 2'!$G$7),0)),0,VLOOKUP($A62,'Round 2'!$A$7:$I$206,COLUMN('Round 2'!$G$7),0))+IF(ISERROR(VLOOKUP($A62,'Round 3'!$A$7:$I$206,COLUMN('Round 3'!$G$7),0)),0,VLOOKUP($A62,'Round 3'!$A$7:$I$206,COLUMN('Round 3'!$G$7),0)))</f>
        <v/>
      </c>
      <c r="I62" s="116" t="str">
        <f>IF(ISBLANK($A62),"",IF(ISERROR(VLOOKUP($A62,'Round 1'!$A$7:$I$206,COLUMN('Round 1'!$F$7),0)),0,VLOOKUP($A62,'Round 1'!$A$7:$I$206,COLUMN('Round 1'!$F$7),0))+IF(ISERROR(VLOOKUP($A62,'Round 2'!$A$7:$I$206,COLUMN('Round 2'!$F$7),0)),0,VLOOKUP($A62,'Round 2'!$A$7:$I$206,COLUMN('Round 2'!$F$7),0))+IF(ISERROR(VLOOKUP($A62,'Round 3'!$A$7:$I$206,COLUMN('Round 3'!$F$7),0)),0,VLOOKUP($A62,'Round 3'!$A$7:$I$206,COLUMN('Round 3'!$F$7),0)))</f>
        <v/>
      </c>
      <c r="J62" s="117" t="str">
        <f>IF(ISBLANK($A62),"",IF(ISERROR(VLOOKUP($A62,'Round 1'!$A$7:$I$206,COLUMN('Round 1'!$H$7),0)),0,VLOOKUP($A62,'Round 1'!$A$7:$I$206,COLUMN('Round 1'!$H$7),0))+IF(ISERROR(VLOOKUP($A62,'Round 2'!$A$7:$I$206,COLUMN('Round 2'!$H$7),0)),0,VLOOKUP($A62,'Round 2'!$A$7:$I$206,COLUMN('Round 2'!$H$7),0))+IF(ISERROR(VLOOKUP($A62,'Round 3'!$A$7:$I$206,COLUMN('Round 3'!$H$7),0)),0,VLOOKUP($A62,'Round 3'!$A$7:$I$206,COLUMN('Round 3'!$H$7),0)))</f>
        <v/>
      </c>
      <c r="K62" s="116" t="str">
        <f t="shared" si="15"/>
        <v/>
      </c>
      <c r="L62" s="118" t="str">
        <f t="shared" si="16"/>
        <v/>
      </c>
      <c r="M62" s="119"/>
      <c r="N62" s="120" t="str">
        <f t="shared" si="17"/>
        <v/>
      </c>
      <c r="O62" s="36" t="str">
        <f t="shared" si="18"/>
        <v/>
      </c>
      <c r="P62" s="36" t="str">
        <f t="shared" si="19"/>
        <v/>
      </c>
      <c r="Q62" s="36">
        <f t="shared" si="20"/>
        <v>-10</v>
      </c>
      <c r="R62" s="36" t="str">
        <f t="shared" si="21"/>
        <v/>
      </c>
      <c r="S62" s="36" t="str">
        <f t="shared" si="22"/>
        <v/>
      </c>
      <c r="T62" s="36">
        <f t="shared" si="23"/>
        <v>0</v>
      </c>
      <c r="U62" s="120" t="str">
        <f ca="1">IF(N('Final Round'!$J$14)&gt;0,IF(ISBLANK($A62),"",IF($N62&gt;5,$N62,VLOOKUP($A62,'Final Round'!$A$14:$K$18,COLUMN('Final Round'!$J$1),0))),"")</f>
        <v/>
      </c>
      <c r="V62" s="36" t="str">
        <f t="shared" ca="1" si="24"/>
        <v/>
      </c>
      <c r="W62" s="36" t="str">
        <f t="shared" si="25"/>
        <v/>
      </c>
      <c r="X62" s="36" t="str">
        <f t="shared" si="26"/>
        <v/>
      </c>
      <c r="Y62" s="36">
        <f t="shared" si="27"/>
        <v>0</v>
      </c>
      <c r="Z62" s="36" t="str">
        <f t="shared" ca="1" si="28"/>
        <v/>
      </c>
      <c r="AA62" s="36">
        <f t="shared" ca="1" si="29"/>
        <v>0</v>
      </c>
      <c r="AB62" s="121" t="str">
        <f>IF(ISBLANK($A62),"",5+4*(I62+IF(AA62=0,0,VLOOKUP($A62,'Final Round'!$A$14:$K$18,COLUMN('Final Round'!$G$1),0)))+8*(H62+IF(AA62=0,0,IF(VLOOKUP($A62,'Final Round'!$A$14:$K$18,COLUMN('Final Round'!$J$1),0)=1,1,0)))+$AA62)</f>
        <v/>
      </c>
    </row>
    <row r="63" spans="1:28" x14ac:dyDescent="0.2">
      <c r="A63" s="137"/>
      <c r="B63" s="138"/>
      <c r="C63" s="138"/>
      <c r="D63" s="138"/>
      <c r="E63" s="139"/>
      <c r="F63" s="140" t="str">
        <f>IF(ISBLANK($A63),"",SUM(IF(ISNA(IF(VLOOKUP($A63,'Round 1'!$A$7:$J$206,COLUMN('Round 1'!$H$7),0),1,NA())),0,1),IF(ISNA(IF(VLOOKUP($A63,'Round 2'!$A$7:$J$206,COLUMN('Round 1'!$H$7),0),1,NA())),0,1),IF(ISNA(IF(VLOOKUP($A63,'Round 3'!$A$7:$J$206,COLUMN('Round 1'!$H$7),0),1,NA())),0,1),IF(ISNA(IF(VLOOKUP($A63,'Final Round'!$A$14:$K$18,1,0),1,NA())),0,1)))</f>
        <v/>
      </c>
      <c r="G63" s="141"/>
      <c r="H63" s="142" t="str">
        <f>IF(ISBLANK($A63),"",IF(ISERROR(VLOOKUP($A63,'Round 1'!$A$7:$I$206,COLUMN('Round 1'!$G$7),0)),0,VLOOKUP($A63,'Round 1'!$A$7:$I$206,COLUMN('Round 1'!$G$7),0))+IF(ISERROR(VLOOKUP($A63,'Round 2'!$A$7:$I$206,COLUMN('Round 2'!$G$7),0)),0,VLOOKUP($A63,'Round 2'!$A$7:$I$206,COLUMN('Round 2'!$G$7),0))+IF(ISERROR(VLOOKUP($A63,'Round 3'!$A$7:$I$206,COLUMN('Round 3'!$G$7),0)),0,VLOOKUP($A63,'Round 3'!$A$7:$I$206,COLUMN('Round 3'!$G$7),0)))</f>
        <v/>
      </c>
      <c r="I63" s="142" t="str">
        <f>IF(ISBLANK($A63),"",IF(ISERROR(VLOOKUP($A63,'Round 1'!$A$7:$I$206,COLUMN('Round 1'!$F$7),0)),0,VLOOKUP($A63,'Round 1'!$A$7:$I$206,COLUMN('Round 1'!$F$7),0))+IF(ISERROR(VLOOKUP($A63,'Round 2'!$A$7:$I$206,COLUMN('Round 2'!$F$7),0)),0,VLOOKUP($A63,'Round 2'!$A$7:$I$206,COLUMN('Round 2'!$F$7),0))+IF(ISERROR(VLOOKUP($A63,'Round 3'!$A$7:$I$206,COLUMN('Round 3'!$F$7),0)),0,VLOOKUP($A63,'Round 3'!$A$7:$I$206,COLUMN('Round 3'!$F$7),0)))</f>
        <v/>
      </c>
      <c r="J63" s="143" t="str">
        <f>IF(ISBLANK($A63),"",IF(ISERROR(VLOOKUP($A63,'Round 1'!$A$7:$I$206,COLUMN('Round 1'!$H$7),0)),0,VLOOKUP($A63,'Round 1'!$A$7:$I$206,COLUMN('Round 1'!$H$7),0))+IF(ISERROR(VLOOKUP($A63,'Round 2'!$A$7:$I$206,COLUMN('Round 2'!$H$7),0)),0,VLOOKUP($A63,'Round 2'!$A$7:$I$206,COLUMN('Round 2'!$H$7),0))+IF(ISERROR(VLOOKUP($A63,'Round 3'!$A$7:$I$206,COLUMN('Round 3'!$H$7),0)),0,VLOOKUP($A63,'Round 3'!$A$7:$I$206,COLUMN('Round 3'!$H$7),0)))</f>
        <v/>
      </c>
      <c r="K63" s="142" t="str">
        <f t="shared" si="15"/>
        <v/>
      </c>
      <c r="L63" s="144" t="str">
        <f t="shared" si="16"/>
        <v/>
      </c>
      <c r="M63" s="145"/>
      <c r="N63" s="146" t="str">
        <f t="shared" si="17"/>
        <v/>
      </c>
      <c r="O63" s="36" t="str">
        <f t="shared" si="18"/>
        <v/>
      </c>
      <c r="P63" s="36" t="str">
        <f t="shared" si="19"/>
        <v/>
      </c>
      <c r="Q63" s="36">
        <f t="shared" si="20"/>
        <v>-10</v>
      </c>
      <c r="R63" s="36" t="str">
        <f t="shared" si="21"/>
        <v/>
      </c>
      <c r="S63" s="36" t="str">
        <f t="shared" si="22"/>
        <v/>
      </c>
      <c r="T63" s="36">
        <f t="shared" si="23"/>
        <v>0</v>
      </c>
      <c r="U63" s="146" t="str">
        <f ca="1">IF(N('Final Round'!$J$14)&gt;0,IF(ISBLANK($A63),"",IF($N63&gt;5,$N63,VLOOKUP($A63,'Final Round'!$A$14:$K$18,COLUMN('Final Round'!$J$1),0))),"")</f>
        <v/>
      </c>
      <c r="V63" s="36" t="str">
        <f t="shared" ca="1" si="24"/>
        <v/>
      </c>
      <c r="W63" s="36" t="str">
        <f t="shared" si="25"/>
        <v/>
      </c>
      <c r="X63" s="36" t="str">
        <f t="shared" si="26"/>
        <v/>
      </c>
      <c r="Y63" s="36">
        <f t="shared" si="27"/>
        <v>0</v>
      </c>
      <c r="Z63" s="36" t="str">
        <f t="shared" ca="1" si="28"/>
        <v/>
      </c>
      <c r="AA63" s="36">
        <f t="shared" ca="1" si="29"/>
        <v>0</v>
      </c>
      <c r="AB63" s="147" t="str">
        <f>IF(ISBLANK($A63),"",5+4*(I63+IF(AA63=0,0,VLOOKUP($A63,'Final Round'!$A$14:$K$18,COLUMN('Final Round'!$G$1),0)))+8*(H63+IF(AA63=0,0,IF(VLOOKUP($A63,'Final Round'!$A$14:$K$18,COLUMN('Final Round'!$J$1),0)=1,1,0)))+$AA63)</f>
        <v/>
      </c>
    </row>
    <row r="64" spans="1:28" x14ac:dyDescent="0.2">
      <c r="A64" s="111"/>
      <c r="B64" s="112"/>
      <c r="C64" s="112"/>
      <c r="D64" s="112"/>
      <c r="E64" s="113"/>
      <c r="F64" s="114" t="str">
        <f>IF(ISBLANK($A64),"",SUM(IF(ISNA(IF(VLOOKUP($A64,'Round 1'!$A$7:$J$206,COLUMN('Round 1'!$H$7),0),1,NA())),0,1),IF(ISNA(IF(VLOOKUP($A64,'Round 2'!$A$7:$J$206,COLUMN('Round 1'!$H$7),0),1,NA())),0,1),IF(ISNA(IF(VLOOKUP($A64,'Round 3'!$A$7:$J$206,COLUMN('Round 1'!$H$7),0),1,NA())),0,1),IF(ISNA(IF(VLOOKUP($A64,'Final Round'!$A$14:$K$18,1,0),1,NA())),0,1)))</f>
        <v/>
      </c>
      <c r="G64" s="115"/>
      <c r="H64" s="116" t="str">
        <f>IF(ISBLANK($A64),"",IF(ISERROR(VLOOKUP($A64,'Round 1'!$A$7:$I$206,COLUMN('Round 1'!$G$7),0)),0,VLOOKUP($A64,'Round 1'!$A$7:$I$206,COLUMN('Round 1'!$G$7),0))+IF(ISERROR(VLOOKUP($A64,'Round 2'!$A$7:$I$206,COLUMN('Round 2'!$G$7),0)),0,VLOOKUP($A64,'Round 2'!$A$7:$I$206,COLUMN('Round 2'!$G$7),0))+IF(ISERROR(VLOOKUP($A64,'Round 3'!$A$7:$I$206,COLUMN('Round 3'!$G$7),0)),0,VLOOKUP($A64,'Round 3'!$A$7:$I$206,COLUMN('Round 3'!$G$7),0)))</f>
        <v/>
      </c>
      <c r="I64" s="116" t="str">
        <f>IF(ISBLANK($A64),"",IF(ISERROR(VLOOKUP($A64,'Round 1'!$A$7:$I$206,COLUMN('Round 1'!$F$7),0)),0,VLOOKUP($A64,'Round 1'!$A$7:$I$206,COLUMN('Round 1'!$F$7),0))+IF(ISERROR(VLOOKUP($A64,'Round 2'!$A$7:$I$206,COLUMN('Round 2'!$F$7),0)),0,VLOOKUP($A64,'Round 2'!$A$7:$I$206,COLUMN('Round 2'!$F$7),0))+IF(ISERROR(VLOOKUP($A64,'Round 3'!$A$7:$I$206,COLUMN('Round 3'!$F$7),0)),0,VLOOKUP($A64,'Round 3'!$A$7:$I$206,COLUMN('Round 3'!$F$7),0)))</f>
        <v/>
      </c>
      <c r="J64" s="117" t="str">
        <f>IF(ISBLANK($A64),"",IF(ISERROR(VLOOKUP($A64,'Round 1'!$A$7:$I$206,COLUMN('Round 1'!$H$7),0)),0,VLOOKUP($A64,'Round 1'!$A$7:$I$206,COLUMN('Round 1'!$H$7),0))+IF(ISERROR(VLOOKUP($A64,'Round 2'!$A$7:$I$206,COLUMN('Round 2'!$H$7),0)),0,VLOOKUP($A64,'Round 2'!$A$7:$I$206,COLUMN('Round 2'!$H$7),0))+IF(ISERROR(VLOOKUP($A64,'Round 3'!$A$7:$I$206,COLUMN('Round 3'!$H$7),0)),0,VLOOKUP($A64,'Round 3'!$A$7:$I$206,COLUMN('Round 3'!$H$7),0)))</f>
        <v/>
      </c>
      <c r="K64" s="116" t="str">
        <f t="shared" si="15"/>
        <v/>
      </c>
      <c r="L64" s="118" t="str">
        <f t="shared" si="16"/>
        <v/>
      </c>
      <c r="M64" s="119"/>
      <c r="N64" s="120" t="str">
        <f t="shared" si="17"/>
        <v/>
      </c>
      <c r="O64" s="36" t="str">
        <f t="shared" si="18"/>
        <v/>
      </c>
      <c r="P64" s="36" t="str">
        <f t="shared" si="19"/>
        <v/>
      </c>
      <c r="Q64" s="36">
        <f t="shared" si="20"/>
        <v>-10</v>
      </c>
      <c r="R64" s="36" t="str">
        <f t="shared" si="21"/>
        <v/>
      </c>
      <c r="S64" s="36" t="str">
        <f t="shared" si="22"/>
        <v/>
      </c>
      <c r="T64" s="36">
        <f t="shared" si="23"/>
        <v>0</v>
      </c>
      <c r="U64" s="120" t="str">
        <f ca="1">IF(N('Final Round'!$J$14)&gt;0,IF(ISBLANK($A64),"",IF($N64&gt;5,$N64,VLOOKUP($A64,'Final Round'!$A$14:$K$18,COLUMN('Final Round'!$J$1),0))),"")</f>
        <v/>
      </c>
      <c r="V64" s="36" t="str">
        <f t="shared" ca="1" si="24"/>
        <v/>
      </c>
      <c r="W64" s="36" t="str">
        <f t="shared" si="25"/>
        <v/>
      </c>
      <c r="X64" s="36" t="str">
        <f t="shared" si="26"/>
        <v/>
      </c>
      <c r="Y64" s="36">
        <f t="shared" si="27"/>
        <v>0</v>
      </c>
      <c r="Z64" s="36" t="str">
        <f t="shared" ca="1" si="28"/>
        <v/>
      </c>
      <c r="AA64" s="36">
        <f t="shared" ca="1" si="29"/>
        <v>0</v>
      </c>
      <c r="AB64" s="121" t="str">
        <f>IF(ISBLANK($A64),"",5+4*(I64+IF(AA64=0,0,VLOOKUP($A64,'Final Round'!$A$14:$K$18,COLUMN('Final Round'!$G$1),0)))+8*(H64+IF(AA64=0,0,IF(VLOOKUP($A64,'Final Round'!$A$14:$K$18,COLUMN('Final Round'!$J$1),0)=1,1,0)))+$AA64)</f>
        <v/>
      </c>
    </row>
    <row r="65" spans="1:28" x14ac:dyDescent="0.2">
      <c r="A65" s="137"/>
      <c r="B65" s="138"/>
      <c r="C65" s="138"/>
      <c r="D65" s="138"/>
      <c r="E65" s="139"/>
      <c r="F65" s="140" t="str">
        <f>IF(ISBLANK($A65),"",SUM(IF(ISNA(IF(VLOOKUP($A65,'Round 1'!$A$7:$J$206,COLUMN('Round 1'!$H$7),0),1,NA())),0,1),IF(ISNA(IF(VLOOKUP($A65,'Round 2'!$A$7:$J$206,COLUMN('Round 1'!$H$7),0),1,NA())),0,1),IF(ISNA(IF(VLOOKUP($A65,'Round 3'!$A$7:$J$206,COLUMN('Round 1'!$H$7),0),1,NA())),0,1),IF(ISNA(IF(VLOOKUP($A65,'Final Round'!$A$14:$K$18,1,0),1,NA())),0,1)))</f>
        <v/>
      </c>
      <c r="G65" s="141"/>
      <c r="H65" s="142" t="str">
        <f>IF(ISBLANK($A65),"",IF(ISERROR(VLOOKUP($A65,'Round 1'!$A$7:$I$206,COLUMN('Round 1'!$G$7),0)),0,VLOOKUP($A65,'Round 1'!$A$7:$I$206,COLUMN('Round 1'!$G$7),0))+IF(ISERROR(VLOOKUP($A65,'Round 2'!$A$7:$I$206,COLUMN('Round 2'!$G$7),0)),0,VLOOKUP($A65,'Round 2'!$A$7:$I$206,COLUMN('Round 2'!$G$7),0))+IF(ISERROR(VLOOKUP($A65,'Round 3'!$A$7:$I$206,COLUMN('Round 3'!$G$7),0)),0,VLOOKUP($A65,'Round 3'!$A$7:$I$206,COLUMN('Round 3'!$G$7),0)))</f>
        <v/>
      </c>
      <c r="I65" s="142" t="str">
        <f>IF(ISBLANK($A65),"",IF(ISERROR(VLOOKUP($A65,'Round 1'!$A$7:$I$206,COLUMN('Round 1'!$F$7),0)),0,VLOOKUP($A65,'Round 1'!$A$7:$I$206,COLUMN('Round 1'!$F$7),0))+IF(ISERROR(VLOOKUP($A65,'Round 2'!$A$7:$I$206,COLUMN('Round 2'!$F$7),0)),0,VLOOKUP($A65,'Round 2'!$A$7:$I$206,COLUMN('Round 2'!$F$7),0))+IF(ISERROR(VLOOKUP($A65,'Round 3'!$A$7:$I$206,COLUMN('Round 3'!$F$7),0)),0,VLOOKUP($A65,'Round 3'!$A$7:$I$206,COLUMN('Round 3'!$F$7),0)))</f>
        <v/>
      </c>
      <c r="J65" s="143" t="str">
        <f>IF(ISBLANK($A65),"",IF(ISERROR(VLOOKUP($A65,'Round 1'!$A$7:$I$206,COLUMN('Round 1'!$H$7),0)),0,VLOOKUP($A65,'Round 1'!$A$7:$I$206,COLUMN('Round 1'!$H$7),0))+IF(ISERROR(VLOOKUP($A65,'Round 2'!$A$7:$I$206,COLUMN('Round 2'!$H$7),0)),0,VLOOKUP($A65,'Round 2'!$A$7:$I$206,COLUMN('Round 2'!$H$7),0))+IF(ISERROR(VLOOKUP($A65,'Round 3'!$A$7:$I$206,COLUMN('Round 3'!$H$7),0)),0,VLOOKUP($A65,'Round 3'!$A$7:$I$206,COLUMN('Round 3'!$H$7),0)))</f>
        <v/>
      </c>
      <c r="K65" s="142" t="str">
        <f t="shared" si="15"/>
        <v/>
      </c>
      <c r="L65" s="144" t="str">
        <f t="shared" si="16"/>
        <v/>
      </c>
      <c r="M65" s="145"/>
      <c r="N65" s="146" t="str">
        <f t="shared" si="17"/>
        <v/>
      </c>
      <c r="O65" s="36" t="str">
        <f t="shared" si="18"/>
        <v/>
      </c>
      <c r="P65" s="36" t="str">
        <f t="shared" si="19"/>
        <v/>
      </c>
      <c r="Q65" s="36">
        <f t="shared" si="20"/>
        <v>-10</v>
      </c>
      <c r="R65" s="36" t="str">
        <f t="shared" si="21"/>
        <v/>
      </c>
      <c r="S65" s="36" t="str">
        <f t="shared" si="22"/>
        <v/>
      </c>
      <c r="T65" s="36">
        <f t="shared" si="23"/>
        <v>0</v>
      </c>
      <c r="U65" s="146" t="str">
        <f ca="1">IF(N('Final Round'!$J$14)&gt;0,IF(ISBLANK($A65),"",IF($N65&gt;5,$N65,VLOOKUP($A65,'Final Round'!$A$14:$K$18,COLUMN('Final Round'!$J$1),0))),"")</f>
        <v/>
      </c>
      <c r="V65" s="36" t="str">
        <f t="shared" ca="1" si="24"/>
        <v/>
      </c>
      <c r="W65" s="36" t="str">
        <f t="shared" si="25"/>
        <v/>
      </c>
      <c r="X65" s="36" t="str">
        <f t="shared" si="26"/>
        <v/>
      </c>
      <c r="Y65" s="36">
        <f t="shared" si="27"/>
        <v>0</v>
      </c>
      <c r="Z65" s="36" t="str">
        <f t="shared" ca="1" si="28"/>
        <v/>
      </c>
      <c r="AA65" s="36">
        <f t="shared" ca="1" si="29"/>
        <v>0</v>
      </c>
      <c r="AB65" s="147" t="str">
        <f>IF(ISBLANK($A65),"",5+4*(I65+IF(AA65=0,0,VLOOKUP($A65,'Final Round'!$A$14:$K$18,COLUMN('Final Round'!$G$1),0)))+8*(H65+IF(AA65=0,0,IF(VLOOKUP($A65,'Final Round'!$A$14:$K$18,COLUMN('Final Round'!$J$1),0)=1,1,0)))+$AA65)</f>
        <v/>
      </c>
    </row>
    <row r="66" spans="1:28" x14ac:dyDescent="0.2">
      <c r="A66" s="111"/>
      <c r="B66" s="112"/>
      <c r="C66" s="112"/>
      <c r="D66" s="112"/>
      <c r="E66" s="113"/>
      <c r="F66" s="114" t="str">
        <f>IF(ISBLANK($A66),"",SUM(IF(ISNA(IF(VLOOKUP($A66,'Round 1'!$A$7:$J$206,COLUMN('Round 1'!$H$7),0),1,NA())),0,1),IF(ISNA(IF(VLOOKUP($A66,'Round 2'!$A$7:$J$206,COLUMN('Round 1'!$H$7),0),1,NA())),0,1),IF(ISNA(IF(VLOOKUP($A66,'Round 3'!$A$7:$J$206,COLUMN('Round 1'!$H$7),0),1,NA())),0,1),IF(ISNA(IF(VLOOKUP($A66,'Final Round'!$A$14:$K$18,1,0),1,NA())),0,1)))</f>
        <v/>
      </c>
      <c r="G66" s="115"/>
      <c r="H66" s="116" t="str">
        <f>IF(ISBLANK($A66),"",IF(ISERROR(VLOOKUP($A66,'Round 1'!$A$7:$I$206,COLUMN('Round 1'!$G$7),0)),0,VLOOKUP($A66,'Round 1'!$A$7:$I$206,COLUMN('Round 1'!$G$7),0))+IF(ISERROR(VLOOKUP($A66,'Round 2'!$A$7:$I$206,COLUMN('Round 2'!$G$7),0)),0,VLOOKUP($A66,'Round 2'!$A$7:$I$206,COLUMN('Round 2'!$G$7),0))+IF(ISERROR(VLOOKUP($A66,'Round 3'!$A$7:$I$206,COLUMN('Round 3'!$G$7),0)),0,VLOOKUP($A66,'Round 3'!$A$7:$I$206,COLUMN('Round 3'!$G$7),0)))</f>
        <v/>
      </c>
      <c r="I66" s="116" t="str">
        <f>IF(ISBLANK($A66),"",IF(ISERROR(VLOOKUP($A66,'Round 1'!$A$7:$I$206,COLUMN('Round 1'!$F$7),0)),0,VLOOKUP($A66,'Round 1'!$A$7:$I$206,COLUMN('Round 1'!$F$7),0))+IF(ISERROR(VLOOKUP($A66,'Round 2'!$A$7:$I$206,COLUMN('Round 2'!$F$7),0)),0,VLOOKUP($A66,'Round 2'!$A$7:$I$206,COLUMN('Round 2'!$F$7),0))+IF(ISERROR(VLOOKUP($A66,'Round 3'!$A$7:$I$206,COLUMN('Round 3'!$F$7),0)),0,VLOOKUP($A66,'Round 3'!$A$7:$I$206,COLUMN('Round 3'!$F$7),0)))</f>
        <v/>
      </c>
      <c r="J66" s="117" t="str">
        <f>IF(ISBLANK($A66),"",IF(ISERROR(VLOOKUP($A66,'Round 1'!$A$7:$I$206,COLUMN('Round 1'!$H$7),0)),0,VLOOKUP($A66,'Round 1'!$A$7:$I$206,COLUMN('Round 1'!$H$7),0))+IF(ISERROR(VLOOKUP($A66,'Round 2'!$A$7:$I$206,COLUMN('Round 2'!$H$7),0)),0,VLOOKUP($A66,'Round 2'!$A$7:$I$206,COLUMN('Round 2'!$H$7),0))+IF(ISERROR(VLOOKUP($A66,'Round 3'!$A$7:$I$206,COLUMN('Round 3'!$H$7),0)),0,VLOOKUP($A66,'Round 3'!$A$7:$I$206,COLUMN('Round 3'!$H$7),0)))</f>
        <v/>
      </c>
      <c r="K66" s="116" t="str">
        <f t="shared" si="15"/>
        <v/>
      </c>
      <c r="L66" s="118" t="str">
        <f t="shared" si="16"/>
        <v/>
      </c>
      <c r="M66" s="119"/>
      <c r="N66" s="120" t="str">
        <f t="shared" si="17"/>
        <v/>
      </c>
      <c r="O66" s="36" t="str">
        <f t="shared" si="18"/>
        <v/>
      </c>
      <c r="P66" s="36" t="str">
        <f t="shared" si="19"/>
        <v/>
      </c>
      <c r="Q66" s="36">
        <f t="shared" si="20"/>
        <v>-10</v>
      </c>
      <c r="R66" s="36" t="str">
        <f t="shared" si="21"/>
        <v/>
      </c>
      <c r="S66" s="36" t="str">
        <f t="shared" si="22"/>
        <v/>
      </c>
      <c r="T66" s="36">
        <f t="shared" si="23"/>
        <v>0</v>
      </c>
      <c r="U66" s="120" t="str">
        <f ca="1">IF(N('Final Round'!$J$14)&gt;0,IF(ISBLANK($A66),"",IF($N66&gt;5,$N66,VLOOKUP($A66,'Final Round'!$A$14:$K$18,COLUMN('Final Round'!$J$1),0))),"")</f>
        <v/>
      </c>
      <c r="V66" s="36" t="str">
        <f t="shared" ca="1" si="24"/>
        <v/>
      </c>
      <c r="W66" s="36" t="str">
        <f t="shared" si="25"/>
        <v/>
      </c>
      <c r="X66" s="36" t="str">
        <f t="shared" si="26"/>
        <v/>
      </c>
      <c r="Y66" s="36">
        <f t="shared" si="27"/>
        <v>0</v>
      </c>
      <c r="Z66" s="36" t="str">
        <f t="shared" ca="1" si="28"/>
        <v/>
      </c>
      <c r="AA66" s="36">
        <f t="shared" ca="1" si="29"/>
        <v>0</v>
      </c>
      <c r="AB66" s="121" t="str">
        <f>IF(ISBLANK($A66),"",5+4*(I66+IF(AA66=0,0,VLOOKUP($A66,'Final Round'!$A$14:$K$18,COLUMN('Final Round'!$G$1),0)))+8*(H66+IF(AA66=0,0,IF(VLOOKUP($A66,'Final Round'!$A$14:$K$18,COLUMN('Final Round'!$J$1),0)=1,1,0)))+$AA66)</f>
        <v/>
      </c>
    </row>
    <row r="67" spans="1:28" x14ac:dyDescent="0.2">
      <c r="A67" s="137"/>
      <c r="B67" s="138"/>
      <c r="C67" s="138"/>
      <c r="D67" s="138"/>
      <c r="E67" s="139"/>
      <c r="F67" s="140" t="str">
        <f>IF(ISBLANK($A67),"",SUM(IF(ISNA(IF(VLOOKUP($A67,'Round 1'!$A$7:$J$206,COLUMN('Round 1'!$H$7),0),1,NA())),0,1),IF(ISNA(IF(VLOOKUP($A67,'Round 2'!$A$7:$J$206,COLUMN('Round 1'!$H$7),0),1,NA())),0,1),IF(ISNA(IF(VLOOKUP($A67,'Round 3'!$A$7:$J$206,COLUMN('Round 1'!$H$7),0),1,NA())),0,1),IF(ISNA(IF(VLOOKUP($A67,'Final Round'!$A$14:$K$18,1,0),1,NA())),0,1)))</f>
        <v/>
      </c>
      <c r="G67" s="141"/>
      <c r="H67" s="142" t="str">
        <f>IF(ISBLANK($A67),"",IF(ISERROR(VLOOKUP($A67,'Round 1'!$A$7:$I$206,COLUMN('Round 1'!$G$7),0)),0,VLOOKUP($A67,'Round 1'!$A$7:$I$206,COLUMN('Round 1'!$G$7),0))+IF(ISERROR(VLOOKUP($A67,'Round 2'!$A$7:$I$206,COLUMN('Round 2'!$G$7),0)),0,VLOOKUP($A67,'Round 2'!$A$7:$I$206,COLUMN('Round 2'!$G$7),0))+IF(ISERROR(VLOOKUP($A67,'Round 3'!$A$7:$I$206,COLUMN('Round 3'!$G$7),0)),0,VLOOKUP($A67,'Round 3'!$A$7:$I$206,COLUMN('Round 3'!$G$7),0)))</f>
        <v/>
      </c>
      <c r="I67" s="142" t="str">
        <f>IF(ISBLANK($A67),"",IF(ISERROR(VLOOKUP($A67,'Round 1'!$A$7:$I$206,COLUMN('Round 1'!$F$7),0)),0,VLOOKUP($A67,'Round 1'!$A$7:$I$206,COLUMN('Round 1'!$F$7),0))+IF(ISERROR(VLOOKUP($A67,'Round 2'!$A$7:$I$206,COLUMN('Round 2'!$F$7),0)),0,VLOOKUP($A67,'Round 2'!$A$7:$I$206,COLUMN('Round 2'!$F$7),0))+IF(ISERROR(VLOOKUP($A67,'Round 3'!$A$7:$I$206,COLUMN('Round 3'!$F$7),0)),0,VLOOKUP($A67,'Round 3'!$A$7:$I$206,COLUMN('Round 3'!$F$7),0)))</f>
        <v/>
      </c>
      <c r="J67" s="143" t="str">
        <f>IF(ISBLANK($A67),"",IF(ISERROR(VLOOKUP($A67,'Round 1'!$A$7:$I$206,COLUMN('Round 1'!$H$7),0)),0,VLOOKUP($A67,'Round 1'!$A$7:$I$206,COLUMN('Round 1'!$H$7),0))+IF(ISERROR(VLOOKUP($A67,'Round 2'!$A$7:$I$206,COLUMN('Round 2'!$H$7),0)),0,VLOOKUP($A67,'Round 2'!$A$7:$I$206,COLUMN('Round 2'!$H$7),0))+IF(ISERROR(VLOOKUP($A67,'Round 3'!$A$7:$I$206,COLUMN('Round 3'!$H$7),0)),0,VLOOKUP($A67,'Round 3'!$A$7:$I$206,COLUMN('Round 3'!$H$7),0)))</f>
        <v/>
      </c>
      <c r="K67" s="142" t="str">
        <f t="shared" si="15"/>
        <v/>
      </c>
      <c r="L67" s="144" t="str">
        <f t="shared" si="16"/>
        <v/>
      </c>
      <c r="M67" s="145"/>
      <c r="N67" s="146" t="str">
        <f t="shared" si="17"/>
        <v/>
      </c>
      <c r="O67" s="36" t="str">
        <f t="shared" si="18"/>
        <v/>
      </c>
      <c r="P67" s="36" t="str">
        <f t="shared" si="19"/>
        <v/>
      </c>
      <c r="Q67" s="36">
        <f t="shared" si="20"/>
        <v>-10</v>
      </c>
      <c r="R67" s="36" t="str">
        <f t="shared" si="21"/>
        <v/>
      </c>
      <c r="S67" s="36" t="str">
        <f t="shared" si="22"/>
        <v/>
      </c>
      <c r="T67" s="36">
        <f t="shared" si="23"/>
        <v>0</v>
      </c>
      <c r="U67" s="146" t="str">
        <f ca="1">IF(N('Final Round'!$J$14)&gt;0,IF(ISBLANK($A67),"",IF($N67&gt;5,$N67,VLOOKUP($A67,'Final Round'!$A$14:$K$18,COLUMN('Final Round'!$J$1),0))),"")</f>
        <v/>
      </c>
      <c r="V67" s="36" t="str">
        <f t="shared" ca="1" si="24"/>
        <v/>
      </c>
      <c r="W67" s="36" t="str">
        <f t="shared" si="25"/>
        <v/>
      </c>
      <c r="X67" s="36" t="str">
        <f t="shared" si="26"/>
        <v/>
      </c>
      <c r="Y67" s="36">
        <f t="shared" si="27"/>
        <v>0</v>
      </c>
      <c r="Z67" s="36" t="str">
        <f t="shared" ca="1" si="28"/>
        <v/>
      </c>
      <c r="AA67" s="36">
        <f t="shared" ca="1" si="29"/>
        <v>0</v>
      </c>
      <c r="AB67" s="147" t="str">
        <f>IF(ISBLANK($A67),"",5+4*(I67+IF(AA67=0,0,VLOOKUP($A67,'Final Round'!$A$14:$K$18,COLUMN('Final Round'!$G$1),0)))+8*(H67+IF(AA67=0,0,IF(VLOOKUP($A67,'Final Round'!$A$14:$K$18,COLUMN('Final Round'!$J$1),0)=1,1,0)))+$AA67)</f>
        <v/>
      </c>
    </row>
    <row r="68" spans="1:28" x14ac:dyDescent="0.2">
      <c r="A68" s="111"/>
      <c r="B68" s="112"/>
      <c r="C68" s="112"/>
      <c r="D68" s="112"/>
      <c r="E68" s="113"/>
      <c r="F68" s="114" t="str">
        <f>IF(ISBLANK($A68),"",SUM(IF(ISNA(IF(VLOOKUP($A68,'Round 1'!$A$7:$J$206,COLUMN('Round 1'!$H$7),0),1,NA())),0,1),IF(ISNA(IF(VLOOKUP($A68,'Round 2'!$A$7:$J$206,COLUMN('Round 1'!$H$7),0),1,NA())),0,1),IF(ISNA(IF(VLOOKUP($A68,'Round 3'!$A$7:$J$206,COLUMN('Round 1'!$H$7),0),1,NA())),0,1),IF(ISNA(IF(VLOOKUP($A68,'Final Round'!$A$14:$K$18,1,0),1,NA())),0,1)))</f>
        <v/>
      </c>
      <c r="G68" s="115"/>
      <c r="H68" s="116" t="str">
        <f>IF(ISBLANK($A68),"",IF(ISERROR(VLOOKUP($A68,'Round 1'!$A$7:$I$206,COLUMN('Round 1'!$G$7),0)),0,VLOOKUP($A68,'Round 1'!$A$7:$I$206,COLUMN('Round 1'!$G$7),0))+IF(ISERROR(VLOOKUP($A68,'Round 2'!$A$7:$I$206,COLUMN('Round 2'!$G$7),0)),0,VLOOKUP($A68,'Round 2'!$A$7:$I$206,COLUMN('Round 2'!$G$7),0))+IF(ISERROR(VLOOKUP($A68,'Round 3'!$A$7:$I$206,COLUMN('Round 3'!$G$7),0)),0,VLOOKUP($A68,'Round 3'!$A$7:$I$206,COLUMN('Round 3'!$G$7),0)))</f>
        <v/>
      </c>
      <c r="I68" s="116" t="str">
        <f>IF(ISBLANK($A68),"",IF(ISERROR(VLOOKUP($A68,'Round 1'!$A$7:$I$206,COLUMN('Round 1'!$F$7),0)),0,VLOOKUP($A68,'Round 1'!$A$7:$I$206,COLUMN('Round 1'!$F$7),0))+IF(ISERROR(VLOOKUP($A68,'Round 2'!$A$7:$I$206,COLUMN('Round 2'!$F$7),0)),0,VLOOKUP($A68,'Round 2'!$A$7:$I$206,COLUMN('Round 2'!$F$7),0))+IF(ISERROR(VLOOKUP($A68,'Round 3'!$A$7:$I$206,COLUMN('Round 3'!$F$7),0)),0,VLOOKUP($A68,'Round 3'!$A$7:$I$206,COLUMN('Round 3'!$F$7),0)))</f>
        <v/>
      </c>
      <c r="J68" s="117" t="str">
        <f>IF(ISBLANK($A68),"",IF(ISERROR(VLOOKUP($A68,'Round 1'!$A$7:$I$206,COLUMN('Round 1'!$H$7),0)),0,VLOOKUP($A68,'Round 1'!$A$7:$I$206,COLUMN('Round 1'!$H$7),0))+IF(ISERROR(VLOOKUP($A68,'Round 2'!$A$7:$I$206,COLUMN('Round 2'!$H$7),0)),0,VLOOKUP($A68,'Round 2'!$A$7:$I$206,COLUMN('Round 2'!$H$7),0))+IF(ISERROR(VLOOKUP($A68,'Round 3'!$A$7:$I$206,COLUMN('Round 3'!$H$7),0)),0,VLOOKUP($A68,'Round 3'!$A$7:$I$206,COLUMN('Round 3'!$H$7),0)))</f>
        <v/>
      </c>
      <c r="K68" s="116" t="str">
        <f t="shared" si="15"/>
        <v/>
      </c>
      <c r="L68" s="118" t="str">
        <f t="shared" si="16"/>
        <v/>
      </c>
      <c r="M68" s="119"/>
      <c r="N68" s="120" t="str">
        <f t="shared" si="17"/>
        <v/>
      </c>
      <c r="O68" s="36" t="str">
        <f t="shared" si="18"/>
        <v/>
      </c>
      <c r="P68" s="36" t="str">
        <f t="shared" si="19"/>
        <v/>
      </c>
      <c r="Q68" s="36">
        <f t="shared" si="20"/>
        <v>-10</v>
      </c>
      <c r="R68" s="36" t="str">
        <f t="shared" si="21"/>
        <v/>
      </c>
      <c r="S68" s="36" t="str">
        <f t="shared" si="22"/>
        <v/>
      </c>
      <c r="T68" s="36">
        <f t="shared" si="23"/>
        <v>0</v>
      </c>
      <c r="U68" s="120" t="str">
        <f ca="1">IF(N('Final Round'!$J$14)&gt;0,IF(ISBLANK($A68),"",IF($N68&gt;5,$N68,VLOOKUP($A68,'Final Round'!$A$14:$K$18,COLUMN('Final Round'!$J$1),0))),"")</f>
        <v/>
      </c>
      <c r="V68" s="36" t="str">
        <f t="shared" ca="1" si="24"/>
        <v/>
      </c>
      <c r="W68" s="36" t="str">
        <f t="shared" si="25"/>
        <v/>
      </c>
      <c r="X68" s="36" t="str">
        <f t="shared" si="26"/>
        <v/>
      </c>
      <c r="Y68" s="36">
        <f t="shared" si="27"/>
        <v>0</v>
      </c>
      <c r="Z68" s="36" t="str">
        <f t="shared" ca="1" si="28"/>
        <v/>
      </c>
      <c r="AA68" s="36">
        <f t="shared" ca="1" si="29"/>
        <v>0</v>
      </c>
      <c r="AB68" s="121" t="str">
        <f>IF(ISBLANK($A68),"",5+4*(I68+IF(AA68=0,0,VLOOKUP($A68,'Final Round'!$A$14:$K$18,COLUMN('Final Round'!$G$1),0)))+8*(H68+IF(AA68=0,0,IF(VLOOKUP($A68,'Final Round'!$A$14:$K$18,COLUMN('Final Round'!$J$1),0)=1,1,0)))+$AA68)</f>
        <v/>
      </c>
    </row>
    <row r="69" spans="1:28" x14ac:dyDescent="0.2">
      <c r="A69" s="137"/>
      <c r="B69" s="138"/>
      <c r="C69" s="138"/>
      <c r="D69" s="138"/>
      <c r="E69" s="139"/>
      <c r="F69" s="140" t="str">
        <f>IF(ISBLANK($A69),"",SUM(IF(ISNA(IF(VLOOKUP($A69,'Round 1'!$A$7:$J$206,COLUMN('Round 1'!$H$7),0),1,NA())),0,1),IF(ISNA(IF(VLOOKUP($A69,'Round 2'!$A$7:$J$206,COLUMN('Round 1'!$H$7),0),1,NA())),0,1),IF(ISNA(IF(VLOOKUP($A69,'Round 3'!$A$7:$J$206,COLUMN('Round 1'!$H$7),0),1,NA())),0,1),IF(ISNA(IF(VLOOKUP($A69,'Final Round'!$A$14:$K$18,1,0),1,NA())),0,1)))</f>
        <v/>
      </c>
      <c r="G69" s="141"/>
      <c r="H69" s="142" t="str">
        <f>IF(ISBLANK($A69),"",IF(ISERROR(VLOOKUP($A69,'Round 1'!$A$7:$I$206,COLUMN('Round 1'!$G$7),0)),0,VLOOKUP($A69,'Round 1'!$A$7:$I$206,COLUMN('Round 1'!$G$7),0))+IF(ISERROR(VLOOKUP($A69,'Round 2'!$A$7:$I$206,COLUMN('Round 2'!$G$7),0)),0,VLOOKUP($A69,'Round 2'!$A$7:$I$206,COLUMN('Round 2'!$G$7),0))+IF(ISERROR(VLOOKUP($A69,'Round 3'!$A$7:$I$206,COLUMN('Round 3'!$G$7),0)),0,VLOOKUP($A69,'Round 3'!$A$7:$I$206,COLUMN('Round 3'!$G$7),0)))</f>
        <v/>
      </c>
      <c r="I69" s="142" t="str">
        <f>IF(ISBLANK($A69),"",IF(ISERROR(VLOOKUP($A69,'Round 1'!$A$7:$I$206,COLUMN('Round 1'!$F$7),0)),0,VLOOKUP($A69,'Round 1'!$A$7:$I$206,COLUMN('Round 1'!$F$7),0))+IF(ISERROR(VLOOKUP($A69,'Round 2'!$A$7:$I$206,COLUMN('Round 2'!$F$7),0)),0,VLOOKUP($A69,'Round 2'!$A$7:$I$206,COLUMN('Round 2'!$F$7),0))+IF(ISERROR(VLOOKUP($A69,'Round 3'!$A$7:$I$206,COLUMN('Round 3'!$F$7),0)),0,VLOOKUP($A69,'Round 3'!$A$7:$I$206,COLUMN('Round 3'!$F$7),0)))</f>
        <v/>
      </c>
      <c r="J69" s="143" t="str">
        <f>IF(ISBLANK($A69),"",IF(ISERROR(VLOOKUP($A69,'Round 1'!$A$7:$I$206,COLUMN('Round 1'!$H$7),0)),0,VLOOKUP($A69,'Round 1'!$A$7:$I$206,COLUMN('Round 1'!$H$7),0))+IF(ISERROR(VLOOKUP($A69,'Round 2'!$A$7:$I$206,COLUMN('Round 2'!$H$7),0)),0,VLOOKUP($A69,'Round 2'!$A$7:$I$206,COLUMN('Round 2'!$H$7),0))+IF(ISERROR(VLOOKUP($A69,'Round 3'!$A$7:$I$206,COLUMN('Round 3'!$H$7),0)),0,VLOOKUP($A69,'Round 3'!$A$7:$I$206,COLUMN('Round 3'!$H$7),0)))</f>
        <v/>
      </c>
      <c r="K69" s="142" t="str">
        <f t="shared" si="15"/>
        <v/>
      </c>
      <c r="L69" s="144" t="str">
        <f t="shared" si="16"/>
        <v/>
      </c>
      <c r="M69" s="145"/>
      <c r="N69" s="146" t="str">
        <f t="shared" si="17"/>
        <v/>
      </c>
      <c r="O69" s="36" t="str">
        <f t="shared" si="18"/>
        <v/>
      </c>
      <c r="P69" s="36" t="str">
        <f t="shared" si="19"/>
        <v/>
      </c>
      <c r="Q69" s="36">
        <f t="shared" si="20"/>
        <v>-10</v>
      </c>
      <c r="R69" s="36" t="str">
        <f t="shared" si="21"/>
        <v/>
      </c>
      <c r="S69" s="36" t="str">
        <f t="shared" si="22"/>
        <v/>
      </c>
      <c r="T69" s="36">
        <f t="shared" si="23"/>
        <v>0</v>
      </c>
      <c r="U69" s="146" t="str">
        <f ca="1">IF(N('Final Round'!$J$14)&gt;0,IF(ISBLANK($A69),"",IF($N69&gt;5,$N69,VLOOKUP($A69,'Final Round'!$A$14:$K$18,COLUMN('Final Round'!$J$1),0))),"")</f>
        <v/>
      </c>
      <c r="V69" s="36" t="str">
        <f t="shared" ca="1" si="24"/>
        <v/>
      </c>
      <c r="W69" s="36" t="str">
        <f t="shared" si="25"/>
        <v/>
      </c>
      <c r="X69" s="36" t="str">
        <f t="shared" si="26"/>
        <v/>
      </c>
      <c r="Y69" s="36">
        <f t="shared" si="27"/>
        <v>0</v>
      </c>
      <c r="Z69" s="36" t="str">
        <f t="shared" ca="1" si="28"/>
        <v/>
      </c>
      <c r="AA69" s="36">
        <f t="shared" ca="1" si="29"/>
        <v>0</v>
      </c>
      <c r="AB69" s="147" t="str">
        <f>IF(ISBLANK($A69),"",5+4*(I69+IF(AA69=0,0,VLOOKUP($A69,'Final Round'!$A$14:$K$18,COLUMN('Final Round'!$G$1),0)))+8*(H69+IF(AA69=0,0,IF(VLOOKUP($A69,'Final Round'!$A$14:$K$18,COLUMN('Final Round'!$J$1),0)=1,1,0)))+$AA69)</f>
        <v/>
      </c>
    </row>
    <row r="70" spans="1:28" x14ac:dyDescent="0.2">
      <c r="A70" s="111"/>
      <c r="B70" s="112"/>
      <c r="C70" s="112"/>
      <c r="D70" s="112"/>
      <c r="E70" s="113"/>
      <c r="F70" s="114" t="str">
        <f>IF(ISBLANK($A70),"",SUM(IF(ISNA(IF(VLOOKUP($A70,'Round 1'!$A$7:$J$206,COLUMN('Round 1'!$H$7),0),1,NA())),0,1),IF(ISNA(IF(VLOOKUP($A70,'Round 2'!$A$7:$J$206,COLUMN('Round 1'!$H$7),0),1,NA())),0,1),IF(ISNA(IF(VLOOKUP($A70,'Round 3'!$A$7:$J$206,COLUMN('Round 1'!$H$7),0),1,NA())),0,1),IF(ISNA(IF(VLOOKUP($A70,'Final Round'!$A$14:$K$18,1,0),1,NA())),0,1)))</f>
        <v/>
      </c>
      <c r="G70" s="115"/>
      <c r="H70" s="116" t="str">
        <f>IF(ISBLANK($A70),"",IF(ISERROR(VLOOKUP($A70,'Round 1'!$A$7:$I$206,COLUMN('Round 1'!$G$7),0)),0,VLOOKUP($A70,'Round 1'!$A$7:$I$206,COLUMN('Round 1'!$G$7),0))+IF(ISERROR(VLOOKUP($A70,'Round 2'!$A$7:$I$206,COLUMN('Round 2'!$G$7),0)),0,VLOOKUP($A70,'Round 2'!$A$7:$I$206,COLUMN('Round 2'!$G$7),0))+IF(ISERROR(VLOOKUP($A70,'Round 3'!$A$7:$I$206,COLUMN('Round 3'!$G$7),0)),0,VLOOKUP($A70,'Round 3'!$A$7:$I$206,COLUMN('Round 3'!$G$7),0)))</f>
        <v/>
      </c>
      <c r="I70" s="116" t="str">
        <f>IF(ISBLANK($A70),"",IF(ISERROR(VLOOKUP($A70,'Round 1'!$A$7:$I$206,COLUMN('Round 1'!$F$7),0)),0,VLOOKUP($A70,'Round 1'!$A$7:$I$206,COLUMN('Round 1'!$F$7),0))+IF(ISERROR(VLOOKUP($A70,'Round 2'!$A$7:$I$206,COLUMN('Round 2'!$F$7),0)),0,VLOOKUP($A70,'Round 2'!$A$7:$I$206,COLUMN('Round 2'!$F$7),0))+IF(ISERROR(VLOOKUP($A70,'Round 3'!$A$7:$I$206,COLUMN('Round 3'!$F$7),0)),0,VLOOKUP($A70,'Round 3'!$A$7:$I$206,COLUMN('Round 3'!$F$7),0)))</f>
        <v/>
      </c>
      <c r="J70" s="117" t="str">
        <f>IF(ISBLANK($A70),"",IF(ISERROR(VLOOKUP($A70,'Round 1'!$A$7:$I$206,COLUMN('Round 1'!$H$7),0)),0,VLOOKUP($A70,'Round 1'!$A$7:$I$206,COLUMN('Round 1'!$H$7),0))+IF(ISERROR(VLOOKUP($A70,'Round 2'!$A$7:$I$206,COLUMN('Round 2'!$H$7),0)),0,VLOOKUP($A70,'Round 2'!$A$7:$I$206,COLUMN('Round 2'!$H$7),0))+IF(ISERROR(VLOOKUP($A70,'Round 3'!$A$7:$I$206,COLUMN('Round 3'!$H$7),0)),0,VLOOKUP($A70,'Round 3'!$A$7:$I$206,COLUMN('Round 3'!$H$7),0)))</f>
        <v/>
      </c>
      <c r="K70" s="116" t="str">
        <f t="shared" si="15"/>
        <v/>
      </c>
      <c r="L70" s="118" t="str">
        <f t="shared" si="16"/>
        <v/>
      </c>
      <c r="M70" s="119"/>
      <c r="N70" s="120" t="str">
        <f t="shared" si="17"/>
        <v/>
      </c>
      <c r="O70" s="36" t="str">
        <f t="shared" si="18"/>
        <v/>
      </c>
      <c r="P70" s="36" t="str">
        <f t="shared" si="19"/>
        <v/>
      </c>
      <c r="Q70" s="36">
        <f t="shared" si="20"/>
        <v>-10</v>
      </c>
      <c r="R70" s="36" t="str">
        <f t="shared" si="21"/>
        <v/>
      </c>
      <c r="S70" s="36" t="str">
        <f t="shared" si="22"/>
        <v/>
      </c>
      <c r="T70" s="36">
        <f t="shared" si="23"/>
        <v>0</v>
      </c>
      <c r="U70" s="120" t="str">
        <f ca="1">IF(N('Final Round'!$J$14)&gt;0,IF(ISBLANK($A70),"",IF($N70&gt;5,$N70,VLOOKUP($A70,'Final Round'!$A$14:$K$18,COLUMN('Final Round'!$J$1),0))),"")</f>
        <v/>
      </c>
      <c r="V70" s="36" t="str">
        <f t="shared" ca="1" si="24"/>
        <v/>
      </c>
      <c r="W70" s="36" t="str">
        <f t="shared" si="25"/>
        <v/>
      </c>
      <c r="X70" s="36" t="str">
        <f t="shared" si="26"/>
        <v/>
      </c>
      <c r="Y70" s="36">
        <f t="shared" si="27"/>
        <v>0</v>
      </c>
      <c r="Z70" s="36" t="str">
        <f t="shared" ca="1" si="28"/>
        <v/>
      </c>
      <c r="AA70" s="36">
        <f t="shared" ca="1" si="29"/>
        <v>0</v>
      </c>
      <c r="AB70" s="121" t="str">
        <f>IF(ISBLANK($A70),"",5+4*(I70+IF(AA70=0,0,VLOOKUP($A70,'Final Round'!$A$14:$K$18,COLUMN('Final Round'!$G$1),0)))+8*(H70+IF(AA70=0,0,IF(VLOOKUP($A70,'Final Round'!$A$14:$K$18,COLUMN('Final Round'!$J$1),0)=1,1,0)))+$AA70)</f>
        <v/>
      </c>
    </row>
    <row r="71" spans="1:28" x14ac:dyDescent="0.2">
      <c r="A71" s="137"/>
      <c r="B71" s="138"/>
      <c r="C71" s="138"/>
      <c r="D71" s="138"/>
      <c r="E71" s="139"/>
      <c r="F71" s="140" t="str">
        <f>IF(ISBLANK($A71),"",SUM(IF(ISNA(IF(VLOOKUP($A71,'Round 1'!$A$7:$J$206,COLUMN('Round 1'!$H$7),0),1,NA())),0,1),IF(ISNA(IF(VLOOKUP($A71,'Round 2'!$A$7:$J$206,COLUMN('Round 1'!$H$7),0),1,NA())),0,1),IF(ISNA(IF(VLOOKUP($A71,'Round 3'!$A$7:$J$206,COLUMN('Round 1'!$H$7),0),1,NA())),0,1),IF(ISNA(IF(VLOOKUP($A71,'Final Round'!$A$14:$K$18,1,0),1,NA())),0,1)))</f>
        <v/>
      </c>
      <c r="G71" s="141"/>
      <c r="H71" s="142" t="str">
        <f>IF(ISBLANK($A71),"",IF(ISERROR(VLOOKUP($A71,'Round 1'!$A$7:$I$206,COLUMN('Round 1'!$G$7),0)),0,VLOOKUP($A71,'Round 1'!$A$7:$I$206,COLUMN('Round 1'!$G$7),0))+IF(ISERROR(VLOOKUP($A71,'Round 2'!$A$7:$I$206,COLUMN('Round 2'!$G$7),0)),0,VLOOKUP($A71,'Round 2'!$A$7:$I$206,COLUMN('Round 2'!$G$7),0))+IF(ISERROR(VLOOKUP($A71,'Round 3'!$A$7:$I$206,COLUMN('Round 3'!$G$7),0)),0,VLOOKUP($A71,'Round 3'!$A$7:$I$206,COLUMN('Round 3'!$G$7),0)))</f>
        <v/>
      </c>
      <c r="I71" s="142" t="str">
        <f>IF(ISBLANK($A71),"",IF(ISERROR(VLOOKUP($A71,'Round 1'!$A$7:$I$206,COLUMN('Round 1'!$F$7),0)),0,VLOOKUP($A71,'Round 1'!$A$7:$I$206,COLUMN('Round 1'!$F$7),0))+IF(ISERROR(VLOOKUP($A71,'Round 2'!$A$7:$I$206,COLUMN('Round 2'!$F$7),0)),0,VLOOKUP($A71,'Round 2'!$A$7:$I$206,COLUMN('Round 2'!$F$7),0))+IF(ISERROR(VLOOKUP($A71,'Round 3'!$A$7:$I$206,COLUMN('Round 3'!$F$7),0)),0,VLOOKUP($A71,'Round 3'!$A$7:$I$206,COLUMN('Round 3'!$F$7),0)))</f>
        <v/>
      </c>
      <c r="J71" s="143" t="str">
        <f>IF(ISBLANK($A71),"",IF(ISERROR(VLOOKUP($A71,'Round 1'!$A$7:$I$206,COLUMN('Round 1'!$H$7),0)),0,VLOOKUP($A71,'Round 1'!$A$7:$I$206,COLUMN('Round 1'!$H$7),0))+IF(ISERROR(VLOOKUP($A71,'Round 2'!$A$7:$I$206,COLUMN('Round 2'!$H$7),0)),0,VLOOKUP($A71,'Round 2'!$A$7:$I$206,COLUMN('Round 2'!$H$7),0))+IF(ISERROR(VLOOKUP($A71,'Round 3'!$A$7:$I$206,COLUMN('Round 3'!$H$7),0)),0,VLOOKUP($A71,'Round 3'!$A$7:$I$206,COLUMN('Round 3'!$H$7),0)))</f>
        <v/>
      </c>
      <c r="K71" s="142" t="str">
        <f t="shared" ref="K71:K102" si="30">IF(ISBLANK(A71),"",RANK(P71,$P$7:$P$206))</f>
        <v/>
      </c>
      <c r="L71" s="144" t="str">
        <f t="shared" ref="L71:L102" si="31">IF(ISBLANK($G71),IF($K71&gt;5,"",IF(AND(ISNA(MATCH(K71+1,$K$7:$K$206,0)),$K71&lt;$A$4),"TIE","")),"DQ")</f>
        <v/>
      </c>
      <c r="M71" s="145"/>
      <c r="N71" s="146" t="str">
        <f t="shared" ref="N71:N102" si="32">IF(ISBLANK($G71),$R71,"DQ")</f>
        <v/>
      </c>
      <c r="O71" s="36" t="str">
        <f t="shared" ref="O71:O102" si="33">IF(ISBLANK(A71),"",$H71*$O$6+$I71)</f>
        <v/>
      </c>
      <c r="P71" s="36" t="str">
        <f t="shared" ref="P71:P102" si="34">IF(ISBLANK(A71),"",$O71*10*$P$6+$J71)</f>
        <v/>
      </c>
      <c r="Q71" s="36">
        <f t="shared" ref="Q71:Q102" si="35">IF(ISBLANK($G71),IF(ISBLANK($A71),-10,$P71*$Q$6+IF($M71&gt;0,$Q$6-1-$M71,0)),-1)</f>
        <v>-10</v>
      </c>
      <c r="R71" s="36" t="str">
        <f t="shared" ref="R71:R102" si="36">IF(ISBLANK($A71),"",RANK($Q71,$Q$7:$Q$206))</f>
        <v/>
      </c>
      <c r="S71" s="36" t="str">
        <f t="shared" ref="S71:S102" si="37">IF(ISNA(MATCH($R71+1,$R$7:$R$206,0)),IF($R71=MAX($A$7:$A$206),$R71,-1),$R71)</f>
        <v/>
      </c>
      <c r="T71" s="36">
        <f t="shared" ref="T71:T102" si="38">$A71</f>
        <v>0</v>
      </c>
      <c r="U71" s="146" t="str">
        <f ca="1">IF(N('Final Round'!$J$14)&gt;0,IF(ISBLANK($A71),"",IF($N71&gt;5,$N71,VLOOKUP($A71,'Final Round'!$A$14:$K$18,COLUMN('Final Round'!$J$1),0))),"")</f>
        <v/>
      </c>
      <c r="V71" s="36" t="str">
        <f t="shared" ref="V71:V102" ca="1" si="39">IF(ISNUMBER($U71),$U71,$R71)</f>
        <v/>
      </c>
      <c r="W71" s="36" t="str">
        <f t="shared" ref="W71:W102" si="40">IF(ISBLANK($A71),"",($V$6-$V71)*$W$6+$W$6-$A71)</f>
        <v/>
      </c>
      <c r="X71" s="36" t="str">
        <f t="shared" ref="X71:X102" si="41">IF(ISBLANK($A71),"",RANK($W71,$W$7:$W$206))</f>
        <v/>
      </c>
      <c r="Y71" s="36">
        <f t="shared" ref="Y71:Y102" si="42">$A71</f>
        <v>0</v>
      </c>
      <c r="Z71" s="36" t="str">
        <f t="shared" ref="Z71:Z102" ca="1" si="43">IF($U71="",$N71,$U71)</f>
        <v/>
      </c>
      <c r="AA71" s="36">
        <f t="shared" ref="AA71:AA102" ca="1" si="44">IF($U71&lt;6,INDEX($AA$1:$AA$5,$Z71)*$Z$2,0)</f>
        <v>0</v>
      </c>
      <c r="AB71" s="147" t="str">
        <f>IF(ISBLANK($A71),"",5+4*(I71+IF(AA71=0,0,VLOOKUP($A71,'Final Round'!$A$14:$K$18,COLUMN('Final Round'!$G$1),0)))+8*(H71+IF(AA71=0,0,IF(VLOOKUP($A71,'Final Round'!$A$14:$K$18,COLUMN('Final Round'!$J$1),0)=1,1,0)))+$AA71)</f>
        <v/>
      </c>
    </row>
    <row r="72" spans="1:28" x14ac:dyDescent="0.2">
      <c r="A72" s="111"/>
      <c r="B72" s="112"/>
      <c r="C72" s="112"/>
      <c r="D72" s="112"/>
      <c r="E72" s="113"/>
      <c r="F72" s="114" t="str">
        <f>IF(ISBLANK($A72),"",SUM(IF(ISNA(IF(VLOOKUP($A72,'Round 1'!$A$7:$J$206,COLUMN('Round 1'!$H$7),0),1,NA())),0,1),IF(ISNA(IF(VLOOKUP($A72,'Round 2'!$A$7:$J$206,COLUMN('Round 1'!$H$7),0),1,NA())),0,1),IF(ISNA(IF(VLOOKUP($A72,'Round 3'!$A$7:$J$206,COLUMN('Round 1'!$H$7),0),1,NA())),0,1),IF(ISNA(IF(VLOOKUP($A72,'Final Round'!$A$14:$K$18,1,0),1,NA())),0,1)))</f>
        <v/>
      </c>
      <c r="G72" s="115"/>
      <c r="H72" s="116" t="str">
        <f>IF(ISBLANK($A72),"",IF(ISERROR(VLOOKUP($A72,'Round 1'!$A$7:$I$206,COLUMN('Round 1'!$G$7),0)),0,VLOOKUP($A72,'Round 1'!$A$7:$I$206,COLUMN('Round 1'!$G$7),0))+IF(ISERROR(VLOOKUP($A72,'Round 2'!$A$7:$I$206,COLUMN('Round 2'!$G$7),0)),0,VLOOKUP($A72,'Round 2'!$A$7:$I$206,COLUMN('Round 2'!$G$7),0))+IF(ISERROR(VLOOKUP($A72,'Round 3'!$A$7:$I$206,COLUMN('Round 3'!$G$7),0)),0,VLOOKUP($A72,'Round 3'!$A$7:$I$206,COLUMN('Round 3'!$G$7),0)))</f>
        <v/>
      </c>
      <c r="I72" s="116" t="str">
        <f>IF(ISBLANK($A72),"",IF(ISERROR(VLOOKUP($A72,'Round 1'!$A$7:$I$206,COLUMN('Round 1'!$F$7),0)),0,VLOOKUP($A72,'Round 1'!$A$7:$I$206,COLUMN('Round 1'!$F$7),0))+IF(ISERROR(VLOOKUP($A72,'Round 2'!$A$7:$I$206,COLUMN('Round 2'!$F$7),0)),0,VLOOKUP($A72,'Round 2'!$A$7:$I$206,COLUMN('Round 2'!$F$7),0))+IF(ISERROR(VLOOKUP($A72,'Round 3'!$A$7:$I$206,COLUMN('Round 3'!$F$7),0)),0,VLOOKUP($A72,'Round 3'!$A$7:$I$206,COLUMN('Round 3'!$F$7),0)))</f>
        <v/>
      </c>
      <c r="J72" s="117" t="str">
        <f>IF(ISBLANK($A72),"",IF(ISERROR(VLOOKUP($A72,'Round 1'!$A$7:$I$206,COLUMN('Round 1'!$H$7),0)),0,VLOOKUP($A72,'Round 1'!$A$7:$I$206,COLUMN('Round 1'!$H$7),0))+IF(ISERROR(VLOOKUP($A72,'Round 2'!$A$7:$I$206,COLUMN('Round 2'!$H$7),0)),0,VLOOKUP($A72,'Round 2'!$A$7:$I$206,COLUMN('Round 2'!$H$7),0))+IF(ISERROR(VLOOKUP($A72,'Round 3'!$A$7:$I$206,COLUMN('Round 3'!$H$7),0)),0,VLOOKUP($A72,'Round 3'!$A$7:$I$206,COLUMN('Round 3'!$H$7),0)))</f>
        <v/>
      </c>
      <c r="K72" s="116" t="str">
        <f t="shared" si="30"/>
        <v/>
      </c>
      <c r="L72" s="118" t="str">
        <f t="shared" si="31"/>
        <v/>
      </c>
      <c r="M72" s="119"/>
      <c r="N72" s="120" t="str">
        <f t="shared" si="32"/>
        <v/>
      </c>
      <c r="O72" s="36" t="str">
        <f t="shared" si="33"/>
        <v/>
      </c>
      <c r="P72" s="36" t="str">
        <f t="shared" si="34"/>
        <v/>
      </c>
      <c r="Q72" s="36">
        <f t="shared" si="35"/>
        <v>-10</v>
      </c>
      <c r="R72" s="36" t="str">
        <f t="shared" si="36"/>
        <v/>
      </c>
      <c r="S72" s="36" t="str">
        <f t="shared" si="37"/>
        <v/>
      </c>
      <c r="T72" s="36">
        <f t="shared" si="38"/>
        <v>0</v>
      </c>
      <c r="U72" s="120" t="str">
        <f ca="1">IF(N('Final Round'!$J$14)&gt;0,IF(ISBLANK($A72),"",IF($N72&gt;5,$N72,VLOOKUP($A72,'Final Round'!$A$14:$K$18,COLUMN('Final Round'!$J$1),0))),"")</f>
        <v/>
      </c>
      <c r="V72" s="36" t="str">
        <f t="shared" ca="1" si="39"/>
        <v/>
      </c>
      <c r="W72" s="36" t="str">
        <f t="shared" si="40"/>
        <v/>
      </c>
      <c r="X72" s="36" t="str">
        <f t="shared" si="41"/>
        <v/>
      </c>
      <c r="Y72" s="36">
        <f t="shared" si="42"/>
        <v>0</v>
      </c>
      <c r="Z72" s="36" t="str">
        <f t="shared" ca="1" si="43"/>
        <v/>
      </c>
      <c r="AA72" s="36">
        <f t="shared" ca="1" si="44"/>
        <v>0</v>
      </c>
      <c r="AB72" s="121" t="str">
        <f>IF(ISBLANK($A72),"",5+4*(I72+IF(AA72=0,0,VLOOKUP($A72,'Final Round'!$A$14:$K$18,COLUMN('Final Round'!$G$1),0)))+8*(H72+IF(AA72=0,0,IF(VLOOKUP($A72,'Final Round'!$A$14:$K$18,COLUMN('Final Round'!$J$1),0)=1,1,0)))+$AA72)</f>
        <v/>
      </c>
    </row>
    <row r="73" spans="1:28" x14ac:dyDescent="0.2">
      <c r="A73" s="137"/>
      <c r="B73" s="138"/>
      <c r="C73" s="138"/>
      <c r="D73" s="138"/>
      <c r="E73" s="139"/>
      <c r="F73" s="140" t="str">
        <f>IF(ISBLANK($A73),"",SUM(IF(ISNA(IF(VLOOKUP($A73,'Round 1'!$A$7:$J$206,COLUMN('Round 1'!$H$7),0),1,NA())),0,1),IF(ISNA(IF(VLOOKUP($A73,'Round 2'!$A$7:$J$206,COLUMN('Round 1'!$H$7),0),1,NA())),0,1),IF(ISNA(IF(VLOOKUP($A73,'Round 3'!$A$7:$J$206,COLUMN('Round 1'!$H$7),0),1,NA())),0,1),IF(ISNA(IF(VLOOKUP($A73,'Final Round'!$A$14:$K$18,1,0),1,NA())),0,1)))</f>
        <v/>
      </c>
      <c r="G73" s="141"/>
      <c r="H73" s="142" t="str">
        <f>IF(ISBLANK($A73),"",IF(ISERROR(VLOOKUP($A73,'Round 1'!$A$7:$I$206,COLUMN('Round 1'!$G$7),0)),0,VLOOKUP($A73,'Round 1'!$A$7:$I$206,COLUMN('Round 1'!$G$7),0))+IF(ISERROR(VLOOKUP($A73,'Round 2'!$A$7:$I$206,COLUMN('Round 2'!$G$7),0)),0,VLOOKUP($A73,'Round 2'!$A$7:$I$206,COLUMN('Round 2'!$G$7),0))+IF(ISERROR(VLOOKUP($A73,'Round 3'!$A$7:$I$206,COLUMN('Round 3'!$G$7),0)),0,VLOOKUP($A73,'Round 3'!$A$7:$I$206,COLUMN('Round 3'!$G$7),0)))</f>
        <v/>
      </c>
      <c r="I73" s="142" t="str">
        <f>IF(ISBLANK($A73),"",IF(ISERROR(VLOOKUP($A73,'Round 1'!$A$7:$I$206,COLUMN('Round 1'!$F$7),0)),0,VLOOKUP($A73,'Round 1'!$A$7:$I$206,COLUMN('Round 1'!$F$7),0))+IF(ISERROR(VLOOKUP($A73,'Round 2'!$A$7:$I$206,COLUMN('Round 2'!$F$7),0)),0,VLOOKUP($A73,'Round 2'!$A$7:$I$206,COLUMN('Round 2'!$F$7),0))+IF(ISERROR(VLOOKUP($A73,'Round 3'!$A$7:$I$206,COLUMN('Round 3'!$F$7),0)),0,VLOOKUP($A73,'Round 3'!$A$7:$I$206,COLUMN('Round 3'!$F$7),0)))</f>
        <v/>
      </c>
      <c r="J73" s="143" t="str">
        <f>IF(ISBLANK($A73),"",IF(ISERROR(VLOOKUP($A73,'Round 1'!$A$7:$I$206,COLUMN('Round 1'!$H$7),0)),0,VLOOKUP($A73,'Round 1'!$A$7:$I$206,COLUMN('Round 1'!$H$7),0))+IF(ISERROR(VLOOKUP($A73,'Round 2'!$A$7:$I$206,COLUMN('Round 2'!$H$7),0)),0,VLOOKUP($A73,'Round 2'!$A$7:$I$206,COLUMN('Round 2'!$H$7),0))+IF(ISERROR(VLOOKUP($A73,'Round 3'!$A$7:$I$206,COLUMN('Round 3'!$H$7),0)),0,VLOOKUP($A73,'Round 3'!$A$7:$I$206,COLUMN('Round 3'!$H$7),0)))</f>
        <v/>
      </c>
      <c r="K73" s="142" t="str">
        <f t="shared" si="30"/>
        <v/>
      </c>
      <c r="L73" s="144" t="str">
        <f t="shared" si="31"/>
        <v/>
      </c>
      <c r="M73" s="145"/>
      <c r="N73" s="146" t="str">
        <f t="shared" si="32"/>
        <v/>
      </c>
      <c r="O73" s="36" t="str">
        <f t="shared" si="33"/>
        <v/>
      </c>
      <c r="P73" s="36" t="str">
        <f t="shared" si="34"/>
        <v/>
      </c>
      <c r="Q73" s="36">
        <f t="shared" si="35"/>
        <v>-10</v>
      </c>
      <c r="R73" s="36" t="str">
        <f t="shared" si="36"/>
        <v/>
      </c>
      <c r="S73" s="36" t="str">
        <f t="shared" si="37"/>
        <v/>
      </c>
      <c r="T73" s="36">
        <f t="shared" si="38"/>
        <v>0</v>
      </c>
      <c r="U73" s="146" t="str">
        <f ca="1">IF(N('Final Round'!$J$14)&gt;0,IF(ISBLANK($A73),"",IF($N73&gt;5,$N73,VLOOKUP($A73,'Final Round'!$A$14:$K$18,COLUMN('Final Round'!$J$1),0))),"")</f>
        <v/>
      </c>
      <c r="V73" s="36" t="str">
        <f t="shared" ca="1" si="39"/>
        <v/>
      </c>
      <c r="W73" s="36" t="str">
        <f t="shared" si="40"/>
        <v/>
      </c>
      <c r="X73" s="36" t="str">
        <f t="shared" si="41"/>
        <v/>
      </c>
      <c r="Y73" s="36">
        <f t="shared" si="42"/>
        <v>0</v>
      </c>
      <c r="Z73" s="36" t="str">
        <f t="shared" ca="1" si="43"/>
        <v/>
      </c>
      <c r="AA73" s="36">
        <f t="shared" ca="1" si="44"/>
        <v>0</v>
      </c>
      <c r="AB73" s="147" t="str">
        <f>IF(ISBLANK($A73),"",5+4*(I73+IF(AA73=0,0,VLOOKUP($A73,'Final Round'!$A$14:$K$18,COLUMN('Final Round'!$G$1),0)))+8*(H73+IF(AA73=0,0,IF(VLOOKUP($A73,'Final Round'!$A$14:$K$18,COLUMN('Final Round'!$J$1),0)=1,1,0)))+$AA73)</f>
        <v/>
      </c>
    </row>
    <row r="74" spans="1:28" x14ac:dyDescent="0.2">
      <c r="A74" s="111"/>
      <c r="B74" s="112"/>
      <c r="C74" s="112"/>
      <c r="D74" s="112"/>
      <c r="E74" s="113"/>
      <c r="F74" s="114" t="str">
        <f>IF(ISBLANK($A74),"",SUM(IF(ISNA(IF(VLOOKUP($A74,'Round 1'!$A$7:$J$206,COLUMN('Round 1'!$H$7),0),1,NA())),0,1),IF(ISNA(IF(VLOOKUP($A74,'Round 2'!$A$7:$J$206,COLUMN('Round 1'!$H$7),0),1,NA())),0,1),IF(ISNA(IF(VLOOKUP($A74,'Round 3'!$A$7:$J$206,COLUMN('Round 1'!$H$7),0),1,NA())),0,1),IF(ISNA(IF(VLOOKUP($A74,'Final Round'!$A$14:$K$18,1,0),1,NA())),0,1)))</f>
        <v/>
      </c>
      <c r="G74" s="115"/>
      <c r="H74" s="116" t="str">
        <f>IF(ISBLANK($A74),"",IF(ISERROR(VLOOKUP($A74,'Round 1'!$A$7:$I$206,COLUMN('Round 1'!$G$7),0)),0,VLOOKUP($A74,'Round 1'!$A$7:$I$206,COLUMN('Round 1'!$G$7),0))+IF(ISERROR(VLOOKUP($A74,'Round 2'!$A$7:$I$206,COLUMN('Round 2'!$G$7),0)),0,VLOOKUP($A74,'Round 2'!$A$7:$I$206,COLUMN('Round 2'!$G$7),0))+IF(ISERROR(VLOOKUP($A74,'Round 3'!$A$7:$I$206,COLUMN('Round 3'!$G$7),0)),0,VLOOKUP($A74,'Round 3'!$A$7:$I$206,COLUMN('Round 3'!$G$7),0)))</f>
        <v/>
      </c>
      <c r="I74" s="116" t="str">
        <f>IF(ISBLANK($A74),"",IF(ISERROR(VLOOKUP($A74,'Round 1'!$A$7:$I$206,COLUMN('Round 1'!$F$7),0)),0,VLOOKUP($A74,'Round 1'!$A$7:$I$206,COLUMN('Round 1'!$F$7),0))+IF(ISERROR(VLOOKUP($A74,'Round 2'!$A$7:$I$206,COLUMN('Round 2'!$F$7),0)),0,VLOOKUP($A74,'Round 2'!$A$7:$I$206,COLUMN('Round 2'!$F$7),0))+IF(ISERROR(VLOOKUP($A74,'Round 3'!$A$7:$I$206,COLUMN('Round 3'!$F$7),0)),0,VLOOKUP($A74,'Round 3'!$A$7:$I$206,COLUMN('Round 3'!$F$7),0)))</f>
        <v/>
      </c>
      <c r="J74" s="117" t="str">
        <f>IF(ISBLANK($A74),"",IF(ISERROR(VLOOKUP($A74,'Round 1'!$A$7:$I$206,COLUMN('Round 1'!$H$7),0)),0,VLOOKUP($A74,'Round 1'!$A$7:$I$206,COLUMN('Round 1'!$H$7),0))+IF(ISERROR(VLOOKUP($A74,'Round 2'!$A$7:$I$206,COLUMN('Round 2'!$H$7),0)),0,VLOOKUP($A74,'Round 2'!$A$7:$I$206,COLUMN('Round 2'!$H$7),0))+IF(ISERROR(VLOOKUP($A74,'Round 3'!$A$7:$I$206,COLUMN('Round 3'!$H$7),0)),0,VLOOKUP($A74,'Round 3'!$A$7:$I$206,COLUMN('Round 3'!$H$7),0)))</f>
        <v/>
      </c>
      <c r="K74" s="116" t="str">
        <f t="shared" si="30"/>
        <v/>
      </c>
      <c r="L74" s="118" t="str">
        <f t="shared" si="31"/>
        <v/>
      </c>
      <c r="M74" s="119"/>
      <c r="N74" s="120" t="str">
        <f t="shared" si="32"/>
        <v/>
      </c>
      <c r="O74" s="36" t="str">
        <f t="shared" si="33"/>
        <v/>
      </c>
      <c r="P74" s="36" t="str">
        <f t="shared" si="34"/>
        <v/>
      </c>
      <c r="Q74" s="36">
        <f t="shared" si="35"/>
        <v>-10</v>
      </c>
      <c r="R74" s="36" t="str">
        <f t="shared" si="36"/>
        <v/>
      </c>
      <c r="S74" s="36" t="str">
        <f t="shared" si="37"/>
        <v/>
      </c>
      <c r="T74" s="36">
        <f t="shared" si="38"/>
        <v>0</v>
      </c>
      <c r="U74" s="120" t="str">
        <f ca="1">IF(N('Final Round'!$J$14)&gt;0,IF(ISBLANK($A74),"",IF($N74&gt;5,$N74,VLOOKUP($A74,'Final Round'!$A$14:$K$18,COLUMN('Final Round'!$J$1),0))),"")</f>
        <v/>
      </c>
      <c r="V74" s="36" t="str">
        <f t="shared" ca="1" si="39"/>
        <v/>
      </c>
      <c r="W74" s="36" t="str">
        <f t="shared" si="40"/>
        <v/>
      </c>
      <c r="X74" s="36" t="str">
        <f t="shared" si="41"/>
        <v/>
      </c>
      <c r="Y74" s="36">
        <f t="shared" si="42"/>
        <v>0</v>
      </c>
      <c r="Z74" s="36" t="str">
        <f t="shared" ca="1" si="43"/>
        <v/>
      </c>
      <c r="AA74" s="36">
        <f t="shared" ca="1" si="44"/>
        <v>0</v>
      </c>
      <c r="AB74" s="121" t="str">
        <f>IF(ISBLANK($A74),"",5+4*(I74+IF(AA74=0,0,VLOOKUP($A74,'Final Round'!$A$14:$K$18,COLUMN('Final Round'!$G$1),0)))+8*(H74+IF(AA74=0,0,IF(VLOOKUP($A74,'Final Round'!$A$14:$K$18,COLUMN('Final Round'!$J$1),0)=1,1,0)))+$AA74)</f>
        <v/>
      </c>
    </row>
    <row r="75" spans="1:28" x14ac:dyDescent="0.2">
      <c r="A75" s="137"/>
      <c r="B75" s="138"/>
      <c r="C75" s="138"/>
      <c r="D75" s="138"/>
      <c r="E75" s="139"/>
      <c r="F75" s="140" t="str">
        <f>IF(ISBLANK($A75),"",SUM(IF(ISNA(IF(VLOOKUP($A75,'Round 1'!$A$7:$J$206,COLUMN('Round 1'!$H$7),0),1,NA())),0,1),IF(ISNA(IF(VLOOKUP($A75,'Round 2'!$A$7:$J$206,COLUMN('Round 1'!$H$7),0),1,NA())),0,1),IF(ISNA(IF(VLOOKUP($A75,'Round 3'!$A$7:$J$206,COLUMN('Round 1'!$H$7),0),1,NA())),0,1),IF(ISNA(IF(VLOOKUP($A75,'Final Round'!$A$14:$K$18,1,0),1,NA())),0,1)))</f>
        <v/>
      </c>
      <c r="G75" s="141"/>
      <c r="H75" s="142" t="str">
        <f>IF(ISBLANK($A75),"",IF(ISERROR(VLOOKUP($A75,'Round 1'!$A$7:$I$206,COLUMN('Round 1'!$G$7),0)),0,VLOOKUP($A75,'Round 1'!$A$7:$I$206,COLUMN('Round 1'!$G$7),0))+IF(ISERROR(VLOOKUP($A75,'Round 2'!$A$7:$I$206,COLUMN('Round 2'!$G$7),0)),0,VLOOKUP($A75,'Round 2'!$A$7:$I$206,COLUMN('Round 2'!$G$7),0))+IF(ISERROR(VLOOKUP($A75,'Round 3'!$A$7:$I$206,COLUMN('Round 3'!$G$7),0)),0,VLOOKUP($A75,'Round 3'!$A$7:$I$206,COLUMN('Round 3'!$G$7),0)))</f>
        <v/>
      </c>
      <c r="I75" s="142" t="str">
        <f>IF(ISBLANK($A75),"",IF(ISERROR(VLOOKUP($A75,'Round 1'!$A$7:$I$206,COLUMN('Round 1'!$F$7),0)),0,VLOOKUP($A75,'Round 1'!$A$7:$I$206,COLUMN('Round 1'!$F$7),0))+IF(ISERROR(VLOOKUP($A75,'Round 2'!$A$7:$I$206,COLUMN('Round 2'!$F$7),0)),0,VLOOKUP($A75,'Round 2'!$A$7:$I$206,COLUMN('Round 2'!$F$7),0))+IF(ISERROR(VLOOKUP($A75,'Round 3'!$A$7:$I$206,COLUMN('Round 3'!$F$7),0)),0,VLOOKUP($A75,'Round 3'!$A$7:$I$206,COLUMN('Round 3'!$F$7),0)))</f>
        <v/>
      </c>
      <c r="J75" s="143" t="str">
        <f>IF(ISBLANK($A75),"",IF(ISERROR(VLOOKUP($A75,'Round 1'!$A$7:$I$206,COLUMN('Round 1'!$H$7),0)),0,VLOOKUP($A75,'Round 1'!$A$7:$I$206,COLUMN('Round 1'!$H$7),0))+IF(ISERROR(VLOOKUP($A75,'Round 2'!$A$7:$I$206,COLUMN('Round 2'!$H$7),0)),0,VLOOKUP($A75,'Round 2'!$A$7:$I$206,COLUMN('Round 2'!$H$7),0))+IF(ISERROR(VLOOKUP($A75,'Round 3'!$A$7:$I$206,COLUMN('Round 3'!$H$7),0)),0,VLOOKUP($A75,'Round 3'!$A$7:$I$206,COLUMN('Round 3'!$H$7),0)))</f>
        <v/>
      </c>
      <c r="K75" s="142" t="str">
        <f t="shared" si="30"/>
        <v/>
      </c>
      <c r="L75" s="144" t="str">
        <f t="shared" si="31"/>
        <v/>
      </c>
      <c r="M75" s="145"/>
      <c r="N75" s="146" t="str">
        <f t="shared" si="32"/>
        <v/>
      </c>
      <c r="O75" s="36" t="str">
        <f t="shared" si="33"/>
        <v/>
      </c>
      <c r="P75" s="36" t="str">
        <f t="shared" si="34"/>
        <v/>
      </c>
      <c r="Q75" s="36">
        <f t="shared" si="35"/>
        <v>-10</v>
      </c>
      <c r="R75" s="36" t="str">
        <f t="shared" si="36"/>
        <v/>
      </c>
      <c r="S75" s="36" t="str">
        <f t="shared" si="37"/>
        <v/>
      </c>
      <c r="T75" s="36">
        <f t="shared" si="38"/>
        <v>0</v>
      </c>
      <c r="U75" s="146" t="str">
        <f ca="1">IF(N('Final Round'!$J$14)&gt;0,IF(ISBLANK($A75),"",IF($N75&gt;5,$N75,VLOOKUP($A75,'Final Round'!$A$14:$K$18,COLUMN('Final Round'!$J$1),0))),"")</f>
        <v/>
      </c>
      <c r="V75" s="36" t="str">
        <f t="shared" ca="1" si="39"/>
        <v/>
      </c>
      <c r="W75" s="36" t="str">
        <f t="shared" si="40"/>
        <v/>
      </c>
      <c r="X75" s="36" t="str">
        <f t="shared" si="41"/>
        <v/>
      </c>
      <c r="Y75" s="36">
        <f t="shared" si="42"/>
        <v>0</v>
      </c>
      <c r="Z75" s="36" t="str">
        <f t="shared" ca="1" si="43"/>
        <v/>
      </c>
      <c r="AA75" s="36">
        <f t="shared" ca="1" si="44"/>
        <v>0</v>
      </c>
      <c r="AB75" s="147" t="str">
        <f>IF(ISBLANK($A75),"",5+4*(I75+IF(AA75=0,0,VLOOKUP($A75,'Final Round'!$A$14:$K$18,COLUMN('Final Round'!$G$1),0)))+8*(H75+IF(AA75=0,0,IF(VLOOKUP($A75,'Final Round'!$A$14:$K$18,COLUMN('Final Round'!$J$1),0)=1,1,0)))+$AA75)</f>
        <v/>
      </c>
    </row>
    <row r="76" spans="1:28" x14ac:dyDescent="0.2">
      <c r="A76" s="111"/>
      <c r="B76" s="112"/>
      <c r="C76" s="112"/>
      <c r="D76" s="112"/>
      <c r="E76" s="113"/>
      <c r="F76" s="114" t="str">
        <f>IF(ISBLANK($A76),"",SUM(IF(ISNA(IF(VLOOKUP($A76,'Round 1'!$A$7:$J$206,COLUMN('Round 1'!$H$7),0),1,NA())),0,1),IF(ISNA(IF(VLOOKUP($A76,'Round 2'!$A$7:$J$206,COLUMN('Round 1'!$H$7),0),1,NA())),0,1),IF(ISNA(IF(VLOOKUP($A76,'Round 3'!$A$7:$J$206,COLUMN('Round 1'!$H$7),0),1,NA())),0,1),IF(ISNA(IF(VLOOKUP($A76,'Final Round'!$A$14:$K$18,1,0),1,NA())),0,1)))</f>
        <v/>
      </c>
      <c r="G76" s="115"/>
      <c r="H76" s="116" t="str">
        <f>IF(ISBLANK($A76),"",IF(ISERROR(VLOOKUP($A76,'Round 1'!$A$7:$I$206,COLUMN('Round 1'!$G$7),0)),0,VLOOKUP($A76,'Round 1'!$A$7:$I$206,COLUMN('Round 1'!$G$7),0))+IF(ISERROR(VLOOKUP($A76,'Round 2'!$A$7:$I$206,COLUMN('Round 2'!$G$7),0)),0,VLOOKUP($A76,'Round 2'!$A$7:$I$206,COLUMN('Round 2'!$G$7),0))+IF(ISERROR(VLOOKUP($A76,'Round 3'!$A$7:$I$206,COLUMN('Round 3'!$G$7),0)),0,VLOOKUP($A76,'Round 3'!$A$7:$I$206,COLUMN('Round 3'!$G$7),0)))</f>
        <v/>
      </c>
      <c r="I76" s="116" t="str">
        <f>IF(ISBLANK($A76),"",IF(ISERROR(VLOOKUP($A76,'Round 1'!$A$7:$I$206,COLUMN('Round 1'!$F$7),0)),0,VLOOKUP($A76,'Round 1'!$A$7:$I$206,COLUMN('Round 1'!$F$7),0))+IF(ISERROR(VLOOKUP($A76,'Round 2'!$A$7:$I$206,COLUMN('Round 2'!$F$7),0)),0,VLOOKUP($A76,'Round 2'!$A$7:$I$206,COLUMN('Round 2'!$F$7),0))+IF(ISERROR(VLOOKUP($A76,'Round 3'!$A$7:$I$206,COLUMN('Round 3'!$F$7),0)),0,VLOOKUP($A76,'Round 3'!$A$7:$I$206,COLUMN('Round 3'!$F$7),0)))</f>
        <v/>
      </c>
      <c r="J76" s="117" t="str">
        <f>IF(ISBLANK($A76),"",IF(ISERROR(VLOOKUP($A76,'Round 1'!$A$7:$I$206,COLUMN('Round 1'!$H$7),0)),0,VLOOKUP($A76,'Round 1'!$A$7:$I$206,COLUMN('Round 1'!$H$7),0))+IF(ISERROR(VLOOKUP($A76,'Round 2'!$A$7:$I$206,COLUMN('Round 2'!$H$7),0)),0,VLOOKUP($A76,'Round 2'!$A$7:$I$206,COLUMN('Round 2'!$H$7),0))+IF(ISERROR(VLOOKUP($A76,'Round 3'!$A$7:$I$206,COLUMN('Round 3'!$H$7),0)),0,VLOOKUP($A76,'Round 3'!$A$7:$I$206,COLUMN('Round 3'!$H$7),0)))</f>
        <v/>
      </c>
      <c r="K76" s="116" t="str">
        <f t="shared" si="30"/>
        <v/>
      </c>
      <c r="L76" s="118" t="str">
        <f t="shared" si="31"/>
        <v/>
      </c>
      <c r="M76" s="119"/>
      <c r="N76" s="120" t="str">
        <f t="shared" si="32"/>
        <v/>
      </c>
      <c r="O76" s="36" t="str">
        <f t="shared" si="33"/>
        <v/>
      </c>
      <c r="P76" s="36" t="str">
        <f t="shared" si="34"/>
        <v/>
      </c>
      <c r="Q76" s="36">
        <f t="shared" si="35"/>
        <v>-10</v>
      </c>
      <c r="R76" s="36" t="str">
        <f t="shared" si="36"/>
        <v/>
      </c>
      <c r="S76" s="36" t="str">
        <f t="shared" si="37"/>
        <v/>
      </c>
      <c r="T76" s="36">
        <f t="shared" si="38"/>
        <v>0</v>
      </c>
      <c r="U76" s="120" t="str">
        <f ca="1">IF(N('Final Round'!$J$14)&gt;0,IF(ISBLANK($A76),"",IF($N76&gt;5,$N76,VLOOKUP($A76,'Final Round'!$A$14:$K$18,COLUMN('Final Round'!$J$1),0))),"")</f>
        <v/>
      </c>
      <c r="V76" s="36" t="str">
        <f t="shared" ca="1" si="39"/>
        <v/>
      </c>
      <c r="W76" s="36" t="str">
        <f t="shared" si="40"/>
        <v/>
      </c>
      <c r="X76" s="36" t="str">
        <f t="shared" si="41"/>
        <v/>
      </c>
      <c r="Y76" s="36">
        <f t="shared" si="42"/>
        <v>0</v>
      </c>
      <c r="Z76" s="36" t="str">
        <f t="shared" ca="1" si="43"/>
        <v/>
      </c>
      <c r="AA76" s="36">
        <f t="shared" ca="1" si="44"/>
        <v>0</v>
      </c>
      <c r="AB76" s="121" t="str">
        <f>IF(ISBLANK($A76),"",5+4*(I76+IF(AA76=0,0,VLOOKUP($A76,'Final Round'!$A$14:$K$18,COLUMN('Final Round'!$G$1),0)))+8*(H76+IF(AA76=0,0,IF(VLOOKUP($A76,'Final Round'!$A$14:$K$18,COLUMN('Final Round'!$J$1),0)=1,1,0)))+$AA76)</f>
        <v/>
      </c>
    </row>
    <row r="77" spans="1:28" x14ac:dyDescent="0.2">
      <c r="A77" s="137"/>
      <c r="B77" s="138"/>
      <c r="C77" s="138"/>
      <c r="D77" s="138"/>
      <c r="E77" s="139"/>
      <c r="F77" s="140" t="str">
        <f>IF(ISBLANK($A77),"",SUM(IF(ISNA(IF(VLOOKUP($A77,'Round 1'!$A$7:$J$206,COLUMN('Round 1'!$H$7),0),1,NA())),0,1),IF(ISNA(IF(VLOOKUP($A77,'Round 2'!$A$7:$J$206,COLUMN('Round 1'!$H$7),0),1,NA())),0,1),IF(ISNA(IF(VLOOKUP($A77,'Round 3'!$A$7:$J$206,COLUMN('Round 1'!$H$7),0),1,NA())),0,1),IF(ISNA(IF(VLOOKUP($A77,'Final Round'!$A$14:$K$18,1,0),1,NA())),0,1)))</f>
        <v/>
      </c>
      <c r="G77" s="141"/>
      <c r="H77" s="142" t="str">
        <f>IF(ISBLANK($A77),"",IF(ISERROR(VLOOKUP($A77,'Round 1'!$A$7:$I$206,COLUMN('Round 1'!$G$7),0)),0,VLOOKUP($A77,'Round 1'!$A$7:$I$206,COLUMN('Round 1'!$G$7),0))+IF(ISERROR(VLOOKUP($A77,'Round 2'!$A$7:$I$206,COLUMN('Round 2'!$G$7),0)),0,VLOOKUP($A77,'Round 2'!$A$7:$I$206,COLUMN('Round 2'!$G$7),0))+IF(ISERROR(VLOOKUP($A77,'Round 3'!$A$7:$I$206,COLUMN('Round 3'!$G$7),0)),0,VLOOKUP($A77,'Round 3'!$A$7:$I$206,COLUMN('Round 3'!$G$7),0)))</f>
        <v/>
      </c>
      <c r="I77" s="142" t="str">
        <f>IF(ISBLANK($A77),"",IF(ISERROR(VLOOKUP($A77,'Round 1'!$A$7:$I$206,COLUMN('Round 1'!$F$7),0)),0,VLOOKUP($A77,'Round 1'!$A$7:$I$206,COLUMN('Round 1'!$F$7),0))+IF(ISERROR(VLOOKUP($A77,'Round 2'!$A$7:$I$206,COLUMN('Round 2'!$F$7),0)),0,VLOOKUP($A77,'Round 2'!$A$7:$I$206,COLUMN('Round 2'!$F$7),0))+IF(ISERROR(VLOOKUP($A77,'Round 3'!$A$7:$I$206,COLUMN('Round 3'!$F$7),0)),0,VLOOKUP($A77,'Round 3'!$A$7:$I$206,COLUMN('Round 3'!$F$7),0)))</f>
        <v/>
      </c>
      <c r="J77" s="143" t="str">
        <f>IF(ISBLANK($A77),"",IF(ISERROR(VLOOKUP($A77,'Round 1'!$A$7:$I$206,COLUMN('Round 1'!$H$7),0)),0,VLOOKUP($A77,'Round 1'!$A$7:$I$206,COLUMN('Round 1'!$H$7),0))+IF(ISERROR(VLOOKUP($A77,'Round 2'!$A$7:$I$206,COLUMN('Round 2'!$H$7),0)),0,VLOOKUP($A77,'Round 2'!$A$7:$I$206,COLUMN('Round 2'!$H$7),0))+IF(ISERROR(VLOOKUP($A77,'Round 3'!$A$7:$I$206,COLUMN('Round 3'!$H$7),0)),0,VLOOKUP($A77,'Round 3'!$A$7:$I$206,COLUMN('Round 3'!$H$7),0)))</f>
        <v/>
      </c>
      <c r="K77" s="142" t="str">
        <f t="shared" si="30"/>
        <v/>
      </c>
      <c r="L77" s="144" t="str">
        <f t="shared" si="31"/>
        <v/>
      </c>
      <c r="M77" s="145"/>
      <c r="N77" s="146" t="str">
        <f t="shared" si="32"/>
        <v/>
      </c>
      <c r="O77" s="36" t="str">
        <f t="shared" si="33"/>
        <v/>
      </c>
      <c r="P77" s="36" t="str">
        <f t="shared" si="34"/>
        <v/>
      </c>
      <c r="Q77" s="36">
        <f t="shared" si="35"/>
        <v>-10</v>
      </c>
      <c r="R77" s="36" t="str">
        <f t="shared" si="36"/>
        <v/>
      </c>
      <c r="S77" s="36" t="str">
        <f t="shared" si="37"/>
        <v/>
      </c>
      <c r="T77" s="36">
        <f t="shared" si="38"/>
        <v>0</v>
      </c>
      <c r="U77" s="146" t="str">
        <f ca="1">IF(N('Final Round'!$J$14)&gt;0,IF(ISBLANK($A77),"",IF($N77&gt;5,$N77,VLOOKUP($A77,'Final Round'!$A$14:$K$18,COLUMN('Final Round'!$J$1),0))),"")</f>
        <v/>
      </c>
      <c r="V77" s="36" t="str">
        <f t="shared" ca="1" si="39"/>
        <v/>
      </c>
      <c r="W77" s="36" t="str">
        <f t="shared" si="40"/>
        <v/>
      </c>
      <c r="X77" s="36" t="str">
        <f t="shared" si="41"/>
        <v/>
      </c>
      <c r="Y77" s="36">
        <f t="shared" si="42"/>
        <v>0</v>
      </c>
      <c r="Z77" s="36" t="str">
        <f t="shared" ca="1" si="43"/>
        <v/>
      </c>
      <c r="AA77" s="36">
        <f t="shared" ca="1" si="44"/>
        <v>0</v>
      </c>
      <c r="AB77" s="147" t="str">
        <f>IF(ISBLANK($A77),"",5+4*(I77+IF(AA77=0,0,VLOOKUP($A77,'Final Round'!$A$14:$K$18,COLUMN('Final Round'!$G$1),0)))+8*(H77+IF(AA77=0,0,IF(VLOOKUP($A77,'Final Round'!$A$14:$K$18,COLUMN('Final Round'!$J$1),0)=1,1,0)))+$AA77)</f>
        <v/>
      </c>
    </row>
    <row r="78" spans="1:28" x14ac:dyDescent="0.2">
      <c r="A78" s="111"/>
      <c r="B78" s="112"/>
      <c r="C78" s="112"/>
      <c r="D78" s="112"/>
      <c r="E78" s="113"/>
      <c r="F78" s="114" t="str">
        <f>IF(ISBLANK($A78),"",SUM(IF(ISNA(IF(VLOOKUP($A78,'Round 1'!$A$7:$J$206,COLUMN('Round 1'!$H$7),0),1,NA())),0,1),IF(ISNA(IF(VLOOKUP($A78,'Round 2'!$A$7:$J$206,COLUMN('Round 1'!$H$7),0),1,NA())),0,1),IF(ISNA(IF(VLOOKUP($A78,'Round 3'!$A$7:$J$206,COLUMN('Round 1'!$H$7),0),1,NA())),0,1),IF(ISNA(IF(VLOOKUP($A78,'Final Round'!$A$14:$K$18,1,0),1,NA())),0,1)))</f>
        <v/>
      </c>
      <c r="G78" s="115"/>
      <c r="H78" s="116" t="str">
        <f>IF(ISBLANK($A78),"",IF(ISERROR(VLOOKUP($A78,'Round 1'!$A$7:$I$206,COLUMN('Round 1'!$G$7),0)),0,VLOOKUP($A78,'Round 1'!$A$7:$I$206,COLUMN('Round 1'!$G$7),0))+IF(ISERROR(VLOOKUP($A78,'Round 2'!$A$7:$I$206,COLUMN('Round 2'!$G$7),0)),0,VLOOKUP($A78,'Round 2'!$A$7:$I$206,COLUMN('Round 2'!$G$7),0))+IF(ISERROR(VLOOKUP($A78,'Round 3'!$A$7:$I$206,COLUMN('Round 3'!$G$7),0)),0,VLOOKUP($A78,'Round 3'!$A$7:$I$206,COLUMN('Round 3'!$G$7),0)))</f>
        <v/>
      </c>
      <c r="I78" s="116" t="str">
        <f>IF(ISBLANK($A78),"",IF(ISERROR(VLOOKUP($A78,'Round 1'!$A$7:$I$206,COLUMN('Round 1'!$F$7),0)),0,VLOOKUP($A78,'Round 1'!$A$7:$I$206,COLUMN('Round 1'!$F$7),0))+IF(ISERROR(VLOOKUP($A78,'Round 2'!$A$7:$I$206,COLUMN('Round 2'!$F$7),0)),0,VLOOKUP($A78,'Round 2'!$A$7:$I$206,COLUMN('Round 2'!$F$7),0))+IF(ISERROR(VLOOKUP($A78,'Round 3'!$A$7:$I$206,COLUMN('Round 3'!$F$7),0)),0,VLOOKUP($A78,'Round 3'!$A$7:$I$206,COLUMN('Round 3'!$F$7),0)))</f>
        <v/>
      </c>
      <c r="J78" s="117" t="str">
        <f>IF(ISBLANK($A78),"",IF(ISERROR(VLOOKUP($A78,'Round 1'!$A$7:$I$206,COLUMN('Round 1'!$H$7),0)),0,VLOOKUP($A78,'Round 1'!$A$7:$I$206,COLUMN('Round 1'!$H$7),0))+IF(ISERROR(VLOOKUP($A78,'Round 2'!$A$7:$I$206,COLUMN('Round 2'!$H$7),0)),0,VLOOKUP($A78,'Round 2'!$A$7:$I$206,COLUMN('Round 2'!$H$7),0))+IF(ISERROR(VLOOKUP($A78,'Round 3'!$A$7:$I$206,COLUMN('Round 3'!$H$7),0)),0,VLOOKUP($A78,'Round 3'!$A$7:$I$206,COLUMN('Round 3'!$H$7),0)))</f>
        <v/>
      </c>
      <c r="K78" s="116" t="str">
        <f t="shared" si="30"/>
        <v/>
      </c>
      <c r="L78" s="118" t="str">
        <f t="shared" si="31"/>
        <v/>
      </c>
      <c r="M78" s="119"/>
      <c r="N78" s="120" t="str">
        <f t="shared" si="32"/>
        <v/>
      </c>
      <c r="O78" s="36" t="str">
        <f t="shared" si="33"/>
        <v/>
      </c>
      <c r="P78" s="36" t="str">
        <f t="shared" si="34"/>
        <v/>
      </c>
      <c r="Q78" s="36">
        <f t="shared" si="35"/>
        <v>-10</v>
      </c>
      <c r="R78" s="36" t="str">
        <f t="shared" si="36"/>
        <v/>
      </c>
      <c r="S78" s="36" t="str">
        <f t="shared" si="37"/>
        <v/>
      </c>
      <c r="T78" s="36">
        <f t="shared" si="38"/>
        <v>0</v>
      </c>
      <c r="U78" s="120" t="str">
        <f ca="1">IF(N('Final Round'!$J$14)&gt;0,IF(ISBLANK($A78),"",IF($N78&gt;5,$N78,VLOOKUP($A78,'Final Round'!$A$14:$K$18,COLUMN('Final Round'!$J$1),0))),"")</f>
        <v/>
      </c>
      <c r="V78" s="36" t="str">
        <f t="shared" ca="1" si="39"/>
        <v/>
      </c>
      <c r="W78" s="36" t="str">
        <f t="shared" si="40"/>
        <v/>
      </c>
      <c r="X78" s="36" t="str">
        <f t="shared" si="41"/>
        <v/>
      </c>
      <c r="Y78" s="36">
        <f t="shared" si="42"/>
        <v>0</v>
      </c>
      <c r="Z78" s="36" t="str">
        <f t="shared" ca="1" si="43"/>
        <v/>
      </c>
      <c r="AA78" s="36">
        <f t="shared" ca="1" si="44"/>
        <v>0</v>
      </c>
      <c r="AB78" s="121" t="str">
        <f>IF(ISBLANK($A78),"",5+4*(I78+IF(AA78=0,0,VLOOKUP($A78,'Final Round'!$A$14:$K$18,COLUMN('Final Round'!$G$1),0)))+8*(H78+IF(AA78=0,0,IF(VLOOKUP($A78,'Final Round'!$A$14:$K$18,COLUMN('Final Round'!$J$1),0)=1,1,0)))+$AA78)</f>
        <v/>
      </c>
    </row>
    <row r="79" spans="1:28" x14ac:dyDescent="0.2">
      <c r="A79" s="137"/>
      <c r="B79" s="138"/>
      <c r="C79" s="138"/>
      <c r="D79" s="138"/>
      <c r="E79" s="139"/>
      <c r="F79" s="140" t="str">
        <f>IF(ISBLANK($A79),"",SUM(IF(ISNA(IF(VLOOKUP($A79,'Round 1'!$A$7:$J$206,COLUMN('Round 1'!$H$7),0),1,NA())),0,1),IF(ISNA(IF(VLOOKUP($A79,'Round 2'!$A$7:$J$206,COLUMN('Round 1'!$H$7),0),1,NA())),0,1),IF(ISNA(IF(VLOOKUP($A79,'Round 3'!$A$7:$J$206,COLUMN('Round 1'!$H$7),0),1,NA())),0,1),IF(ISNA(IF(VLOOKUP($A79,'Final Round'!$A$14:$K$18,1,0),1,NA())),0,1)))</f>
        <v/>
      </c>
      <c r="G79" s="141"/>
      <c r="H79" s="142" t="str">
        <f>IF(ISBLANK($A79),"",IF(ISERROR(VLOOKUP($A79,'Round 1'!$A$7:$I$206,COLUMN('Round 1'!$G$7),0)),0,VLOOKUP($A79,'Round 1'!$A$7:$I$206,COLUMN('Round 1'!$G$7),0))+IF(ISERROR(VLOOKUP($A79,'Round 2'!$A$7:$I$206,COLUMN('Round 2'!$G$7),0)),0,VLOOKUP($A79,'Round 2'!$A$7:$I$206,COLUMN('Round 2'!$G$7),0))+IF(ISERROR(VLOOKUP($A79,'Round 3'!$A$7:$I$206,COLUMN('Round 3'!$G$7),0)),0,VLOOKUP($A79,'Round 3'!$A$7:$I$206,COLUMN('Round 3'!$G$7),0)))</f>
        <v/>
      </c>
      <c r="I79" s="142" t="str">
        <f>IF(ISBLANK($A79),"",IF(ISERROR(VLOOKUP($A79,'Round 1'!$A$7:$I$206,COLUMN('Round 1'!$F$7),0)),0,VLOOKUP($A79,'Round 1'!$A$7:$I$206,COLUMN('Round 1'!$F$7),0))+IF(ISERROR(VLOOKUP($A79,'Round 2'!$A$7:$I$206,COLUMN('Round 2'!$F$7),0)),0,VLOOKUP($A79,'Round 2'!$A$7:$I$206,COLUMN('Round 2'!$F$7),0))+IF(ISERROR(VLOOKUP($A79,'Round 3'!$A$7:$I$206,COLUMN('Round 3'!$F$7),0)),0,VLOOKUP($A79,'Round 3'!$A$7:$I$206,COLUMN('Round 3'!$F$7),0)))</f>
        <v/>
      </c>
      <c r="J79" s="143" t="str">
        <f>IF(ISBLANK($A79),"",IF(ISERROR(VLOOKUP($A79,'Round 1'!$A$7:$I$206,COLUMN('Round 1'!$H$7),0)),0,VLOOKUP($A79,'Round 1'!$A$7:$I$206,COLUMN('Round 1'!$H$7),0))+IF(ISERROR(VLOOKUP($A79,'Round 2'!$A$7:$I$206,COLUMN('Round 2'!$H$7),0)),0,VLOOKUP($A79,'Round 2'!$A$7:$I$206,COLUMN('Round 2'!$H$7),0))+IF(ISERROR(VLOOKUP($A79,'Round 3'!$A$7:$I$206,COLUMN('Round 3'!$H$7),0)),0,VLOOKUP($A79,'Round 3'!$A$7:$I$206,COLUMN('Round 3'!$H$7),0)))</f>
        <v/>
      </c>
      <c r="K79" s="142" t="str">
        <f t="shared" si="30"/>
        <v/>
      </c>
      <c r="L79" s="144" t="str">
        <f t="shared" si="31"/>
        <v/>
      </c>
      <c r="M79" s="145"/>
      <c r="N79" s="146" t="str">
        <f t="shared" si="32"/>
        <v/>
      </c>
      <c r="O79" s="36" t="str">
        <f t="shared" si="33"/>
        <v/>
      </c>
      <c r="P79" s="36" t="str">
        <f t="shared" si="34"/>
        <v/>
      </c>
      <c r="Q79" s="36">
        <f t="shared" si="35"/>
        <v>-10</v>
      </c>
      <c r="R79" s="36" t="str">
        <f t="shared" si="36"/>
        <v/>
      </c>
      <c r="S79" s="36" t="str">
        <f t="shared" si="37"/>
        <v/>
      </c>
      <c r="T79" s="36">
        <f t="shared" si="38"/>
        <v>0</v>
      </c>
      <c r="U79" s="146" t="str">
        <f ca="1">IF(N('Final Round'!$J$14)&gt;0,IF(ISBLANK($A79),"",IF($N79&gt;5,$N79,VLOOKUP($A79,'Final Round'!$A$14:$K$18,COLUMN('Final Round'!$J$1),0))),"")</f>
        <v/>
      </c>
      <c r="V79" s="36" t="str">
        <f t="shared" ca="1" si="39"/>
        <v/>
      </c>
      <c r="W79" s="36" t="str">
        <f t="shared" si="40"/>
        <v/>
      </c>
      <c r="X79" s="36" t="str">
        <f t="shared" si="41"/>
        <v/>
      </c>
      <c r="Y79" s="36">
        <f t="shared" si="42"/>
        <v>0</v>
      </c>
      <c r="Z79" s="36" t="str">
        <f t="shared" ca="1" si="43"/>
        <v/>
      </c>
      <c r="AA79" s="36">
        <f t="shared" ca="1" si="44"/>
        <v>0</v>
      </c>
      <c r="AB79" s="147" t="str">
        <f>IF(ISBLANK($A79),"",5+4*(I79+IF(AA79=0,0,VLOOKUP($A79,'Final Round'!$A$14:$K$18,COLUMN('Final Round'!$G$1),0)))+8*(H79+IF(AA79=0,0,IF(VLOOKUP($A79,'Final Round'!$A$14:$K$18,COLUMN('Final Round'!$J$1),0)=1,1,0)))+$AA79)</f>
        <v/>
      </c>
    </row>
    <row r="80" spans="1:28" x14ac:dyDescent="0.2">
      <c r="A80" s="111"/>
      <c r="B80" s="112"/>
      <c r="C80" s="112"/>
      <c r="D80" s="112"/>
      <c r="E80" s="113"/>
      <c r="F80" s="114" t="str">
        <f>IF(ISBLANK($A80),"",SUM(IF(ISNA(IF(VLOOKUP($A80,'Round 1'!$A$7:$J$206,COLUMN('Round 1'!$H$7),0),1,NA())),0,1),IF(ISNA(IF(VLOOKUP($A80,'Round 2'!$A$7:$J$206,COLUMN('Round 1'!$H$7),0),1,NA())),0,1),IF(ISNA(IF(VLOOKUP($A80,'Round 3'!$A$7:$J$206,COLUMN('Round 1'!$H$7),0),1,NA())),0,1),IF(ISNA(IF(VLOOKUP($A80,'Final Round'!$A$14:$K$18,1,0),1,NA())),0,1)))</f>
        <v/>
      </c>
      <c r="G80" s="115"/>
      <c r="H80" s="116" t="str">
        <f>IF(ISBLANK($A80),"",IF(ISERROR(VLOOKUP($A80,'Round 1'!$A$7:$I$206,COLUMN('Round 1'!$G$7),0)),0,VLOOKUP($A80,'Round 1'!$A$7:$I$206,COLUMN('Round 1'!$G$7),0))+IF(ISERROR(VLOOKUP($A80,'Round 2'!$A$7:$I$206,COLUMN('Round 2'!$G$7),0)),0,VLOOKUP($A80,'Round 2'!$A$7:$I$206,COLUMN('Round 2'!$G$7),0))+IF(ISERROR(VLOOKUP($A80,'Round 3'!$A$7:$I$206,COLUMN('Round 3'!$G$7),0)),0,VLOOKUP($A80,'Round 3'!$A$7:$I$206,COLUMN('Round 3'!$G$7),0)))</f>
        <v/>
      </c>
      <c r="I80" s="116" t="str">
        <f>IF(ISBLANK($A80),"",IF(ISERROR(VLOOKUP($A80,'Round 1'!$A$7:$I$206,COLUMN('Round 1'!$F$7),0)),0,VLOOKUP($A80,'Round 1'!$A$7:$I$206,COLUMN('Round 1'!$F$7),0))+IF(ISERROR(VLOOKUP($A80,'Round 2'!$A$7:$I$206,COLUMN('Round 2'!$F$7),0)),0,VLOOKUP($A80,'Round 2'!$A$7:$I$206,COLUMN('Round 2'!$F$7),0))+IF(ISERROR(VLOOKUP($A80,'Round 3'!$A$7:$I$206,COLUMN('Round 3'!$F$7),0)),0,VLOOKUP($A80,'Round 3'!$A$7:$I$206,COLUMN('Round 3'!$F$7),0)))</f>
        <v/>
      </c>
      <c r="J80" s="117" t="str">
        <f>IF(ISBLANK($A80),"",IF(ISERROR(VLOOKUP($A80,'Round 1'!$A$7:$I$206,COLUMN('Round 1'!$H$7),0)),0,VLOOKUP($A80,'Round 1'!$A$7:$I$206,COLUMN('Round 1'!$H$7),0))+IF(ISERROR(VLOOKUP($A80,'Round 2'!$A$7:$I$206,COLUMN('Round 2'!$H$7),0)),0,VLOOKUP($A80,'Round 2'!$A$7:$I$206,COLUMN('Round 2'!$H$7),0))+IF(ISERROR(VLOOKUP($A80,'Round 3'!$A$7:$I$206,COLUMN('Round 3'!$H$7),0)),0,VLOOKUP($A80,'Round 3'!$A$7:$I$206,COLUMN('Round 3'!$H$7),0)))</f>
        <v/>
      </c>
      <c r="K80" s="116" t="str">
        <f t="shared" si="30"/>
        <v/>
      </c>
      <c r="L80" s="118" t="str">
        <f t="shared" si="31"/>
        <v/>
      </c>
      <c r="M80" s="119"/>
      <c r="N80" s="120" t="str">
        <f t="shared" si="32"/>
        <v/>
      </c>
      <c r="O80" s="36" t="str">
        <f t="shared" si="33"/>
        <v/>
      </c>
      <c r="P80" s="36" t="str">
        <f t="shared" si="34"/>
        <v/>
      </c>
      <c r="Q80" s="36">
        <f t="shared" si="35"/>
        <v>-10</v>
      </c>
      <c r="R80" s="36" t="str">
        <f t="shared" si="36"/>
        <v/>
      </c>
      <c r="S80" s="36" t="str">
        <f t="shared" si="37"/>
        <v/>
      </c>
      <c r="T80" s="36">
        <f t="shared" si="38"/>
        <v>0</v>
      </c>
      <c r="U80" s="120" t="str">
        <f ca="1">IF(N('Final Round'!$J$14)&gt;0,IF(ISBLANK($A80),"",IF($N80&gt;5,$N80,VLOOKUP($A80,'Final Round'!$A$14:$K$18,COLUMN('Final Round'!$J$1),0))),"")</f>
        <v/>
      </c>
      <c r="V80" s="36" t="str">
        <f t="shared" ca="1" si="39"/>
        <v/>
      </c>
      <c r="W80" s="36" t="str">
        <f t="shared" si="40"/>
        <v/>
      </c>
      <c r="X80" s="36" t="str">
        <f t="shared" si="41"/>
        <v/>
      </c>
      <c r="Y80" s="36">
        <f t="shared" si="42"/>
        <v>0</v>
      </c>
      <c r="Z80" s="36" t="str">
        <f t="shared" ca="1" si="43"/>
        <v/>
      </c>
      <c r="AA80" s="36">
        <f t="shared" ca="1" si="44"/>
        <v>0</v>
      </c>
      <c r="AB80" s="121" t="str">
        <f>IF(ISBLANK($A80),"",5+4*(I80+IF(AA80=0,0,VLOOKUP($A80,'Final Round'!$A$14:$K$18,COLUMN('Final Round'!$G$1),0)))+8*(H80+IF(AA80=0,0,IF(VLOOKUP($A80,'Final Round'!$A$14:$K$18,COLUMN('Final Round'!$J$1),0)=1,1,0)))+$AA80)</f>
        <v/>
      </c>
    </row>
    <row r="81" spans="1:28" x14ac:dyDescent="0.2">
      <c r="A81" s="137"/>
      <c r="B81" s="138"/>
      <c r="C81" s="138"/>
      <c r="D81" s="138"/>
      <c r="E81" s="139"/>
      <c r="F81" s="140" t="str">
        <f>IF(ISBLANK($A81),"",SUM(IF(ISNA(IF(VLOOKUP($A81,'Round 1'!$A$7:$J$206,COLUMN('Round 1'!$H$7),0),1,NA())),0,1),IF(ISNA(IF(VLOOKUP($A81,'Round 2'!$A$7:$J$206,COLUMN('Round 1'!$H$7),0),1,NA())),0,1),IF(ISNA(IF(VLOOKUP($A81,'Round 3'!$A$7:$J$206,COLUMN('Round 1'!$H$7),0),1,NA())),0,1),IF(ISNA(IF(VLOOKUP($A81,'Final Round'!$A$14:$K$18,1,0),1,NA())),0,1)))</f>
        <v/>
      </c>
      <c r="G81" s="141"/>
      <c r="H81" s="142" t="str">
        <f>IF(ISBLANK($A81),"",IF(ISERROR(VLOOKUP($A81,'Round 1'!$A$7:$I$206,COLUMN('Round 1'!$G$7),0)),0,VLOOKUP($A81,'Round 1'!$A$7:$I$206,COLUMN('Round 1'!$G$7),0))+IF(ISERROR(VLOOKUP($A81,'Round 2'!$A$7:$I$206,COLUMN('Round 2'!$G$7),0)),0,VLOOKUP($A81,'Round 2'!$A$7:$I$206,COLUMN('Round 2'!$G$7),0))+IF(ISERROR(VLOOKUP($A81,'Round 3'!$A$7:$I$206,COLUMN('Round 3'!$G$7),0)),0,VLOOKUP($A81,'Round 3'!$A$7:$I$206,COLUMN('Round 3'!$G$7),0)))</f>
        <v/>
      </c>
      <c r="I81" s="142" t="str">
        <f>IF(ISBLANK($A81),"",IF(ISERROR(VLOOKUP($A81,'Round 1'!$A$7:$I$206,COLUMN('Round 1'!$F$7),0)),0,VLOOKUP($A81,'Round 1'!$A$7:$I$206,COLUMN('Round 1'!$F$7),0))+IF(ISERROR(VLOOKUP($A81,'Round 2'!$A$7:$I$206,COLUMN('Round 2'!$F$7),0)),0,VLOOKUP($A81,'Round 2'!$A$7:$I$206,COLUMN('Round 2'!$F$7),0))+IF(ISERROR(VLOOKUP($A81,'Round 3'!$A$7:$I$206,COLUMN('Round 3'!$F$7),0)),0,VLOOKUP($A81,'Round 3'!$A$7:$I$206,COLUMN('Round 3'!$F$7),0)))</f>
        <v/>
      </c>
      <c r="J81" s="143" t="str">
        <f>IF(ISBLANK($A81),"",IF(ISERROR(VLOOKUP($A81,'Round 1'!$A$7:$I$206,COLUMN('Round 1'!$H$7),0)),0,VLOOKUP($A81,'Round 1'!$A$7:$I$206,COLUMN('Round 1'!$H$7),0))+IF(ISERROR(VLOOKUP($A81,'Round 2'!$A$7:$I$206,COLUMN('Round 2'!$H$7),0)),0,VLOOKUP($A81,'Round 2'!$A$7:$I$206,COLUMN('Round 2'!$H$7),0))+IF(ISERROR(VLOOKUP($A81,'Round 3'!$A$7:$I$206,COLUMN('Round 3'!$H$7),0)),0,VLOOKUP($A81,'Round 3'!$A$7:$I$206,COLUMN('Round 3'!$H$7),0)))</f>
        <v/>
      </c>
      <c r="K81" s="142" t="str">
        <f t="shared" si="30"/>
        <v/>
      </c>
      <c r="L81" s="144" t="str">
        <f t="shared" si="31"/>
        <v/>
      </c>
      <c r="M81" s="145"/>
      <c r="N81" s="146" t="str">
        <f t="shared" si="32"/>
        <v/>
      </c>
      <c r="O81" s="36" t="str">
        <f t="shared" si="33"/>
        <v/>
      </c>
      <c r="P81" s="36" t="str">
        <f t="shared" si="34"/>
        <v/>
      </c>
      <c r="Q81" s="36">
        <f t="shared" si="35"/>
        <v>-10</v>
      </c>
      <c r="R81" s="36" t="str">
        <f t="shared" si="36"/>
        <v/>
      </c>
      <c r="S81" s="36" t="str">
        <f t="shared" si="37"/>
        <v/>
      </c>
      <c r="T81" s="36">
        <f t="shared" si="38"/>
        <v>0</v>
      </c>
      <c r="U81" s="146" t="str">
        <f ca="1">IF(N('Final Round'!$J$14)&gt;0,IF(ISBLANK($A81),"",IF($N81&gt;5,$N81,VLOOKUP($A81,'Final Round'!$A$14:$K$18,COLUMN('Final Round'!$J$1),0))),"")</f>
        <v/>
      </c>
      <c r="V81" s="36" t="str">
        <f t="shared" ca="1" si="39"/>
        <v/>
      </c>
      <c r="W81" s="36" t="str">
        <f t="shared" si="40"/>
        <v/>
      </c>
      <c r="X81" s="36" t="str">
        <f t="shared" si="41"/>
        <v/>
      </c>
      <c r="Y81" s="36">
        <f t="shared" si="42"/>
        <v>0</v>
      </c>
      <c r="Z81" s="36" t="str">
        <f t="shared" ca="1" si="43"/>
        <v/>
      </c>
      <c r="AA81" s="36">
        <f t="shared" ca="1" si="44"/>
        <v>0</v>
      </c>
      <c r="AB81" s="147" t="str">
        <f>IF(ISBLANK($A81),"",5+4*(I81+IF(AA81=0,0,VLOOKUP($A81,'Final Round'!$A$14:$K$18,COLUMN('Final Round'!$G$1),0)))+8*(H81+IF(AA81=0,0,IF(VLOOKUP($A81,'Final Round'!$A$14:$K$18,COLUMN('Final Round'!$J$1),0)=1,1,0)))+$AA81)</f>
        <v/>
      </c>
    </row>
    <row r="82" spans="1:28" x14ac:dyDescent="0.2">
      <c r="A82" s="111"/>
      <c r="B82" s="112"/>
      <c r="C82" s="112"/>
      <c r="D82" s="112"/>
      <c r="E82" s="113"/>
      <c r="F82" s="114" t="str">
        <f>IF(ISBLANK($A82),"",SUM(IF(ISNA(IF(VLOOKUP($A82,'Round 1'!$A$7:$J$206,COLUMN('Round 1'!$H$7),0),1,NA())),0,1),IF(ISNA(IF(VLOOKUP($A82,'Round 2'!$A$7:$J$206,COLUMN('Round 1'!$H$7),0),1,NA())),0,1),IF(ISNA(IF(VLOOKUP($A82,'Round 3'!$A$7:$J$206,COLUMN('Round 1'!$H$7),0),1,NA())),0,1),IF(ISNA(IF(VLOOKUP($A82,'Final Round'!$A$14:$K$18,1,0),1,NA())),0,1)))</f>
        <v/>
      </c>
      <c r="G82" s="115"/>
      <c r="H82" s="116" t="str">
        <f>IF(ISBLANK($A82),"",IF(ISERROR(VLOOKUP($A82,'Round 1'!$A$7:$I$206,COLUMN('Round 1'!$G$7),0)),0,VLOOKUP($A82,'Round 1'!$A$7:$I$206,COLUMN('Round 1'!$G$7),0))+IF(ISERROR(VLOOKUP($A82,'Round 2'!$A$7:$I$206,COLUMN('Round 2'!$G$7),0)),0,VLOOKUP($A82,'Round 2'!$A$7:$I$206,COLUMN('Round 2'!$G$7),0))+IF(ISERROR(VLOOKUP($A82,'Round 3'!$A$7:$I$206,COLUMN('Round 3'!$G$7),0)),0,VLOOKUP($A82,'Round 3'!$A$7:$I$206,COLUMN('Round 3'!$G$7),0)))</f>
        <v/>
      </c>
      <c r="I82" s="116" t="str">
        <f>IF(ISBLANK($A82),"",IF(ISERROR(VLOOKUP($A82,'Round 1'!$A$7:$I$206,COLUMN('Round 1'!$F$7),0)),0,VLOOKUP($A82,'Round 1'!$A$7:$I$206,COLUMN('Round 1'!$F$7),0))+IF(ISERROR(VLOOKUP($A82,'Round 2'!$A$7:$I$206,COLUMN('Round 2'!$F$7),0)),0,VLOOKUP($A82,'Round 2'!$A$7:$I$206,COLUMN('Round 2'!$F$7),0))+IF(ISERROR(VLOOKUP($A82,'Round 3'!$A$7:$I$206,COLUMN('Round 3'!$F$7),0)),0,VLOOKUP($A82,'Round 3'!$A$7:$I$206,COLUMN('Round 3'!$F$7),0)))</f>
        <v/>
      </c>
      <c r="J82" s="117" t="str">
        <f>IF(ISBLANK($A82),"",IF(ISERROR(VLOOKUP($A82,'Round 1'!$A$7:$I$206,COLUMN('Round 1'!$H$7),0)),0,VLOOKUP($A82,'Round 1'!$A$7:$I$206,COLUMN('Round 1'!$H$7),0))+IF(ISERROR(VLOOKUP($A82,'Round 2'!$A$7:$I$206,COLUMN('Round 2'!$H$7),0)),0,VLOOKUP($A82,'Round 2'!$A$7:$I$206,COLUMN('Round 2'!$H$7),0))+IF(ISERROR(VLOOKUP($A82,'Round 3'!$A$7:$I$206,COLUMN('Round 3'!$H$7),0)),0,VLOOKUP($A82,'Round 3'!$A$7:$I$206,COLUMN('Round 3'!$H$7),0)))</f>
        <v/>
      </c>
      <c r="K82" s="116" t="str">
        <f t="shared" si="30"/>
        <v/>
      </c>
      <c r="L82" s="118" t="str">
        <f t="shared" si="31"/>
        <v/>
      </c>
      <c r="M82" s="119"/>
      <c r="N82" s="120" t="str">
        <f t="shared" si="32"/>
        <v/>
      </c>
      <c r="O82" s="36" t="str">
        <f t="shared" si="33"/>
        <v/>
      </c>
      <c r="P82" s="36" t="str">
        <f t="shared" si="34"/>
        <v/>
      </c>
      <c r="Q82" s="36">
        <f t="shared" si="35"/>
        <v>-10</v>
      </c>
      <c r="R82" s="36" t="str">
        <f t="shared" si="36"/>
        <v/>
      </c>
      <c r="S82" s="36" t="str">
        <f t="shared" si="37"/>
        <v/>
      </c>
      <c r="T82" s="36">
        <f t="shared" si="38"/>
        <v>0</v>
      </c>
      <c r="U82" s="120" t="str">
        <f ca="1">IF(N('Final Round'!$J$14)&gt;0,IF(ISBLANK($A82),"",IF($N82&gt;5,$N82,VLOOKUP($A82,'Final Round'!$A$14:$K$18,COLUMN('Final Round'!$J$1),0))),"")</f>
        <v/>
      </c>
      <c r="V82" s="36" t="str">
        <f t="shared" ca="1" si="39"/>
        <v/>
      </c>
      <c r="W82" s="36" t="str">
        <f t="shared" si="40"/>
        <v/>
      </c>
      <c r="X82" s="36" t="str">
        <f t="shared" si="41"/>
        <v/>
      </c>
      <c r="Y82" s="36">
        <f t="shared" si="42"/>
        <v>0</v>
      </c>
      <c r="Z82" s="36" t="str">
        <f t="shared" ca="1" si="43"/>
        <v/>
      </c>
      <c r="AA82" s="36">
        <f t="shared" ca="1" si="44"/>
        <v>0</v>
      </c>
      <c r="AB82" s="121" t="str">
        <f>IF(ISBLANK($A82),"",5+4*(I82+IF(AA82=0,0,VLOOKUP($A82,'Final Round'!$A$14:$K$18,COLUMN('Final Round'!$G$1),0)))+8*(H82+IF(AA82=0,0,IF(VLOOKUP($A82,'Final Round'!$A$14:$K$18,COLUMN('Final Round'!$J$1),0)=1,1,0)))+$AA82)</f>
        <v/>
      </c>
    </row>
    <row r="83" spans="1:28" x14ac:dyDescent="0.2">
      <c r="A83" s="137"/>
      <c r="B83" s="138"/>
      <c r="C83" s="138"/>
      <c r="D83" s="138"/>
      <c r="E83" s="139"/>
      <c r="F83" s="140" t="str">
        <f>IF(ISBLANK($A83),"",SUM(IF(ISNA(IF(VLOOKUP($A83,'Round 1'!$A$7:$J$206,COLUMN('Round 1'!$H$7),0),1,NA())),0,1),IF(ISNA(IF(VLOOKUP($A83,'Round 2'!$A$7:$J$206,COLUMN('Round 1'!$H$7),0),1,NA())),0,1),IF(ISNA(IF(VLOOKUP($A83,'Round 3'!$A$7:$J$206,COLUMN('Round 1'!$H$7),0),1,NA())),0,1),IF(ISNA(IF(VLOOKUP($A83,'Final Round'!$A$14:$K$18,1,0),1,NA())),0,1)))</f>
        <v/>
      </c>
      <c r="G83" s="141"/>
      <c r="H83" s="142" t="str">
        <f>IF(ISBLANK($A83),"",IF(ISERROR(VLOOKUP($A83,'Round 1'!$A$7:$I$206,COLUMN('Round 1'!$G$7),0)),0,VLOOKUP($A83,'Round 1'!$A$7:$I$206,COLUMN('Round 1'!$G$7),0))+IF(ISERROR(VLOOKUP($A83,'Round 2'!$A$7:$I$206,COLUMN('Round 2'!$G$7),0)),0,VLOOKUP($A83,'Round 2'!$A$7:$I$206,COLUMN('Round 2'!$G$7),0))+IF(ISERROR(VLOOKUP($A83,'Round 3'!$A$7:$I$206,COLUMN('Round 3'!$G$7),0)),0,VLOOKUP($A83,'Round 3'!$A$7:$I$206,COLUMN('Round 3'!$G$7),0)))</f>
        <v/>
      </c>
      <c r="I83" s="142" t="str">
        <f>IF(ISBLANK($A83),"",IF(ISERROR(VLOOKUP($A83,'Round 1'!$A$7:$I$206,COLUMN('Round 1'!$F$7),0)),0,VLOOKUP($A83,'Round 1'!$A$7:$I$206,COLUMN('Round 1'!$F$7),0))+IF(ISERROR(VLOOKUP($A83,'Round 2'!$A$7:$I$206,COLUMN('Round 2'!$F$7),0)),0,VLOOKUP($A83,'Round 2'!$A$7:$I$206,COLUMN('Round 2'!$F$7),0))+IF(ISERROR(VLOOKUP($A83,'Round 3'!$A$7:$I$206,COLUMN('Round 3'!$F$7),0)),0,VLOOKUP($A83,'Round 3'!$A$7:$I$206,COLUMN('Round 3'!$F$7),0)))</f>
        <v/>
      </c>
      <c r="J83" s="143" t="str">
        <f>IF(ISBLANK($A83),"",IF(ISERROR(VLOOKUP($A83,'Round 1'!$A$7:$I$206,COLUMN('Round 1'!$H$7),0)),0,VLOOKUP($A83,'Round 1'!$A$7:$I$206,COLUMN('Round 1'!$H$7),0))+IF(ISERROR(VLOOKUP($A83,'Round 2'!$A$7:$I$206,COLUMN('Round 2'!$H$7),0)),0,VLOOKUP($A83,'Round 2'!$A$7:$I$206,COLUMN('Round 2'!$H$7),0))+IF(ISERROR(VLOOKUP($A83,'Round 3'!$A$7:$I$206,COLUMN('Round 3'!$H$7),0)),0,VLOOKUP($A83,'Round 3'!$A$7:$I$206,COLUMN('Round 3'!$H$7),0)))</f>
        <v/>
      </c>
      <c r="K83" s="142" t="str">
        <f t="shared" si="30"/>
        <v/>
      </c>
      <c r="L83" s="144" t="str">
        <f t="shared" si="31"/>
        <v/>
      </c>
      <c r="M83" s="145"/>
      <c r="N83" s="146" t="str">
        <f t="shared" si="32"/>
        <v/>
      </c>
      <c r="O83" s="36" t="str">
        <f t="shared" si="33"/>
        <v/>
      </c>
      <c r="P83" s="36" t="str">
        <f t="shared" si="34"/>
        <v/>
      </c>
      <c r="Q83" s="36">
        <f t="shared" si="35"/>
        <v>-10</v>
      </c>
      <c r="R83" s="36" t="str">
        <f t="shared" si="36"/>
        <v/>
      </c>
      <c r="S83" s="36" t="str">
        <f t="shared" si="37"/>
        <v/>
      </c>
      <c r="T83" s="36">
        <f t="shared" si="38"/>
        <v>0</v>
      </c>
      <c r="U83" s="146" t="str">
        <f ca="1">IF(N('Final Round'!$J$14)&gt;0,IF(ISBLANK($A83),"",IF($N83&gt;5,$N83,VLOOKUP($A83,'Final Round'!$A$14:$K$18,COLUMN('Final Round'!$J$1),0))),"")</f>
        <v/>
      </c>
      <c r="V83" s="36" t="str">
        <f t="shared" ca="1" si="39"/>
        <v/>
      </c>
      <c r="W83" s="36" t="str">
        <f t="shared" si="40"/>
        <v/>
      </c>
      <c r="X83" s="36" t="str">
        <f t="shared" si="41"/>
        <v/>
      </c>
      <c r="Y83" s="36">
        <f t="shared" si="42"/>
        <v>0</v>
      </c>
      <c r="Z83" s="36" t="str">
        <f t="shared" ca="1" si="43"/>
        <v/>
      </c>
      <c r="AA83" s="36">
        <f t="shared" ca="1" si="44"/>
        <v>0</v>
      </c>
      <c r="AB83" s="147" t="str">
        <f>IF(ISBLANK($A83),"",5+4*(I83+IF(AA83=0,0,VLOOKUP($A83,'Final Round'!$A$14:$K$18,COLUMN('Final Round'!$G$1),0)))+8*(H83+IF(AA83=0,0,IF(VLOOKUP($A83,'Final Round'!$A$14:$K$18,COLUMN('Final Round'!$J$1),0)=1,1,0)))+$AA83)</f>
        <v/>
      </c>
    </row>
    <row r="84" spans="1:28" x14ac:dyDescent="0.2">
      <c r="A84" s="111"/>
      <c r="B84" s="112"/>
      <c r="C84" s="112"/>
      <c r="D84" s="112"/>
      <c r="E84" s="113"/>
      <c r="F84" s="114" t="str">
        <f>IF(ISBLANK($A84),"",SUM(IF(ISNA(IF(VLOOKUP($A84,'Round 1'!$A$7:$J$206,COLUMN('Round 1'!$H$7),0),1,NA())),0,1),IF(ISNA(IF(VLOOKUP($A84,'Round 2'!$A$7:$J$206,COLUMN('Round 1'!$H$7),0),1,NA())),0,1),IF(ISNA(IF(VLOOKUP($A84,'Round 3'!$A$7:$J$206,COLUMN('Round 1'!$H$7),0),1,NA())),0,1),IF(ISNA(IF(VLOOKUP($A84,'Final Round'!$A$14:$K$18,1,0),1,NA())),0,1)))</f>
        <v/>
      </c>
      <c r="G84" s="115"/>
      <c r="H84" s="116" t="str">
        <f>IF(ISBLANK($A84),"",IF(ISERROR(VLOOKUP($A84,'Round 1'!$A$7:$I$206,COLUMN('Round 1'!$G$7),0)),0,VLOOKUP($A84,'Round 1'!$A$7:$I$206,COLUMN('Round 1'!$G$7),0))+IF(ISERROR(VLOOKUP($A84,'Round 2'!$A$7:$I$206,COLUMN('Round 2'!$G$7),0)),0,VLOOKUP($A84,'Round 2'!$A$7:$I$206,COLUMN('Round 2'!$G$7),0))+IF(ISERROR(VLOOKUP($A84,'Round 3'!$A$7:$I$206,COLUMN('Round 3'!$G$7),0)),0,VLOOKUP($A84,'Round 3'!$A$7:$I$206,COLUMN('Round 3'!$G$7),0)))</f>
        <v/>
      </c>
      <c r="I84" s="116" t="str">
        <f>IF(ISBLANK($A84),"",IF(ISERROR(VLOOKUP($A84,'Round 1'!$A$7:$I$206,COLUMN('Round 1'!$F$7),0)),0,VLOOKUP($A84,'Round 1'!$A$7:$I$206,COLUMN('Round 1'!$F$7),0))+IF(ISERROR(VLOOKUP($A84,'Round 2'!$A$7:$I$206,COLUMN('Round 2'!$F$7),0)),0,VLOOKUP($A84,'Round 2'!$A$7:$I$206,COLUMN('Round 2'!$F$7),0))+IF(ISERROR(VLOOKUP($A84,'Round 3'!$A$7:$I$206,COLUMN('Round 3'!$F$7),0)),0,VLOOKUP($A84,'Round 3'!$A$7:$I$206,COLUMN('Round 3'!$F$7),0)))</f>
        <v/>
      </c>
      <c r="J84" s="117" t="str">
        <f>IF(ISBLANK($A84),"",IF(ISERROR(VLOOKUP($A84,'Round 1'!$A$7:$I$206,COLUMN('Round 1'!$H$7),0)),0,VLOOKUP($A84,'Round 1'!$A$7:$I$206,COLUMN('Round 1'!$H$7),0))+IF(ISERROR(VLOOKUP($A84,'Round 2'!$A$7:$I$206,COLUMN('Round 2'!$H$7),0)),0,VLOOKUP($A84,'Round 2'!$A$7:$I$206,COLUMN('Round 2'!$H$7),0))+IF(ISERROR(VLOOKUP($A84,'Round 3'!$A$7:$I$206,COLUMN('Round 3'!$H$7),0)),0,VLOOKUP($A84,'Round 3'!$A$7:$I$206,COLUMN('Round 3'!$H$7),0)))</f>
        <v/>
      </c>
      <c r="K84" s="116" t="str">
        <f t="shared" si="30"/>
        <v/>
      </c>
      <c r="L84" s="118" t="str">
        <f t="shared" si="31"/>
        <v/>
      </c>
      <c r="M84" s="119"/>
      <c r="N84" s="120" t="str">
        <f t="shared" si="32"/>
        <v/>
      </c>
      <c r="O84" s="36" t="str">
        <f t="shared" si="33"/>
        <v/>
      </c>
      <c r="P84" s="36" t="str">
        <f t="shared" si="34"/>
        <v/>
      </c>
      <c r="Q84" s="36">
        <f t="shared" si="35"/>
        <v>-10</v>
      </c>
      <c r="R84" s="36" t="str">
        <f t="shared" si="36"/>
        <v/>
      </c>
      <c r="S84" s="36" t="str">
        <f t="shared" si="37"/>
        <v/>
      </c>
      <c r="T84" s="36">
        <f t="shared" si="38"/>
        <v>0</v>
      </c>
      <c r="U84" s="120" t="str">
        <f ca="1">IF(N('Final Round'!$J$14)&gt;0,IF(ISBLANK($A84),"",IF($N84&gt;5,$N84,VLOOKUP($A84,'Final Round'!$A$14:$K$18,COLUMN('Final Round'!$J$1),0))),"")</f>
        <v/>
      </c>
      <c r="V84" s="36" t="str">
        <f t="shared" ca="1" si="39"/>
        <v/>
      </c>
      <c r="W84" s="36" t="str">
        <f t="shared" si="40"/>
        <v/>
      </c>
      <c r="X84" s="36" t="str">
        <f t="shared" si="41"/>
        <v/>
      </c>
      <c r="Y84" s="36">
        <f t="shared" si="42"/>
        <v>0</v>
      </c>
      <c r="Z84" s="36" t="str">
        <f t="shared" ca="1" si="43"/>
        <v/>
      </c>
      <c r="AA84" s="36">
        <f t="shared" ca="1" si="44"/>
        <v>0</v>
      </c>
      <c r="AB84" s="121" t="str">
        <f>IF(ISBLANK($A84),"",5+4*(I84+IF(AA84=0,0,VLOOKUP($A84,'Final Round'!$A$14:$K$18,COLUMN('Final Round'!$G$1),0)))+8*(H84+IF(AA84=0,0,IF(VLOOKUP($A84,'Final Round'!$A$14:$K$18,COLUMN('Final Round'!$J$1),0)=1,1,0)))+$AA84)</f>
        <v/>
      </c>
    </row>
    <row r="85" spans="1:28" x14ac:dyDescent="0.2">
      <c r="A85" s="137"/>
      <c r="B85" s="138"/>
      <c r="C85" s="138"/>
      <c r="D85" s="138"/>
      <c r="E85" s="139"/>
      <c r="F85" s="140" t="str">
        <f>IF(ISBLANK($A85),"",SUM(IF(ISNA(IF(VLOOKUP($A85,'Round 1'!$A$7:$J$206,COLUMN('Round 1'!$H$7),0),1,NA())),0,1),IF(ISNA(IF(VLOOKUP($A85,'Round 2'!$A$7:$J$206,COLUMN('Round 1'!$H$7),0),1,NA())),0,1),IF(ISNA(IF(VLOOKUP($A85,'Round 3'!$A$7:$J$206,COLUMN('Round 1'!$H$7),0),1,NA())),0,1),IF(ISNA(IF(VLOOKUP($A85,'Final Round'!$A$14:$K$18,1,0),1,NA())),0,1)))</f>
        <v/>
      </c>
      <c r="G85" s="141"/>
      <c r="H85" s="142" t="str">
        <f>IF(ISBLANK($A85),"",IF(ISERROR(VLOOKUP($A85,'Round 1'!$A$7:$I$206,COLUMN('Round 1'!$G$7),0)),0,VLOOKUP($A85,'Round 1'!$A$7:$I$206,COLUMN('Round 1'!$G$7),0))+IF(ISERROR(VLOOKUP($A85,'Round 2'!$A$7:$I$206,COLUMN('Round 2'!$G$7),0)),0,VLOOKUP($A85,'Round 2'!$A$7:$I$206,COLUMN('Round 2'!$G$7),0))+IF(ISERROR(VLOOKUP($A85,'Round 3'!$A$7:$I$206,COLUMN('Round 3'!$G$7),0)),0,VLOOKUP($A85,'Round 3'!$A$7:$I$206,COLUMN('Round 3'!$G$7),0)))</f>
        <v/>
      </c>
      <c r="I85" s="142" t="str">
        <f>IF(ISBLANK($A85),"",IF(ISERROR(VLOOKUP($A85,'Round 1'!$A$7:$I$206,COLUMN('Round 1'!$F$7),0)),0,VLOOKUP($A85,'Round 1'!$A$7:$I$206,COLUMN('Round 1'!$F$7),0))+IF(ISERROR(VLOOKUP($A85,'Round 2'!$A$7:$I$206,COLUMN('Round 2'!$F$7),0)),0,VLOOKUP($A85,'Round 2'!$A$7:$I$206,COLUMN('Round 2'!$F$7),0))+IF(ISERROR(VLOOKUP($A85,'Round 3'!$A$7:$I$206,COLUMN('Round 3'!$F$7),0)),0,VLOOKUP($A85,'Round 3'!$A$7:$I$206,COLUMN('Round 3'!$F$7),0)))</f>
        <v/>
      </c>
      <c r="J85" s="143" t="str">
        <f>IF(ISBLANK($A85),"",IF(ISERROR(VLOOKUP($A85,'Round 1'!$A$7:$I$206,COLUMN('Round 1'!$H$7),0)),0,VLOOKUP($A85,'Round 1'!$A$7:$I$206,COLUMN('Round 1'!$H$7),0))+IF(ISERROR(VLOOKUP($A85,'Round 2'!$A$7:$I$206,COLUMN('Round 2'!$H$7),0)),0,VLOOKUP($A85,'Round 2'!$A$7:$I$206,COLUMN('Round 2'!$H$7),0))+IF(ISERROR(VLOOKUP($A85,'Round 3'!$A$7:$I$206,COLUMN('Round 3'!$H$7),0)),0,VLOOKUP($A85,'Round 3'!$A$7:$I$206,COLUMN('Round 3'!$H$7),0)))</f>
        <v/>
      </c>
      <c r="K85" s="142" t="str">
        <f t="shared" si="30"/>
        <v/>
      </c>
      <c r="L85" s="144" t="str">
        <f t="shared" si="31"/>
        <v/>
      </c>
      <c r="M85" s="145"/>
      <c r="N85" s="146" t="str">
        <f t="shared" si="32"/>
        <v/>
      </c>
      <c r="O85" s="36" t="str">
        <f t="shared" si="33"/>
        <v/>
      </c>
      <c r="P85" s="36" t="str">
        <f t="shared" si="34"/>
        <v/>
      </c>
      <c r="Q85" s="36">
        <f t="shared" si="35"/>
        <v>-10</v>
      </c>
      <c r="R85" s="36" t="str">
        <f t="shared" si="36"/>
        <v/>
      </c>
      <c r="S85" s="36" t="str">
        <f t="shared" si="37"/>
        <v/>
      </c>
      <c r="T85" s="36">
        <f t="shared" si="38"/>
        <v>0</v>
      </c>
      <c r="U85" s="146" t="str">
        <f ca="1">IF(N('Final Round'!$J$14)&gt;0,IF(ISBLANK($A85),"",IF($N85&gt;5,$N85,VLOOKUP($A85,'Final Round'!$A$14:$K$18,COLUMN('Final Round'!$J$1),0))),"")</f>
        <v/>
      </c>
      <c r="V85" s="36" t="str">
        <f t="shared" ca="1" si="39"/>
        <v/>
      </c>
      <c r="W85" s="36" t="str">
        <f t="shared" si="40"/>
        <v/>
      </c>
      <c r="X85" s="36" t="str">
        <f t="shared" si="41"/>
        <v/>
      </c>
      <c r="Y85" s="36">
        <f t="shared" si="42"/>
        <v>0</v>
      </c>
      <c r="Z85" s="36" t="str">
        <f t="shared" ca="1" si="43"/>
        <v/>
      </c>
      <c r="AA85" s="36">
        <f t="shared" ca="1" si="44"/>
        <v>0</v>
      </c>
      <c r="AB85" s="147" t="str">
        <f>IF(ISBLANK($A85),"",5+4*(I85+IF(AA85=0,0,VLOOKUP($A85,'Final Round'!$A$14:$K$18,COLUMN('Final Round'!$G$1),0)))+8*(H85+IF(AA85=0,0,IF(VLOOKUP($A85,'Final Round'!$A$14:$K$18,COLUMN('Final Round'!$J$1),0)=1,1,0)))+$AA85)</f>
        <v/>
      </c>
    </row>
    <row r="86" spans="1:28" x14ac:dyDescent="0.2">
      <c r="A86" s="111"/>
      <c r="B86" s="112"/>
      <c r="C86" s="112"/>
      <c r="D86" s="112"/>
      <c r="E86" s="113"/>
      <c r="F86" s="114" t="str">
        <f>IF(ISBLANK($A86),"",SUM(IF(ISNA(IF(VLOOKUP($A86,'Round 1'!$A$7:$J$206,COLUMN('Round 1'!$H$7),0),1,NA())),0,1),IF(ISNA(IF(VLOOKUP($A86,'Round 2'!$A$7:$J$206,COLUMN('Round 1'!$H$7),0),1,NA())),0,1),IF(ISNA(IF(VLOOKUP($A86,'Round 3'!$A$7:$J$206,COLUMN('Round 1'!$H$7),0),1,NA())),0,1),IF(ISNA(IF(VLOOKUP($A86,'Final Round'!$A$14:$K$18,1,0),1,NA())),0,1)))</f>
        <v/>
      </c>
      <c r="G86" s="115"/>
      <c r="H86" s="116" t="str">
        <f>IF(ISBLANK($A86),"",IF(ISERROR(VLOOKUP($A86,'Round 1'!$A$7:$I$206,COLUMN('Round 1'!$G$7),0)),0,VLOOKUP($A86,'Round 1'!$A$7:$I$206,COLUMN('Round 1'!$G$7),0))+IF(ISERROR(VLOOKUP($A86,'Round 2'!$A$7:$I$206,COLUMN('Round 2'!$G$7),0)),0,VLOOKUP($A86,'Round 2'!$A$7:$I$206,COLUMN('Round 2'!$G$7),0))+IF(ISERROR(VLOOKUP($A86,'Round 3'!$A$7:$I$206,COLUMN('Round 3'!$G$7),0)),0,VLOOKUP($A86,'Round 3'!$A$7:$I$206,COLUMN('Round 3'!$G$7),0)))</f>
        <v/>
      </c>
      <c r="I86" s="116" t="str">
        <f>IF(ISBLANK($A86),"",IF(ISERROR(VLOOKUP($A86,'Round 1'!$A$7:$I$206,COLUMN('Round 1'!$F$7),0)),0,VLOOKUP($A86,'Round 1'!$A$7:$I$206,COLUMN('Round 1'!$F$7),0))+IF(ISERROR(VLOOKUP($A86,'Round 2'!$A$7:$I$206,COLUMN('Round 2'!$F$7),0)),0,VLOOKUP($A86,'Round 2'!$A$7:$I$206,COLUMN('Round 2'!$F$7),0))+IF(ISERROR(VLOOKUP($A86,'Round 3'!$A$7:$I$206,COLUMN('Round 3'!$F$7),0)),0,VLOOKUP($A86,'Round 3'!$A$7:$I$206,COLUMN('Round 3'!$F$7),0)))</f>
        <v/>
      </c>
      <c r="J86" s="117" t="str">
        <f>IF(ISBLANK($A86),"",IF(ISERROR(VLOOKUP($A86,'Round 1'!$A$7:$I$206,COLUMN('Round 1'!$H$7),0)),0,VLOOKUP($A86,'Round 1'!$A$7:$I$206,COLUMN('Round 1'!$H$7),0))+IF(ISERROR(VLOOKUP($A86,'Round 2'!$A$7:$I$206,COLUMN('Round 2'!$H$7),0)),0,VLOOKUP($A86,'Round 2'!$A$7:$I$206,COLUMN('Round 2'!$H$7),0))+IF(ISERROR(VLOOKUP($A86,'Round 3'!$A$7:$I$206,COLUMN('Round 3'!$H$7),0)),0,VLOOKUP($A86,'Round 3'!$A$7:$I$206,COLUMN('Round 3'!$H$7),0)))</f>
        <v/>
      </c>
      <c r="K86" s="116" t="str">
        <f t="shared" si="30"/>
        <v/>
      </c>
      <c r="L86" s="118" t="str">
        <f t="shared" si="31"/>
        <v/>
      </c>
      <c r="M86" s="119"/>
      <c r="N86" s="120" t="str">
        <f t="shared" si="32"/>
        <v/>
      </c>
      <c r="O86" s="36" t="str">
        <f t="shared" si="33"/>
        <v/>
      </c>
      <c r="P86" s="36" t="str">
        <f t="shared" si="34"/>
        <v/>
      </c>
      <c r="Q86" s="36">
        <f t="shared" si="35"/>
        <v>-10</v>
      </c>
      <c r="R86" s="36" t="str">
        <f t="shared" si="36"/>
        <v/>
      </c>
      <c r="S86" s="36" t="str">
        <f t="shared" si="37"/>
        <v/>
      </c>
      <c r="T86" s="36">
        <f t="shared" si="38"/>
        <v>0</v>
      </c>
      <c r="U86" s="120" t="str">
        <f ca="1">IF(N('Final Round'!$J$14)&gt;0,IF(ISBLANK($A86),"",IF($N86&gt;5,$N86,VLOOKUP($A86,'Final Round'!$A$14:$K$18,COLUMN('Final Round'!$J$1),0))),"")</f>
        <v/>
      </c>
      <c r="V86" s="36" t="str">
        <f t="shared" ca="1" si="39"/>
        <v/>
      </c>
      <c r="W86" s="36" t="str">
        <f t="shared" si="40"/>
        <v/>
      </c>
      <c r="X86" s="36" t="str">
        <f t="shared" si="41"/>
        <v/>
      </c>
      <c r="Y86" s="36">
        <f t="shared" si="42"/>
        <v>0</v>
      </c>
      <c r="Z86" s="36" t="str">
        <f t="shared" ca="1" si="43"/>
        <v/>
      </c>
      <c r="AA86" s="36">
        <f t="shared" ca="1" si="44"/>
        <v>0</v>
      </c>
      <c r="AB86" s="121" t="str">
        <f>IF(ISBLANK($A86),"",5+4*(I86+IF(AA86=0,0,VLOOKUP($A86,'Final Round'!$A$14:$K$18,COLUMN('Final Round'!$G$1),0)))+8*(H86+IF(AA86=0,0,IF(VLOOKUP($A86,'Final Round'!$A$14:$K$18,COLUMN('Final Round'!$J$1),0)=1,1,0)))+$AA86)</f>
        <v/>
      </c>
    </row>
    <row r="87" spans="1:28" x14ac:dyDescent="0.2">
      <c r="A87" s="137"/>
      <c r="B87" s="138"/>
      <c r="C87" s="138"/>
      <c r="D87" s="138"/>
      <c r="E87" s="139"/>
      <c r="F87" s="140" t="str">
        <f>IF(ISBLANK($A87),"",SUM(IF(ISNA(IF(VLOOKUP($A87,'Round 1'!$A$7:$J$206,COLUMN('Round 1'!$H$7),0),1,NA())),0,1),IF(ISNA(IF(VLOOKUP($A87,'Round 2'!$A$7:$J$206,COLUMN('Round 1'!$H$7),0),1,NA())),0,1),IF(ISNA(IF(VLOOKUP($A87,'Round 3'!$A$7:$J$206,COLUMN('Round 1'!$H$7),0),1,NA())),0,1),IF(ISNA(IF(VLOOKUP($A87,'Final Round'!$A$14:$K$18,1,0),1,NA())),0,1)))</f>
        <v/>
      </c>
      <c r="G87" s="141"/>
      <c r="H87" s="142" t="str">
        <f>IF(ISBLANK($A87),"",IF(ISERROR(VLOOKUP($A87,'Round 1'!$A$7:$I$206,COLUMN('Round 1'!$G$7),0)),0,VLOOKUP($A87,'Round 1'!$A$7:$I$206,COLUMN('Round 1'!$G$7),0))+IF(ISERROR(VLOOKUP($A87,'Round 2'!$A$7:$I$206,COLUMN('Round 2'!$G$7),0)),0,VLOOKUP($A87,'Round 2'!$A$7:$I$206,COLUMN('Round 2'!$G$7),0))+IF(ISERROR(VLOOKUP($A87,'Round 3'!$A$7:$I$206,COLUMN('Round 3'!$G$7),0)),0,VLOOKUP($A87,'Round 3'!$A$7:$I$206,COLUMN('Round 3'!$G$7),0)))</f>
        <v/>
      </c>
      <c r="I87" s="142" t="str">
        <f>IF(ISBLANK($A87),"",IF(ISERROR(VLOOKUP($A87,'Round 1'!$A$7:$I$206,COLUMN('Round 1'!$F$7),0)),0,VLOOKUP($A87,'Round 1'!$A$7:$I$206,COLUMN('Round 1'!$F$7),0))+IF(ISERROR(VLOOKUP($A87,'Round 2'!$A$7:$I$206,COLUMN('Round 2'!$F$7),0)),0,VLOOKUP($A87,'Round 2'!$A$7:$I$206,COLUMN('Round 2'!$F$7),0))+IF(ISERROR(VLOOKUP($A87,'Round 3'!$A$7:$I$206,COLUMN('Round 3'!$F$7),0)),0,VLOOKUP($A87,'Round 3'!$A$7:$I$206,COLUMN('Round 3'!$F$7),0)))</f>
        <v/>
      </c>
      <c r="J87" s="143" t="str">
        <f>IF(ISBLANK($A87),"",IF(ISERROR(VLOOKUP($A87,'Round 1'!$A$7:$I$206,COLUMN('Round 1'!$H$7),0)),0,VLOOKUP($A87,'Round 1'!$A$7:$I$206,COLUMN('Round 1'!$H$7),0))+IF(ISERROR(VLOOKUP($A87,'Round 2'!$A$7:$I$206,COLUMN('Round 2'!$H$7),0)),0,VLOOKUP($A87,'Round 2'!$A$7:$I$206,COLUMN('Round 2'!$H$7),0))+IF(ISERROR(VLOOKUP($A87,'Round 3'!$A$7:$I$206,COLUMN('Round 3'!$H$7),0)),0,VLOOKUP($A87,'Round 3'!$A$7:$I$206,COLUMN('Round 3'!$H$7),0)))</f>
        <v/>
      </c>
      <c r="K87" s="142" t="str">
        <f t="shared" si="30"/>
        <v/>
      </c>
      <c r="L87" s="144" t="str">
        <f t="shared" si="31"/>
        <v/>
      </c>
      <c r="M87" s="145"/>
      <c r="N87" s="146" t="str">
        <f t="shared" si="32"/>
        <v/>
      </c>
      <c r="O87" s="36" t="str">
        <f t="shared" si="33"/>
        <v/>
      </c>
      <c r="P87" s="36" t="str">
        <f t="shared" si="34"/>
        <v/>
      </c>
      <c r="Q87" s="36">
        <f t="shared" si="35"/>
        <v>-10</v>
      </c>
      <c r="R87" s="36" t="str">
        <f t="shared" si="36"/>
        <v/>
      </c>
      <c r="S87" s="36" t="str">
        <f t="shared" si="37"/>
        <v/>
      </c>
      <c r="T87" s="36">
        <f t="shared" si="38"/>
        <v>0</v>
      </c>
      <c r="U87" s="146" t="str">
        <f ca="1">IF(N('Final Round'!$J$14)&gt;0,IF(ISBLANK($A87),"",IF($N87&gt;5,$N87,VLOOKUP($A87,'Final Round'!$A$14:$K$18,COLUMN('Final Round'!$J$1),0))),"")</f>
        <v/>
      </c>
      <c r="V87" s="36" t="str">
        <f t="shared" ca="1" si="39"/>
        <v/>
      </c>
      <c r="W87" s="36" t="str">
        <f t="shared" si="40"/>
        <v/>
      </c>
      <c r="X87" s="36" t="str">
        <f t="shared" si="41"/>
        <v/>
      </c>
      <c r="Y87" s="36">
        <f t="shared" si="42"/>
        <v>0</v>
      </c>
      <c r="Z87" s="36" t="str">
        <f t="shared" ca="1" si="43"/>
        <v/>
      </c>
      <c r="AA87" s="36">
        <f t="shared" ca="1" si="44"/>
        <v>0</v>
      </c>
      <c r="AB87" s="147" t="str">
        <f>IF(ISBLANK($A87),"",5+4*(I87+IF(AA87=0,0,VLOOKUP($A87,'Final Round'!$A$14:$K$18,COLUMN('Final Round'!$G$1),0)))+8*(H87+IF(AA87=0,0,IF(VLOOKUP($A87,'Final Round'!$A$14:$K$18,COLUMN('Final Round'!$J$1),0)=1,1,0)))+$AA87)</f>
        <v/>
      </c>
    </row>
    <row r="88" spans="1:28" x14ac:dyDescent="0.2">
      <c r="A88" s="111"/>
      <c r="B88" s="112"/>
      <c r="C88" s="112"/>
      <c r="D88" s="112"/>
      <c r="E88" s="113"/>
      <c r="F88" s="114" t="str">
        <f>IF(ISBLANK($A88),"",SUM(IF(ISNA(IF(VLOOKUP($A88,'Round 1'!$A$7:$J$206,COLUMN('Round 1'!$H$7),0),1,NA())),0,1),IF(ISNA(IF(VLOOKUP($A88,'Round 2'!$A$7:$J$206,COLUMN('Round 1'!$H$7),0),1,NA())),0,1),IF(ISNA(IF(VLOOKUP($A88,'Round 3'!$A$7:$J$206,COLUMN('Round 1'!$H$7),0),1,NA())),0,1),IF(ISNA(IF(VLOOKUP($A88,'Final Round'!$A$14:$K$18,1,0),1,NA())),0,1)))</f>
        <v/>
      </c>
      <c r="G88" s="115"/>
      <c r="H88" s="116" t="str">
        <f>IF(ISBLANK($A88),"",IF(ISERROR(VLOOKUP($A88,'Round 1'!$A$7:$I$206,COLUMN('Round 1'!$G$7),0)),0,VLOOKUP($A88,'Round 1'!$A$7:$I$206,COLUMN('Round 1'!$G$7),0))+IF(ISERROR(VLOOKUP($A88,'Round 2'!$A$7:$I$206,COLUMN('Round 2'!$G$7),0)),0,VLOOKUP($A88,'Round 2'!$A$7:$I$206,COLUMN('Round 2'!$G$7),0))+IF(ISERROR(VLOOKUP($A88,'Round 3'!$A$7:$I$206,COLUMN('Round 3'!$G$7),0)),0,VLOOKUP($A88,'Round 3'!$A$7:$I$206,COLUMN('Round 3'!$G$7),0)))</f>
        <v/>
      </c>
      <c r="I88" s="116" t="str">
        <f>IF(ISBLANK($A88),"",IF(ISERROR(VLOOKUP($A88,'Round 1'!$A$7:$I$206,COLUMN('Round 1'!$F$7),0)),0,VLOOKUP($A88,'Round 1'!$A$7:$I$206,COLUMN('Round 1'!$F$7),0))+IF(ISERROR(VLOOKUP($A88,'Round 2'!$A$7:$I$206,COLUMN('Round 2'!$F$7),0)),0,VLOOKUP($A88,'Round 2'!$A$7:$I$206,COLUMN('Round 2'!$F$7),0))+IF(ISERROR(VLOOKUP($A88,'Round 3'!$A$7:$I$206,COLUMN('Round 3'!$F$7),0)),0,VLOOKUP($A88,'Round 3'!$A$7:$I$206,COLUMN('Round 3'!$F$7),0)))</f>
        <v/>
      </c>
      <c r="J88" s="117" t="str">
        <f>IF(ISBLANK($A88),"",IF(ISERROR(VLOOKUP($A88,'Round 1'!$A$7:$I$206,COLUMN('Round 1'!$H$7),0)),0,VLOOKUP($A88,'Round 1'!$A$7:$I$206,COLUMN('Round 1'!$H$7),0))+IF(ISERROR(VLOOKUP($A88,'Round 2'!$A$7:$I$206,COLUMN('Round 2'!$H$7),0)),0,VLOOKUP($A88,'Round 2'!$A$7:$I$206,COLUMN('Round 2'!$H$7),0))+IF(ISERROR(VLOOKUP($A88,'Round 3'!$A$7:$I$206,COLUMN('Round 3'!$H$7),0)),0,VLOOKUP($A88,'Round 3'!$A$7:$I$206,COLUMN('Round 3'!$H$7),0)))</f>
        <v/>
      </c>
      <c r="K88" s="116" t="str">
        <f t="shared" si="30"/>
        <v/>
      </c>
      <c r="L88" s="118" t="str">
        <f t="shared" si="31"/>
        <v/>
      </c>
      <c r="M88" s="119"/>
      <c r="N88" s="120" t="str">
        <f t="shared" si="32"/>
        <v/>
      </c>
      <c r="O88" s="36" t="str">
        <f t="shared" si="33"/>
        <v/>
      </c>
      <c r="P88" s="36" t="str">
        <f t="shared" si="34"/>
        <v/>
      </c>
      <c r="Q88" s="36">
        <f t="shared" si="35"/>
        <v>-10</v>
      </c>
      <c r="R88" s="36" t="str">
        <f t="shared" si="36"/>
        <v/>
      </c>
      <c r="S88" s="36" t="str">
        <f t="shared" si="37"/>
        <v/>
      </c>
      <c r="T88" s="36">
        <f t="shared" si="38"/>
        <v>0</v>
      </c>
      <c r="U88" s="120" t="str">
        <f ca="1">IF(N('Final Round'!$J$14)&gt;0,IF(ISBLANK($A88),"",IF($N88&gt;5,$N88,VLOOKUP($A88,'Final Round'!$A$14:$K$18,COLUMN('Final Round'!$J$1),0))),"")</f>
        <v/>
      </c>
      <c r="V88" s="36" t="str">
        <f t="shared" ca="1" si="39"/>
        <v/>
      </c>
      <c r="W88" s="36" t="str">
        <f t="shared" si="40"/>
        <v/>
      </c>
      <c r="X88" s="36" t="str">
        <f t="shared" si="41"/>
        <v/>
      </c>
      <c r="Y88" s="36">
        <f t="shared" si="42"/>
        <v>0</v>
      </c>
      <c r="Z88" s="36" t="str">
        <f t="shared" ca="1" si="43"/>
        <v/>
      </c>
      <c r="AA88" s="36">
        <f t="shared" ca="1" si="44"/>
        <v>0</v>
      </c>
      <c r="AB88" s="121" t="str">
        <f>IF(ISBLANK($A88),"",5+4*(I88+IF(AA88=0,0,VLOOKUP($A88,'Final Round'!$A$14:$K$18,COLUMN('Final Round'!$G$1),0)))+8*(H88+IF(AA88=0,0,IF(VLOOKUP($A88,'Final Round'!$A$14:$K$18,COLUMN('Final Round'!$J$1),0)=1,1,0)))+$AA88)</f>
        <v/>
      </c>
    </row>
    <row r="89" spans="1:28" x14ac:dyDescent="0.2">
      <c r="A89" s="137"/>
      <c r="B89" s="138"/>
      <c r="C89" s="138"/>
      <c r="D89" s="138"/>
      <c r="E89" s="139"/>
      <c r="F89" s="140" t="str">
        <f>IF(ISBLANK($A89),"",SUM(IF(ISNA(IF(VLOOKUP($A89,'Round 1'!$A$7:$J$206,COLUMN('Round 1'!$H$7),0),1,NA())),0,1),IF(ISNA(IF(VLOOKUP($A89,'Round 2'!$A$7:$J$206,COLUMN('Round 1'!$H$7),0),1,NA())),0,1),IF(ISNA(IF(VLOOKUP($A89,'Round 3'!$A$7:$J$206,COLUMN('Round 1'!$H$7),0),1,NA())),0,1),IF(ISNA(IF(VLOOKUP($A89,'Final Round'!$A$14:$K$18,1,0),1,NA())),0,1)))</f>
        <v/>
      </c>
      <c r="G89" s="141"/>
      <c r="H89" s="142" t="str">
        <f>IF(ISBLANK($A89),"",IF(ISERROR(VLOOKUP($A89,'Round 1'!$A$7:$I$206,COLUMN('Round 1'!$G$7),0)),0,VLOOKUP($A89,'Round 1'!$A$7:$I$206,COLUMN('Round 1'!$G$7),0))+IF(ISERROR(VLOOKUP($A89,'Round 2'!$A$7:$I$206,COLUMN('Round 2'!$G$7),0)),0,VLOOKUP($A89,'Round 2'!$A$7:$I$206,COLUMN('Round 2'!$G$7),0))+IF(ISERROR(VLOOKUP($A89,'Round 3'!$A$7:$I$206,COLUMN('Round 3'!$G$7),0)),0,VLOOKUP($A89,'Round 3'!$A$7:$I$206,COLUMN('Round 3'!$G$7),0)))</f>
        <v/>
      </c>
      <c r="I89" s="142" t="str">
        <f>IF(ISBLANK($A89),"",IF(ISERROR(VLOOKUP($A89,'Round 1'!$A$7:$I$206,COLUMN('Round 1'!$F$7),0)),0,VLOOKUP($A89,'Round 1'!$A$7:$I$206,COLUMN('Round 1'!$F$7),0))+IF(ISERROR(VLOOKUP($A89,'Round 2'!$A$7:$I$206,COLUMN('Round 2'!$F$7),0)),0,VLOOKUP($A89,'Round 2'!$A$7:$I$206,COLUMN('Round 2'!$F$7),0))+IF(ISERROR(VLOOKUP($A89,'Round 3'!$A$7:$I$206,COLUMN('Round 3'!$F$7),0)),0,VLOOKUP($A89,'Round 3'!$A$7:$I$206,COLUMN('Round 3'!$F$7),0)))</f>
        <v/>
      </c>
      <c r="J89" s="143" t="str">
        <f>IF(ISBLANK($A89),"",IF(ISERROR(VLOOKUP($A89,'Round 1'!$A$7:$I$206,COLUMN('Round 1'!$H$7),0)),0,VLOOKUP($A89,'Round 1'!$A$7:$I$206,COLUMN('Round 1'!$H$7),0))+IF(ISERROR(VLOOKUP($A89,'Round 2'!$A$7:$I$206,COLUMN('Round 2'!$H$7),0)),0,VLOOKUP($A89,'Round 2'!$A$7:$I$206,COLUMN('Round 2'!$H$7),0))+IF(ISERROR(VLOOKUP($A89,'Round 3'!$A$7:$I$206,COLUMN('Round 3'!$H$7),0)),0,VLOOKUP($A89,'Round 3'!$A$7:$I$206,COLUMN('Round 3'!$H$7),0)))</f>
        <v/>
      </c>
      <c r="K89" s="142" t="str">
        <f t="shared" si="30"/>
        <v/>
      </c>
      <c r="L89" s="144" t="str">
        <f t="shared" si="31"/>
        <v/>
      </c>
      <c r="M89" s="145"/>
      <c r="N89" s="146" t="str">
        <f t="shared" si="32"/>
        <v/>
      </c>
      <c r="O89" s="36" t="str">
        <f t="shared" si="33"/>
        <v/>
      </c>
      <c r="P89" s="36" t="str">
        <f t="shared" si="34"/>
        <v/>
      </c>
      <c r="Q89" s="36">
        <f t="shared" si="35"/>
        <v>-10</v>
      </c>
      <c r="R89" s="36" t="str">
        <f t="shared" si="36"/>
        <v/>
      </c>
      <c r="S89" s="36" t="str">
        <f t="shared" si="37"/>
        <v/>
      </c>
      <c r="T89" s="36">
        <f t="shared" si="38"/>
        <v>0</v>
      </c>
      <c r="U89" s="146" t="str">
        <f ca="1">IF(N('Final Round'!$J$14)&gt;0,IF(ISBLANK($A89),"",IF($N89&gt;5,$N89,VLOOKUP($A89,'Final Round'!$A$14:$K$18,COLUMN('Final Round'!$J$1),0))),"")</f>
        <v/>
      </c>
      <c r="V89" s="36" t="str">
        <f t="shared" ca="1" si="39"/>
        <v/>
      </c>
      <c r="W89" s="36" t="str">
        <f t="shared" si="40"/>
        <v/>
      </c>
      <c r="X89" s="36" t="str">
        <f t="shared" si="41"/>
        <v/>
      </c>
      <c r="Y89" s="36">
        <f t="shared" si="42"/>
        <v>0</v>
      </c>
      <c r="Z89" s="36" t="str">
        <f t="shared" ca="1" si="43"/>
        <v/>
      </c>
      <c r="AA89" s="36">
        <f t="shared" ca="1" si="44"/>
        <v>0</v>
      </c>
      <c r="AB89" s="147" t="str">
        <f>IF(ISBLANK($A89),"",5+4*(I89+IF(AA89=0,0,VLOOKUP($A89,'Final Round'!$A$14:$K$18,COLUMN('Final Round'!$G$1),0)))+8*(H89+IF(AA89=0,0,IF(VLOOKUP($A89,'Final Round'!$A$14:$K$18,COLUMN('Final Round'!$J$1),0)=1,1,0)))+$AA89)</f>
        <v/>
      </c>
    </row>
    <row r="90" spans="1:28" x14ac:dyDescent="0.2">
      <c r="A90" s="111"/>
      <c r="B90" s="112"/>
      <c r="C90" s="112"/>
      <c r="D90" s="112"/>
      <c r="E90" s="113"/>
      <c r="F90" s="114" t="str">
        <f>IF(ISBLANK($A90),"",SUM(IF(ISNA(IF(VLOOKUP($A90,'Round 1'!$A$7:$J$206,COLUMN('Round 1'!$H$7),0),1,NA())),0,1),IF(ISNA(IF(VLOOKUP($A90,'Round 2'!$A$7:$J$206,COLUMN('Round 1'!$H$7),0),1,NA())),0,1),IF(ISNA(IF(VLOOKUP($A90,'Round 3'!$A$7:$J$206,COLUMN('Round 1'!$H$7),0),1,NA())),0,1),IF(ISNA(IF(VLOOKUP($A90,'Final Round'!$A$14:$K$18,1,0),1,NA())),0,1)))</f>
        <v/>
      </c>
      <c r="G90" s="115"/>
      <c r="H90" s="116" t="str">
        <f>IF(ISBLANK($A90),"",IF(ISERROR(VLOOKUP($A90,'Round 1'!$A$7:$I$206,COLUMN('Round 1'!$G$7),0)),0,VLOOKUP($A90,'Round 1'!$A$7:$I$206,COLUMN('Round 1'!$G$7),0))+IF(ISERROR(VLOOKUP($A90,'Round 2'!$A$7:$I$206,COLUMN('Round 2'!$G$7),0)),0,VLOOKUP($A90,'Round 2'!$A$7:$I$206,COLUMN('Round 2'!$G$7),0))+IF(ISERROR(VLOOKUP($A90,'Round 3'!$A$7:$I$206,COLUMN('Round 3'!$G$7),0)),0,VLOOKUP($A90,'Round 3'!$A$7:$I$206,COLUMN('Round 3'!$G$7),0)))</f>
        <v/>
      </c>
      <c r="I90" s="116" t="str">
        <f>IF(ISBLANK($A90),"",IF(ISERROR(VLOOKUP($A90,'Round 1'!$A$7:$I$206,COLUMN('Round 1'!$F$7),0)),0,VLOOKUP($A90,'Round 1'!$A$7:$I$206,COLUMN('Round 1'!$F$7),0))+IF(ISERROR(VLOOKUP($A90,'Round 2'!$A$7:$I$206,COLUMN('Round 2'!$F$7),0)),0,VLOOKUP($A90,'Round 2'!$A$7:$I$206,COLUMN('Round 2'!$F$7),0))+IF(ISERROR(VLOOKUP($A90,'Round 3'!$A$7:$I$206,COLUMN('Round 3'!$F$7),0)),0,VLOOKUP($A90,'Round 3'!$A$7:$I$206,COLUMN('Round 3'!$F$7),0)))</f>
        <v/>
      </c>
      <c r="J90" s="117" t="str">
        <f>IF(ISBLANK($A90),"",IF(ISERROR(VLOOKUP($A90,'Round 1'!$A$7:$I$206,COLUMN('Round 1'!$H$7),0)),0,VLOOKUP($A90,'Round 1'!$A$7:$I$206,COLUMN('Round 1'!$H$7),0))+IF(ISERROR(VLOOKUP($A90,'Round 2'!$A$7:$I$206,COLUMN('Round 2'!$H$7),0)),0,VLOOKUP($A90,'Round 2'!$A$7:$I$206,COLUMN('Round 2'!$H$7),0))+IF(ISERROR(VLOOKUP($A90,'Round 3'!$A$7:$I$206,COLUMN('Round 3'!$H$7),0)),0,VLOOKUP($A90,'Round 3'!$A$7:$I$206,COLUMN('Round 3'!$H$7),0)))</f>
        <v/>
      </c>
      <c r="K90" s="116" t="str">
        <f t="shared" si="30"/>
        <v/>
      </c>
      <c r="L90" s="118" t="str">
        <f t="shared" si="31"/>
        <v/>
      </c>
      <c r="M90" s="119"/>
      <c r="N90" s="120" t="str">
        <f t="shared" si="32"/>
        <v/>
      </c>
      <c r="O90" s="36" t="str">
        <f t="shared" si="33"/>
        <v/>
      </c>
      <c r="P90" s="36" t="str">
        <f t="shared" si="34"/>
        <v/>
      </c>
      <c r="Q90" s="36">
        <f t="shared" si="35"/>
        <v>-10</v>
      </c>
      <c r="R90" s="36" t="str">
        <f t="shared" si="36"/>
        <v/>
      </c>
      <c r="S90" s="36" t="str">
        <f t="shared" si="37"/>
        <v/>
      </c>
      <c r="T90" s="36">
        <f t="shared" si="38"/>
        <v>0</v>
      </c>
      <c r="U90" s="120" t="str">
        <f ca="1">IF(N('Final Round'!$J$14)&gt;0,IF(ISBLANK($A90),"",IF($N90&gt;5,$N90,VLOOKUP($A90,'Final Round'!$A$14:$K$18,COLUMN('Final Round'!$J$1),0))),"")</f>
        <v/>
      </c>
      <c r="V90" s="36" t="str">
        <f t="shared" ca="1" si="39"/>
        <v/>
      </c>
      <c r="W90" s="36" t="str">
        <f t="shared" si="40"/>
        <v/>
      </c>
      <c r="X90" s="36" t="str">
        <f t="shared" si="41"/>
        <v/>
      </c>
      <c r="Y90" s="36">
        <f t="shared" si="42"/>
        <v>0</v>
      </c>
      <c r="Z90" s="36" t="str">
        <f t="shared" ca="1" si="43"/>
        <v/>
      </c>
      <c r="AA90" s="36">
        <f t="shared" ca="1" si="44"/>
        <v>0</v>
      </c>
      <c r="AB90" s="121" t="str">
        <f>IF(ISBLANK($A90),"",5+4*(I90+IF(AA90=0,0,VLOOKUP($A90,'Final Round'!$A$14:$K$18,COLUMN('Final Round'!$G$1),0)))+8*(H90+IF(AA90=0,0,IF(VLOOKUP($A90,'Final Round'!$A$14:$K$18,COLUMN('Final Round'!$J$1),0)=1,1,0)))+$AA90)</f>
        <v/>
      </c>
    </row>
    <row r="91" spans="1:28" x14ac:dyDescent="0.2">
      <c r="A91" s="137"/>
      <c r="B91" s="138"/>
      <c r="C91" s="138"/>
      <c r="D91" s="138"/>
      <c r="E91" s="139"/>
      <c r="F91" s="140" t="str">
        <f>IF(ISBLANK($A91),"",SUM(IF(ISNA(IF(VLOOKUP($A91,'Round 1'!$A$7:$J$206,COLUMN('Round 1'!$H$7),0),1,NA())),0,1),IF(ISNA(IF(VLOOKUP($A91,'Round 2'!$A$7:$J$206,COLUMN('Round 1'!$H$7),0),1,NA())),0,1),IF(ISNA(IF(VLOOKUP($A91,'Round 3'!$A$7:$J$206,COLUMN('Round 1'!$H$7),0),1,NA())),0,1),IF(ISNA(IF(VLOOKUP($A91,'Final Round'!$A$14:$K$18,1,0),1,NA())),0,1)))</f>
        <v/>
      </c>
      <c r="G91" s="141"/>
      <c r="H91" s="142" t="str">
        <f>IF(ISBLANK($A91),"",IF(ISERROR(VLOOKUP($A91,'Round 1'!$A$7:$I$206,COLUMN('Round 1'!$G$7),0)),0,VLOOKUP($A91,'Round 1'!$A$7:$I$206,COLUMN('Round 1'!$G$7),0))+IF(ISERROR(VLOOKUP($A91,'Round 2'!$A$7:$I$206,COLUMN('Round 2'!$G$7),0)),0,VLOOKUP($A91,'Round 2'!$A$7:$I$206,COLUMN('Round 2'!$G$7),0))+IF(ISERROR(VLOOKUP($A91,'Round 3'!$A$7:$I$206,COLUMN('Round 3'!$G$7),0)),0,VLOOKUP($A91,'Round 3'!$A$7:$I$206,COLUMN('Round 3'!$G$7),0)))</f>
        <v/>
      </c>
      <c r="I91" s="142" t="str">
        <f>IF(ISBLANK($A91),"",IF(ISERROR(VLOOKUP($A91,'Round 1'!$A$7:$I$206,COLUMN('Round 1'!$F$7),0)),0,VLOOKUP($A91,'Round 1'!$A$7:$I$206,COLUMN('Round 1'!$F$7),0))+IF(ISERROR(VLOOKUP($A91,'Round 2'!$A$7:$I$206,COLUMN('Round 2'!$F$7),0)),0,VLOOKUP($A91,'Round 2'!$A$7:$I$206,COLUMN('Round 2'!$F$7),0))+IF(ISERROR(VLOOKUP($A91,'Round 3'!$A$7:$I$206,COLUMN('Round 3'!$F$7),0)),0,VLOOKUP($A91,'Round 3'!$A$7:$I$206,COLUMN('Round 3'!$F$7),0)))</f>
        <v/>
      </c>
      <c r="J91" s="143" t="str">
        <f>IF(ISBLANK($A91),"",IF(ISERROR(VLOOKUP($A91,'Round 1'!$A$7:$I$206,COLUMN('Round 1'!$H$7),0)),0,VLOOKUP($A91,'Round 1'!$A$7:$I$206,COLUMN('Round 1'!$H$7),0))+IF(ISERROR(VLOOKUP($A91,'Round 2'!$A$7:$I$206,COLUMN('Round 2'!$H$7),0)),0,VLOOKUP($A91,'Round 2'!$A$7:$I$206,COLUMN('Round 2'!$H$7),0))+IF(ISERROR(VLOOKUP($A91,'Round 3'!$A$7:$I$206,COLUMN('Round 3'!$H$7),0)),0,VLOOKUP($A91,'Round 3'!$A$7:$I$206,COLUMN('Round 3'!$H$7),0)))</f>
        <v/>
      </c>
      <c r="K91" s="142" t="str">
        <f t="shared" si="30"/>
        <v/>
      </c>
      <c r="L91" s="144" t="str">
        <f t="shared" si="31"/>
        <v/>
      </c>
      <c r="M91" s="145"/>
      <c r="N91" s="146" t="str">
        <f t="shared" si="32"/>
        <v/>
      </c>
      <c r="O91" s="36" t="str">
        <f t="shared" si="33"/>
        <v/>
      </c>
      <c r="P91" s="36" t="str">
        <f t="shared" si="34"/>
        <v/>
      </c>
      <c r="Q91" s="36">
        <f t="shared" si="35"/>
        <v>-10</v>
      </c>
      <c r="R91" s="36" t="str">
        <f t="shared" si="36"/>
        <v/>
      </c>
      <c r="S91" s="36" t="str">
        <f t="shared" si="37"/>
        <v/>
      </c>
      <c r="T91" s="36">
        <f t="shared" si="38"/>
        <v>0</v>
      </c>
      <c r="U91" s="146" t="str">
        <f ca="1">IF(N('Final Round'!$J$14)&gt;0,IF(ISBLANK($A91),"",IF($N91&gt;5,$N91,VLOOKUP($A91,'Final Round'!$A$14:$K$18,COLUMN('Final Round'!$J$1),0))),"")</f>
        <v/>
      </c>
      <c r="V91" s="36" t="str">
        <f t="shared" ca="1" si="39"/>
        <v/>
      </c>
      <c r="W91" s="36" t="str">
        <f t="shared" si="40"/>
        <v/>
      </c>
      <c r="X91" s="36" t="str">
        <f t="shared" si="41"/>
        <v/>
      </c>
      <c r="Y91" s="36">
        <f t="shared" si="42"/>
        <v>0</v>
      </c>
      <c r="Z91" s="36" t="str">
        <f t="shared" ca="1" si="43"/>
        <v/>
      </c>
      <c r="AA91" s="36">
        <f t="shared" ca="1" si="44"/>
        <v>0</v>
      </c>
      <c r="AB91" s="147" t="str">
        <f>IF(ISBLANK($A91),"",5+4*(I91+IF(AA91=0,0,VLOOKUP($A91,'Final Round'!$A$14:$K$18,COLUMN('Final Round'!$G$1),0)))+8*(H91+IF(AA91=0,0,IF(VLOOKUP($A91,'Final Round'!$A$14:$K$18,COLUMN('Final Round'!$J$1),0)=1,1,0)))+$AA91)</f>
        <v/>
      </c>
    </row>
    <row r="92" spans="1:28" x14ac:dyDescent="0.2">
      <c r="A92" s="111"/>
      <c r="B92" s="112"/>
      <c r="C92" s="112"/>
      <c r="D92" s="112"/>
      <c r="E92" s="113"/>
      <c r="F92" s="114" t="str">
        <f>IF(ISBLANK($A92),"",SUM(IF(ISNA(IF(VLOOKUP($A92,'Round 1'!$A$7:$J$206,COLUMN('Round 1'!$H$7),0),1,NA())),0,1),IF(ISNA(IF(VLOOKUP($A92,'Round 2'!$A$7:$J$206,COLUMN('Round 1'!$H$7),0),1,NA())),0,1),IF(ISNA(IF(VLOOKUP($A92,'Round 3'!$A$7:$J$206,COLUMN('Round 1'!$H$7),0),1,NA())),0,1),IF(ISNA(IF(VLOOKUP($A92,'Final Round'!$A$14:$K$18,1,0),1,NA())),0,1)))</f>
        <v/>
      </c>
      <c r="G92" s="115"/>
      <c r="H92" s="116" t="str">
        <f>IF(ISBLANK($A92),"",IF(ISERROR(VLOOKUP($A92,'Round 1'!$A$7:$I$206,COLUMN('Round 1'!$G$7),0)),0,VLOOKUP($A92,'Round 1'!$A$7:$I$206,COLUMN('Round 1'!$G$7),0))+IF(ISERROR(VLOOKUP($A92,'Round 2'!$A$7:$I$206,COLUMN('Round 2'!$G$7),0)),0,VLOOKUP($A92,'Round 2'!$A$7:$I$206,COLUMN('Round 2'!$G$7),0))+IF(ISERROR(VLOOKUP($A92,'Round 3'!$A$7:$I$206,COLUMN('Round 3'!$G$7),0)),0,VLOOKUP($A92,'Round 3'!$A$7:$I$206,COLUMN('Round 3'!$G$7),0)))</f>
        <v/>
      </c>
      <c r="I92" s="116" t="str">
        <f>IF(ISBLANK($A92),"",IF(ISERROR(VLOOKUP($A92,'Round 1'!$A$7:$I$206,COLUMN('Round 1'!$F$7),0)),0,VLOOKUP($A92,'Round 1'!$A$7:$I$206,COLUMN('Round 1'!$F$7),0))+IF(ISERROR(VLOOKUP($A92,'Round 2'!$A$7:$I$206,COLUMN('Round 2'!$F$7),0)),0,VLOOKUP($A92,'Round 2'!$A$7:$I$206,COLUMN('Round 2'!$F$7),0))+IF(ISERROR(VLOOKUP($A92,'Round 3'!$A$7:$I$206,COLUMN('Round 3'!$F$7),0)),0,VLOOKUP($A92,'Round 3'!$A$7:$I$206,COLUMN('Round 3'!$F$7),0)))</f>
        <v/>
      </c>
      <c r="J92" s="117" t="str">
        <f>IF(ISBLANK($A92),"",IF(ISERROR(VLOOKUP($A92,'Round 1'!$A$7:$I$206,COLUMN('Round 1'!$H$7),0)),0,VLOOKUP($A92,'Round 1'!$A$7:$I$206,COLUMN('Round 1'!$H$7),0))+IF(ISERROR(VLOOKUP($A92,'Round 2'!$A$7:$I$206,COLUMN('Round 2'!$H$7),0)),0,VLOOKUP($A92,'Round 2'!$A$7:$I$206,COLUMN('Round 2'!$H$7),0))+IF(ISERROR(VLOOKUP($A92,'Round 3'!$A$7:$I$206,COLUMN('Round 3'!$H$7),0)),0,VLOOKUP($A92,'Round 3'!$A$7:$I$206,COLUMN('Round 3'!$H$7),0)))</f>
        <v/>
      </c>
      <c r="K92" s="116" t="str">
        <f t="shared" si="30"/>
        <v/>
      </c>
      <c r="L92" s="118" t="str">
        <f t="shared" si="31"/>
        <v/>
      </c>
      <c r="M92" s="119"/>
      <c r="N92" s="120" t="str">
        <f t="shared" si="32"/>
        <v/>
      </c>
      <c r="O92" s="36" t="str">
        <f t="shared" si="33"/>
        <v/>
      </c>
      <c r="P92" s="36" t="str">
        <f t="shared" si="34"/>
        <v/>
      </c>
      <c r="Q92" s="36">
        <f t="shared" si="35"/>
        <v>-10</v>
      </c>
      <c r="R92" s="36" t="str">
        <f t="shared" si="36"/>
        <v/>
      </c>
      <c r="S92" s="36" t="str">
        <f t="shared" si="37"/>
        <v/>
      </c>
      <c r="T92" s="36">
        <f t="shared" si="38"/>
        <v>0</v>
      </c>
      <c r="U92" s="120" t="str">
        <f ca="1">IF(N('Final Round'!$J$14)&gt;0,IF(ISBLANK($A92),"",IF($N92&gt;5,$N92,VLOOKUP($A92,'Final Round'!$A$14:$K$18,COLUMN('Final Round'!$J$1),0))),"")</f>
        <v/>
      </c>
      <c r="V92" s="36" t="str">
        <f t="shared" ca="1" si="39"/>
        <v/>
      </c>
      <c r="W92" s="36" t="str">
        <f t="shared" si="40"/>
        <v/>
      </c>
      <c r="X92" s="36" t="str">
        <f t="shared" si="41"/>
        <v/>
      </c>
      <c r="Y92" s="36">
        <f t="shared" si="42"/>
        <v>0</v>
      </c>
      <c r="Z92" s="36" t="str">
        <f t="shared" ca="1" si="43"/>
        <v/>
      </c>
      <c r="AA92" s="36">
        <f t="shared" ca="1" si="44"/>
        <v>0</v>
      </c>
      <c r="AB92" s="121" t="str">
        <f>IF(ISBLANK($A92),"",5+4*(I92+IF(AA92=0,0,VLOOKUP($A92,'Final Round'!$A$14:$K$18,COLUMN('Final Round'!$G$1),0)))+8*(H92+IF(AA92=0,0,IF(VLOOKUP($A92,'Final Round'!$A$14:$K$18,COLUMN('Final Round'!$J$1),0)=1,1,0)))+$AA92)</f>
        <v/>
      </c>
    </row>
    <row r="93" spans="1:28" x14ac:dyDescent="0.2">
      <c r="A93" s="137"/>
      <c r="B93" s="138"/>
      <c r="C93" s="138"/>
      <c r="D93" s="138"/>
      <c r="E93" s="139"/>
      <c r="F93" s="140" t="str">
        <f>IF(ISBLANK($A93),"",SUM(IF(ISNA(IF(VLOOKUP($A93,'Round 1'!$A$7:$J$206,COLUMN('Round 1'!$H$7),0),1,NA())),0,1),IF(ISNA(IF(VLOOKUP($A93,'Round 2'!$A$7:$J$206,COLUMN('Round 1'!$H$7),0),1,NA())),0,1),IF(ISNA(IF(VLOOKUP($A93,'Round 3'!$A$7:$J$206,COLUMN('Round 1'!$H$7),0),1,NA())),0,1),IF(ISNA(IF(VLOOKUP($A93,'Final Round'!$A$14:$K$18,1,0),1,NA())),0,1)))</f>
        <v/>
      </c>
      <c r="G93" s="141"/>
      <c r="H93" s="142" t="str">
        <f>IF(ISBLANK($A93),"",IF(ISERROR(VLOOKUP($A93,'Round 1'!$A$7:$I$206,COLUMN('Round 1'!$G$7),0)),0,VLOOKUP($A93,'Round 1'!$A$7:$I$206,COLUMN('Round 1'!$G$7),0))+IF(ISERROR(VLOOKUP($A93,'Round 2'!$A$7:$I$206,COLUMN('Round 2'!$G$7),0)),0,VLOOKUP($A93,'Round 2'!$A$7:$I$206,COLUMN('Round 2'!$G$7),0))+IF(ISERROR(VLOOKUP($A93,'Round 3'!$A$7:$I$206,COLUMN('Round 3'!$G$7),0)),0,VLOOKUP($A93,'Round 3'!$A$7:$I$206,COLUMN('Round 3'!$G$7),0)))</f>
        <v/>
      </c>
      <c r="I93" s="142" t="str">
        <f>IF(ISBLANK($A93),"",IF(ISERROR(VLOOKUP($A93,'Round 1'!$A$7:$I$206,COLUMN('Round 1'!$F$7),0)),0,VLOOKUP($A93,'Round 1'!$A$7:$I$206,COLUMN('Round 1'!$F$7),0))+IF(ISERROR(VLOOKUP($A93,'Round 2'!$A$7:$I$206,COLUMN('Round 2'!$F$7),0)),0,VLOOKUP($A93,'Round 2'!$A$7:$I$206,COLUMN('Round 2'!$F$7),0))+IF(ISERROR(VLOOKUP($A93,'Round 3'!$A$7:$I$206,COLUMN('Round 3'!$F$7),0)),0,VLOOKUP($A93,'Round 3'!$A$7:$I$206,COLUMN('Round 3'!$F$7),0)))</f>
        <v/>
      </c>
      <c r="J93" s="143" t="str">
        <f>IF(ISBLANK($A93),"",IF(ISERROR(VLOOKUP($A93,'Round 1'!$A$7:$I$206,COLUMN('Round 1'!$H$7),0)),0,VLOOKUP($A93,'Round 1'!$A$7:$I$206,COLUMN('Round 1'!$H$7),0))+IF(ISERROR(VLOOKUP($A93,'Round 2'!$A$7:$I$206,COLUMN('Round 2'!$H$7),0)),0,VLOOKUP($A93,'Round 2'!$A$7:$I$206,COLUMN('Round 2'!$H$7),0))+IF(ISERROR(VLOOKUP($A93,'Round 3'!$A$7:$I$206,COLUMN('Round 3'!$H$7),0)),0,VLOOKUP($A93,'Round 3'!$A$7:$I$206,COLUMN('Round 3'!$H$7),0)))</f>
        <v/>
      </c>
      <c r="K93" s="142" t="str">
        <f t="shared" si="30"/>
        <v/>
      </c>
      <c r="L93" s="144" t="str">
        <f t="shared" si="31"/>
        <v/>
      </c>
      <c r="M93" s="145"/>
      <c r="N93" s="146" t="str">
        <f t="shared" si="32"/>
        <v/>
      </c>
      <c r="O93" s="36" t="str">
        <f t="shared" si="33"/>
        <v/>
      </c>
      <c r="P93" s="36" t="str">
        <f t="shared" si="34"/>
        <v/>
      </c>
      <c r="Q93" s="36">
        <f t="shared" si="35"/>
        <v>-10</v>
      </c>
      <c r="R93" s="36" t="str">
        <f t="shared" si="36"/>
        <v/>
      </c>
      <c r="S93" s="36" t="str">
        <f t="shared" si="37"/>
        <v/>
      </c>
      <c r="T93" s="36">
        <f t="shared" si="38"/>
        <v>0</v>
      </c>
      <c r="U93" s="146" t="str">
        <f ca="1">IF(N('Final Round'!$J$14)&gt;0,IF(ISBLANK($A93),"",IF($N93&gt;5,$N93,VLOOKUP($A93,'Final Round'!$A$14:$K$18,COLUMN('Final Round'!$J$1),0))),"")</f>
        <v/>
      </c>
      <c r="V93" s="36" t="str">
        <f t="shared" ca="1" si="39"/>
        <v/>
      </c>
      <c r="W93" s="36" t="str">
        <f t="shared" si="40"/>
        <v/>
      </c>
      <c r="X93" s="36" t="str">
        <f t="shared" si="41"/>
        <v/>
      </c>
      <c r="Y93" s="36">
        <f t="shared" si="42"/>
        <v>0</v>
      </c>
      <c r="Z93" s="36" t="str">
        <f t="shared" ca="1" si="43"/>
        <v/>
      </c>
      <c r="AA93" s="36">
        <f t="shared" ca="1" si="44"/>
        <v>0</v>
      </c>
      <c r="AB93" s="147" t="str">
        <f>IF(ISBLANK($A93),"",5+4*(I93+IF(AA93=0,0,VLOOKUP($A93,'Final Round'!$A$14:$K$18,COLUMN('Final Round'!$G$1),0)))+8*(H93+IF(AA93=0,0,IF(VLOOKUP($A93,'Final Round'!$A$14:$K$18,COLUMN('Final Round'!$J$1),0)=1,1,0)))+$AA93)</f>
        <v/>
      </c>
    </row>
    <row r="94" spans="1:28" x14ac:dyDescent="0.2">
      <c r="A94" s="111"/>
      <c r="B94" s="112"/>
      <c r="C94" s="112"/>
      <c r="D94" s="112"/>
      <c r="E94" s="113"/>
      <c r="F94" s="114" t="str">
        <f>IF(ISBLANK($A94),"",SUM(IF(ISNA(IF(VLOOKUP($A94,'Round 1'!$A$7:$J$206,COLUMN('Round 1'!$H$7),0),1,NA())),0,1),IF(ISNA(IF(VLOOKUP($A94,'Round 2'!$A$7:$J$206,COLUMN('Round 1'!$H$7),0),1,NA())),0,1),IF(ISNA(IF(VLOOKUP($A94,'Round 3'!$A$7:$J$206,COLUMN('Round 1'!$H$7),0),1,NA())),0,1),IF(ISNA(IF(VLOOKUP($A94,'Final Round'!$A$14:$K$18,1,0),1,NA())),0,1)))</f>
        <v/>
      </c>
      <c r="G94" s="115"/>
      <c r="H94" s="116" t="str">
        <f>IF(ISBLANK($A94),"",IF(ISERROR(VLOOKUP($A94,'Round 1'!$A$7:$I$206,COLUMN('Round 1'!$G$7),0)),0,VLOOKUP($A94,'Round 1'!$A$7:$I$206,COLUMN('Round 1'!$G$7),0))+IF(ISERROR(VLOOKUP($A94,'Round 2'!$A$7:$I$206,COLUMN('Round 2'!$G$7),0)),0,VLOOKUP($A94,'Round 2'!$A$7:$I$206,COLUMN('Round 2'!$G$7),0))+IF(ISERROR(VLOOKUP($A94,'Round 3'!$A$7:$I$206,COLUMN('Round 3'!$G$7),0)),0,VLOOKUP($A94,'Round 3'!$A$7:$I$206,COLUMN('Round 3'!$G$7),0)))</f>
        <v/>
      </c>
      <c r="I94" s="116" t="str">
        <f>IF(ISBLANK($A94),"",IF(ISERROR(VLOOKUP($A94,'Round 1'!$A$7:$I$206,COLUMN('Round 1'!$F$7),0)),0,VLOOKUP($A94,'Round 1'!$A$7:$I$206,COLUMN('Round 1'!$F$7),0))+IF(ISERROR(VLOOKUP($A94,'Round 2'!$A$7:$I$206,COLUMN('Round 2'!$F$7),0)),0,VLOOKUP($A94,'Round 2'!$A$7:$I$206,COLUMN('Round 2'!$F$7),0))+IF(ISERROR(VLOOKUP($A94,'Round 3'!$A$7:$I$206,COLUMN('Round 3'!$F$7),0)),0,VLOOKUP($A94,'Round 3'!$A$7:$I$206,COLUMN('Round 3'!$F$7),0)))</f>
        <v/>
      </c>
      <c r="J94" s="117" t="str">
        <f>IF(ISBLANK($A94),"",IF(ISERROR(VLOOKUP($A94,'Round 1'!$A$7:$I$206,COLUMN('Round 1'!$H$7),0)),0,VLOOKUP($A94,'Round 1'!$A$7:$I$206,COLUMN('Round 1'!$H$7),0))+IF(ISERROR(VLOOKUP($A94,'Round 2'!$A$7:$I$206,COLUMN('Round 2'!$H$7),0)),0,VLOOKUP($A94,'Round 2'!$A$7:$I$206,COLUMN('Round 2'!$H$7),0))+IF(ISERROR(VLOOKUP($A94,'Round 3'!$A$7:$I$206,COLUMN('Round 3'!$H$7),0)),0,VLOOKUP($A94,'Round 3'!$A$7:$I$206,COLUMN('Round 3'!$H$7),0)))</f>
        <v/>
      </c>
      <c r="K94" s="116" t="str">
        <f t="shared" si="30"/>
        <v/>
      </c>
      <c r="L94" s="118" t="str">
        <f t="shared" si="31"/>
        <v/>
      </c>
      <c r="M94" s="119"/>
      <c r="N94" s="120" t="str">
        <f t="shared" si="32"/>
        <v/>
      </c>
      <c r="O94" s="36" t="str">
        <f t="shared" si="33"/>
        <v/>
      </c>
      <c r="P94" s="36" t="str">
        <f t="shared" si="34"/>
        <v/>
      </c>
      <c r="Q94" s="36">
        <f t="shared" si="35"/>
        <v>-10</v>
      </c>
      <c r="R94" s="36" t="str">
        <f t="shared" si="36"/>
        <v/>
      </c>
      <c r="S94" s="36" t="str">
        <f t="shared" si="37"/>
        <v/>
      </c>
      <c r="T94" s="36">
        <f t="shared" si="38"/>
        <v>0</v>
      </c>
      <c r="U94" s="120" t="str">
        <f ca="1">IF(N('Final Round'!$J$14)&gt;0,IF(ISBLANK($A94),"",IF($N94&gt;5,$N94,VLOOKUP($A94,'Final Round'!$A$14:$K$18,COLUMN('Final Round'!$J$1),0))),"")</f>
        <v/>
      </c>
      <c r="V94" s="36" t="str">
        <f t="shared" ca="1" si="39"/>
        <v/>
      </c>
      <c r="W94" s="36" t="str">
        <f t="shared" si="40"/>
        <v/>
      </c>
      <c r="X94" s="36" t="str">
        <f t="shared" si="41"/>
        <v/>
      </c>
      <c r="Y94" s="36">
        <f t="shared" si="42"/>
        <v>0</v>
      </c>
      <c r="Z94" s="36" t="str">
        <f t="shared" ca="1" si="43"/>
        <v/>
      </c>
      <c r="AA94" s="36">
        <f t="shared" ca="1" si="44"/>
        <v>0</v>
      </c>
      <c r="AB94" s="121" t="str">
        <f>IF(ISBLANK($A94),"",5+4*(I94+IF(AA94=0,0,VLOOKUP($A94,'Final Round'!$A$14:$K$18,COLUMN('Final Round'!$G$1),0)))+8*(H94+IF(AA94=0,0,IF(VLOOKUP($A94,'Final Round'!$A$14:$K$18,COLUMN('Final Round'!$J$1),0)=1,1,0)))+$AA94)</f>
        <v/>
      </c>
    </row>
    <row r="95" spans="1:28" x14ac:dyDescent="0.2">
      <c r="A95" s="137"/>
      <c r="B95" s="138"/>
      <c r="C95" s="138"/>
      <c r="D95" s="138"/>
      <c r="E95" s="139"/>
      <c r="F95" s="140" t="str">
        <f>IF(ISBLANK($A95),"",SUM(IF(ISNA(IF(VLOOKUP($A95,'Round 1'!$A$7:$J$206,COLUMN('Round 1'!$H$7),0),1,NA())),0,1),IF(ISNA(IF(VLOOKUP($A95,'Round 2'!$A$7:$J$206,COLUMN('Round 1'!$H$7),0),1,NA())),0,1),IF(ISNA(IF(VLOOKUP($A95,'Round 3'!$A$7:$J$206,COLUMN('Round 1'!$H$7),0),1,NA())),0,1),IF(ISNA(IF(VLOOKUP($A95,'Final Round'!$A$14:$K$18,1,0),1,NA())),0,1)))</f>
        <v/>
      </c>
      <c r="G95" s="141"/>
      <c r="H95" s="142" t="str">
        <f>IF(ISBLANK($A95),"",IF(ISERROR(VLOOKUP($A95,'Round 1'!$A$7:$I$206,COLUMN('Round 1'!$G$7),0)),0,VLOOKUP($A95,'Round 1'!$A$7:$I$206,COLUMN('Round 1'!$G$7),0))+IF(ISERROR(VLOOKUP($A95,'Round 2'!$A$7:$I$206,COLUMN('Round 2'!$G$7),0)),0,VLOOKUP($A95,'Round 2'!$A$7:$I$206,COLUMN('Round 2'!$G$7),0))+IF(ISERROR(VLOOKUP($A95,'Round 3'!$A$7:$I$206,COLUMN('Round 3'!$G$7),0)),0,VLOOKUP($A95,'Round 3'!$A$7:$I$206,COLUMN('Round 3'!$G$7),0)))</f>
        <v/>
      </c>
      <c r="I95" s="142" t="str">
        <f>IF(ISBLANK($A95),"",IF(ISERROR(VLOOKUP($A95,'Round 1'!$A$7:$I$206,COLUMN('Round 1'!$F$7),0)),0,VLOOKUP($A95,'Round 1'!$A$7:$I$206,COLUMN('Round 1'!$F$7),0))+IF(ISERROR(VLOOKUP($A95,'Round 2'!$A$7:$I$206,COLUMN('Round 2'!$F$7),0)),0,VLOOKUP($A95,'Round 2'!$A$7:$I$206,COLUMN('Round 2'!$F$7),0))+IF(ISERROR(VLOOKUP($A95,'Round 3'!$A$7:$I$206,COLUMN('Round 3'!$F$7),0)),0,VLOOKUP($A95,'Round 3'!$A$7:$I$206,COLUMN('Round 3'!$F$7),0)))</f>
        <v/>
      </c>
      <c r="J95" s="143" t="str">
        <f>IF(ISBLANK($A95),"",IF(ISERROR(VLOOKUP($A95,'Round 1'!$A$7:$I$206,COLUMN('Round 1'!$H$7),0)),0,VLOOKUP($A95,'Round 1'!$A$7:$I$206,COLUMN('Round 1'!$H$7),0))+IF(ISERROR(VLOOKUP($A95,'Round 2'!$A$7:$I$206,COLUMN('Round 2'!$H$7),0)),0,VLOOKUP($A95,'Round 2'!$A$7:$I$206,COLUMN('Round 2'!$H$7),0))+IF(ISERROR(VLOOKUP($A95,'Round 3'!$A$7:$I$206,COLUMN('Round 3'!$H$7),0)),0,VLOOKUP($A95,'Round 3'!$A$7:$I$206,COLUMN('Round 3'!$H$7),0)))</f>
        <v/>
      </c>
      <c r="K95" s="142" t="str">
        <f t="shared" si="30"/>
        <v/>
      </c>
      <c r="L95" s="144" t="str">
        <f t="shared" si="31"/>
        <v/>
      </c>
      <c r="M95" s="145"/>
      <c r="N95" s="146" t="str">
        <f t="shared" si="32"/>
        <v/>
      </c>
      <c r="O95" s="36" t="str">
        <f t="shared" si="33"/>
        <v/>
      </c>
      <c r="P95" s="36" t="str">
        <f t="shared" si="34"/>
        <v/>
      </c>
      <c r="Q95" s="36">
        <f t="shared" si="35"/>
        <v>-10</v>
      </c>
      <c r="R95" s="36" t="str">
        <f t="shared" si="36"/>
        <v/>
      </c>
      <c r="S95" s="36" t="str">
        <f t="shared" si="37"/>
        <v/>
      </c>
      <c r="T95" s="36">
        <f t="shared" si="38"/>
        <v>0</v>
      </c>
      <c r="U95" s="146" t="str">
        <f ca="1">IF(N('Final Round'!$J$14)&gt;0,IF(ISBLANK($A95),"",IF($N95&gt;5,$N95,VLOOKUP($A95,'Final Round'!$A$14:$K$18,COLUMN('Final Round'!$J$1),0))),"")</f>
        <v/>
      </c>
      <c r="V95" s="36" t="str">
        <f t="shared" ca="1" si="39"/>
        <v/>
      </c>
      <c r="W95" s="36" t="str">
        <f t="shared" si="40"/>
        <v/>
      </c>
      <c r="X95" s="36" t="str">
        <f t="shared" si="41"/>
        <v/>
      </c>
      <c r="Y95" s="36">
        <f t="shared" si="42"/>
        <v>0</v>
      </c>
      <c r="Z95" s="36" t="str">
        <f t="shared" ca="1" si="43"/>
        <v/>
      </c>
      <c r="AA95" s="36">
        <f t="shared" ca="1" si="44"/>
        <v>0</v>
      </c>
      <c r="AB95" s="147" t="str">
        <f>IF(ISBLANK($A95),"",5+4*(I95+IF(AA95=0,0,VLOOKUP($A95,'Final Round'!$A$14:$K$18,COLUMN('Final Round'!$G$1),0)))+8*(H95+IF(AA95=0,0,IF(VLOOKUP($A95,'Final Round'!$A$14:$K$18,COLUMN('Final Round'!$J$1),0)=1,1,0)))+$AA95)</f>
        <v/>
      </c>
    </row>
    <row r="96" spans="1:28" x14ac:dyDescent="0.2">
      <c r="A96" s="111"/>
      <c r="B96" s="112"/>
      <c r="C96" s="112"/>
      <c r="D96" s="112"/>
      <c r="E96" s="113"/>
      <c r="F96" s="114" t="str">
        <f>IF(ISBLANK($A96),"",SUM(IF(ISNA(IF(VLOOKUP($A96,'Round 1'!$A$7:$J$206,COLUMN('Round 1'!$H$7),0),1,NA())),0,1),IF(ISNA(IF(VLOOKUP($A96,'Round 2'!$A$7:$J$206,COLUMN('Round 1'!$H$7),0),1,NA())),0,1),IF(ISNA(IF(VLOOKUP($A96,'Round 3'!$A$7:$J$206,COLUMN('Round 1'!$H$7),0),1,NA())),0,1),IF(ISNA(IF(VLOOKUP($A96,'Final Round'!$A$14:$K$18,1,0),1,NA())),0,1)))</f>
        <v/>
      </c>
      <c r="G96" s="115"/>
      <c r="H96" s="116" t="str">
        <f>IF(ISBLANK($A96),"",IF(ISERROR(VLOOKUP($A96,'Round 1'!$A$7:$I$206,COLUMN('Round 1'!$G$7),0)),0,VLOOKUP($A96,'Round 1'!$A$7:$I$206,COLUMN('Round 1'!$G$7),0))+IF(ISERROR(VLOOKUP($A96,'Round 2'!$A$7:$I$206,COLUMN('Round 2'!$G$7),0)),0,VLOOKUP($A96,'Round 2'!$A$7:$I$206,COLUMN('Round 2'!$G$7),0))+IF(ISERROR(VLOOKUP($A96,'Round 3'!$A$7:$I$206,COLUMN('Round 3'!$G$7),0)),0,VLOOKUP($A96,'Round 3'!$A$7:$I$206,COLUMN('Round 3'!$G$7),0)))</f>
        <v/>
      </c>
      <c r="I96" s="116" t="str">
        <f>IF(ISBLANK($A96),"",IF(ISERROR(VLOOKUP($A96,'Round 1'!$A$7:$I$206,COLUMN('Round 1'!$F$7),0)),0,VLOOKUP($A96,'Round 1'!$A$7:$I$206,COLUMN('Round 1'!$F$7),0))+IF(ISERROR(VLOOKUP($A96,'Round 2'!$A$7:$I$206,COLUMN('Round 2'!$F$7),0)),0,VLOOKUP($A96,'Round 2'!$A$7:$I$206,COLUMN('Round 2'!$F$7),0))+IF(ISERROR(VLOOKUP($A96,'Round 3'!$A$7:$I$206,COLUMN('Round 3'!$F$7),0)),0,VLOOKUP($A96,'Round 3'!$A$7:$I$206,COLUMN('Round 3'!$F$7),0)))</f>
        <v/>
      </c>
      <c r="J96" s="117" t="str">
        <f>IF(ISBLANK($A96),"",IF(ISERROR(VLOOKUP($A96,'Round 1'!$A$7:$I$206,COLUMN('Round 1'!$H$7),0)),0,VLOOKUP($A96,'Round 1'!$A$7:$I$206,COLUMN('Round 1'!$H$7),0))+IF(ISERROR(VLOOKUP($A96,'Round 2'!$A$7:$I$206,COLUMN('Round 2'!$H$7),0)),0,VLOOKUP($A96,'Round 2'!$A$7:$I$206,COLUMN('Round 2'!$H$7),0))+IF(ISERROR(VLOOKUP($A96,'Round 3'!$A$7:$I$206,COLUMN('Round 3'!$H$7),0)),0,VLOOKUP($A96,'Round 3'!$A$7:$I$206,COLUMN('Round 3'!$H$7),0)))</f>
        <v/>
      </c>
      <c r="K96" s="116" t="str">
        <f t="shared" si="30"/>
        <v/>
      </c>
      <c r="L96" s="118" t="str">
        <f t="shared" si="31"/>
        <v/>
      </c>
      <c r="M96" s="119"/>
      <c r="N96" s="120" t="str">
        <f t="shared" si="32"/>
        <v/>
      </c>
      <c r="O96" s="36" t="str">
        <f t="shared" si="33"/>
        <v/>
      </c>
      <c r="P96" s="36" t="str">
        <f t="shared" si="34"/>
        <v/>
      </c>
      <c r="Q96" s="36">
        <f t="shared" si="35"/>
        <v>-10</v>
      </c>
      <c r="R96" s="36" t="str">
        <f t="shared" si="36"/>
        <v/>
      </c>
      <c r="S96" s="36" t="str">
        <f t="shared" si="37"/>
        <v/>
      </c>
      <c r="T96" s="36">
        <f t="shared" si="38"/>
        <v>0</v>
      </c>
      <c r="U96" s="120" t="str">
        <f ca="1">IF(N('Final Round'!$J$14)&gt;0,IF(ISBLANK($A96),"",IF($N96&gt;5,$N96,VLOOKUP($A96,'Final Round'!$A$14:$K$18,COLUMN('Final Round'!$J$1),0))),"")</f>
        <v/>
      </c>
      <c r="V96" s="36" t="str">
        <f t="shared" ca="1" si="39"/>
        <v/>
      </c>
      <c r="W96" s="36" t="str">
        <f t="shared" si="40"/>
        <v/>
      </c>
      <c r="X96" s="36" t="str">
        <f t="shared" si="41"/>
        <v/>
      </c>
      <c r="Y96" s="36">
        <f t="shared" si="42"/>
        <v>0</v>
      </c>
      <c r="Z96" s="36" t="str">
        <f t="shared" ca="1" si="43"/>
        <v/>
      </c>
      <c r="AA96" s="36">
        <f t="shared" ca="1" si="44"/>
        <v>0</v>
      </c>
      <c r="AB96" s="121" t="str">
        <f>IF(ISBLANK($A96),"",5+4*(I96+IF(AA96=0,0,VLOOKUP($A96,'Final Round'!$A$14:$K$18,COLUMN('Final Round'!$G$1),0)))+8*(H96+IF(AA96=0,0,IF(VLOOKUP($A96,'Final Round'!$A$14:$K$18,COLUMN('Final Round'!$J$1),0)=1,1,0)))+$AA96)</f>
        <v/>
      </c>
    </row>
    <row r="97" spans="1:28" x14ac:dyDescent="0.2">
      <c r="A97" s="137"/>
      <c r="B97" s="138"/>
      <c r="C97" s="138"/>
      <c r="D97" s="138"/>
      <c r="E97" s="139"/>
      <c r="F97" s="140" t="str">
        <f>IF(ISBLANK($A97),"",SUM(IF(ISNA(IF(VLOOKUP($A97,'Round 1'!$A$7:$J$206,COLUMN('Round 1'!$H$7),0),1,NA())),0,1),IF(ISNA(IF(VLOOKUP($A97,'Round 2'!$A$7:$J$206,COLUMN('Round 1'!$H$7),0),1,NA())),0,1),IF(ISNA(IF(VLOOKUP($A97,'Round 3'!$A$7:$J$206,COLUMN('Round 1'!$H$7),0),1,NA())),0,1),IF(ISNA(IF(VLOOKUP($A97,'Final Round'!$A$14:$K$18,1,0),1,NA())),0,1)))</f>
        <v/>
      </c>
      <c r="G97" s="141"/>
      <c r="H97" s="142" t="str">
        <f>IF(ISBLANK($A97),"",IF(ISERROR(VLOOKUP($A97,'Round 1'!$A$7:$I$206,COLUMN('Round 1'!$G$7),0)),0,VLOOKUP($A97,'Round 1'!$A$7:$I$206,COLUMN('Round 1'!$G$7),0))+IF(ISERROR(VLOOKUP($A97,'Round 2'!$A$7:$I$206,COLUMN('Round 2'!$G$7),0)),0,VLOOKUP($A97,'Round 2'!$A$7:$I$206,COLUMN('Round 2'!$G$7),0))+IF(ISERROR(VLOOKUP($A97,'Round 3'!$A$7:$I$206,COLUMN('Round 3'!$G$7),0)),0,VLOOKUP($A97,'Round 3'!$A$7:$I$206,COLUMN('Round 3'!$G$7),0)))</f>
        <v/>
      </c>
      <c r="I97" s="142" t="str">
        <f>IF(ISBLANK($A97),"",IF(ISERROR(VLOOKUP($A97,'Round 1'!$A$7:$I$206,COLUMN('Round 1'!$F$7),0)),0,VLOOKUP($A97,'Round 1'!$A$7:$I$206,COLUMN('Round 1'!$F$7),0))+IF(ISERROR(VLOOKUP($A97,'Round 2'!$A$7:$I$206,COLUMN('Round 2'!$F$7),0)),0,VLOOKUP($A97,'Round 2'!$A$7:$I$206,COLUMN('Round 2'!$F$7),0))+IF(ISERROR(VLOOKUP($A97,'Round 3'!$A$7:$I$206,COLUMN('Round 3'!$F$7),0)),0,VLOOKUP($A97,'Round 3'!$A$7:$I$206,COLUMN('Round 3'!$F$7),0)))</f>
        <v/>
      </c>
      <c r="J97" s="143" t="str">
        <f>IF(ISBLANK($A97),"",IF(ISERROR(VLOOKUP($A97,'Round 1'!$A$7:$I$206,COLUMN('Round 1'!$H$7),0)),0,VLOOKUP($A97,'Round 1'!$A$7:$I$206,COLUMN('Round 1'!$H$7),0))+IF(ISERROR(VLOOKUP($A97,'Round 2'!$A$7:$I$206,COLUMN('Round 2'!$H$7),0)),0,VLOOKUP($A97,'Round 2'!$A$7:$I$206,COLUMN('Round 2'!$H$7),0))+IF(ISERROR(VLOOKUP($A97,'Round 3'!$A$7:$I$206,COLUMN('Round 3'!$H$7),0)),0,VLOOKUP($A97,'Round 3'!$A$7:$I$206,COLUMN('Round 3'!$H$7),0)))</f>
        <v/>
      </c>
      <c r="K97" s="142" t="str">
        <f t="shared" si="30"/>
        <v/>
      </c>
      <c r="L97" s="144" t="str">
        <f t="shared" si="31"/>
        <v/>
      </c>
      <c r="M97" s="145"/>
      <c r="N97" s="146" t="str">
        <f t="shared" si="32"/>
        <v/>
      </c>
      <c r="O97" s="36" t="str">
        <f t="shared" si="33"/>
        <v/>
      </c>
      <c r="P97" s="36" t="str">
        <f t="shared" si="34"/>
        <v/>
      </c>
      <c r="Q97" s="36">
        <f t="shared" si="35"/>
        <v>-10</v>
      </c>
      <c r="R97" s="36" t="str">
        <f t="shared" si="36"/>
        <v/>
      </c>
      <c r="S97" s="36" t="str">
        <f t="shared" si="37"/>
        <v/>
      </c>
      <c r="T97" s="36">
        <f t="shared" si="38"/>
        <v>0</v>
      </c>
      <c r="U97" s="146" t="str">
        <f ca="1">IF(N('Final Round'!$J$14)&gt;0,IF(ISBLANK($A97),"",IF($N97&gt;5,$N97,VLOOKUP($A97,'Final Round'!$A$14:$K$18,COLUMN('Final Round'!$J$1),0))),"")</f>
        <v/>
      </c>
      <c r="V97" s="36" t="str">
        <f t="shared" ca="1" si="39"/>
        <v/>
      </c>
      <c r="W97" s="36" t="str">
        <f t="shared" si="40"/>
        <v/>
      </c>
      <c r="X97" s="36" t="str">
        <f t="shared" si="41"/>
        <v/>
      </c>
      <c r="Y97" s="36">
        <f t="shared" si="42"/>
        <v>0</v>
      </c>
      <c r="Z97" s="36" t="str">
        <f t="shared" ca="1" si="43"/>
        <v/>
      </c>
      <c r="AA97" s="36">
        <f t="shared" ca="1" si="44"/>
        <v>0</v>
      </c>
      <c r="AB97" s="147" t="str">
        <f>IF(ISBLANK($A97),"",5+4*(I97+IF(AA97=0,0,VLOOKUP($A97,'Final Round'!$A$14:$K$18,COLUMN('Final Round'!$G$1),0)))+8*(H97+IF(AA97=0,0,IF(VLOOKUP($A97,'Final Round'!$A$14:$K$18,COLUMN('Final Round'!$J$1),0)=1,1,0)))+$AA97)</f>
        <v/>
      </c>
    </row>
    <row r="98" spans="1:28" x14ac:dyDescent="0.2">
      <c r="A98" s="111"/>
      <c r="B98" s="112"/>
      <c r="C98" s="112"/>
      <c r="D98" s="112"/>
      <c r="E98" s="113"/>
      <c r="F98" s="114" t="str">
        <f>IF(ISBLANK($A98),"",SUM(IF(ISNA(IF(VLOOKUP($A98,'Round 1'!$A$7:$J$206,COLUMN('Round 1'!$H$7),0),1,NA())),0,1),IF(ISNA(IF(VLOOKUP($A98,'Round 2'!$A$7:$J$206,COLUMN('Round 1'!$H$7),0),1,NA())),0,1),IF(ISNA(IF(VLOOKUP($A98,'Round 3'!$A$7:$J$206,COLUMN('Round 1'!$H$7),0),1,NA())),0,1),IF(ISNA(IF(VLOOKUP($A98,'Final Round'!$A$14:$K$18,1,0),1,NA())),0,1)))</f>
        <v/>
      </c>
      <c r="G98" s="115"/>
      <c r="H98" s="116" t="str">
        <f>IF(ISBLANK($A98),"",IF(ISERROR(VLOOKUP($A98,'Round 1'!$A$7:$I$206,COLUMN('Round 1'!$G$7),0)),0,VLOOKUP($A98,'Round 1'!$A$7:$I$206,COLUMN('Round 1'!$G$7),0))+IF(ISERROR(VLOOKUP($A98,'Round 2'!$A$7:$I$206,COLUMN('Round 2'!$G$7),0)),0,VLOOKUP($A98,'Round 2'!$A$7:$I$206,COLUMN('Round 2'!$G$7),0))+IF(ISERROR(VLOOKUP($A98,'Round 3'!$A$7:$I$206,COLUMN('Round 3'!$G$7),0)),0,VLOOKUP($A98,'Round 3'!$A$7:$I$206,COLUMN('Round 3'!$G$7),0)))</f>
        <v/>
      </c>
      <c r="I98" s="116" t="str">
        <f>IF(ISBLANK($A98),"",IF(ISERROR(VLOOKUP($A98,'Round 1'!$A$7:$I$206,COLUMN('Round 1'!$F$7),0)),0,VLOOKUP($A98,'Round 1'!$A$7:$I$206,COLUMN('Round 1'!$F$7),0))+IF(ISERROR(VLOOKUP($A98,'Round 2'!$A$7:$I$206,COLUMN('Round 2'!$F$7),0)),0,VLOOKUP($A98,'Round 2'!$A$7:$I$206,COLUMN('Round 2'!$F$7),0))+IF(ISERROR(VLOOKUP($A98,'Round 3'!$A$7:$I$206,COLUMN('Round 3'!$F$7),0)),0,VLOOKUP($A98,'Round 3'!$A$7:$I$206,COLUMN('Round 3'!$F$7),0)))</f>
        <v/>
      </c>
      <c r="J98" s="117" t="str">
        <f>IF(ISBLANK($A98),"",IF(ISERROR(VLOOKUP($A98,'Round 1'!$A$7:$I$206,COLUMN('Round 1'!$H$7),0)),0,VLOOKUP($A98,'Round 1'!$A$7:$I$206,COLUMN('Round 1'!$H$7),0))+IF(ISERROR(VLOOKUP($A98,'Round 2'!$A$7:$I$206,COLUMN('Round 2'!$H$7),0)),0,VLOOKUP($A98,'Round 2'!$A$7:$I$206,COLUMN('Round 2'!$H$7),0))+IF(ISERROR(VLOOKUP($A98,'Round 3'!$A$7:$I$206,COLUMN('Round 3'!$H$7),0)),0,VLOOKUP($A98,'Round 3'!$A$7:$I$206,COLUMN('Round 3'!$H$7),0)))</f>
        <v/>
      </c>
      <c r="K98" s="116" t="str">
        <f t="shared" si="30"/>
        <v/>
      </c>
      <c r="L98" s="118" t="str">
        <f t="shared" si="31"/>
        <v/>
      </c>
      <c r="M98" s="119"/>
      <c r="N98" s="120" t="str">
        <f t="shared" si="32"/>
        <v/>
      </c>
      <c r="O98" s="36" t="str">
        <f t="shared" si="33"/>
        <v/>
      </c>
      <c r="P98" s="36" t="str">
        <f t="shared" si="34"/>
        <v/>
      </c>
      <c r="Q98" s="36">
        <f t="shared" si="35"/>
        <v>-10</v>
      </c>
      <c r="R98" s="36" t="str">
        <f t="shared" si="36"/>
        <v/>
      </c>
      <c r="S98" s="36" t="str">
        <f t="shared" si="37"/>
        <v/>
      </c>
      <c r="T98" s="36">
        <f t="shared" si="38"/>
        <v>0</v>
      </c>
      <c r="U98" s="120" t="str">
        <f ca="1">IF(N('Final Round'!$J$14)&gt;0,IF(ISBLANK($A98),"",IF($N98&gt;5,$N98,VLOOKUP($A98,'Final Round'!$A$14:$K$18,COLUMN('Final Round'!$J$1),0))),"")</f>
        <v/>
      </c>
      <c r="V98" s="36" t="str">
        <f t="shared" ca="1" si="39"/>
        <v/>
      </c>
      <c r="W98" s="36" t="str">
        <f t="shared" si="40"/>
        <v/>
      </c>
      <c r="X98" s="36" t="str">
        <f t="shared" si="41"/>
        <v/>
      </c>
      <c r="Y98" s="36">
        <f t="shared" si="42"/>
        <v>0</v>
      </c>
      <c r="Z98" s="36" t="str">
        <f t="shared" ca="1" si="43"/>
        <v/>
      </c>
      <c r="AA98" s="36">
        <f t="shared" ca="1" si="44"/>
        <v>0</v>
      </c>
      <c r="AB98" s="121" t="str">
        <f>IF(ISBLANK($A98),"",5+4*(I98+IF(AA98=0,0,VLOOKUP($A98,'Final Round'!$A$14:$K$18,COLUMN('Final Round'!$G$1),0)))+8*(H98+IF(AA98=0,0,IF(VLOOKUP($A98,'Final Round'!$A$14:$K$18,COLUMN('Final Round'!$J$1),0)=1,1,0)))+$AA98)</f>
        <v/>
      </c>
    </row>
    <row r="99" spans="1:28" x14ac:dyDescent="0.2">
      <c r="A99" s="137"/>
      <c r="B99" s="138"/>
      <c r="C99" s="138"/>
      <c r="D99" s="138"/>
      <c r="E99" s="139"/>
      <c r="F99" s="140" t="str">
        <f>IF(ISBLANK($A99),"",SUM(IF(ISNA(IF(VLOOKUP($A99,'Round 1'!$A$7:$J$206,COLUMN('Round 1'!$H$7),0),1,NA())),0,1),IF(ISNA(IF(VLOOKUP($A99,'Round 2'!$A$7:$J$206,COLUMN('Round 1'!$H$7),0),1,NA())),0,1),IF(ISNA(IF(VLOOKUP($A99,'Round 3'!$A$7:$J$206,COLUMN('Round 1'!$H$7),0),1,NA())),0,1),IF(ISNA(IF(VLOOKUP($A99,'Final Round'!$A$14:$K$18,1,0),1,NA())),0,1)))</f>
        <v/>
      </c>
      <c r="G99" s="141"/>
      <c r="H99" s="142" t="str">
        <f>IF(ISBLANK($A99),"",IF(ISERROR(VLOOKUP($A99,'Round 1'!$A$7:$I$206,COLUMN('Round 1'!$G$7),0)),0,VLOOKUP($A99,'Round 1'!$A$7:$I$206,COLUMN('Round 1'!$G$7),0))+IF(ISERROR(VLOOKUP($A99,'Round 2'!$A$7:$I$206,COLUMN('Round 2'!$G$7),0)),0,VLOOKUP($A99,'Round 2'!$A$7:$I$206,COLUMN('Round 2'!$G$7),0))+IF(ISERROR(VLOOKUP($A99,'Round 3'!$A$7:$I$206,COLUMN('Round 3'!$G$7),0)),0,VLOOKUP($A99,'Round 3'!$A$7:$I$206,COLUMN('Round 3'!$G$7),0)))</f>
        <v/>
      </c>
      <c r="I99" s="142" t="str">
        <f>IF(ISBLANK($A99),"",IF(ISERROR(VLOOKUP($A99,'Round 1'!$A$7:$I$206,COLUMN('Round 1'!$F$7),0)),0,VLOOKUP($A99,'Round 1'!$A$7:$I$206,COLUMN('Round 1'!$F$7),0))+IF(ISERROR(VLOOKUP($A99,'Round 2'!$A$7:$I$206,COLUMN('Round 2'!$F$7),0)),0,VLOOKUP($A99,'Round 2'!$A$7:$I$206,COLUMN('Round 2'!$F$7),0))+IF(ISERROR(VLOOKUP($A99,'Round 3'!$A$7:$I$206,COLUMN('Round 3'!$F$7),0)),0,VLOOKUP($A99,'Round 3'!$A$7:$I$206,COLUMN('Round 3'!$F$7),0)))</f>
        <v/>
      </c>
      <c r="J99" s="143" t="str">
        <f>IF(ISBLANK($A99),"",IF(ISERROR(VLOOKUP($A99,'Round 1'!$A$7:$I$206,COLUMN('Round 1'!$H$7),0)),0,VLOOKUP($A99,'Round 1'!$A$7:$I$206,COLUMN('Round 1'!$H$7),0))+IF(ISERROR(VLOOKUP($A99,'Round 2'!$A$7:$I$206,COLUMN('Round 2'!$H$7),0)),0,VLOOKUP($A99,'Round 2'!$A$7:$I$206,COLUMN('Round 2'!$H$7),0))+IF(ISERROR(VLOOKUP($A99,'Round 3'!$A$7:$I$206,COLUMN('Round 3'!$H$7),0)),0,VLOOKUP($A99,'Round 3'!$A$7:$I$206,COLUMN('Round 3'!$H$7),0)))</f>
        <v/>
      </c>
      <c r="K99" s="142" t="str">
        <f t="shared" si="30"/>
        <v/>
      </c>
      <c r="L99" s="144" t="str">
        <f t="shared" si="31"/>
        <v/>
      </c>
      <c r="M99" s="145"/>
      <c r="N99" s="146" t="str">
        <f t="shared" si="32"/>
        <v/>
      </c>
      <c r="O99" s="36" t="str">
        <f t="shared" si="33"/>
        <v/>
      </c>
      <c r="P99" s="36" t="str">
        <f t="shared" si="34"/>
        <v/>
      </c>
      <c r="Q99" s="36">
        <f t="shared" si="35"/>
        <v>-10</v>
      </c>
      <c r="R99" s="36" t="str">
        <f t="shared" si="36"/>
        <v/>
      </c>
      <c r="S99" s="36" t="str">
        <f t="shared" si="37"/>
        <v/>
      </c>
      <c r="T99" s="36">
        <f t="shared" si="38"/>
        <v>0</v>
      </c>
      <c r="U99" s="146" t="str">
        <f ca="1">IF(N('Final Round'!$J$14)&gt;0,IF(ISBLANK($A99),"",IF($N99&gt;5,$N99,VLOOKUP($A99,'Final Round'!$A$14:$K$18,COLUMN('Final Round'!$J$1),0))),"")</f>
        <v/>
      </c>
      <c r="V99" s="36" t="str">
        <f t="shared" ca="1" si="39"/>
        <v/>
      </c>
      <c r="W99" s="36" t="str">
        <f t="shared" si="40"/>
        <v/>
      </c>
      <c r="X99" s="36" t="str">
        <f t="shared" si="41"/>
        <v/>
      </c>
      <c r="Y99" s="36">
        <f t="shared" si="42"/>
        <v>0</v>
      </c>
      <c r="Z99" s="36" t="str">
        <f t="shared" ca="1" si="43"/>
        <v/>
      </c>
      <c r="AA99" s="36">
        <f t="shared" ca="1" si="44"/>
        <v>0</v>
      </c>
      <c r="AB99" s="147" t="str">
        <f>IF(ISBLANK($A99),"",5+4*(I99+IF(AA99=0,0,VLOOKUP($A99,'Final Round'!$A$14:$K$18,COLUMN('Final Round'!$G$1),0)))+8*(H99+IF(AA99=0,0,IF(VLOOKUP($A99,'Final Round'!$A$14:$K$18,COLUMN('Final Round'!$J$1),0)=1,1,0)))+$AA99)</f>
        <v/>
      </c>
    </row>
    <row r="100" spans="1:28" x14ac:dyDescent="0.2">
      <c r="A100" s="111"/>
      <c r="B100" s="112"/>
      <c r="C100" s="112"/>
      <c r="D100" s="112"/>
      <c r="E100" s="113"/>
      <c r="F100" s="114" t="str">
        <f>IF(ISBLANK($A100),"",SUM(IF(ISNA(IF(VLOOKUP($A100,'Round 1'!$A$7:$J$206,COLUMN('Round 1'!$H$7),0),1,NA())),0,1),IF(ISNA(IF(VLOOKUP($A100,'Round 2'!$A$7:$J$206,COLUMN('Round 1'!$H$7),0),1,NA())),0,1),IF(ISNA(IF(VLOOKUP($A100,'Round 3'!$A$7:$J$206,COLUMN('Round 1'!$H$7),0),1,NA())),0,1),IF(ISNA(IF(VLOOKUP($A100,'Final Round'!$A$14:$K$18,1,0),1,NA())),0,1)))</f>
        <v/>
      </c>
      <c r="G100" s="115"/>
      <c r="H100" s="116" t="str">
        <f>IF(ISBLANK($A100),"",IF(ISERROR(VLOOKUP($A100,'Round 1'!$A$7:$I$206,COLUMN('Round 1'!$G$7),0)),0,VLOOKUP($A100,'Round 1'!$A$7:$I$206,COLUMN('Round 1'!$G$7),0))+IF(ISERROR(VLOOKUP($A100,'Round 2'!$A$7:$I$206,COLUMN('Round 2'!$G$7),0)),0,VLOOKUP($A100,'Round 2'!$A$7:$I$206,COLUMN('Round 2'!$G$7),0))+IF(ISERROR(VLOOKUP($A100,'Round 3'!$A$7:$I$206,COLUMN('Round 3'!$G$7),0)),0,VLOOKUP($A100,'Round 3'!$A$7:$I$206,COLUMN('Round 3'!$G$7),0)))</f>
        <v/>
      </c>
      <c r="I100" s="116" t="str">
        <f>IF(ISBLANK($A100),"",IF(ISERROR(VLOOKUP($A100,'Round 1'!$A$7:$I$206,COLUMN('Round 1'!$F$7),0)),0,VLOOKUP($A100,'Round 1'!$A$7:$I$206,COLUMN('Round 1'!$F$7),0))+IF(ISERROR(VLOOKUP($A100,'Round 2'!$A$7:$I$206,COLUMN('Round 2'!$F$7),0)),0,VLOOKUP($A100,'Round 2'!$A$7:$I$206,COLUMN('Round 2'!$F$7),0))+IF(ISERROR(VLOOKUP($A100,'Round 3'!$A$7:$I$206,COLUMN('Round 3'!$F$7),0)),0,VLOOKUP($A100,'Round 3'!$A$7:$I$206,COLUMN('Round 3'!$F$7),0)))</f>
        <v/>
      </c>
      <c r="J100" s="117" t="str">
        <f>IF(ISBLANK($A100),"",IF(ISERROR(VLOOKUP($A100,'Round 1'!$A$7:$I$206,COLUMN('Round 1'!$H$7),0)),0,VLOOKUP($A100,'Round 1'!$A$7:$I$206,COLUMN('Round 1'!$H$7),0))+IF(ISERROR(VLOOKUP($A100,'Round 2'!$A$7:$I$206,COLUMN('Round 2'!$H$7),0)),0,VLOOKUP($A100,'Round 2'!$A$7:$I$206,COLUMN('Round 2'!$H$7),0))+IF(ISERROR(VLOOKUP($A100,'Round 3'!$A$7:$I$206,COLUMN('Round 3'!$H$7),0)),0,VLOOKUP($A100,'Round 3'!$A$7:$I$206,COLUMN('Round 3'!$H$7),0)))</f>
        <v/>
      </c>
      <c r="K100" s="116" t="str">
        <f t="shared" si="30"/>
        <v/>
      </c>
      <c r="L100" s="118" t="str">
        <f t="shared" si="31"/>
        <v/>
      </c>
      <c r="M100" s="119"/>
      <c r="N100" s="120" t="str">
        <f t="shared" si="32"/>
        <v/>
      </c>
      <c r="O100" s="36" t="str">
        <f t="shared" si="33"/>
        <v/>
      </c>
      <c r="P100" s="36" t="str">
        <f t="shared" si="34"/>
        <v/>
      </c>
      <c r="Q100" s="36">
        <f t="shared" si="35"/>
        <v>-10</v>
      </c>
      <c r="R100" s="36" t="str">
        <f t="shared" si="36"/>
        <v/>
      </c>
      <c r="S100" s="36" t="str">
        <f t="shared" si="37"/>
        <v/>
      </c>
      <c r="T100" s="36">
        <f t="shared" si="38"/>
        <v>0</v>
      </c>
      <c r="U100" s="120" t="str">
        <f ca="1">IF(N('Final Round'!$J$14)&gt;0,IF(ISBLANK($A100),"",IF($N100&gt;5,$N100,VLOOKUP($A100,'Final Round'!$A$14:$K$18,COLUMN('Final Round'!$J$1),0))),"")</f>
        <v/>
      </c>
      <c r="V100" s="36" t="str">
        <f t="shared" ca="1" si="39"/>
        <v/>
      </c>
      <c r="W100" s="36" t="str">
        <f t="shared" si="40"/>
        <v/>
      </c>
      <c r="X100" s="36" t="str">
        <f t="shared" si="41"/>
        <v/>
      </c>
      <c r="Y100" s="36">
        <f t="shared" si="42"/>
        <v>0</v>
      </c>
      <c r="Z100" s="36" t="str">
        <f t="shared" ca="1" si="43"/>
        <v/>
      </c>
      <c r="AA100" s="36">
        <f t="shared" ca="1" si="44"/>
        <v>0</v>
      </c>
      <c r="AB100" s="121" t="str">
        <f>IF(ISBLANK($A100),"",5+4*(I100+IF(AA100=0,0,VLOOKUP($A100,'Final Round'!$A$14:$K$18,COLUMN('Final Round'!$G$1),0)))+8*(H100+IF(AA100=0,0,IF(VLOOKUP($A100,'Final Round'!$A$14:$K$18,COLUMN('Final Round'!$J$1),0)=1,1,0)))+$AA100)</f>
        <v/>
      </c>
    </row>
    <row r="101" spans="1:28" x14ac:dyDescent="0.2">
      <c r="A101" s="137"/>
      <c r="B101" s="138"/>
      <c r="C101" s="138"/>
      <c r="D101" s="138"/>
      <c r="E101" s="139"/>
      <c r="F101" s="140" t="str">
        <f>IF(ISBLANK($A101),"",SUM(IF(ISNA(IF(VLOOKUP($A101,'Round 1'!$A$7:$J$206,COLUMN('Round 1'!$H$7),0),1,NA())),0,1),IF(ISNA(IF(VLOOKUP($A101,'Round 2'!$A$7:$J$206,COLUMN('Round 1'!$H$7),0),1,NA())),0,1),IF(ISNA(IF(VLOOKUP($A101,'Round 3'!$A$7:$J$206,COLUMN('Round 1'!$H$7),0),1,NA())),0,1),IF(ISNA(IF(VLOOKUP($A101,'Final Round'!$A$14:$K$18,1,0),1,NA())),0,1)))</f>
        <v/>
      </c>
      <c r="G101" s="141"/>
      <c r="H101" s="142" t="str">
        <f>IF(ISBLANK($A101),"",IF(ISERROR(VLOOKUP($A101,'Round 1'!$A$7:$I$206,COLUMN('Round 1'!$G$7),0)),0,VLOOKUP($A101,'Round 1'!$A$7:$I$206,COLUMN('Round 1'!$G$7),0))+IF(ISERROR(VLOOKUP($A101,'Round 2'!$A$7:$I$206,COLUMN('Round 2'!$G$7),0)),0,VLOOKUP($A101,'Round 2'!$A$7:$I$206,COLUMN('Round 2'!$G$7),0))+IF(ISERROR(VLOOKUP($A101,'Round 3'!$A$7:$I$206,COLUMN('Round 3'!$G$7),0)),0,VLOOKUP($A101,'Round 3'!$A$7:$I$206,COLUMN('Round 3'!$G$7),0)))</f>
        <v/>
      </c>
      <c r="I101" s="142" t="str">
        <f>IF(ISBLANK($A101),"",IF(ISERROR(VLOOKUP($A101,'Round 1'!$A$7:$I$206,COLUMN('Round 1'!$F$7),0)),0,VLOOKUP($A101,'Round 1'!$A$7:$I$206,COLUMN('Round 1'!$F$7),0))+IF(ISERROR(VLOOKUP($A101,'Round 2'!$A$7:$I$206,COLUMN('Round 2'!$F$7),0)),0,VLOOKUP($A101,'Round 2'!$A$7:$I$206,COLUMN('Round 2'!$F$7),0))+IF(ISERROR(VLOOKUP($A101,'Round 3'!$A$7:$I$206,COLUMN('Round 3'!$F$7),0)),0,VLOOKUP($A101,'Round 3'!$A$7:$I$206,COLUMN('Round 3'!$F$7),0)))</f>
        <v/>
      </c>
      <c r="J101" s="143" t="str">
        <f>IF(ISBLANK($A101),"",IF(ISERROR(VLOOKUP($A101,'Round 1'!$A$7:$I$206,COLUMN('Round 1'!$H$7),0)),0,VLOOKUP($A101,'Round 1'!$A$7:$I$206,COLUMN('Round 1'!$H$7),0))+IF(ISERROR(VLOOKUP($A101,'Round 2'!$A$7:$I$206,COLUMN('Round 2'!$H$7),0)),0,VLOOKUP($A101,'Round 2'!$A$7:$I$206,COLUMN('Round 2'!$H$7),0))+IF(ISERROR(VLOOKUP($A101,'Round 3'!$A$7:$I$206,COLUMN('Round 3'!$H$7),0)),0,VLOOKUP($A101,'Round 3'!$A$7:$I$206,COLUMN('Round 3'!$H$7),0)))</f>
        <v/>
      </c>
      <c r="K101" s="142" t="str">
        <f t="shared" si="30"/>
        <v/>
      </c>
      <c r="L101" s="144" t="str">
        <f t="shared" si="31"/>
        <v/>
      </c>
      <c r="M101" s="145"/>
      <c r="N101" s="146" t="str">
        <f t="shared" si="32"/>
        <v/>
      </c>
      <c r="O101" s="36" t="str">
        <f t="shared" si="33"/>
        <v/>
      </c>
      <c r="P101" s="36" t="str">
        <f t="shared" si="34"/>
        <v/>
      </c>
      <c r="Q101" s="36">
        <f t="shared" si="35"/>
        <v>-10</v>
      </c>
      <c r="R101" s="36" t="str">
        <f t="shared" si="36"/>
        <v/>
      </c>
      <c r="S101" s="36" t="str">
        <f t="shared" si="37"/>
        <v/>
      </c>
      <c r="T101" s="36">
        <f t="shared" si="38"/>
        <v>0</v>
      </c>
      <c r="U101" s="146" t="str">
        <f ca="1">IF(N('Final Round'!$J$14)&gt;0,IF(ISBLANK($A101),"",IF($N101&gt;5,$N101,VLOOKUP($A101,'Final Round'!$A$14:$K$18,COLUMN('Final Round'!$J$1),0))),"")</f>
        <v/>
      </c>
      <c r="V101" s="36" t="str">
        <f t="shared" ca="1" si="39"/>
        <v/>
      </c>
      <c r="W101" s="36" t="str">
        <f t="shared" si="40"/>
        <v/>
      </c>
      <c r="X101" s="36" t="str">
        <f t="shared" si="41"/>
        <v/>
      </c>
      <c r="Y101" s="36">
        <f t="shared" si="42"/>
        <v>0</v>
      </c>
      <c r="Z101" s="36" t="str">
        <f t="shared" ca="1" si="43"/>
        <v/>
      </c>
      <c r="AA101" s="36">
        <f t="shared" ca="1" si="44"/>
        <v>0</v>
      </c>
      <c r="AB101" s="147" t="str">
        <f>IF(ISBLANK($A101),"",5+4*(I101+IF(AA101=0,0,VLOOKUP($A101,'Final Round'!$A$14:$K$18,COLUMN('Final Round'!$G$1),0)))+8*(H101+IF(AA101=0,0,IF(VLOOKUP($A101,'Final Round'!$A$14:$K$18,COLUMN('Final Round'!$J$1),0)=1,1,0)))+$AA101)</f>
        <v/>
      </c>
    </row>
    <row r="102" spans="1:28" x14ac:dyDescent="0.2">
      <c r="A102" s="111"/>
      <c r="B102" s="112"/>
      <c r="C102" s="112"/>
      <c r="D102" s="112"/>
      <c r="E102" s="113"/>
      <c r="F102" s="114" t="str">
        <f>IF(ISBLANK($A102),"",SUM(IF(ISNA(IF(VLOOKUP($A102,'Round 1'!$A$7:$J$206,COLUMN('Round 1'!$H$7),0),1,NA())),0,1),IF(ISNA(IF(VLOOKUP($A102,'Round 2'!$A$7:$J$206,COLUMN('Round 1'!$H$7),0),1,NA())),0,1),IF(ISNA(IF(VLOOKUP($A102,'Round 3'!$A$7:$J$206,COLUMN('Round 1'!$H$7),0),1,NA())),0,1),IF(ISNA(IF(VLOOKUP($A102,'Final Round'!$A$14:$K$18,1,0),1,NA())),0,1)))</f>
        <v/>
      </c>
      <c r="G102" s="115"/>
      <c r="H102" s="116" t="str">
        <f>IF(ISBLANK($A102),"",IF(ISERROR(VLOOKUP($A102,'Round 1'!$A$7:$I$206,COLUMN('Round 1'!$G$7),0)),0,VLOOKUP($A102,'Round 1'!$A$7:$I$206,COLUMN('Round 1'!$G$7),0))+IF(ISERROR(VLOOKUP($A102,'Round 2'!$A$7:$I$206,COLUMN('Round 2'!$G$7),0)),0,VLOOKUP($A102,'Round 2'!$A$7:$I$206,COLUMN('Round 2'!$G$7),0))+IF(ISERROR(VLOOKUP($A102,'Round 3'!$A$7:$I$206,COLUMN('Round 3'!$G$7),0)),0,VLOOKUP($A102,'Round 3'!$A$7:$I$206,COLUMN('Round 3'!$G$7),0)))</f>
        <v/>
      </c>
      <c r="I102" s="116" t="str">
        <f>IF(ISBLANK($A102),"",IF(ISERROR(VLOOKUP($A102,'Round 1'!$A$7:$I$206,COLUMN('Round 1'!$F$7),0)),0,VLOOKUP($A102,'Round 1'!$A$7:$I$206,COLUMN('Round 1'!$F$7),0))+IF(ISERROR(VLOOKUP($A102,'Round 2'!$A$7:$I$206,COLUMN('Round 2'!$F$7),0)),0,VLOOKUP($A102,'Round 2'!$A$7:$I$206,COLUMN('Round 2'!$F$7),0))+IF(ISERROR(VLOOKUP($A102,'Round 3'!$A$7:$I$206,COLUMN('Round 3'!$F$7),0)),0,VLOOKUP($A102,'Round 3'!$A$7:$I$206,COLUMN('Round 3'!$F$7),0)))</f>
        <v/>
      </c>
      <c r="J102" s="117" t="str">
        <f>IF(ISBLANK($A102),"",IF(ISERROR(VLOOKUP($A102,'Round 1'!$A$7:$I$206,COLUMN('Round 1'!$H$7),0)),0,VLOOKUP($A102,'Round 1'!$A$7:$I$206,COLUMN('Round 1'!$H$7),0))+IF(ISERROR(VLOOKUP($A102,'Round 2'!$A$7:$I$206,COLUMN('Round 2'!$H$7),0)),0,VLOOKUP($A102,'Round 2'!$A$7:$I$206,COLUMN('Round 2'!$H$7),0))+IF(ISERROR(VLOOKUP($A102,'Round 3'!$A$7:$I$206,COLUMN('Round 3'!$H$7),0)),0,VLOOKUP($A102,'Round 3'!$A$7:$I$206,COLUMN('Round 3'!$H$7),0)))</f>
        <v/>
      </c>
      <c r="K102" s="116" t="str">
        <f t="shared" si="30"/>
        <v/>
      </c>
      <c r="L102" s="118" t="str">
        <f t="shared" si="31"/>
        <v/>
      </c>
      <c r="M102" s="119"/>
      <c r="N102" s="120" t="str">
        <f t="shared" si="32"/>
        <v/>
      </c>
      <c r="O102" s="36" t="str">
        <f t="shared" si="33"/>
        <v/>
      </c>
      <c r="P102" s="36" t="str">
        <f t="shared" si="34"/>
        <v/>
      </c>
      <c r="Q102" s="36">
        <f t="shared" si="35"/>
        <v>-10</v>
      </c>
      <c r="R102" s="36" t="str">
        <f t="shared" si="36"/>
        <v/>
      </c>
      <c r="S102" s="36" t="str">
        <f t="shared" si="37"/>
        <v/>
      </c>
      <c r="T102" s="36">
        <f t="shared" si="38"/>
        <v>0</v>
      </c>
      <c r="U102" s="120" t="str">
        <f ca="1">IF(N('Final Round'!$J$14)&gt;0,IF(ISBLANK($A102),"",IF($N102&gt;5,$N102,VLOOKUP($A102,'Final Round'!$A$14:$K$18,COLUMN('Final Round'!$J$1),0))),"")</f>
        <v/>
      </c>
      <c r="V102" s="36" t="str">
        <f t="shared" ca="1" si="39"/>
        <v/>
      </c>
      <c r="W102" s="36" t="str">
        <f t="shared" si="40"/>
        <v/>
      </c>
      <c r="X102" s="36" t="str">
        <f t="shared" si="41"/>
        <v/>
      </c>
      <c r="Y102" s="36">
        <f t="shared" si="42"/>
        <v>0</v>
      </c>
      <c r="Z102" s="36" t="str">
        <f t="shared" ca="1" si="43"/>
        <v/>
      </c>
      <c r="AA102" s="36">
        <f t="shared" ca="1" si="44"/>
        <v>0</v>
      </c>
      <c r="AB102" s="121" t="str">
        <f>IF(ISBLANK($A102),"",5+4*(I102+IF(AA102=0,0,VLOOKUP($A102,'Final Round'!$A$14:$K$18,COLUMN('Final Round'!$G$1),0)))+8*(H102+IF(AA102=0,0,IF(VLOOKUP($A102,'Final Round'!$A$14:$K$18,COLUMN('Final Round'!$J$1),0)=1,1,0)))+$AA102)</f>
        <v/>
      </c>
    </row>
    <row r="103" spans="1:28" x14ac:dyDescent="0.2">
      <c r="A103" s="137"/>
      <c r="B103" s="138"/>
      <c r="C103" s="138"/>
      <c r="D103" s="138"/>
      <c r="E103" s="139"/>
      <c r="F103" s="140" t="str">
        <f>IF(ISBLANK($A103),"",SUM(IF(ISNA(IF(VLOOKUP($A103,'Round 1'!$A$7:$J$206,COLUMN('Round 1'!$H$7),0),1,NA())),0,1),IF(ISNA(IF(VLOOKUP($A103,'Round 2'!$A$7:$J$206,COLUMN('Round 1'!$H$7),0),1,NA())),0,1),IF(ISNA(IF(VLOOKUP($A103,'Round 3'!$A$7:$J$206,COLUMN('Round 1'!$H$7),0),1,NA())),0,1),IF(ISNA(IF(VLOOKUP($A103,'Final Round'!$A$14:$K$18,1,0),1,NA())),0,1)))</f>
        <v/>
      </c>
      <c r="G103" s="141"/>
      <c r="H103" s="142" t="str">
        <f>IF(ISBLANK($A103),"",IF(ISERROR(VLOOKUP($A103,'Round 1'!$A$7:$I$206,COLUMN('Round 1'!$G$7),0)),0,VLOOKUP($A103,'Round 1'!$A$7:$I$206,COLUMN('Round 1'!$G$7),0))+IF(ISERROR(VLOOKUP($A103,'Round 2'!$A$7:$I$206,COLUMN('Round 2'!$G$7),0)),0,VLOOKUP($A103,'Round 2'!$A$7:$I$206,COLUMN('Round 2'!$G$7),0))+IF(ISERROR(VLOOKUP($A103,'Round 3'!$A$7:$I$206,COLUMN('Round 3'!$G$7),0)),0,VLOOKUP($A103,'Round 3'!$A$7:$I$206,COLUMN('Round 3'!$G$7),0)))</f>
        <v/>
      </c>
      <c r="I103" s="142" t="str">
        <f>IF(ISBLANK($A103),"",IF(ISERROR(VLOOKUP($A103,'Round 1'!$A$7:$I$206,COLUMN('Round 1'!$F$7),0)),0,VLOOKUP($A103,'Round 1'!$A$7:$I$206,COLUMN('Round 1'!$F$7),0))+IF(ISERROR(VLOOKUP($A103,'Round 2'!$A$7:$I$206,COLUMN('Round 2'!$F$7),0)),0,VLOOKUP($A103,'Round 2'!$A$7:$I$206,COLUMN('Round 2'!$F$7),0))+IF(ISERROR(VLOOKUP($A103,'Round 3'!$A$7:$I$206,COLUMN('Round 3'!$F$7),0)),0,VLOOKUP($A103,'Round 3'!$A$7:$I$206,COLUMN('Round 3'!$F$7),0)))</f>
        <v/>
      </c>
      <c r="J103" s="143" t="str">
        <f>IF(ISBLANK($A103),"",IF(ISERROR(VLOOKUP($A103,'Round 1'!$A$7:$I$206,COLUMN('Round 1'!$H$7),0)),0,VLOOKUP($A103,'Round 1'!$A$7:$I$206,COLUMN('Round 1'!$H$7),0))+IF(ISERROR(VLOOKUP($A103,'Round 2'!$A$7:$I$206,COLUMN('Round 2'!$H$7),0)),0,VLOOKUP($A103,'Round 2'!$A$7:$I$206,COLUMN('Round 2'!$H$7),0))+IF(ISERROR(VLOOKUP($A103,'Round 3'!$A$7:$I$206,COLUMN('Round 3'!$H$7),0)),0,VLOOKUP($A103,'Round 3'!$A$7:$I$206,COLUMN('Round 3'!$H$7),0)))</f>
        <v/>
      </c>
      <c r="K103" s="142" t="str">
        <f t="shared" ref="K103:K134" si="45">IF(ISBLANK(A103),"",RANK(P103,$P$7:$P$206))</f>
        <v/>
      </c>
      <c r="L103" s="144" t="str">
        <f t="shared" ref="L103:L134" si="46">IF(ISBLANK($G103),IF($K103&gt;5,"",IF(AND(ISNA(MATCH(K103+1,$K$7:$K$206,0)),$K103&lt;$A$4),"TIE","")),"DQ")</f>
        <v/>
      </c>
      <c r="M103" s="145"/>
      <c r="N103" s="146" t="str">
        <f t="shared" ref="N103:N134" si="47">IF(ISBLANK($G103),$R103,"DQ")</f>
        <v/>
      </c>
      <c r="O103" s="36" t="str">
        <f t="shared" ref="O103:O134" si="48">IF(ISBLANK(A103),"",$H103*$O$6+$I103)</f>
        <v/>
      </c>
      <c r="P103" s="36" t="str">
        <f t="shared" ref="P103:P134" si="49">IF(ISBLANK(A103),"",$O103*10*$P$6+$J103)</f>
        <v/>
      </c>
      <c r="Q103" s="36">
        <f t="shared" ref="Q103:Q134" si="50">IF(ISBLANK($G103),IF(ISBLANK($A103),-10,$P103*$Q$6+IF($M103&gt;0,$Q$6-1-$M103,0)),-1)</f>
        <v>-10</v>
      </c>
      <c r="R103" s="36" t="str">
        <f t="shared" ref="R103:R134" si="51">IF(ISBLANK($A103),"",RANK($Q103,$Q$7:$Q$206))</f>
        <v/>
      </c>
      <c r="S103" s="36" t="str">
        <f t="shared" ref="S103:S134" si="52">IF(ISNA(MATCH($R103+1,$R$7:$R$206,0)),IF($R103=MAX($A$7:$A$206),$R103,-1),$R103)</f>
        <v/>
      </c>
      <c r="T103" s="36">
        <f t="shared" ref="T103:T134" si="53">$A103</f>
        <v>0</v>
      </c>
      <c r="U103" s="146" t="str">
        <f ca="1">IF(N('Final Round'!$J$14)&gt;0,IF(ISBLANK($A103),"",IF($N103&gt;5,$N103,VLOOKUP($A103,'Final Round'!$A$14:$K$18,COLUMN('Final Round'!$J$1),0))),"")</f>
        <v/>
      </c>
      <c r="V103" s="36" t="str">
        <f t="shared" ref="V103:V134" ca="1" si="54">IF(ISNUMBER($U103),$U103,$R103)</f>
        <v/>
      </c>
      <c r="W103" s="36" t="str">
        <f t="shared" ref="W103:W134" si="55">IF(ISBLANK($A103),"",($V$6-$V103)*$W$6+$W$6-$A103)</f>
        <v/>
      </c>
      <c r="X103" s="36" t="str">
        <f t="shared" ref="X103:X134" si="56">IF(ISBLANK($A103),"",RANK($W103,$W$7:$W$206))</f>
        <v/>
      </c>
      <c r="Y103" s="36">
        <f t="shared" ref="Y103:Y134" si="57">$A103</f>
        <v>0</v>
      </c>
      <c r="Z103" s="36" t="str">
        <f t="shared" ref="Z103:Z134" ca="1" si="58">IF($U103="",$N103,$U103)</f>
        <v/>
      </c>
      <c r="AA103" s="36">
        <f t="shared" ref="AA103:AA134" ca="1" si="59">IF($U103&lt;6,INDEX($AA$1:$AA$5,$Z103)*$Z$2,0)</f>
        <v>0</v>
      </c>
      <c r="AB103" s="147" t="str">
        <f>IF(ISBLANK($A103),"",5+4*(I103+IF(AA103=0,0,VLOOKUP($A103,'Final Round'!$A$14:$K$18,COLUMN('Final Round'!$G$1),0)))+8*(H103+IF(AA103=0,0,IF(VLOOKUP($A103,'Final Round'!$A$14:$K$18,COLUMN('Final Round'!$J$1),0)=1,1,0)))+$AA103)</f>
        <v/>
      </c>
    </row>
    <row r="104" spans="1:28" x14ac:dyDescent="0.2">
      <c r="A104" s="111"/>
      <c r="B104" s="112"/>
      <c r="C104" s="112"/>
      <c r="D104" s="112"/>
      <c r="E104" s="113"/>
      <c r="F104" s="114" t="str">
        <f>IF(ISBLANK($A104),"",SUM(IF(ISNA(IF(VLOOKUP($A104,'Round 1'!$A$7:$J$206,COLUMN('Round 1'!$H$7),0),1,NA())),0,1),IF(ISNA(IF(VLOOKUP($A104,'Round 2'!$A$7:$J$206,COLUMN('Round 1'!$H$7),0),1,NA())),0,1),IF(ISNA(IF(VLOOKUP($A104,'Round 3'!$A$7:$J$206,COLUMN('Round 1'!$H$7),0),1,NA())),0,1),IF(ISNA(IF(VLOOKUP($A104,'Final Round'!$A$14:$K$18,1,0),1,NA())),0,1)))</f>
        <v/>
      </c>
      <c r="G104" s="115"/>
      <c r="H104" s="116" t="str">
        <f>IF(ISBLANK($A104),"",IF(ISERROR(VLOOKUP($A104,'Round 1'!$A$7:$I$206,COLUMN('Round 1'!$G$7),0)),0,VLOOKUP($A104,'Round 1'!$A$7:$I$206,COLUMN('Round 1'!$G$7),0))+IF(ISERROR(VLOOKUP($A104,'Round 2'!$A$7:$I$206,COLUMN('Round 2'!$G$7),0)),0,VLOOKUP($A104,'Round 2'!$A$7:$I$206,COLUMN('Round 2'!$G$7),0))+IF(ISERROR(VLOOKUP($A104,'Round 3'!$A$7:$I$206,COLUMN('Round 3'!$G$7),0)),0,VLOOKUP($A104,'Round 3'!$A$7:$I$206,COLUMN('Round 3'!$G$7),0)))</f>
        <v/>
      </c>
      <c r="I104" s="116" t="str">
        <f>IF(ISBLANK($A104),"",IF(ISERROR(VLOOKUP($A104,'Round 1'!$A$7:$I$206,COLUMN('Round 1'!$F$7),0)),0,VLOOKUP($A104,'Round 1'!$A$7:$I$206,COLUMN('Round 1'!$F$7),0))+IF(ISERROR(VLOOKUP($A104,'Round 2'!$A$7:$I$206,COLUMN('Round 2'!$F$7),0)),0,VLOOKUP($A104,'Round 2'!$A$7:$I$206,COLUMN('Round 2'!$F$7),0))+IF(ISERROR(VLOOKUP($A104,'Round 3'!$A$7:$I$206,COLUMN('Round 3'!$F$7),0)),0,VLOOKUP($A104,'Round 3'!$A$7:$I$206,COLUMN('Round 3'!$F$7),0)))</f>
        <v/>
      </c>
      <c r="J104" s="117" t="str">
        <f>IF(ISBLANK($A104),"",IF(ISERROR(VLOOKUP($A104,'Round 1'!$A$7:$I$206,COLUMN('Round 1'!$H$7),0)),0,VLOOKUP($A104,'Round 1'!$A$7:$I$206,COLUMN('Round 1'!$H$7),0))+IF(ISERROR(VLOOKUP($A104,'Round 2'!$A$7:$I$206,COLUMN('Round 2'!$H$7),0)),0,VLOOKUP($A104,'Round 2'!$A$7:$I$206,COLUMN('Round 2'!$H$7),0))+IF(ISERROR(VLOOKUP($A104,'Round 3'!$A$7:$I$206,COLUMN('Round 3'!$H$7),0)),0,VLOOKUP($A104,'Round 3'!$A$7:$I$206,COLUMN('Round 3'!$H$7),0)))</f>
        <v/>
      </c>
      <c r="K104" s="116" t="str">
        <f t="shared" si="45"/>
        <v/>
      </c>
      <c r="L104" s="118" t="str">
        <f t="shared" si="46"/>
        <v/>
      </c>
      <c r="M104" s="119"/>
      <c r="N104" s="120" t="str">
        <f t="shared" si="47"/>
        <v/>
      </c>
      <c r="O104" s="36" t="str">
        <f t="shared" si="48"/>
        <v/>
      </c>
      <c r="P104" s="36" t="str">
        <f t="shared" si="49"/>
        <v/>
      </c>
      <c r="Q104" s="36">
        <f t="shared" si="50"/>
        <v>-10</v>
      </c>
      <c r="R104" s="36" t="str">
        <f t="shared" si="51"/>
        <v/>
      </c>
      <c r="S104" s="36" t="str">
        <f t="shared" si="52"/>
        <v/>
      </c>
      <c r="T104" s="36">
        <f t="shared" si="53"/>
        <v>0</v>
      </c>
      <c r="U104" s="120" t="str">
        <f ca="1">IF(N('Final Round'!$J$14)&gt;0,IF(ISBLANK($A104),"",IF($N104&gt;5,$N104,VLOOKUP($A104,'Final Round'!$A$14:$K$18,COLUMN('Final Round'!$J$1),0))),"")</f>
        <v/>
      </c>
      <c r="V104" s="36" t="str">
        <f t="shared" ca="1" si="54"/>
        <v/>
      </c>
      <c r="W104" s="36" t="str">
        <f t="shared" si="55"/>
        <v/>
      </c>
      <c r="X104" s="36" t="str">
        <f t="shared" si="56"/>
        <v/>
      </c>
      <c r="Y104" s="36">
        <f t="shared" si="57"/>
        <v>0</v>
      </c>
      <c r="Z104" s="36" t="str">
        <f t="shared" ca="1" si="58"/>
        <v/>
      </c>
      <c r="AA104" s="36">
        <f t="shared" ca="1" si="59"/>
        <v>0</v>
      </c>
      <c r="AB104" s="121" t="str">
        <f>IF(ISBLANK($A104),"",5+4*(I104+IF(AA104=0,0,VLOOKUP($A104,'Final Round'!$A$14:$K$18,COLUMN('Final Round'!$G$1),0)))+8*(H104+IF(AA104=0,0,IF(VLOOKUP($A104,'Final Round'!$A$14:$K$18,COLUMN('Final Round'!$J$1),0)=1,1,0)))+$AA104)</f>
        <v/>
      </c>
    </row>
    <row r="105" spans="1:28" x14ac:dyDescent="0.2">
      <c r="A105" s="137"/>
      <c r="B105" s="138"/>
      <c r="C105" s="138"/>
      <c r="D105" s="138"/>
      <c r="E105" s="139"/>
      <c r="F105" s="140" t="str">
        <f>IF(ISBLANK($A105),"",SUM(IF(ISNA(IF(VLOOKUP($A105,'Round 1'!$A$7:$J$206,COLUMN('Round 1'!$H$7),0),1,NA())),0,1),IF(ISNA(IF(VLOOKUP($A105,'Round 2'!$A$7:$J$206,COLUMN('Round 1'!$H$7),0),1,NA())),0,1),IF(ISNA(IF(VLOOKUP($A105,'Round 3'!$A$7:$J$206,COLUMN('Round 1'!$H$7),0),1,NA())),0,1),IF(ISNA(IF(VLOOKUP($A105,'Final Round'!$A$14:$K$18,1,0),1,NA())),0,1)))</f>
        <v/>
      </c>
      <c r="G105" s="141"/>
      <c r="H105" s="142" t="str">
        <f>IF(ISBLANK($A105),"",IF(ISERROR(VLOOKUP($A105,'Round 1'!$A$7:$I$206,COLUMN('Round 1'!$G$7),0)),0,VLOOKUP($A105,'Round 1'!$A$7:$I$206,COLUMN('Round 1'!$G$7),0))+IF(ISERROR(VLOOKUP($A105,'Round 2'!$A$7:$I$206,COLUMN('Round 2'!$G$7),0)),0,VLOOKUP($A105,'Round 2'!$A$7:$I$206,COLUMN('Round 2'!$G$7),0))+IF(ISERROR(VLOOKUP($A105,'Round 3'!$A$7:$I$206,COLUMN('Round 3'!$G$7),0)),0,VLOOKUP($A105,'Round 3'!$A$7:$I$206,COLUMN('Round 3'!$G$7),0)))</f>
        <v/>
      </c>
      <c r="I105" s="142" t="str">
        <f>IF(ISBLANK($A105),"",IF(ISERROR(VLOOKUP($A105,'Round 1'!$A$7:$I$206,COLUMN('Round 1'!$F$7),0)),0,VLOOKUP($A105,'Round 1'!$A$7:$I$206,COLUMN('Round 1'!$F$7),0))+IF(ISERROR(VLOOKUP($A105,'Round 2'!$A$7:$I$206,COLUMN('Round 2'!$F$7),0)),0,VLOOKUP($A105,'Round 2'!$A$7:$I$206,COLUMN('Round 2'!$F$7),0))+IF(ISERROR(VLOOKUP($A105,'Round 3'!$A$7:$I$206,COLUMN('Round 3'!$F$7),0)),0,VLOOKUP($A105,'Round 3'!$A$7:$I$206,COLUMN('Round 3'!$F$7),0)))</f>
        <v/>
      </c>
      <c r="J105" s="143" t="str">
        <f>IF(ISBLANK($A105),"",IF(ISERROR(VLOOKUP($A105,'Round 1'!$A$7:$I$206,COLUMN('Round 1'!$H$7),0)),0,VLOOKUP($A105,'Round 1'!$A$7:$I$206,COLUMN('Round 1'!$H$7),0))+IF(ISERROR(VLOOKUP($A105,'Round 2'!$A$7:$I$206,COLUMN('Round 2'!$H$7),0)),0,VLOOKUP($A105,'Round 2'!$A$7:$I$206,COLUMN('Round 2'!$H$7),0))+IF(ISERROR(VLOOKUP($A105,'Round 3'!$A$7:$I$206,COLUMN('Round 3'!$H$7),0)),0,VLOOKUP($A105,'Round 3'!$A$7:$I$206,COLUMN('Round 3'!$H$7),0)))</f>
        <v/>
      </c>
      <c r="K105" s="142" t="str">
        <f t="shared" si="45"/>
        <v/>
      </c>
      <c r="L105" s="144" t="str">
        <f t="shared" si="46"/>
        <v/>
      </c>
      <c r="M105" s="145"/>
      <c r="N105" s="146" t="str">
        <f t="shared" si="47"/>
        <v/>
      </c>
      <c r="O105" s="36" t="str">
        <f t="shared" si="48"/>
        <v/>
      </c>
      <c r="P105" s="36" t="str">
        <f t="shared" si="49"/>
        <v/>
      </c>
      <c r="Q105" s="36">
        <f t="shared" si="50"/>
        <v>-10</v>
      </c>
      <c r="R105" s="36" t="str">
        <f t="shared" si="51"/>
        <v/>
      </c>
      <c r="S105" s="36" t="str">
        <f t="shared" si="52"/>
        <v/>
      </c>
      <c r="T105" s="36">
        <f t="shared" si="53"/>
        <v>0</v>
      </c>
      <c r="U105" s="146" t="str">
        <f ca="1">IF(N('Final Round'!$J$14)&gt;0,IF(ISBLANK($A105),"",IF($N105&gt;5,$N105,VLOOKUP($A105,'Final Round'!$A$14:$K$18,COLUMN('Final Round'!$J$1),0))),"")</f>
        <v/>
      </c>
      <c r="V105" s="36" t="str">
        <f t="shared" ca="1" si="54"/>
        <v/>
      </c>
      <c r="W105" s="36" t="str">
        <f t="shared" si="55"/>
        <v/>
      </c>
      <c r="X105" s="36" t="str">
        <f t="shared" si="56"/>
        <v/>
      </c>
      <c r="Y105" s="36">
        <f t="shared" si="57"/>
        <v>0</v>
      </c>
      <c r="Z105" s="36" t="str">
        <f t="shared" ca="1" si="58"/>
        <v/>
      </c>
      <c r="AA105" s="36">
        <f t="shared" ca="1" si="59"/>
        <v>0</v>
      </c>
      <c r="AB105" s="147" t="str">
        <f>IF(ISBLANK($A105),"",5+4*(I105+IF(AA105=0,0,VLOOKUP($A105,'Final Round'!$A$14:$K$18,COLUMN('Final Round'!$G$1),0)))+8*(H105+IF(AA105=0,0,IF(VLOOKUP($A105,'Final Round'!$A$14:$K$18,COLUMN('Final Round'!$J$1),0)=1,1,0)))+$AA105)</f>
        <v/>
      </c>
    </row>
    <row r="106" spans="1:28" x14ac:dyDescent="0.2">
      <c r="A106" s="111"/>
      <c r="B106" s="112"/>
      <c r="C106" s="112"/>
      <c r="D106" s="112"/>
      <c r="E106" s="113"/>
      <c r="F106" s="114" t="str">
        <f>IF(ISBLANK($A106),"",SUM(IF(ISNA(IF(VLOOKUP($A106,'Round 1'!$A$7:$J$206,COLUMN('Round 1'!$H$7),0),1,NA())),0,1),IF(ISNA(IF(VLOOKUP($A106,'Round 2'!$A$7:$J$206,COLUMN('Round 1'!$H$7),0),1,NA())),0,1),IF(ISNA(IF(VLOOKUP($A106,'Round 3'!$A$7:$J$206,COLUMN('Round 1'!$H$7),0),1,NA())),0,1),IF(ISNA(IF(VLOOKUP($A106,'Final Round'!$A$14:$K$18,1,0),1,NA())),0,1)))</f>
        <v/>
      </c>
      <c r="G106" s="115"/>
      <c r="H106" s="116" t="str">
        <f>IF(ISBLANK($A106),"",IF(ISERROR(VLOOKUP($A106,'Round 1'!$A$7:$I$206,COLUMN('Round 1'!$G$7),0)),0,VLOOKUP($A106,'Round 1'!$A$7:$I$206,COLUMN('Round 1'!$G$7),0))+IF(ISERROR(VLOOKUP($A106,'Round 2'!$A$7:$I$206,COLUMN('Round 2'!$G$7),0)),0,VLOOKUP($A106,'Round 2'!$A$7:$I$206,COLUMN('Round 2'!$G$7),0))+IF(ISERROR(VLOOKUP($A106,'Round 3'!$A$7:$I$206,COLUMN('Round 3'!$G$7),0)),0,VLOOKUP($A106,'Round 3'!$A$7:$I$206,COLUMN('Round 3'!$G$7),0)))</f>
        <v/>
      </c>
      <c r="I106" s="116" t="str">
        <f>IF(ISBLANK($A106),"",IF(ISERROR(VLOOKUP($A106,'Round 1'!$A$7:$I$206,COLUMN('Round 1'!$F$7),0)),0,VLOOKUP($A106,'Round 1'!$A$7:$I$206,COLUMN('Round 1'!$F$7),0))+IF(ISERROR(VLOOKUP($A106,'Round 2'!$A$7:$I$206,COLUMN('Round 2'!$F$7),0)),0,VLOOKUP($A106,'Round 2'!$A$7:$I$206,COLUMN('Round 2'!$F$7),0))+IF(ISERROR(VLOOKUP($A106,'Round 3'!$A$7:$I$206,COLUMN('Round 3'!$F$7),0)),0,VLOOKUP($A106,'Round 3'!$A$7:$I$206,COLUMN('Round 3'!$F$7),0)))</f>
        <v/>
      </c>
      <c r="J106" s="117" t="str">
        <f>IF(ISBLANK($A106),"",IF(ISERROR(VLOOKUP($A106,'Round 1'!$A$7:$I$206,COLUMN('Round 1'!$H$7),0)),0,VLOOKUP($A106,'Round 1'!$A$7:$I$206,COLUMN('Round 1'!$H$7),0))+IF(ISERROR(VLOOKUP($A106,'Round 2'!$A$7:$I$206,COLUMN('Round 2'!$H$7),0)),0,VLOOKUP($A106,'Round 2'!$A$7:$I$206,COLUMN('Round 2'!$H$7),0))+IF(ISERROR(VLOOKUP($A106,'Round 3'!$A$7:$I$206,COLUMN('Round 3'!$H$7),0)),0,VLOOKUP($A106,'Round 3'!$A$7:$I$206,COLUMN('Round 3'!$H$7),0)))</f>
        <v/>
      </c>
      <c r="K106" s="116" t="str">
        <f t="shared" si="45"/>
        <v/>
      </c>
      <c r="L106" s="118" t="str">
        <f t="shared" si="46"/>
        <v/>
      </c>
      <c r="M106" s="119"/>
      <c r="N106" s="120" t="str">
        <f t="shared" si="47"/>
        <v/>
      </c>
      <c r="O106" s="36" t="str">
        <f t="shared" si="48"/>
        <v/>
      </c>
      <c r="P106" s="36" t="str">
        <f t="shared" si="49"/>
        <v/>
      </c>
      <c r="Q106" s="36">
        <f t="shared" si="50"/>
        <v>-10</v>
      </c>
      <c r="R106" s="36" t="str">
        <f t="shared" si="51"/>
        <v/>
      </c>
      <c r="S106" s="36" t="str">
        <f t="shared" si="52"/>
        <v/>
      </c>
      <c r="T106" s="36">
        <f t="shared" si="53"/>
        <v>0</v>
      </c>
      <c r="U106" s="120" t="str">
        <f ca="1">IF(N('Final Round'!$J$14)&gt;0,IF(ISBLANK($A106),"",IF($N106&gt;5,$N106,VLOOKUP($A106,'Final Round'!$A$14:$K$18,COLUMN('Final Round'!$J$1),0))),"")</f>
        <v/>
      </c>
      <c r="V106" s="36" t="str">
        <f t="shared" ca="1" si="54"/>
        <v/>
      </c>
      <c r="W106" s="36" t="str">
        <f t="shared" si="55"/>
        <v/>
      </c>
      <c r="X106" s="36" t="str">
        <f t="shared" si="56"/>
        <v/>
      </c>
      <c r="Y106" s="36">
        <f t="shared" si="57"/>
        <v>0</v>
      </c>
      <c r="Z106" s="36" t="str">
        <f t="shared" ca="1" si="58"/>
        <v/>
      </c>
      <c r="AA106" s="36">
        <f t="shared" ca="1" si="59"/>
        <v>0</v>
      </c>
      <c r="AB106" s="121" t="str">
        <f>IF(ISBLANK($A106),"",5+4*(I106+IF(AA106=0,0,VLOOKUP($A106,'Final Round'!$A$14:$K$18,COLUMN('Final Round'!$G$1),0)))+8*(H106+IF(AA106=0,0,IF(VLOOKUP($A106,'Final Round'!$A$14:$K$18,COLUMN('Final Round'!$J$1),0)=1,1,0)))+$AA106)</f>
        <v/>
      </c>
    </row>
    <row r="107" spans="1:28" x14ac:dyDescent="0.2">
      <c r="A107" s="137"/>
      <c r="B107" s="138"/>
      <c r="C107" s="138"/>
      <c r="D107" s="138"/>
      <c r="E107" s="139"/>
      <c r="F107" s="140" t="str">
        <f>IF(ISBLANK($A107),"",SUM(IF(ISNA(IF(VLOOKUP($A107,'Round 1'!$A$7:$J$206,COLUMN('Round 1'!$H$7),0),1,NA())),0,1),IF(ISNA(IF(VLOOKUP($A107,'Round 2'!$A$7:$J$206,COLUMN('Round 1'!$H$7),0),1,NA())),0,1),IF(ISNA(IF(VLOOKUP($A107,'Round 3'!$A$7:$J$206,COLUMN('Round 1'!$H$7),0),1,NA())),0,1),IF(ISNA(IF(VLOOKUP($A107,'Final Round'!$A$14:$K$18,1,0),1,NA())),0,1)))</f>
        <v/>
      </c>
      <c r="G107" s="141"/>
      <c r="H107" s="142" t="str">
        <f>IF(ISBLANK($A107),"",IF(ISERROR(VLOOKUP($A107,'Round 1'!$A$7:$I$206,COLUMN('Round 1'!$G$7),0)),0,VLOOKUP($A107,'Round 1'!$A$7:$I$206,COLUMN('Round 1'!$G$7),0))+IF(ISERROR(VLOOKUP($A107,'Round 2'!$A$7:$I$206,COLUMN('Round 2'!$G$7),0)),0,VLOOKUP($A107,'Round 2'!$A$7:$I$206,COLUMN('Round 2'!$G$7),0))+IF(ISERROR(VLOOKUP($A107,'Round 3'!$A$7:$I$206,COLUMN('Round 3'!$G$7),0)),0,VLOOKUP($A107,'Round 3'!$A$7:$I$206,COLUMN('Round 3'!$G$7),0)))</f>
        <v/>
      </c>
      <c r="I107" s="142" t="str">
        <f>IF(ISBLANK($A107),"",IF(ISERROR(VLOOKUP($A107,'Round 1'!$A$7:$I$206,COLUMN('Round 1'!$F$7),0)),0,VLOOKUP($A107,'Round 1'!$A$7:$I$206,COLUMN('Round 1'!$F$7),0))+IF(ISERROR(VLOOKUP($A107,'Round 2'!$A$7:$I$206,COLUMN('Round 2'!$F$7),0)),0,VLOOKUP($A107,'Round 2'!$A$7:$I$206,COLUMN('Round 2'!$F$7),0))+IF(ISERROR(VLOOKUP($A107,'Round 3'!$A$7:$I$206,COLUMN('Round 3'!$F$7),0)),0,VLOOKUP($A107,'Round 3'!$A$7:$I$206,COLUMN('Round 3'!$F$7),0)))</f>
        <v/>
      </c>
      <c r="J107" s="143" t="str">
        <f>IF(ISBLANK($A107),"",IF(ISERROR(VLOOKUP($A107,'Round 1'!$A$7:$I$206,COLUMN('Round 1'!$H$7),0)),0,VLOOKUP($A107,'Round 1'!$A$7:$I$206,COLUMN('Round 1'!$H$7),0))+IF(ISERROR(VLOOKUP($A107,'Round 2'!$A$7:$I$206,COLUMN('Round 2'!$H$7),0)),0,VLOOKUP($A107,'Round 2'!$A$7:$I$206,COLUMN('Round 2'!$H$7),0))+IF(ISERROR(VLOOKUP($A107,'Round 3'!$A$7:$I$206,COLUMN('Round 3'!$H$7),0)),0,VLOOKUP($A107,'Round 3'!$A$7:$I$206,COLUMN('Round 3'!$H$7),0)))</f>
        <v/>
      </c>
      <c r="K107" s="142" t="str">
        <f t="shared" si="45"/>
        <v/>
      </c>
      <c r="L107" s="144" t="str">
        <f t="shared" si="46"/>
        <v/>
      </c>
      <c r="M107" s="145"/>
      <c r="N107" s="146" t="str">
        <f t="shared" si="47"/>
        <v/>
      </c>
      <c r="O107" s="36" t="str">
        <f t="shared" si="48"/>
        <v/>
      </c>
      <c r="P107" s="36" t="str">
        <f t="shared" si="49"/>
        <v/>
      </c>
      <c r="Q107" s="36">
        <f t="shared" si="50"/>
        <v>-10</v>
      </c>
      <c r="R107" s="36" t="str">
        <f t="shared" si="51"/>
        <v/>
      </c>
      <c r="S107" s="36" t="str">
        <f t="shared" si="52"/>
        <v/>
      </c>
      <c r="T107" s="36">
        <f t="shared" si="53"/>
        <v>0</v>
      </c>
      <c r="U107" s="146" t="str">
        <f ca="1">IF(N('Final Round'!$J$14)&gt;0,IF(ISBLANK($A107),"",IF($N107&gt;5,$N107,VLOOKUP($A107,'Final Round'!$A$14:$K$18,COLUMN('Final Round'!$J$1),0))),"")</f>
        <v/>
      </c>
      <c r="V107" s="36" t="str">
        <f t="shared" ca="1" si="54"/>
        <v/>
      </c>
      <c r="W107" s="36" t="str">
        <f t="shared" si="55"/>
        <v/>
      </c>
      <c r="X107" s="36" t="str">
        <f t="shared" si="56"/>
        <v/>
      </c>
      <c r="Y107" s="36">
        <f t="shared" si="57"/>
        <v>0</v>
      </c>
      <c r="Z107" s="36" t="str">
        <f t="shared" ca="1" si="58"/>
        <v/>
      </c>
      <c r="AA107" s="36">
        <f t="shared" ca="1" si="59"/>
        <v>0</v>
      </c>
      <c r="AB107" s="147" t="str">
        <f>IF(ISBLANK($A107),"",5+4*(I107+IF(AA107=0,0,VLOOKUP($A107,'Final Round'!$A$14:$K$18,COLUMN('Final Round'!$G$1),0)))+8*(H107+IF(AA107=0,0,IF(VLOOKUP($A107,'Final Round'!$A$14:$K$18,COLUMN('Final Round'!$J$1),0)=1,1,0)))+$AA107)</f>
        <v/>
      </c>
    </row>
    <row r="108" spans="1:28" x14ac:dyDescent="0.2">
      <c r="A108" s="111"/>
      <c r="B108" s="112"/>
      <c r="C108" s="112"/>
      <c r="D108" s="112"/>
      <c r="E108" s="113"/>
      <c r="F108" s="114" t="str">
        <f>IF(ISBLANK($A108),"",SUM(IF(ISNA(IF(VLOOKUP($A108,'Round 1'!$A$7:$J$206,COLUMN('Round 1'!$H$7),0),1,NA())),0,1),IF(ISNA(IF(VLOOKUP($A108,'Round 2'!$A$7:$J$206,COLUMN('Round 1'!$H$7),0),1,NA())),0,1),IF(ISNA(IF(VLOOKUP($A108,'Round 3'!$A$7:$J$206,COLUMN('Round 1'!$H$7),0),1,NA())),0,1),IF(ISNA(IF(VLOOKUP($A108,'Final Round'!$A$14:$K$18,1,0),1,NA())),0,1)))</f>
        <v/>
      </c>
      <c r="G108" s="115"/>
      <c r="H108" s="116" t="str">
        <f>IF(ISBLANK($A108),"",IF(ISERROR(VLOOKUP($A108,'Round 1'!$A$7:$I$206,COLUMN('Round 1'!$G$7),0)),0,VLOOKUP($A108,'Round 1'!$A$7:$I$206,COLUMN('Round 1'!$G$7),0))+IF(ISERROR(VLOOKUP($A108,'Round 2'!$A$7:$I$206,COLUMN('Round 2'!$G$7),0)),0,VLOOKUP($A108,'Round 2'!$A$7:$I$206,COLUMN('Round 2'!$G$7),0))+IF(ISERROR(VLOOKUP($A108,'Round 3'!$A$7:$I$206,COLUMN('Round 3'!$G$7),0)),0,VLOOKUP($A108,'Round 3'!$A$7:$I$206,COLUMN('Round 3'!$G$7),0)))</f>
        <v/>
      </c>
      <c r="I108" s="116" t="str">
        <f>IF(ISBLANK($A108),"",IF(ISERROR(VLOOKUP($A108,'Round 1'!$A$7:$I$206,COLUMN('Round 1'!$F$7),0)),0,VLOOKUP($A108,'Round 1'!$A$7:$I$206,COLUMN('Round 1'!$F$7),0))+IF(ISERROR(VLOOKUP($A108,'Round 2'!$A$7:$I$206,COLUMN('Round 2'!$F$7),0)),0,VLOOKUP($A108,'Round 2'!$A$7:$I$206,COLUMN('Round 2'!$F$7),0))+IF(ISERROR(VLOOKUP($A108,'Round 3'!$A$7:$I$206,COLUMN('Round 3'!$F$7),0)),0,VLOOKUP($A108,'Round 3'!$A$7:$I$206,COLUMN('Round 3'!$F$7),0)))</f>
        <v/>
      </c>
      <c r="J108" s="117" t="str">
        <f>IF(ISBLANK($A108),"",IF(ISERROR(VLOOKUP($A108,'Round 1'!$A$7:$I$206,COLUMN('Round 1'!$H$7),0)),0,VLOOKUP($A108,'Round 1'!$A$7:$I$206,COLUMN('Round 1'!$H$7),0))+IF(ISERROR(VLOOKUP($A108,'Round 2'!$A$7:$I$206,COLUMN('Round 2'!$H$7),0)),0,VLOOKUP($A108,'Round 2'!$A$7:$I$206,COLUMN('Round 2'!$H$7),0))+IF(ISERROR(VLOOKUP($A108,'Round 3'!$A$7:$I$206,COLUMN('Round 3'!$H$7),0)),0,VLOOKUP($A108,'Round 3'!$A$7:$I$206,COLUMN('Round 3'!$H$7),0)))</f>
        <v/>
      </c>
      <c r="K108" s="116" t="str">
        <f t="shared" si="45"/>
        <v/>
      </c>
      <c r="L108" s="118" t="str">
        <f t="shared" si="46"/>
        <v/>
      </c>
      <c r="M108" s="119"/>
      <c r="N108" s="120" t="str">
        <f t="shared" si="47"/>
        <v/>
      </c>
      <c r="O108" s="36" t="str">
        <f t="shared" si="48"/>
        <v/>
      </c>
      <c r="P108" s="36" t="str">
        <f t="shared" si="49"/>
        <v/>
      </c>
      <c r="Q108" s="36">
        <f t="shared" si="50"/>
        <v>-10</v>
      </c>
      <c r="R108" s="36" t="str">
        <f t="shared" si="51"/>
        <v/>
      </c>
      <c r="S108" s="36" t="str">
        <f t="shared" si="52"/>
        <v/>
      </c>
      <c r="T108" s="36">
        <f t="shared" si="53"/>
        <v>0</v>
      </c>
      <c r="U108" s="120" t="str">
        <f ca="1">IF(N('Final Round'!$J$14)&gt;0,IF(ISBLANK($A108),"",IF($N108&gt;5,$N108,VLOOKUP($A108,'Final Round'!$A$14:$K$18,COLUMN('Final Round'!$J$1),0))),"")</f>
        <v/>
      </c>
      <c r="V108" s="36" t="str">
        <f t="shared" ca="1" si="54"/>
        <v/>
      </c>
      <c r="W108" s="36" t="str">
        <f t="shared" si="55"/>
        <v/>
      </c>
      <c r="X108" s="36" t="str">
        <f t="shared" si="56"/>
        <v/>
      </c>
      <c r="Y108" s="36">
        <f t="shared" si="57"/>
        <v>0</v>
      </c>
      <c r="Z108" s="36" t="str">
        <f t="shared" ca="1" si="58"/>
        <v/>
      </c>
      <c r="AA108" s="36">
        <f t="shared" ca="1" si="59"/>
        <v>0</v>
      </c>
      <c r="AB108" s="121" t="str">
        <f>IF(ISBLANK($A108),"",5+4*(I108+IF(AA108=0,0,VLOOKUP($A108,'Final Round'!$A$14:$K$18,COLUMN('Final Round'!$G$1),0)))+8*(H108+IF(AA108=0,0,IF(VLOOKUP($A108,'Final Round'!$A$14:$K$18,COLUMN('Final Round'!$J$1),0)=1,1,0)))+$AA108)</f>
        <v/>
      </c>
    </row>
    <row r="109" spans="1:28" x14ac:dyDescent="0.2">
      <c r="A109" s="137"/>
      <c r="B109" s="138"/>
      <c r="C109" s="138"/>
      <c r="D109" s="138"/>
      <c r="E109" s="139"/>
      <c r="F109" s="140" t="str">
        <f>IF(ISBLANK($A109),"",SUM(IF(ISNA(IF(VLOOKUP($A109,'Round 1'!$A$7:$J$206,COLUMN('Round 1'!$H$7),0),1,NA())),0,1),IF(ISNA(IF(VLOOKUP($A109,'Round 2'!$A$7:$J$206,COLUMN('Round 1'!$H$7),0),1,NA())),0,1),IF(ISNA(IF(VLOOKUP($A109,'Round 3'!$A$7:$J$206,COLUMN('Round 1'!$H$7),0),1,NA())),0,1),IF(ISNA(IF(VLOOKUP($A109,'Final Round'!$A$14:$K$18,1,0),1,NA())),0,1)))</f>
        <v/>
      </c>
      <c r="G109" s="141"/>
      <c r="H109" s="142" t="str">
        <f>IF(ISBLANK($A109),"",IF(ISERROR(VLOOKUP($A109,'Round 1'!$A$7:$I$206,COLUMN('Round 1'!$G$7),0)),0,VLOOKUP($A109,'Round 1'!$A$7:$I$206,COLUMN('Round 1'!$G$7),0))+IF(ISERROR(VLOOKUP($A109,'Round 2'!$A$7:$I$206,COLUMN('Round 2'!$G$7),0)),0,VLOOKUP($A109,'Round 2'!$A$7:$I$206,COLUMN('Round 2'!$G$7),0))+IF(ISERROR(VLOOKUP($A109,'Round 3'!$A$7:$I$206,COLUMN('Round 3'!$G$7),0)),0,VLOOKUP($A109,'Round 3'!$A$7:$I$206,COLUMN('Round 3'!$G$7),0)))</f>
        <v/>
      </c>
      <c r="I109" s="142" t="str">
        <f>IF(ISBLANK($A109),"",IF(ISERROR(VLOOKUP($A109,'Round 1'!$A$7:$I$206,COLUMN('Round 1'!$F$7),0)),0,VLOOKUP($A109,'Round 1'!$A$7:$I$206,COLUMN('Round 1'!$F$7),0))+IF(ISERROR(VLOOKUP($A109,'Round 2'!$A$7:$I$206,COLUMN('Round 2'!$F$7),0)),0,VLOOKUP($A109,'Round 2'!$A$7:$I$206,COLUMN('Round 2'!$F$7),0))+IF(ISERROR(VLOOKUP($A109,'Round 3'!$A$7:$I$206,COLUMN('Round 3'!$F$7),0)),0,VLOOKUP($A109,'Round 3'!$A$7:$I$206,COLUMN('Round 3'!$F$7),0)))</f>
        <v/>
      </c>
      <c r="J109" s="143" t="str">
        <f>IF(ISBLANK($A109),"",IF(ISERROR(VLOOKUP($A109,'Round 1'!$A$7:$I$206,COLUMN('Round 1'!$H$7),0)),0,VLOOKUP($A109,'Round 1'!$A$7:$I$206,COLUMN('Round 1'!$H$7),0))+IF(ISERROR(VLOOKUP($A109,'Round 2'!$A$7:$I$206,COLUMN('Round 2'!$H$7),0)),0,VLOOKUP($A109,'Round 2'!$A$7:$I$206,COLUMN('Round 2'!$H$7),0))+IF(ISERROR(VLOOKUP($A109,'Round 3'!$A$7:$I$206,COLUMN('Round 3'!$H$7),0)),0,VLOOKUP($A109,'Round 3'!$A$7:$I$206,COLUMN('Round 3'!$H$7),0)))</f>
        <v/>
      </c>
      <c r="K109" s="142" t="str">
        <f t="shared" si="45"/>
        <v/>
      </c>
      <c r="L109" s="144" t="str">
        <f t="shared" si="46"/>
        <v/>
      </c>
      <c r="M109" s="145"/>
      <c r="N109" s="146" t="str">
        <f t="shared" si="47"/>
        <v/>
      </c>
      <c r="O109" s="36" t="str">
        <f t="shared" si="48"/>
        <v/>
      </c>
      <c r="P109" s="36" t="str">
        <f t="shared" si="49"/>
        <v/>
      </c>
      <c r="Q109" s="36">
        <f t="shared" si="50"/>
        <v>-10</v>
      </c>
      <c r="R109" s="36" t="str">
        <f t="shared" si="51"/>
        <v/>
      </c>
      <c r="S109" s="36" t="str">
        <f t="shared" si="52"/>
        <v/>
      </c>
      <c r="T109" s="36">
        <f t="shared" si="53"/>
        <v>0</v>
      </c>
      <c r="U109" s="146" t="str">
        <f ca="1">IF(N('Final Round'!$J$14)&gt;0,IF(ISBLANK($A109),"",IF($N109&gt;5,$N109,VLOOKUP($A109,'Final Round'!$A$14:$K$18,COLUMN('Final Round'!$J$1),0))),"")</f>
        <v/>
      </c>
      <c r="V109" s="36" t="str">
        <f t="shared" ca="1" si="54"/>
        <v/>
      </c>
      <c r="W109" s="36" t="str">
        <f t="shared" si="55"/>
        <v/>
      </c>
      <c r="X109" s="36" t="str">
        <f t="shared" si="56"/>
        <v/>
      </c>
      <c r="Y109" s="36">
        <f t="shared" si="57"/>
        <v>0</v>
      </c>
      <c r="Z109" s="36" t="str">
        <f t="shared" ca="1" si="58"/>
        <v/>
      </c>
      <c r="AA109" s="36">
        <f t="shared" ca="1" si="59"/>
        <v>0</v>
      </c>
      <c r="AB109" s="147" t="str">
        <f>IF(ISBLANK($A109),"",5+4*(I109+IF(AA109=0,0,VLOOKUP($A109,'Final Round'!$A$14:$K$18,COLUMN('Final Round'!$G$1),0)))+8*(H109+IF(AA109=0,0,IF(VLOOKUP($A109,'Final Round'!$A$14:$K$18,COLUMN('Final Round'!$J$1),0)=1,1,0)))+$AA109)</f>
        <v/>
      </c>
    </row>
    <row r="110" spans="1:28" x14ac:dyDescent="0.2">
      <c r="A110" s="111"/>
      <c r="B110" s="112"/>
      <c r="C110" s="112"/>
      <c r="D110" s="112"/>
      <c r="E110" s="113"/>
      <c r="F110" s="114" t="str">
        <f>IF(ISBLANK($A110),"",SUM(IF(ISNA(IF(VLOOKUP($A110,'Round 1'!$A$7:$J$206,COLUMN('Round 1'!$H$7),0),1,NA())),0,1),IF(ISNA(IF(VLOOKUP($A110,'Round 2'!$A$7:$J$206,COLUMN('Round 1'!$H$7),0),1,NA())),0,1),IF(ISNA(IF(VLOOKUP($A110,'Round 3'!$A$7:$J$206,COLUMN('Round 1'!$H$7),0),1,NA())),0,1),IF(ISNA(IF(VLOOKUP($A110,'Final Round'!$A$14:$K$18,1,0),1,NA())),0,1)))</f>
        <v/>
      </c>
      <c r="G110" s="115"/>
      <c r="H110" s="116" t="str">
        <f>IF(ISBLANK($A110),"",IF(ISERROR(VLOOKUP($A110,'Round 1'!$A$7:$I$206,COLUMN('Round 1'!$G$7),0)),0,VLOOKUP($A110,'Round 1'!$A$7:$I$206,COLUMN('Round 1'!$G$7),0))+IF(ISERROR(VLOOKUP($A110,'Round 2'!$A$7:$I$206,COLUMN('Round 2'!$G$7),0)),0,VLOOKUP($A110,'Round 2'!$A$7:$I$206,COLUMN('Round 2'!$G$7),0))+IF(ISERROR(VLOOKUP($A110,'Round 3'!$A$7:$I$206,COLUMN('Round 3'!$G$7),0)),0,VLOOKUP($A110,'Round 3'!$A$7:$I$206,COLUMN('Round 3'!$G$7),0)))</f>
        <v/>
      </c>
      <c r="I110" s="116" t="str">
        <f>IF(ISBLANK($A110),"",IF(ISERROR(VLOOKUP($A110,'Round 1'!$A$7:$I$206,COLUMN('Round 1'!$F$7),0)),0,VLOOKUP($A110,'Round 1'!$A$7:$I$206,COLUMN('Round 1'!$F$7),0))+IF(ISERROR(VLOOKUP($A110,'Round 2'!$A$7:$I$206,COLUMN('Round 2'!$F$7),0)),0,VLOOKUP($A110,'Round 2'!$A$7:$I$206,COLUMN('Round 2'!$F$7),0))+IF(ISERROR(VLOOKUP($A110,'Round 3'!$A$7:$I$206,COLUMN('Round 3'!$F$7),0)),0,VLOOKUP($A110,'Round 3'!$A$7:$I$206,COLUMN('Round 3'!$F$7),0)))</f>
        <v/>
      </c>
      <c r="J110" s="117" t="str">
        <f>IF(ISBLANK($A110),"",IF(ISERROR(VLOOKUP($A110,'Round 1'!$A$7:$I$206,COLUMN('Round 1'!$H$7),0)),0,VLOOKUP($A110,'Round 1'!$A$7:$I$206,COLUMN('Round 1'!$H$7),0))+IF(ISERROR(VLOOKUP($A110,'Round 2'!$A$7:$I$206,COLUMN('Round 2'!$H$7),0)),0,VLOOKUP($A110,'Round 2'!$A$7:$I$206,COLUMN('Round 2'!$H$7),0))+IF(ISERROR(VLOOKUP($A110,'Round 3'!$A$7:$I$206,COLUMN('Round 3'!$H$7),0)),0,VLOOKUP($A110,'Round 3'!$A$7:$I$206,COLUMN('Round 3'!$H$7),0)))</f>
        <v/>
      </c>
      <c r="K110" s="116" t="str">
        <f t="shared" si="45"/>
        <v/>
      </c>
      <c r="L110" s="118" t="str">
        <f t="shared" si="46"/>
        <v/>
      </c>
      <c r="M110" s="119"/>
      <c r="N110" s="120" t="str">
        <f t="shared" si="47"/>
        <v/>
      </c>
      <c r="O110" s="36" t="str">
        <f t="shared" si="48"/>
        <v/>
      </c>
      <c r="P110" s="36" t="str">
        <f t="shared" si="49"/>
        <v/>
      </c>
      <c r="Q110" s="36">
        <f t="shared" si="50"/>
        <v>-10</v>
      </c>
      <c r="R110" s="36" t="str">
        <f t="shared" si="51"/>
        <v/>
      </c>
      <c r="S110" s="36" t="str">
        <f t="shared" si="52"/>
        <v/>
      </c>
      <c r="T110" s="36">
        <f t="shared" si="53"/>
        <v>0</v>
      </c>
      <c r="U110" s="120" t="str">
        <f ca="1">IF(N('Final Round'!$J$14)&gt;0,IF(ISBLANK($A110),"",IF($N110&gt;5,$N110,VLOOKUP($A110,'Final Round'!$A$14:$K$18,COLUMN('Final Round'!$J$1),0))),"")</f>
        <v/>
      </c>
      <c r="V110" s="36" t="str">
        <f t="shared" ca="1" si="54"/>
        <v/>
      </c>
      <c r="W110" s="36" t="str">
        <f t="shared" si="55"/>
        <v/>
      </c>
      <c r="X110" s="36" t="str">
        <f t="shared" si="56"/>
        <v/>
      </c>
      <c r="Y110" s="36">
        <f t="shared" si="57"/>
        <v>0</v>
      </c>
      <c r="Z110" s="36" t="str">
        <f t="shared" ca="1" si="58"/>
        <v/>
      </c>
      <c r="AA110" s="36">
        <f t="shared" ca="1" si="59"/>
        <v>0</v>
      </c>
      <c r="AB110" s="121" t="str">
        <f>IF(ISBLANK($A110),"",5+4*(I110+IF(AA110=0,0,VLOOKUP($A110,'Final Round'!$A$14:$K$18,COLUMN('Final Round'!$G$1),0)))+8*(H110+IF(AA110=0,0,IF(VLOOKUP($A110,'Final Round'!$A$14:$K$18,COLUMN('Final Round'!$J$1),0)=1,1,0)))+$AA110)</f>
        <v/>
      </c>
    </row>
    <row r="111" spans="1:28" x14ac:dyDescent="0.2">
      <c r="A111" s="137"/>
      <c r="B111" s="138"/>
      <c r="C111" s="138"/>
      <c r="D111" s="138"/>
      <c r="E111" s="139"/>
      <c r="F111" s="140" t="str">
        <f>IF(ISBLANK($A111),"",SUM(IF(ISNA(IF(VLOOKUP($A111,'Round 1'!$A$7:$J$206,COLUMN('Round 1'!$H$7),0),1,NA())),0,1),IF(ISNA(IF(VLOOKUP($A111,'Round 2'!$A$7:$J$206,COLUMN('Round 1'!$H$7),0),1,NA())),0,1),IF(ISNA(IF(VLOOKUP($A111,'Round 3'!$A$7:$J$206,COLUMN('Round 1'!$H$7),0),1,NA())),0,1),IF(ISNA(IF(VLOOKUP($A111,'Final Round'!$A$14:$K$18,1,0),1,NA())),0,1)))</f>
        <v/>
      </c>
      <c r="G111" s="141"/>
      <c r="H111" s="142" t="str">
        <f>IF(ISBLANK($A111),"",IF(ISERROR(VLOOKUP($A111,'Round 1'!$A$7:$I$206,COLUMN('Round 1'!$G$7),0)),0,VLOOKUP($A111,'Round 1'!$A$7:$I$206,COLUMN('Round 1'!$G$7),0))+IF(ISERROR(VLOOKUP($A111,'Round 2'!$A$7:$I$206,COLUMN('Round 2'!$G$7),0)),0,VLOOKUP($A111,'Round 2'!$A$7:$I$206,COLUMN('Round 2'!$G$7),0))+IF(ISERROR(VLOOKUP($A111,'Round 3'!$A$7:$I$206,COLUMN('Round 3'!$G$7),0)),0,VLOOKUP($A111,'Round 3'!$A$7:$I$206,COLUMN('Round 3'!$G$7),0)))</f>
        <v/>
      </c>
      <c r="I111" s="142" t="str">
        <f>IF(ISBLANK($A111),"",IF(ISERROR(VLOOKUP($A111,'Round 1'!$A$7:$I$206,COLUMN('Round 1'!$F$7),0)),0,VLOOKUP($A111,'Round 1'!$A$7:$I$206,COLUMN('Round 1'!$F$7),0))+IF(ISERROR(VLOOKUP($A111,'Round 2'!$A$7:$I$206,COLUMN('Round 2'!$F$7),0)),0,VLOOKUP($A111,'Round 2'!$A$7:$I$206,COLUMN('Round 2'!$F$7),0))+IF(ISERROR(VLOOKUP($A111,'Round 3'!$A$7:$I$206,COLUMN('Round 3'!$F$7),0)),0,VLOOKUP($A111,'Round 3'!$A$7:$I$206,COLUMN('Round 3'!$F$7),0)))</f>
        <v/>
      </c>
      <c r="J111" s="143" t="str">
        <f>IF(ISBLANK($A111),"",IF(ISERROR(VLOOKUP($A111,'Round 1'!$A$7:$I$206,COLUMN('Round 1'!$H$7),0)),0,VLOOKUP($A111,'Round 1'!$A$7:$I$206,COLUMN('Round 1'!$H$7),0))+IF(ISERROR(VLOOKUP($A111,'Round 2'!$A$7:$I$206,COLUMN('Round 2'!$H$7),0)),0,VLOOKUP($A111,'Round 2'!$A$7:$I$206,COLUMN('Round 2'!$H$7),0))+IF(ISERROR(VLOOKUP($A111,'Round 3'!$A$7:$I$206,COLUMN('Round 3'!$H$7),0)),0,VLOOKUP($A111,'Round 3'!$A$7:$I$206,COLUMN('Round 3'!$H$7),0)))</f>
        <v/>
      </c>
      <c r="K111" s="142" t="str">
        <f t="shared" si="45"/>
        <v/>
      </c>
      <c r="L111" s="144" t="str">
        <f t="shared" si="46"/>
        <v/>
      </c>
      <c r="M111" s="145"/>
      <c r="N111" s="146" t="str">
        <f t="shared" si="47"/>
        <v/>
      </c>
      <c r="O111" s="36" t="str">
        <f t="shared" si="48"/>
        <v/>
      </c>
      <c r="P111" s="36" t="str">
        <f t="shared" si="49"/>
        <v/>
      </c>
      <c r="Q111" s="36">
        <f t="shared" si="50"/>
        <v>-10</v>
      </c>
      <c r="R111" s="36" t="str">
        <f t="shared" si="51"/>
        <v/>
      </c>
      <c r="S111" s="36" t="str">
        <f t="shared" si="52"/>
        <v/>
      </c>
      <c r="T111" s="36">
        <f t="shared" si="53"/>
        <v>0</v>
      </c>
      <c r="U111" s="146" t="str">
        <f ca="1">IF(N('Final Round'!$J$14)&gt;0,IF(ISBLANK($A111),"",IF($N111&gt;5,$N111,VLOOKUP($A111,'Final Round'!$A$14:$K$18,COLUMN('Final Round'!$J$1),0))),"")</f>
        <v/>
      </c>
      <c r="V111" s="36" t="str">
        <f t="shared" ca="1" si="54"/>
        <v/>
      </c>
      <c r="W111" s="36" t="str">
        <f t="shared" si="55"/>
        <v/>
      </c>
      <c r="X111" s="36" t="str">
        <f t="shared" si="56"/>
        <v/>
      </c>
      <c r="Y111" s="36">
        <f t="shared" si="57"/>
        <v>0</v>
      </c>
      <c r="Z111" s="36" t="str">
        <f t="shared" ca="1" si="58"/>
        <v/>
      </c>
      <c r="AA111" s="36">
        <f t="shared" ca="1" si="59"/>
        <v>0</v>
      </c>
      <c r="AB111" s="147" t="str">
        <f>IF(ISBLANK($A111),"",5+4*(I111+IF(AA111=0,0,VLOOKUP($A111,'Final Round'!$A$14:$K$18,COLUMN('Final Round'!$G$1),0)))+8*(H111+IF(AA111=0,0,IF(VLOOKUP($A111,'Final Round'!$A$14:$K$18,COLUMN('Final Round'!$J$1),0)=1,1,0)))+$AA111)</f>
        <v/>
      </c>
    </row>
    <row r="112" spans="1:28" x14ac:dyDescent="0.2">
      <c r="A112" s="111"/>
      <c r="B112" s="112"/>
      <c r="C112" s="112"/>
      <c r="D112" s="112"/>
      <c r="E112" s="113"/>
      <c r="F112" s="114" t="str">
        <f>IF(ISBLANK($A112),"",SUM(IF(ISNA(IF(VLOOKUP($A112,'Round 1'!$A$7:$J$206,COLUMN('Round 1'!$H$7),0),1,NA())),0,1),IF(ISNA(IF(VLOOKUP($A112,'Round 2'!$A$7:$J$206,COLUMN('Round 1'!$H$7),0),1,NA())),0,1),IF(ISNA(IF(VLOOKUP($A112,'Round 3'!$A$7:$J$206,COLUMN('Round 1'!$H$7),0),1,NA())),0,1),IF(ISNA(IF(VLOOKUP($A112,'Final Round'!$A$14:$K$18,1,0),1,NA())),0,1)))</f>
        <v/>
      </c>
      <c r="G112" s="115"/>
      <c r="H112" s="116" t="str">
        <f>IF(ISBLANK($A112),"",IF(ISERROR(VLOOKUP($A112,'Round 1'!$A$7:$I$206,COLUMN('Round 1'!$G$7),0)),0,VLOOKUP($A112,'Round 1'!$A$7:$I$206,COLUMN('Round 1'!$G$7),0))+IF(ISERROR(VLOOKUP($A112,'Round 2'!$A$7:$I$206,COLUMN('Round 2'!$G$7),0)),0,VLOOKUP($A112,'Round 2'!$A$7:$I$206,COLUMN('Round 2'!$G$7),0))+IF(ISERROR(VLOOKUP($A112,'Round 3'!$A$7:$I$206,COLUMN('Round 3'!$G$7),0)),0,VLOOKUP($A112,'Round 3'!$A$7:$I$206,COLUMN('Round 3'!$G$7),0)))</f>
        <v/>
      </c>
      <c r="I112" s="116" t="str">
        <f>IF(ISBLANK($A112),"",IF(ISERROR(VLOOKUP($A112,'Round 1'!$A$7:$I$206,COLUMN('Round 1'!$F$7),0)),0,VLOOKUP($A112,'Round 1'!$A$7:$I$206,COLUMN('Round 1'!$F$7),0))+IF(ISERROR(VLOOKUP($A112,'Round 2'!$A$7:$I$206,COLUMN('Round 2'!$F$7),0)),0,VLOOKUP($A112,'Round 2'!$A$7:$I$206,COLUMN('Round 2'!$F$7),0))+IF(ISERROR(VLOOKUP($A112,'Round 3'!$A$7:$I$206,COLUMN('Round 3'!$F$7),0)),0,VLOOKUP($A112,'Round 3'!$A$7:$I$206,COLUMN('Round 3'!$F$7),0)))</f>
        <v/>
      </c>
      <c r="J112" s="117" t="str">
        <f>IF(ISBLANK($A112),"",IF(ISERROR(VLOOKUP($A112,'Round 1'!$A$7:$I$206,COLUMN('Round 1'!$H$7),0)),0,VLOOKUP($A112,'Round 1'!$A$7:$I$206,COLUMN('Round 1'!$H$7),0))+IF(ISERROR(VLOOKUP($A112,'Round 2'!$A$7:$I$206,COLUMN('Round 2'!$H$7),0)),0,VLOOKUP($A112,'Round 2'!$A$7:$I$206,COLUMN('Round 2'!$H$7),0))+IF(ISERROR(VLOOKUP($A112,'Round 3'!$A$7:$I$206,COLUMN('Round 3'!$H$7),0)),0,VLOOKUP($A112,'Round 3'!$A$7:$I$206,COLUMN('Round 3'!$H$7),0)))</f>
        <v/>
      </c>
      <c r="K112" s="116" t="str">
        <f t="shared" si="45"/>
        <v/>
      </c>
      <c r="L112" s="118" t="str">
        <f t="shared" si="46"/>
        <v/>
      </c>
      <c r="M112" s="119"/>
      <c r="N112" s="120" t="str">
        <f t="shared" si="47"/>
        <v/>
      </c>
      <c r="O112" s="36" t="str">
        <f t="shared" si="48"/>
        <v/>
      </c>
      <c r="P112" s="36" t="str">
        <f t="shared" si="49"/>
        <v/>
      </c>
      <c r="Q112" s="36">
        <f t="shared" si="50"/>
        <v>-10</v>
      </c>
      <c r="R112" s="36" t="str">
        <f t="shared" si="51"/>
        <v/>
      </c>
      <c r="S112" s="36" t="str">
        <f t="shared" si="52"/>
        <v/>
      </c>
      <c r="T112" s="36">
        <f t="shared" si="53"/>
        <v>0</v>
      </c>
      <c r="U112" s="120" t="str">
        <f ca="1">IF(N('Final Round'!$J$14)&gt;0,IF(ISBLANK($A112),"",IF($N112&gt;5,$N112,VLOOKUP($A112,'Final Round'!$A$14:$K$18,COLUMN('Final Round'!$J$1),0))),"")</f>
        <v/>
      </c>
      <c r="V112" s="36" t="str">
        <f t="shared" ca="1" si="54"/>
        <v/>
      </c>
      <c r="W112" s="36" t="str">
        <f t="shared" si="55"/>
        <v/>
      </c>
      <c r="X112" s="36" t="str">
        <f t="shared" si="56"/>
        <v/>
      </c>
      <c r="Y112" s="36">
        <f t="shared" si="57"/>
        <v>0</v>
      </c>
      <c r="Z112" s="36" t="str">
        <f t="shared" ca="1" si="58"/>
        <v/>
      </c>
      <c r="AA112" s="36">
        <f t="shared" ca="1" si="59"/>
        <v>0</v>
      </c>
      <c r="AB112" s="121" t="str">
        <f>IF(ISBLANK($A112),"",5+4*(I112+IF(AA112=0,0,VLOOKUP($A112,'Final Round'!$A$14:$K$18,COLUMN('Final Round'!$G$1),0)))+8*(H112+IF(AA112=0,0,IF(VLOOKUP($A112,'Final Round'!$A$14:$K$18,COLUMN('Final Round'!$J$1),0)=1,1,0)))+$AA112)</f>
        <v/>
      </c>
    </row>
    <row r="113" spans="1:28" x14ac:dyDescent="0.2">
      <c r="A113" s="137"/>
      <c r="B113" s="138"/>
      <c r="C113" s="138"/>
      <c r="D113" s="138"/>
      <c r="E113" s="139"/>
      <c r="F113" s="140" t="str">
        <f>IF(ISBLANK($A113),"",SUM(IF(ISNA(IF(VLOOKUP($A113,'Round 1'!$A$7:$J$206,COLUMN('Round 1'!$H$7),0),1,NA())),0,1),IF(ISNA(IF(VLOOKUP($A113,'Round 2'!$A$7:$J$206,COLUMN('Round 1'!$H$7),0),1,NA())),0,1),IF(ISNA(IF(VLOOKUP($A113,'Round 3'!$A$7:$J$206,COLUMN('Round 1'!$H$7),0),1,NA())),0,1),IF(ISNA(IF(VLOOKUP($A113,'Final Round'!$A$14:$K$18,1,0),1,NA())),0,1)))</f>
        <v/>
      </c>
      <c r="G113" s="141"/>
      <c r="H113" s="142" t="str">
        <f>IF(ISBLANK($A113),"",IF(ISERROR(VLOOKUP($A113,'Round 1'!$A$7:$I$206,COLUMN('Round 1'!$G$7),0)),0,VLOOKUP($A113,'Round 1'!$A$7:$I$206,COLUMN('Round 1'!$G$7),0))+IF(ISERROR(VLOOKUP($A113,'Round 2'!$A$7:$I$206,COLUMN('Round 2'!$G$7),0)),0,VLOOKUP($A113,'Round 2'!$A$7:$I$206,COLUMN('Round 2'!$G$7),0))+IF(ISERROR(VLOOKUP($A113,'Round 3'!$A$7:$I$206,COLUMN('Round 3'!$G$7),0)),0,VLOOKUP($A113,'Round 3'!$A$7:$I$206,COLUMN('Round 3'!$G$7),0)))</f>
        <v/>
      </c>
      <c r="I113" s="142" t="str">
        <f>IF(ISBLANK($A113),"",IF(ISERROR(VLOOKUP($A113,'Round 1'!$A$7:$I$206,COLUMN('Round 1'!$F$7),0)),0,VLOOKUP($A113,'Round 1'!$A$7:$I$206,COLUMN('Round 1'!$F$7),0))+IF(ISERROR(VLOOKUP($A113,'Round 2'!$A$7:$I$206,COLUMN('Round 2'!$F$7),0)),0,VLOOKUP($A113,'Round 2'!$A$7:$I$206,COLUMN('Round 2'!$F$7),0))+IF(ISERROR(VLOOKUP($A113,'Round 3'!$A$7:$I$206,COLUMN('Round 3'!$F$7),0)),0,VLOOKUP($A113,'Round 3'!$A$7:$I$206,COLUMN('Round 3'!$F$7),0)))</f>
        <v/>
      </c>
      <c r="J113" s="143" t="str">
        <f>IF(ISBLANK($A113),"",IF(ISERROR(VLOOKUP($A113,'Round 1'!$A$7:$I$206,COLUMN('Round 1'!$H$7),0)),0,VLOOKUP($A113,'Round 1'!$A$7:$I$206,COLUMN('Round 1'!$H$7),0))+IF(ISERROR(VLOOKUP($A113,'Round 2'!$A$7:$I$206,COLUMN('Round 2'!$H$7),0)),0,VLOOKUP($A113,'Round 2'!$A$7:$I$206,COLUMN('Round 2'!$H$7),0))+IF(ISERROR(VLOOKUP($A113,'Round 3'!$A$7:$I$206,COLUMN('Round 3'!$H$7),0)),0,VLOOKUP($A113,'Round 3'!$A$7:$I$206,COLUMN('Round 3'!$H$7),0)))</f>
        <v/>
      </c>
      <c r="K113" s="142" t="str">
        <f t="shared" si="45"/>
        <v/>
      </c>
      <c r="L113" s="144" t="str">
        <f t="shared" si="46"/>
        <v/>
      </c>
      <c r="M113" s="145"/>
      <c r="N113" s="146" t="str">
        <f t="shared" si="47"/>
        <v/>
      </c>
      <c r="O113" s="36" t="str">
        <f t="shared" si="48"/>
        <v/>
      </c>
      <c r="P113" s="36" t="str">
        <f t="shared" si="49"/>
        <v/>
      </c>
      <c r="Q113" s="36">
        <f t="shared" si="50"/>
        <v>-10</v>
      </c>
      <c r="R113" s="36" t="str">
        <f t="shared" si="51"/>
        <v/>
      </c>
      <c r="S113" s="36" t="str">
        <f t="shared" si="52"/>
        <v/>
      </c>
      <c r="T113" s="36">
        <f t="shared" si="53"/>
        <v>0</v>
      </c>
      <c r="U113" s="146" t="str">
        <f ca="1">IF(N('Final Round'!$J$14)&gt;0,IF(ISBLANK($A113),"",IF($N113&gt;5,$N113,VLOOKUP($A113,'Final Round'!$A$14:$K$18,COLUMN('Final Round'!$J$1),0))),"")</f>
        <v/>
      </c>
      <c r="V113" s="36" t="str">
        <f t="shared" ca="1" si="54"/>
        <v/>
      </c>
      <c r="W113" s="36" t="str">
        <f t="shared" si="55"/>
        <v/>
      </c>
      <c r="X113" s="36" t="str">
        <f t="shared" si="56"/>
        <v/>
      </c>
      <c r="Y113" s="36">
        <f t="shared" si="57"/>
        <v>0</v>
      </c>
      <c r="Z113" s="36" t="str">
        <f t="shared" ca="1" si="58"/>
        <v/>
      </c>
      <c r="AA113" s="36">
        <f t="shared" ca="1" si="59"/>
        <v>0</v>
      </c>
      <c r="AB113" s="147" t="str">
        <f>IF(ISBLANK($A113),"",5+4*(I113+IF(AA113=0,0,VLOOKUP($A113,'Final Round'!$A$14:$K$18,COLUMN('Final Round'!$G$1),0)))+8*(H113+IF(AA113=0,0,IF(VLOOKUP($A113,'Final Round'!$A$14:$K$18,COLUMN('Final Round'!$J$1),0)=1,1,0)))+$AA113)</f>
        <v/>
      </c>
    </row>
    <row r="114" spans="1:28" x14ac:dyDescent="0.2">
      <c r="A114" s="111"/>
      <c r="B114" s="112"/>
      <c r="C114" s="112"/>
      <c r="D114" s="112"/>
      <c r="E114" s="113"/>
      <c r="F114" s="114" t="str">
        <f>IF(ISBLANK($A114),"",SUM(IF(ISNA(IF(VLOOKUP($A114,'Round 1'!$A$7:$J$206,COLUMN('Round 1'!$H$7),0),1,NA())),0,1),IF(ISNA(IF(VLOOKUP($A114,'Round 2'!$A$7:$J$206,COLUMN('Round 1'!$H$7),0),1,NA())),0,1),IF(ISNA(IF(VLOOKUP($A114,'Round 3'!$A$7:$J$206,COLUMN('Round 1'!$H$7),0),1,NA())),0,1),IF(ISNA(IF(VLOOKUP($A114,'Final Round'!$A$14:$K$18,1,0),1,NA())),0,1)))</f>
        <v/>
      </c>
      <c r="G114" s="115"/>
      <c r="H114" s="116" t="str">
        <f>IF(ISBLANK($A114),"",IF(ISERROR(VLOOKUP($A114,'Round 1'!$A$7:$I$206,COLUMN('Round 1'!$G$7),0)),0,VLOOKUP($A114,'Round 1'!$A$7:$I$206,COLUMN('Round 1'!$G$7),0))+IF(ISERROR(VLOOKUP($A114,'Round 2'!$A$7:$I$206,COLUMN('Round 2'!$G$7),0)),0,VLOOKUP($A114,'Round 2'!$A$7:$I$206,COLUMN('Round 2'!$G$7),0))+IF(ISERROR(VLOOKUP($A114,'Round 3'!$A$7:$I$206,COLUMN('Round 3'!$G$7),0)),0,VLOOKUP($A114,'Round 3'!$A$7:$I$206,COLUMN('Round 3'!$G$7),0)))</f>
        <v/>
      </c>
      <c r="I114" s="116" t="str">
        <f>IF(ISBLANK($A114),"",IF(ISERROR(VLOOKUP($A114,'Round 1'!$A$7:$I$206,COLUMN('Round 1'!$F$7),0)),0,VLOOKUP($A114,'Round 1'!$A$7:$I$206,COLUMN('Round 1'!$F$7),0))+IF(ISERROR(VLOOKUP($A114,'Round 2'!$A$7:$I$206,COLUMN('Round 2'!$F$7),0)),0,VLOOKUP($A114,'Round 2'!$A$7:$I$206,COLUMN('Round 2'!$F$7),0))+IF(ISERROR(VLOOKUP($A114,'Round 3'!$A$7:$I$206,COLUMN('Round 3'!$F$7),0)),0,VLOOKUP($A114,'Round 3'!$A$7:$I$206,COLUMN('Round 3'!$F$7),0)))</f>
        <v/>
      </c>
      <c r="J114" s="117" t="str">
        <f>IF(ISBLANK($A114),"",IF(ISERROR(VLOOKUP($A114,'Round 1'!$A$7:$I$206,COLUMN('Round 1'!$H$7),0)),0,VLOOKUP($A114,'Round 1'!$A$7:$I$206,COLUMN('Round 1'!$H$7),0))+IF(ISERROR(VLOOKUP($A114,'Round 2'!$A$7:$I$206,COLUMN('Round 2'!$H$7),0)),0,VLOOKUP($A114,'Round 2'!$A$7:$I$206,COLUMN('Round 2'!$H$7),0))+IF(ISERROR(VLOOKUP($A114,'Round 3'!$A$7:$I$206,COLUMN('Round 3'!$H$7),0)),0,VLOOKUP($A114,'Round 3'!$A$7:$I$206,COLUMN('Round 3'!$H$7),0)))</f>
        <v/>
      </c>
      <c r="K114" s="116" t="str">
        <f t="shared" si="45"/>
        <v/>
      </c>
      <c r="L114" s="118" t="str">
        <f t="shared" si="46"/>
        <v/>
      </c>
      <c r="M114" s="119"/>
      <c r="N114" s="120" t="str">
        <f t="shared" si="47"/>
        <v/>
      </c>
      <c r="O114" s="36" t="str">
        <f t="shared" si="48"/>
        <v/>
      </c>
      <c r="P114" s="36" t="str">
        <f t="shared" si="49"/>
        <v/>
      </c>
      <c r="Q114" s="36">
        <f t="shared" si="50"/>
        <v>-10</v>
      </c>
      <c r="R114" s="36" t="str">
        <f t="shared" si="51"/>
        <v/>
      </c>
      <c r="S114" s="36" t="str">
        <f t="shared" si="52"/>
        <v/>
      </c>
      <c r="T114" s="36">
        <f t="shared" si="53"/>
        <v>0</v>
      </c>
      <c r="U114" s="120" t="str">
        <f ca="1">IF(N('Final Round'!$J$14)&gt;0,IF(ISBLANK($A114),"",IF($N114&gt;5,$N114,VLOOKUP($A114,'Final Round'!$A$14:$K$18,COLUMN('Final Round'!$J$1),0))),"")</f>
        <v/>
      </c>
      <c r="V114" s="36" t="str">
        <f t="shared" ca="1" si="54"/>
        <v/>
      </c>
      <c r="W114" s="36" t="str">
        <f t="shared" si="55"/>
        <v/>
      </c>
      <c r="X114" s="36" t="str">
        <f t="shared" si="56"/>
        <v/>
      </c>
      <c r="Y114" s="36">
        <f t="shared" si="57"/>
        <v>0</v>
      </c>
      <c r="Z114" s="36" t="str">
        <f t="shared" ca="1" si="58"/>
        <v/>
      </c>
      <c r="AA114" s="36">
        <f t="shared" ca="1" si="59"/>
        <v>0</v>
      </c>
      <c r="AB114" s="121" t="str">
        <f>IF(ISBLANK($A114),"",5+4*(I114+IF(AA114=0,0,VLOOKUP($A114,'Final Round'!$A$14:$K$18,COLUMN('Final Round'!$G$1),0)))+8*(H114+IF(AA114=0,0,IF(VLOOKUP($A114,'Final Round'!$A$14:$K$18,COLUMN('Final Round'!$J$1),0)=1,1,0)))+$AA114)</f>
        <v/>
      </c>
    </row>
    <row r="115" spans="1:28" x14ac:dyDescent="0.2">
      <c r="A115" s="137"/>
      <c r="B115" s="138"/>
      <c r="C115" s="138"/>
      <c r="D115" s="138"/>
      <c r="E115" s="139"/>
      <c r="F115" s="140" t="str">
        <f>IF(ISBLANK($A115),"",SUM(IF(ISNA(IF(VLOOKUP($A115,'Round 1'!$A$7:$J$206,COLUMN('Round 1'!$H$7),0),1,NA())),0,1),IF(ISNA(IF(VLOOKUP($A115,'Round 2'!$A$7:$J$206,COLUMN('Round 1'!$H$7),0),1,NA())),0,1),IF(ISNA(IF(VLOOKUP($A115,'Round 3'!$A$7:$J$206,COLUMN('Round 1'!$H$7),0),1,NA())),0,1),IF(ISNA(IF(VLOOKUP($A115,'Final Round'!$A$14:$K$18,1,0),1,NA())),0,1)))</f>
        <v/>
      </c>
      <c r="G115" s="141"/>
      <c r="H115" s="142" t="str">
        <f>IF(ISBLANK($A115),"",IF(ISERROR(VLOOKUP($A115,'Round 1'!$A$7:$I$206,COLUMN('Round 1'!$G$7),0)),0,VLOOKUP($A115,'Round 1'!$A$7:$I$206,COLUMN('Round 1'!$G$7),0))+IF(ISERROR(VLOOKUP($A115,'Round 2'!$A$7:$I$206,COLUMN('Round 2'!$G$7),0)),0,VLOOKUP($A115,'Round 2'!$A$7:$I$206,COLUMN('Round 2'!$G$7),0))+IF(ISERROR(VLOOKUP($A115,'Round 3'!$A$7:$I$206,COLUMN('Round 3'!$G$7),0)),0,VLOOKUP($A115,'Round 3'!$A$7:$I$206,COLUMN('Round 3'!$G$7),0)))</f>
        <v/>
      </c>
      <c r="I115" s="142" t="str">
        <f>IF(ISBLANK($A115),"",IF(ISERROR(VLOOKUP($A115,'Round 1'!$A$7:$I$206,COLUMN('Round 1'!$F$7),0)),0,VLOOKUP($A115,'Round 1'!$A$7:$I$206,COLUMN('Round 1'!$F$7),0))+IF(ISERROR(VLOOKUP($A115,'Round 2'!$A$7:$I$206,COLUMN('Round 2'!$F$7),0)),0,VLOOKUP($A115,'Round 2'!$A$7:$I$206,COLUMN('Round 2'!$F$7),0))+IF(ISERROR(VLOOKUP($A115,'Round 3'!$A$7:$I$206,COLUMN('Round 3'!$F$7),0)),0,VLOOKUP($A115,'Round 3'!$A$7:$I$206,COLUMN('Round 3'!$F$7),0)))</f>
        <v/>
      </c>
      <c r="J115" s="143" t="str">
        <f>IF(ISBLANK($A115),"",IF(ISERROR(VLOOKUP($A115,'Round 1'!$A$7:$I$206,COLUMN('Round 1'!$H$7),0)),0,VLOOKUP($A115,'Round 1'!$A$7:$I$206,COLUMN('Round 1'!$H$7),0))+IF(ISERROR(VLOOKUP($A115,'Round 2'!$A$7:$I$206,COLUMN('Round 2'!$H$7),0)),0,VLOOKUP($A115,'Round 2'!$A$7:$I$206,COLUMN('Round 2'!$H$7),0))+IF(ISERROR(VLOOKUP($A115,'Round 3'!$A$7:$I$206,COLUMN('Round 3'!$H$7),0)),0,VLOOKUP($A115,'Round 3'!$A$7:$I$206,COLUMN('Round 3'!$H$7),0)))</f>
        <v/>
      </c>
      <c r="K115" s="142" t="str">
        <f t="shared" si="45"/>
        <v/>
      </c>
      <c r="L115" s="144" t="str">
        <f t="shared" si="46"/>
        <v/>
      </c>
      <c r="M115" s="145"/>
      <c r="N115" s="146" t="str">
        <f t="shared" si="47"/>
        <v/>
      </c>
      <c r="O115" s="36" t="str">
        <f t="shared" si="48"/>
        <v/>
      </c>
      <c r="P115" s="36" t="str">
        <f t="shared" si="49"/>
        <v/>
      </c>
      <c r="Q115" s="36">
        <f t="shared" si="50"/>
        <v>-10</v>
      </c>
      <c r="R115" s="36" t="str">
        <f t="shared" si="51"/>
        <v/>
      </c>
      <c r="S115" s="36" t="str">
        <f t="shared" si="52"/>
        <v/>
      </c>
      <c r="T115" s="36">
        <f t="shared" si="53"/>
        <v>0</v>
      </c>
      <c r="U115" s="146" t="str">
        <f ca="1">IF(N('Final Round'!$J$14)&gt;0,IF(ISBLANK($A115),"",IF($N115&gt;5,$N115,VLOOKUP($A115,'Final Round'!$A$14:$K$18,COLUMN('Final Round'!$J$1),0))),"")</f>
        <v/>
      </c>
      <c r="V115" s="36" t="str">
        <f t="shared" ca="1" si="54"/>
        <v/>
      </c>
      <c r="W115" s="36" t="str">
        <f t="shared" si="55"/>
        <v/>
      </c>
      <c r="X115" s="36" t="str">
        <f t="shared" si="56"/>
        <v/>
      </c>
      <c r="Y115" s="36">
        <f t="shared" si="57"/>
        <v>0</v>
      </c>
      <c r="Z115" s="36" t="str">
        <f t="shared" ca="1" si="58"/>
        <v/>
      </c>
      <c r="AA115" s="36">
        <f t="shared" ca="1" si="59"/>
        <v>0</v>
      </c>
      <c r="AB115" s="147" t="str">
        <f>IF(ISBLANK($A115),"",5+4*(I115+IF(AA115=0,0,VLOOKUP($A115,'Final Round'!$A$14:$K$18,COLUMN('Final Round'!$G$1),0)))+8*(H115+IF(AA115=0,0,IF(VLOOKUP($A115,'Final Round'!$A$14:$K$18,COLUMN('Final Round'!$J$1),0)=1,1,0)))+$AA115)</f>
        <v/>
      </c>
    </row>
    <row r="116" spans="1:28" x14ac:dyDescent="0.2">
      <c r="A116" s="111"/>
      <c r="B116" s="112"/>
      <c r="C116" s="112"/>
      <c r="D116" s="112"/>
      <c r="E116" s="113"/>
      <c r="F116" s="114" t="str">
        <f>IF(ISBLANK($A116),"",SUM(IF(ISNA(IF(VLOOKUP($A116,'Round 1'!$A$7:$J$206,COLUMN('Round 1'!$H$7),0),1,NA())),0,1),IF(ISNA(IF(VLOOKUP($A116,'Round 2'!$A$7:$J$206,COLUMN('Round 1'!$H$7),0),1,NA())),0,1),IF(ISNA(IF(VLOOKUP($A116,'Round 3'!$A$7:$J$206,COLUMN('Round 1'!$H$7),0),1,NA())),0,1),IF(ISNA(IF(VLOOKUP($A116,'Final Round'!$A$14:$K$18,1,0),1,NA())),0,1)))</f>
        <v/>
      </c>
      <c r="G116" s="115"/>
      <c r="H116" s="116" t="str">
        <f>IF(ISBLANK($A116),"",IF(ISERROR(VLOOKUP($A116,'Round 1'!$A$7:$I$206,COLUMN('Round 1'!$G$7),0)),0,VLOOKUP($A116,'Round 1'!$A$7:$I$206,COLUMN('Round 1'!$G$7),0))+IF(ISERROR(VLOOKUP($A116,'Round 2'!$A$7:$I$206,COLUMN('Round 2'!$G$7),0)),0,VLOOKUP($A116,'Round 2'!$A$7:$I$206,COLUMN('Round 2'!$G$7),0))+IF(ISERROR(VLOOKUP($A116,'Round 3'!$A$7:$I$206,COLUMN('Round 3'!$G$7),0)),0,VLOOKUP($A116,'Round 3'!$A$7:$I$206,COLUMN('Round 3'!$G$7),0)))</f>
        <v/>
      </c>
      <c r="I116" s="116" t="str">
        <f>IF(ISBLANK($A116),"",IF(ISERROR(VLOOKUP($A116,'Round 1'!$A$7:$I$206,COLUMN('Round 1'!$F$7),0)),0,VLOOKUP($A116,'Round 1'!$A$7:$I$206,COLUMN('Round 1'!$F$7),0))+IF(ISERROR(VLOOKUP($A116,'Round 2'!$A$7:$I$206,COLUMN('Round 2'!$F$7),0)),0,VLOOKUP($A116,'Round 2'!$A$7:$I$206,COLUMN('Round 2'!$F$7),0))+IF(ISERROR(VLOOKUP($A116,'Round 3'!$A$7:$I$206,COLUMN('Round 3'!$F$7),0)),0,VLOOKUP($A116,'Round 3'!$A$7:$I$206,COLUMN('Round 3'!$F$7),0)))</f>
        <v/>
      </c>
      <c r="J116" s="117" t="str">
        <f>IF(ISBLANK($A116),"",IF(ISERROR(VLOOKUP($A116,'Round 1'!$A$7:$I$206,COLUMN('Round 1'!$H$7),0)),0,VLOOKUP($A116,'Round 1'!$A$7:$I$206,COLUMN('Round 1'!$H$7),0))+IF(ISERROR(VLOOKUP($A116,'Round 2'!$A$7:$I$206,COLUMN('Round 2'!$H$7),0)),0,VLOOKUP($A116,'Round 2'!$A$7:$I$206,COLUMN('Round 2'!$H$7),0))+IF(ISERROR(VLOOKUP($A116,'Round 3'!$A$7:$I$206,COLUMN('Round 3'!$H$7),0)),0,VLOOKUP($A116,'Round 3'!$A$7:$I$206,COLUMN('Round 3'!$H$7),0)))</f>
        <v/>
      </c>
      <c r="K116" s="116" t="str">
        <f t="shared" si="45"/>
        <v/>
      </c>
      <c r="L116" s="118" t="str">
        <f t="shared" si="46"/>
        <v/>
      </c>
      <c r="M116" s="119"/>
      <c r="N116" s="120" t="str">
        <f t="shared" si="47"/>
        <v/>
      </c>
      <c r="O116" s="36" t="str">
        <f t="shared" si="48"/>
        <v/>
      </c>
      <c r="P116" s="36" t="str">
        <f t="shared" si="49"/>
        <v/>
      </c>
      <c r="Q116" s="36">
        <f t="shared" si="50"/>
        <v>-10</v>
      </c>
      <c r="R116" s="36" t="str">
        <f t="shared" si="51"/>
        <v/>
      </c>
      <c r="S116" s="36" t="str">
        <f t="shared" si="52"/>
        <v/>
      </c>
      <c r="T116" s="36">
        <f t="shared" si="53"/>
        <v>0</v>
      </c>
      <c r="U116" s="120" t="str">
        <f ca="1">IF(N('Final Round'!$J$14)&gt;0,IF(ISBLANK($A116),"",IF($N116&gt;5,$N116,VLOOKUP($A116,'Final Round'!$A$14:$K$18,COLUMN('Final Round'!$J$1),0))),"")</f>
        <v/>
      </c>
      <c r="V116" s="36" t="str">
        <f t="shared" ca="1" si="54"/>
        <v/>
      </c>
      <c r="W116" s="36" t="str">
        <f t="shared" si="55"/>
        <v/>
      </c>
      <c r="X116" s="36" t="str">
        <f t="shared" si="56"/>
        <v/>
      </c>
      <c r="Y116" s="36">
        <f t="shared" si="57"/>
        <v>0</v>
      </c>
      <c r="Z116" s="36" t="str">
        <f t="shared" ca="1" si="58"/>
        <v/>
      </c>
      <c r="AA116" s="36">
        <f t="shared" ca="1" si="59"/>
        <v>0</v>
      </c>
      <c r="AB116" s="121" t="str">
        <f>IF(ISBLANK($A116),"",5+4*(I116+IF(AA116=0,0,VLOOKUP($A116,'Final Round'!$A$14:$K$18,COLUMN('Final Round'!$G$1),0)))+8*(H116+IF(AA116=0,0,IF(VLOOKUP($A116,'Final Round'!$A$14:$K$18,COLUMN('Final Round'!$J$1),0)=1,1,0)))+$AA116)</f>
        <v/>
      </c>
    </row>
    <row r="117" spans="1:28" x14ac:dyDescent="0.2">
      <c r="A117" s="137"/>
      <c r="B117" s="138"/>
      <c r="C117" s="138"/>
      <c r="D117" s="138"/>
      <c r="E117" s="139"/>
      <c r="F117" s="140" t="str">
        <f>IF(ISBLANK($A117),"",SUM(IF(ISNA(IF(VLOOKUP($A117,'Round 1'!$A$7:$J$206,COLUMN('Round 1'!$H$7),0),1,NA())),0,1),IF(ISNA(IF(VLOOKUP($A117,'Round 2'!$A$7:$J$206,COLUMN('Round 1'!$H$7),0),1,NA())),0,1),IF(ISNA(IF(VLOOKUP($A117,'Round 3'!$A$7:$J$206,COLUMN('Round 1'!$H$7),0),1,NA())),0,1),IF(ISNA(IF(VLOOKUP($A117,'Final Round'!$A$14:$K$18,1,0),1,NA())),0,1)))</f>
        <v/>
      </c>
      <c r="G117" s="141"/>
      <c r="H117" s="142" t="str">
        <f>IF(ISBLANK($A117),"",IF(ISERROR(VLOOKUP($A117,'Round 1'!$A$7:$I$206,COLUMN('Round 1'!$G$7),0)),0,VLOOKUP($A117,'Round 1'!$A$7:$I$206,COLUMN('Round 1'!$G$7),0))+IF(ISERROR(VLOOKUP($A117,'Round 2'!$A$7:$I$206,COLUMN('Round 2'!$G$7),0)),0,VLOOKUP($A117,'Round 2'!$A$7:$I$206,COLUMN('Round 2'!$G$7),0))+IF(ISERROR(VLOOKUP($A117,'Round 3'!$A$7:$I$206,COLUMN('Round 3'!$G$7),0)),0,VLOOKUP($A117,'Round 3'!$A$7:$I$206,COLUMN('Round 3'!$G$7),0)))</f>
        <v/>
      </c>
      <c r="I117" s="142" t="str">
        <f>IF(ISBLANK($A117),"",IF(ISERROR(VLOOKUP($A117,'Round 1'!$A$7:$I$206,COLUMN('Round 1'!$F$7),0)),0,VLOOKUP($A117,'Round 1'!$A$7:$I$206,COLUMN('Round 1'!$F$7),0))+IF(ISERROR(VLOOKUP($A117,'Round 2'!$A$7:$I$206,COLUMN('Round 2'!$F$7),0)),0,VLOOKUP($A117,'Round 2'!$A$7:$I$206,COLUMN('Round 2'!$F$7),0))+IF(ISERROR(VLOOKUP($A117,'Round 3'!$A$7:$I$206,COLUMN('Round 3'!$F$7),0)),0,VLOOKUP($A117,'Round 3'!$A$7:$I$206,COLUMN('Round 3'!$F$7),0)))</f>
        <v/>
      </c>
      <c r="J117" s="143" t="str">
        <f>IF(ISBLANK($A117),"",IF(ISERROR(VLOOKUP($A117,'Round 1'!$A$7:$I$206,COLUMN('Round 1'!$H$7),0)),0,VLOOKUP($A117,'Round 1'!$A$7:$I$206,COLUMN('Round 1'!$H$7),0))+IF(ISERROR(VLOOKUP($A117,'Round 2'!$A$7:$I$206,COLUMN('Round 2'!$H$7),0)),0,VLOOKUP($A117,'Round 2'!$A$7:$I$206,COLUMN('Round 2'!$H$7),0))+IF(ISERROR(VLOOKUP($A117,'Round 3'!$A$7:$I$206,COLUMN('Round 3'!$H$7),0)),0,VLOOKUP($A117,'Round 3'!$A$7:$I$206,COLUMN('Round 3'!$H$7),0)))</f>
        <v/>
      </c>
      <c r="K117" s="142" t="str">
        <f t="shared" si="45"/>
        <v/>
      </c>
      <c r="L117" s="144" t="str">
        <f t="shared" si="46"/>
        <v/>
      </c>
      <c r="M117" s="145"/>
      <c r="N117" s="146" t="str">
        <f t="shared" si="47"/>
        <v/>
      </c>
      <c r="O117" s="36" t="str">
        <f t="shared" si="48"/>
        <v/>
      </c>
      <c r="P117" s="36" t="str">
        <f t="shared" si="49"/>
        <v/>
      </c>
      <c r="Q117" s="36">
        <f t="shared" si="50"/>
        <v>-10</v>
      </c>
      <c r="R117" s="36" t="str">
        <f t="shared" si="51"/>
        <v/>
      </c>
      <c r="S117" s="36" t="str">
        <f t="shared" si="52"/>
        <v/>
      </c>
      <c r="T117" s="36">
        <f t="shared" si="53"/>
        <v>0</v>
      </c>
      <c r="U117" s="146" t="str">
        <f ca="1">IF(N('Final Round'!$J$14)&gt;0,IF(ISBLANK($A117),"",IF($N117&gt;5,$N117,VLOOKUP($A117,'Final Round'!$A$14:$K$18,COLUMN('Final Round'!$J$1),0))),"")</f>
        <v/>
      </c>
      <c r="V117" s="36" t="str">
        <f t="shared" ca="1" si="54"/>
        <v/>
      </c>
      <c r="W117" s="36" t="str">
        <f t="shared" si="55"/>
        <v/>
      </c>
      <c r="X117" s="36" t="str">
        <f t="shared" si="56"/>
        <v/>
      </c>
      <c r="Y117" s="36">
        <f t="shared" si="57"/>
        <v>0</v>
      </c>
      <c r="Z117" s="36" t="str">
        <f t="shared" ca="1" si="58"/>
        <v/>
      </c>
      <c r="AA117" s="36">
        <f t="shared" ca="1" si="59"/>
        <v>0</v>
      </c>
      <c r="AB117" s="147" t="str">
        <f>IF(ISBLANK($A117),"",5+4*(I117+IF(AA117=0,0,VLOOKUP($A117,'Final Round'!$A$14:$K$18,COLUMN('Final Round'!$G$1),0)))+8*(H117+IF(AA117=0,0,IF(VLOOKUP($A117,'Final Round'!$A$14:$K$18,COLUMN('Final Round'!$J$1),0)=1,1,0)))+$AA117)</f>
        <v/>
      </c>
    </row>
    <row r="118" spans="1:28" x14ac:dyDescent="0.2">
      <c r="A118" s="111"/>
      <c r="B118" s="112"/>
      <c r="C118" s="112"/>
      <c r="D118" s="112"/>
      <c r="E118" s="113"/>
      <c r="F118" s="114" t="str">
        <f>IF(ISBLANK($A118),"",SUM(IF(ISNA(IF(VLOOKUP($A118,'Round 1'!$A$7:$J$206,COLUMN('Round 1'!$H$7),0),1,NA())),0,1),IF(ISNA(IF(VLOOKUP($A118,'Round 2'!$A$7:$J$206,COLUMN('Round 1'!$H$7),0),1,NA())),0,1),IF(ISNA(IF(VLOOKUP($A118,'Round 3'!$A$7:$J$206,COLUMN('Round 1'!$H$7),0),1,NA())),0,1),IF(ISNA(IF(VLOOKUP($A118,'Final Round'!$A$14:$K$18,1,0),1,NA())),0,1)))</f>
        <v/>
      </c>
      <c r="G118" s="115"/>
      <c r="H118" s="116" t="str">
        <f>IF(ISBLANK($A118),"",IF(ISERROR(VLOOKUP($A118,'Round 1'!$A$7:$I$206,COLUMN('Round 1'!$G$7),0)),0,VLOOKUP($A118,'Round 1'!$A$7:$I$206,COLUMN('Round 1'!$G$7),0))+IF(ISERROR(VLOOKUP($A118,'Round 2'!$A$7:$I$206,COLUMN('Round 2'!$G$7),0)),0,VLOOKUP($A118,'Round 2'!$A$7:$I$206,COLUMN('Round 2'!$G$7),0))+IF(ISERROR(VLOOKUP($A118,'Round 3'!$A$7:$I$206,COLUMN('Round 3'!$G$7),0)),0,VLOOKUP($A118,'Round 3'!$A$7:$I$206,COLUMN('Round 3'!$G$7),0)))</f>
        <v/>
      </c>
      <c r="I118" s="116" t="str">
        <f>IF(ISBLANK($A118),"",IF(ISERROR(VLOOKUP($A118,'Round 1'!$A$7:$I$206,COLUMN('Round 1'!$F$7),0)),0,VLOOKUP($A118,'Round 1'!$A$7:$I$206,COLUMN('Round 1'!$F$7),0))+IF(ISERROR(VLOOKUP($A118,'Round 2'!$A$7:$I$206,COLUMN('Round 2'!$F$7),0)),0,VLOOKUP($A118,'Round 2'!$A$7:$I$206,COLUMN('Round 2'!$F$7),0))+IF(ISERROR(VLOOKUP($A118,'Round 3'!$A$7:$I$206,COLUMN('Round 3'!$F$7),0)),0,VLOOKUP($A118,'Round 3'!$A$7:$I$206,COLUMN('Round 3'!$F$7),0)))</f>
        <v/>
      </c>
      <c r="J118" s="117" t="str">
        <f>IF(ISBLANK($A118),"",IF(ISERROR(VLOOKUP($A118,'Round 1'!$A$7:$I$206,COLUMN('Round 1'!$H$7),0)),0,VLOOKUP($A118,'Round 1'!$A$7:$I$206,COLUMN('Round 1'!$H$7),0))+IF(ISERROR(VLOOKUP($A118,'Round 2'!$A$7:$I$206,COLUMN('Round 2'!$H$7),0)),0,VLOOKUP($A118,'Round 2'!$A$7:$I$206,COLUMN('Round 2'!$H$7),0))+IF(ISERROR(VLOOKUP($A118,'Round 3'!$A$7:$I$206,COLUMN('Round 3'!$H$7),0)),0,VLOOKUP($A118,'Round 3'!$A$7:$I$206,COLUMN('Round 3'!$H$7),0)))</f>
        <v/>
      </c>
      <c r="K118" s="116" t="str">
        <f t="shared" si="45"/>
        <v/>
      </c>
      <c r="L118" s="118" t="str">
        <f t="shared" si="46"/>
        <v/>
      </c>
      <c r="M118" s="119"/>
      <c r="N118" s="120" t="str">
        <f t="shared" si="47"/>
        <v/>
      </c>
      <c r="O118" s="36" t="str">
        <f t="shared" si="48"/>
        <v/>
      </c>
      <c r="P118" s="36" t="str">
        <f t="shared" si="49"/>
        <v/>
      </c>
      <c r="Q118" s="36">
        <f t="shared" si="50"/>
        <v>-10</v>
      </c>
      <c r="R118" s="36" t="str">
        <f t="shared" si="51"/>
        <v/>
      </c>
      <c r="S118" s="36" t="str">
        <f t="shared" si="52"/>
        <v/>
      </c>
      <c r="T118" s="36">
        <f t="shared" si="53"/>
        <v>0</v>
      </c>
      <c r="U118" s="120" t="str">
        <f ca="1">IF(N('Final Round'!$J$14)&gt;0,IF(ISBLANK($A118),"",IF($N118&gt;5,$N118,VLOOKUP($A118,'Final Round'!$A$14:$K$18,COLUMN('Final Round'!$J$1),0))),"")</f>
        <v/>
      </c>
      <c r="V118" s="36" t="str">
        <f t="shared" ca="1" si="54"/>
        <v/>
      </c>
      <c r="W118" s="36" t="str">
        <f t="shared" si="55"/>
        <v/>
      </c>
      <c r="X118" s="36" t="str">
        <f t="shared" si="56"/>
        <v/>
      </c>
      <c r="Y118" s="36">
        <f t="shared" si="57"/>
        <v>0</v>
      </c>
      <c r="Z118" s="36" t="str">
        <f t="shared" ca="1" si="58"/>
        <v/>
      </c>
      <c r="AA118" s="36">
        <f t="shared" ca="1" si="59"/>
        <v>0</v>
      </c>
      <c r="AB118" s="121" t="str">
        <f>IF(ISBLANK($A118),"",5+4*(I118+IF(AA118=0,0,VLOOKUP($A118,'Final Round'!$A$14:$K$18,COLUMN('Final Round'!$G$1),0)))+8*(H118+IF(AA118=0,0,IF(VLOOKUP($A118,'Final Round'!$A$14:$K$18,COLUMN('Final Round'!$J$1),0)=1,1,0)))+$AA118)</f>
        <v/>
      </c>
    </row>
    <row r="119" spans="1:28" x14ac:dyDescent="0.2">
      <c r="A119" s="137"/>
      <c r="B119" s="138"/>
      <c r="C119" s="138"/>
      <c r="D119" s="138"/>
      <c r="E119" s="139"/>
      <c r="F119" s="140" t="str">
        <f>IF(ISBLANK($A119),"",SUM(IF(ISNA(IF(VLOOKUP($A119,'Round 1'!$A$7:$J$206,COLUMN('Round 1'!$H$7),0),1,NA())),0,1),IF(ISNA(IF(VLOOKUP($A119,'Round 2'!$A$7:$J$206,COLUMN('Round 1'!$H$7),0),1,NA())),0,1),IF(ISNA(IF(VLOOKUP($A119,'Round 3'!$A$7:$J$206,COLUMN('Round 1'!$H$7),0),1,NA())),0,1),IF(ISNA(IF(VLOOKUP($A119,'Final Round'!$A$14:$K$18,1,0),1,NA())),0,1)))</f>
        <v/>
      </c>
      <c r="G119" s="141"/>
      <c r="H119" s="142" t="str">
        <f>IF(ISBLANK($A119),"",IF(ISERROR(VLOOKUP($A119,'Round 1'!$A$7:$I$206,COLUMN('Round 1'!$G$7),0)),0,VLOOKUP($A119,'Round 1'!$A$7:$I$206,COLUMN('Round 1'!$G$7),0))+IF(ISERROR(VLOOKUP($A119,'Round 2'!$A$7:$I$206,COLUMN('Round 2'!$G$7),0)),0,VLOOKUP($A119,'Round 2'!$A$7:$I$206,COLUMN('Round 2'!$G$7),0))+IF(ISERROR(VLOOKUP($A119,'Round 3'!$A$7:$I$206,COLUMN('Round 3'!$G$7),0)),0,VLOOKUP($A119,'Round 3'!$A$7:$I$206,COLUMN('Round 3'!$G$7),0)))</f>
        <v/>
      </c>
      <c r="I119" s="142" t="str">
        <f>IF(ISBLANK($A119),"",IF(ISERROR(VLOOKUP($A119,'Round 1'!$A$7:$I$206,COLUMN('Round 1'!$F$7),0)),0,VLOOKUP($A119,'Round 1'!$A$7:$I$206,COLUMN('Round 1'!$F$7),0))+IF(ISERROR(VLOOKUP($A119,'Round 2'!$A$7:$I$206,COLUMN('Round 2'!$F$7),0)),0,VLOOKUP($A119,'Round 2'!$A$7:$I$206,COLUMN('Round 2'!$F$7),0))+IF(ISERROR(VLOOKUP($A119,'Round 3'!$A$7:$I$206,COLUMN('Round 3'!$F$7),0)),0,VLOOKUP($A119,'Round 3'!$A$7:$I$206,COLUMN('Round 3'!$F$7),0)))</f>
        <v/>
      </c>
      <c r="J119" s="143" t="str">
        <f>IF(ISBLANK($A119),"",IF(ISERROR(VLOOKUP($A119,'Round 1'!$A$7:$I$206,COLUMN('Round 1'!$H$7),0)),0,VLOOKUP($A119,'Round 1'!$A$7:$I$206,COLUMN('Round 1'!$H$7),0))+IF(ISERROR(VLOOKUP($A119,'Round 2'!$A$7:$I$206,COLUMN('Round 2'!$H$7),0)),0,VLOOKUP($A119,'Round 2'!$A$7:$I$206,COLUMN('Round 2'!$H$7),0))+IF(ISERROR(VLOOKUP($A119,'Round 3'!$A$7:$I$206,COLUMN('Round 3'!$H$7),0)),0,VLOOKUP($A119,'Round 3'!$A$7:$I$206,COLUMN('Round 3'!$H$7),0)))</f>
        <v/>
      </c>
      <c r="K119" s="142" t="str">
        <f t="shared" si="45"/>
        <v/>
      </c>
      <c r="L119" s="144" t="str">
        <f t="shared" si="46"/>
        <v/>
      </c>
      <c r="M119" s="145"/>
      <c r="N119" s="146" t="str">
        <f t="shared" si="47"/>
        <v/>
      </c>
      <c r="O119" s="36" t="str">
        <f t="shared" si="48"/>
        <v/>
      </c>
      <c r="P119" s="36" t="str">
        <f t="shared" si="49"/>
        <v/>
      </c>
      <c r="Q119" s="36">
        <f t="shared" si="50"/>
        <v>-10</v>
      </c>
      <c r="R119" s="36" t="str">
        <f t="shared" si="51"/>
        <v/>
      </c>
      <c r="S119" s="36" t="str">
        <f t="shared" si="52"/>
        <v/>
      </c>
      <c r="T119" s="36">
        <f t="shared" si="53"/>
        <v>0</v>
      </c>
      <c r="U119" s="146" t="str">
        <f ca="1">IF(N('Final Round'!$J$14)&gt;0,IF(ISBLANK($A119),"",IF($N119&gt;5,$N119,VLOOKUP($A119,'Final Round'!$A$14:$K$18,COLUMN('Final Round'!$J$1),0))),"")</f>
        <v/>
      </c>
      <c r="V119" s="36" t="str">
        <f t="shared" ca="1" si="54"/>
        <v/>
      </c>
      <c r="W119" s="36" t="str">
        <f t="shared" si="55"/>
        <v/>
      </c>
      <c r="X119" s="36" t="str">
        <f t="shared" si="56"/>
        <v/>
      </c>
      <c r="Y119" s="36">
        <f t="shared" si="57"/>
        <v>0</v>
      </c>
      <c r="Z119" s="36" t="str">
        <f t="shared" ca="1" si="58"/>
        <v/>
      </c>
      <c r="AA119" s="36">
        <f t="shared" ca="1" si="59"/>
        <v>0</v>
      </c>
      <c r="AB119" s="147" t="str">
        <f>IF(ISBLANK($A119),"",5+4*(I119+IF(AA119=0,0,VLOOKUP($A119,'Final Round'!$A$14:$K$18,COLUMN('Final Round'!$G$1),0)))+8*(H119+IF(AA119=0,0,IF(VLOOKUP($A119,'Final Round'!$A$14:$K$18,COLUMN('Final Round'!$J$1),0)=1,1,0)))+$AA119)</f>
        <v/>
      </c>
    </row>
    <row r="120" spans="1:28" x14ac:dyDescent="0.2">
      <c r="A120" s="111"/>
      <c r="B120" s="112"/>
      <c r="C120" s="112"/>
      <c r="D120" s="112"/>
      <c r="E120" s="113"/>
      <c r="F120" s="114" t="str">
        <f>IF(ISBLANK($A120),"",SUM(IF(ISNA(IF(VLOOKUP($A120,'Round 1'!$A$7:$J$206,COLUMN('Round 1'!$H$7),0),1,NA())),0,1),IF(ISNA(IF(VLOOKUP($A120,'Round 2'!$A$7:$J$206,COLUMN('Round 1'!$H$7),0),1,NA())),0,1),IF(ISNA(IF(VLOOKUP($A120,'Round 3'!$A$7:$J$206,COLUMN('Round 1'!$H$7),0),1,NA())),0,1),IF(ISNA(IF(VLOOKUP($A120,'Final Round'!$A$14:$K$18,1,0),1,NA())),0,1)))</f>
        <v/>
      </c>
      <c r="G120" s="115"/>
      <c r="H120" s="116" t="str">
        <f>IF(ISBLANK($A120),"",IF(ISERROR(VLOOKUP($A120,'Round 1'!$A$7:$I$206,COLUMN('Round 1'!$G$7),0)),0,VLOOKUP($A120,'Round 1'!$A$7:$I$206,COLUMN('Round 1'!$G$7),0))+IF(ISERROR(VLOOKUP($A120,'Round 2'!$A$7:$I$206,COLUMN('Round 2'!$G$7),0)),0,VLOOKUP($A120,'Round 2'!$A$7:$I$206,COLUMN('Round 2'!$G$7),0))+IF(ISERROR(VLOOKUP($A120,'Round 3'!$A$7:$I$206,COLUMN('Round 3'!$G$7),0)),0,VLOOKUP($A120,'Round 3'!$A$7:$I$206,COLUMN('Round 3'!$G$7),0)))</f>
        <v/>
      </c>
      <c r="I120" s="116" t="str">
        <f>IF(ISBLANK($A120),"",IF(ISERROR(VLOOKUP($A120,'Round 1'!$A$7:$I$206,COLUMN('Round 1'!$F$7),0)),0,VLOOKUP($A120,'Round 1'!$A$7:$I$206,COLUMN('Round 1'!$F$7),0))+IF(ISERROR(VLOOKUP($A120,'Round 2'!$A$7:$I$206,COLUMN('Round 2'!$F$7),0)),0,VLOOKUP($A120,'Round 2'!$A$7:$I$206,COLUMN('Round 2'!$F$7),0))+IF(ISERROR(VLOOKUP($A120,'Round 3'!$A$7:$I$206,COLUMN('Round 3'!$F$7),0)),0,VLOOKUP($A120,'Round 3'!$A$7:$I$206,COLUMN('Round 3'!$F$7),0)))</f>
        <v/>
      </c>
      <c r="J120" s="117" t="str">
        <f>IF(ISBLANK($A120),"",IF(ISERROR(VLOOKUP($A120,'Round 1'!$A$7:$I$206,COLUMN('Round 1'!$H$7),0)),0,VLOOKUP($A120,'Round 1'!$A$7:$I$206,COLUMN('Round 1'!$H$7),0))+IF(ISERROR(VLOOKUP($A120,'Round 2'!$A$7:$I$206,COLUMN('Round 2'!$H$7),0)),0,VLOOKUP($A120,'Round 2'!$A$7:$I$206,COLUMN('Round 2'!$H$7),0))+IF(ISERROR(VLOOKUP($A120,'Round 3'!$A$7:$I$206,COLUMN('Round 3'!$H$7),0)),0,VLOOKUP($A120,'Round 3'!$A$7:$I$206,COLUMN('Round 3'!$H$7),0)))</f>
        <v/>
      </c>
      <c r="K120" s="116" t="str">
        <f t="shared" si="45"/>
        <v/>
      </c>
      <c r="L120" s="118" t="str">
        <f t="shared" si="46"/>
        <v/>
      </c>
      <c r="M120" s="119"/>
      <c r="N120" s="120" t="str">
        <f t="shared" si="47"/>
        <v/>
      </c>
      <c r="O120" s="36" t="str">
        <f t="shared" si="48"/>
        <v/>
      </c>
      <c r="P120" s="36" t="str">
        <f t="shared" si="49"/>
        <v/>
      </c>
      <c r="Q120" s="36">
        <f t="shared" si="50"/>
        <v>-10</v>
      </c>
      <c r="R120" s="36" t="str">
        <f t="shared" si="51"/>
        <v/>
      </c>
      <c r="S120" s="36" t="str">
        <f t="shared" si="52"/>
        <v/>
      </c>
      <c r="T120" s="36">
        <f t="shared" si="53"/>
        <v>0</v>
      </c>
      <c r="U120" s="120" t="str">
        <f ca="1">IF(N('Final Round'!$J$14)&gt;0,IF(ISBLANK($A120),"",IF($N120&gt;5,$N120,VLOOKUP($A120,'Final Round'!$A$14:$K$18,COLUMN('Final Round'!$J$1),0))),"")</f>
        <v/>
      </c>
      <c r="V120" s="36" t="str">
        <f t="shared" ca="1" si="54"/>
        <v/>
      </c>
      <c r="W120" s="36" t="str">
        <f t="shared" si="55"/>
        <v/>
      </c>
      <c r="X120" s="36" t="str">
        <f t="shared" si="56"/>
        <v/>
      </c>
      <c r="Y120" s="36">
        <f t="shared" si="57"/>
        <v>0</v>
      </c>
      <c r="Z120" s="36" t="str">
        <f t="shared" ca="1" si="58"/>
        <v/>
      </c>
      <c r="AA120" s="36">
        <f t="shared" ca="1" si="59"/>
        <v>0</v>
      </c>
      <c r="AB120" s="121" t="str">
        <f>IF(ISBLANK($A120),"",5+4*(I120+IF(AA120=0,0,VLOOKUP($A120,'Final Round'!$A$14:$K$18,COLUMN('Final Round'!$G$1),0)))+8*(H120+IF(AA120=0,0,IF(VLOOKUP($A120,'Final Round'!$A$14:$K$18,COLUMN('Final Round'!$J$1),0)=1,1,0)))+$AA120)</f>
        <v/>
      </c>
    </row>
    <row r="121" spans="1:28" x14ac:dyDescent="0.2">
      <c r="A121" s="137"/>
      <c r="B121" s="138"/>
      <c r="C121" s="138"/>
      <c r="D121" s="138"/>
      <c r="E121" s="139"/>
      <c r="F121" s="140" t="str">
        <f>IF(ISBLANK($A121),"",SUM(IF(ISNA(IF(VLOOKUP($A121,'Round 1'!$A$7:$J$206,COLUMN('Round 1'!$H$7),0),1,NA())),0,1),IF(ISNA(IF(VLOOKUP($A121,'Round 2'!$A$7:$J$206,COLUMN('Round 1'!$H$7),0),1,NA())),0,1),IF(ISNA(IF(VLOOKUP($A121,'Round 3'!$A$7:$J$206,COLUMN('Round 1'!$H$7),0),1,NA())),0,1),IF(ISNA(IF(VLOOKUP($A121,'Final Round'!$A$14:$K$18,1,0),1,NA())),0,1)))</f>
        <v/>
      </c>
      <c r="G121" s="141"/>
      <c r="H121" s="142" t="str">
        <f>IF(ISBLANK($A121),"",IF(ISERROR(VLOOKUP($A121,'Round 1'!$A$7:$I$206,COLUMN('Round 1'!$G$7),0)),0,VLOOKUP($A121,'Round 1'!$A$7:$I$206,COLUMN('Round 1'!$G$7),0))+IF(ISERROR(VLOOKUP($A121,'Round 2'!$A$7:$I$206,COLUMN('Round 2'!$G$7),0)),0,VLOOKUP($A121,'Round 2'!$A$7:$I$206,COLUMN('Round 2'!$G$7),0))+IF(ISERROR(VLOOKUP($A121,'Round 3'!$A$7:$I$206,COLUMN('Round 3'!$G$7),0)),0,VLOOKUP($A121,'Round 3'!$A$7:$I$206,COLUMN('Round 3'!$G$7),0)))</f>
        <v/>
      </c>
      <c r="I121" s="142" t="str">
        <f>IF(ISBLANK($A121),"",IF(ISERROR(VLOOKUP($A121,'Round 1'!$A$7:$I$206,COLUMN('Round 1'!$F$7),0)),0,VLOOKUP($A121,'Round 1'!$A$7:$I$206,COLUMN('Round 1'!$F$7),0))+IF(ISERROR(VLOOKUP($A121,'Round 2'!$A$7:$I$206,COLUMN('Round 2'!$F$7),0)),0,VLOOKUP($A121,'Round 2'!$A$7:$I$206,COLUMN('Round 2'!$F$7),0))+IF(ISERROR(VLOOKUP($A121,'Round 3'!$A$7:$I$206,COLUMN('Round 3'!$F$7),0)),0,VLOOKUP($A121,'Round 3'!$A$7:$I$206,COLUMN('Round 3'!$F$7),0)))</f>
        <v/>
      </c>
      <c r="J121" s="143" t="str">
        <f>IF(ISBLANK($A121),"",IF(ISERROR(VLOOKUP($A121,'Round 1'!$A$7:$I$206,COLUMN('Round 1'!$H$7),0)),0,VLOOKUP($A121,'Round 1'!$A$7:$I$206,COLUMN('Round 1'!$H$7),0))+IF(ISERROR(VLOOKUP($A121,'Round 2'!$A$7:$I$206,COLUMN('Round 2'!$H$7),0)),0,VLOOKUP($A121,'Round 2'!$A$7:$I$206,COLUMN('Round 2'!$H$7),0))+IF(ISERROR(VLOOKUP($A121,'Round 3'!$A$7:$I$206,COLUMN('Round 3'!$H$7),0)),0,VLOOKUP($A121,'Round 3'!$A$7:$I$206,COLUMN('Round 3'!$H$7),0)))</f>
        <v/>
      </c>
      <c r="K121" s="142" t="str">
        <f t="shared" si="45"/>
        <v/>
      </c>
      <c r="L121" s="144" t="str">
        <f t="shared" si="46"/>
        <v/>
      </c>
      <c r="M121" s="145"/>
      <c r="N121" s="146" t="str">
        <f t="shared" si="47"/>
        <v/>
      </c>
      <c r="O121" s="36" t="str">
        <f t="shared" si="48"/>
        <v/>
      </c>
      <c r="P121" s="36" t="str">
        <f t="shared" si="49"/>
        <v/>
      </c>
      <c r="Q121" s="36">
        <f t="shared" si="50"/>
        <v>-10</v>
      </c>
      <c r="R121" s="36" t="str">
        <f t="shared" si="51"/>
        <v/>
      </c>
      <c r="S121" s="36" t="str">
        <f t="shared" si="52"/>
        <v/>
      </c>
      <c r="T121" s="36">
        <f t="shared" si="53"/>
        <v>0</v>
      </c>
      <c r="U121" s="146" t="str">
        <f ca="1">IF(N('Final Round'!$J$14)&gt;0,IF(ISBLANK($A121),"",IF($N121&gt;5,$N121,VLOOKUP($A121,'Final Round'!$A$14:$K$18,COLUMN('Final Round'!$J$1),0))),"")</f>
        <v/>
      </c>
      <c r="V121" s="36" t="str">
        <f t="shared" ca="1" si="54"/>
        <v/>
      </c>
      <c r="W121" s="36" t="str">
        <f t="shared" si="55"/>
        <v/>
      </c>
      <c r="X121" s="36" t="str">
        <f t="shared" si="56"/>
        <v/>
      </c>
      <c r="Y121" s="36">
        <f t="shared" si="57"/>
        <v>0</v>
      </c>
      <c r="Z121" s="36" t="str">
        <f t="shared" ca="1" si="58"/>
        <v/>
      </c>
      <c r="AA121" s="36">
        <f t="shared" ca="1" si="59"/>
        <v>0</v>
      </c>
      <c r="AB121" s="147" t="str">
        <f>IF(ISBLANK($A121),"",5+4*(I121+IF(AA121=0,0,VLOOKUP($A121,'Final Round'!$A$14:$K$18,COLUMN('Final Round'!$G$1),0)))+8*(H121+IF(AA121=0,0,IF(VLOOKUP($A121,'Final Round'!$A$14:$K$18,COLUMN('Final Round'!$J$1),0)=1,1,0)))+$AA121)</f>
        <v/>
      </c>
    </row>
    <row r="122" spans="1:28" x14ac:dyDescent="0.2">
      <c r="A122" s="111"/>
      <c r="B122" s="112"/>
      <c r="C122" s="112"/>
      <c r="D122" s="112"/>
      <c r="E122" s="113"/>
      <c r="F122" s="114" t="str">
        <f>IF(ISBLANK($A122),"",SUM(IF(ISNA(IF(VLOOKUP($A122,'Round 1'!$A$7:$J$206,COLUMN('Round 1'!$H$7),0),1,NA())),0,1),IF(ISNA(IF(VLOOKUP($A122,'Round 2'!$A$7:$J$206,COLUMN('Round 1'!$H$7),0),1,NA())),0,1),IF(ISNA(IF(VLOOKUP($A122,'Round 3'!$A$7:$J$206,COLUMN('Round 1'!$H$7),0),1,NA())),0,1),IF(ISNA(IF(VLOOKUP($A122,'Final Round'!$A$14:$K$18,1,0),1,NA())),0,1)))</f>
        <v/>
      </c>
      <c r="G122" s="115"/>
      <c r="H122" s="116" t="str">
        <f>IF(ISBLANK($A122),"",IF(ISERROR(VLOOKUP($A122,'Round 1'!$A$7:$I$206,COLUMN('Round 1'!$G$7),0)),0,VLOOKUP($A122,'Round 1'!$A$7:$I$206,COLUMN('Round 1'!$G$7),0))+IF(ISERROR(VLOOKUP($A122,'Round 2'!$A$7:$I$206,COLUMN('Round 2'!$G$7),0)),0,VLOOKUP($A122,'Round 2'!$A$7:$I$206,COLUMN('Round 2'!$G$7),0))+IF(ISERROR(VLOOKUP($A122,'Round 3'!$A$7:$I$206,COLUMN('Round 3'!$G$7),0)),0,VLOOKUP($A122,'Round 3'!$A$7:$I$206,COLUMN('Round 3'!$G$7),0)))</f>
        <v/>
      </c>
      <c r="I122" s="116" t="str">
        <f>IF(ISBLANK($A122),"",IF(ISERROR(VLOOKUP($A122,'Round 1'!$A$7:$I$206,COLUMN('Round 1'!$F$7),0)),0,VLOOKUP($A122,'Round 1'!$A$7:$I$206,COLUMN('Round 1'!$F$7),0))+IF(ISERROR(VLOOKUP($A122,'Round 2'!$A$7:$I$206,COLUMN('Round 2'!$F$7),0)),0,VLOOKUP($A122,'Round 2'!$A$7:$I$206,COLUMN('Round 2'!$F$7),0))+IF(ISERROR(VLOOKUP($A122,'Round 3'!$A$7:$I$206,COLUMN('Round 3'!$F$7),0)),0,VLOOKUP($A122,'Round 3'!$A$7:$I$206,COLUMN('Round 3'!$F$7),0)))</f>
        <v/>
      </c>
      <c r="J122" s="117" t="str">
        <f>IF(ISBLANK($A122),"",IF(ISERROR(VLOOKUP($A122,'Round 1'!$A$7:$I$206,COLUMN('Round 1'!$H$7),0)),0,VLOOKUP($A122,'Round 1'!$A$7:$I$206,COLUMN('Round 1'!$H$7),0))+IF(ISERROR(VLOOKUP($A122,'Round 2'!$A$7:$I$206,COLUMN('Round 2'!$H$7),0)),0,VLOOKUP($A122,'Round 2'!$A$7:$I$206,COLUMN('Round 2'!$H$7),0))+IF(ISERROR(VLOOKUP($A122,'Round 3'!$A$7:$I$206,COLUMN('Round 3'!$H$7),0)),0,VLOOKUP($A122,'Round 3'!$A$7:$I$206,COLUMN('Round 3'!$H$7),0)))</f>
        <v/>
      </c>
      <c r="K122" s="116" t="str">
        <f t="shared" si="45"/>
        <v/>
      </c>
      <c r="L122" s="118" t="str">
        <f t="shared" si="46"/>
        <v/>
      </c>
      <c r="M122" s="119"/>
      <c r="N122" s="120" t="str">
        <f t="shared" si="47"/>
        <v/>
      </c>
      <c r="O122" s="36" t="str">
        <f t="shared" si="48"/>
        <v/>
      </c>
      <c r="P122" s="36" t="str">
        <f t="shared" si="49"/>
        <v/>
      </c>
      <c r="Q122" s="36">
        <f t="shared" si="50"/>
        <v>-10</v>
      </c>
      <c r="R122" s="36" t="str">
        <f t="shared" si="51"/>
        <v/>
      </c>
      <c r="S122" s="36" t="str">
        <f t="shared" si="52"/>
        <v/>
      </c>
      <c r="T122" s="36">
        <f t="shared" si="53"/>
        <v>0</v>
      </c>
      <c r="U122" s="120" t="str">
        <f ca="1">IF(N('Final Round'!$J$14)&gt;0,IF(ISBLANK($A122),"",IF($N122&gt;5,$N122,VLOOKUP($A122,'Final Round'!$A$14:$K$18,COLUMN('Final Round'!$J$1),0))),"")</f>
        <v/>
      </c>
      <c r="V122" s="36" t="str">
        <f t="shared" ca="1" si="54"/>
        <v/>
      </c>
      <c r="W122" s="36" t="str">
        <f t="shared" si="55"/>
        <v/>
      </c>
      <c r="X122" s="36" t="str">
        <f t="shared" si="56"/>
        <v/>
      </c>
      <c r="Y122" s="36">
        <f t="shared" si="57"/>
        <v>0</v>
      </c>
      <c r="Z122" s="36" t="str">
        <f t="shared" ca="1" si="58"/>
        <v/>
      </c>
      <c r="AA122" s="36">
        <f t="shared" ca="1" si="59"/>
        <v>0</v>
      </c>
      <c r="AB122" s="121" t="str">
        <f>IF(ISBLANK($A122),"",5+4*(I122+IF(AA122=0,0,VLOOKUP($A122,'Final Round'!$A$14:$K$18,COLUMN('Final Round'!$G$1),0)))+8*(H122+IF(AA122=0,0,IF(VLOOKUP($A122,'Final Round'!$A$14:$K$18,COLUMN('Final Round'!$J$1),0)=1,1,0)))+$AA122)</f>
        <v/>
      </c>
    </row>
    <row r="123" spans="1:28" x14ac:dyDescent="0.2">
      <c r="A123" s="137"/>
      <c r="B123" s="138"/>
      <c r="C123" s="138"/>
      <c r="D123" s="138"/>
      <c r="E123" s="139"/>
      <c r="F123" s="140" t="str">
        <f>IF(ISBLANK($A123),"",SUM(IF(ISNA(IF(VLOOKUP($A123,'Round 1'!$A$7:$J$206,COLUMN('Round 1'!$H$7),0),1,NA())),0,1),IF(ISNA(IF(VLOOKUP($A123,'Round 2'!$A$7:$J$206,COLUMN('Round 1'!$H$7),0),1,NA())),0,1),IF(ISNA(IF(VLOOKUP($A123,'Round 3'!$A$7:$J$206,COLUMN('Round 1'!$H$7),0),1,NA())),0,1),IF(ISNA(IF(VLOOKUP($A123,'Final Round'!$A$14:$K$18,1,0),1,NA())),0,1)))</f>
        <v/>
      </c>
      <c r="G123" s="141"/>
      <c r="H123" s="142" t="str">
        <f>IF(ISBLANK($A123),"",IF(ISERROR(VLOOKUP($A123,'Round 1'!$A$7:$I$206,COLUMN('Round 1'!$G$7),0)),0,VLOOKUP($A123,'Round 1'!$A$7:$I$206,COLUMN('Round 1'!$G$7),0))+IF(ISERROR(VLOOKUP($A123,'Round 2'!$A$7:$I$206,COLUMN('Round 2'!$G$7),0)),0,VLOOKUP($A123,'Round 2'!$A$7:$I$206,COLUMN('Round 2'!$G$7),0))+IF(ISERROR(VLOOKUP($A123,'Round 3'!$A$7:$I$206,COLUMN('Round 3'!$G$7),0)),0,VLOOKUP($A123,'Round 3'!$A$7:$I$206,COLUMN('Round 3'!$G$7),0)))</f>
        <v/>
      </c>
      <c r="I123" s="142" t="str">
        <f>IF(ISBLANK($A123),"",IF(ISERROR(VLOOKUP($A123,'Round 1'!$A$7:$I$206,COLUMN('Round 1'!$F$7),0)),0,VLOOKUP($A123,'Round 1'!$A$7:$I$206,COLUMN('Round 1'!$F$7),0))+IF(ISERROR(VLOOKUP($A123,'Round 2'!$A$7:$I$206,COLUMN('Round 2'!$F$7),0)),0,VLOOKUP($A123,'Round 2'!$A$7:$I$206,COLUMN('Round 2'!$F$7),0))+IF(ISERROR(VLOOKUP($A123,'Round 3'!$A$7:$I$206,COLUMN('Round 3'!$F$7),0)),0,VLOOKUP($A123,'Round 3'!$A$7:$I$206,COLUMN('Round 3'!$F$7),0)))</f>
        <v/>
      </c>
      <c r="J123" s="143" t="str">
        <f>IF(ISBLANK($A123),"",IF(ISERROR(VLOOKUP($A123,'Round 1'!$A$7:$I$206,COLUMN('Round 1'!$H$7),0)),0,VLOOKUP($A123,'Round 1'!$A$7:$I$206,COLUMN('Round 1'!$H$7),0))+IF(ISERROR(VLOOKUP($A123,'Round 2'!$A$7:$I$206,COLUMN('Round 2'!$H$7),0)),0,VLOOKUP($A123,'Round 2'!$A$7:$I$206,COLUMN('Round 2'!$H$7),0))+IF(ISERROR(VLOOKUP($A123,'Round 3'!$A$7:$I$206,COLUMN('Round 3'!$H$7),0)),0,VLOOKUP($A123,'Round 3'!$A$7:$I$206,COLUMN('Round 3'!$H$7),0)))</f>
        <v/>
      </c>
      <c r="K123" s="142" t="str">
        <f t="shared" si="45"/>
        <v/>
      </c>
      <c r="L123" s="144" t="str">
        <f t="shared" si="46"/>
        <v/>
      </c>
      <c r="M123" s="145"/>
      <c r="N123" s="146" t="str">
        <f t="shared" si="47"/>
        <v/>
      </c>
      <c r="O123" s="36" t="str">
        <f t="shared" si="48"/>
        <v/>
      </c>
      <c r="P123" s="36" t="str">
        <f t="shared" si="49"/>
        <v/>
      </c>
      <c r="Q123" s="36">
        <f t="shared" si="50"/>
        <v>-10</v>
      </c>
      <c r="R123" s="36" t="str">
        <f t="shared" si="51"/>
        <v/>
      </c>
      <c r="S123" s="36" t="str">
        <f t="shared" si="52"/>
        <v/>
      </c>
      <c r="T123" s="36">
        <f t="shared" si="53"/>
        <v>0</v>
      </c>
      <c r="U123" s="146" t="str">
        <f ca="1">IF(N('Final Round'!$J$14)&gt;0,IF(ISBLANK($A123),"",IF($N123&gt;5,$N123,VLOOKUP($A123,'Final Round'!$A$14:$K$18,COLUMN('Final Round'!$J$1),0))),"")</f>
        <v/>
      </c>
      <c r="V123" s="36" t="str">
        <f t="shared" ca="1" si="54"/>
        <v/>
      </c>
      <c r="W123" s="36" t="str">
        <f t="shared" si="55"/>
        <v/>
      </c>
      <c r="X123" s="36" t="str">
        <f t="shared" si="56"/>
        <v/>
      </c>
      <c r="Y123" s="36">
        <f t="shared" si="57"/>
        <v>0</v>
      </c>
      <c r="Z123" s="36" t="str">
        <f t="shared" ca="1" si="58"/>
        <v/>
      </c>
      <c r="AA123" s="36">
        <f t="shared" ca="1" si="59"/>
        <v>0</v>
      </c>
      <c r="AB123" s="147" t="str">
        <f>IF(ISBLANK($A123),"",5+4*(I123+IF(AA123=0,0,VLOOKUP($A123,'Final Round'!$A$14:$K$18,COLUMN('Final Round'!$G$1),0)))+8*(H123+IF(AA123=0,0,IF(VLOOKUP($A123,'Final Round'!$A$14:$K$18,COLUMN('Final Round'!$J$1),0)=1,1,0)))+$AA123)</f>
        <v/>
      </c>
    </row>
    <row r="124" spans="1:28" x14ac:dyDescent="0.2">
      <c r="A124" s="111"/>
      <c r="B124" s="112"/>
      <c r="C124" s="112"/>
      <c r="D124" s="112"/>
      <c r="E124" s="113"/>
      <c r="F124" s="114" t="str">
        <f>IF(ISBLANK($A124),"",SUM(IF(ISNA(IF(VLOOKUP($A124,'Round 1'!$A$7:$J$206,COLUMN('Round 1'!$H$7),0),1,NA())),0,1),IF(ISNA(IF(VLOOKUP($A124,'Round 2'!$A$7:$J$206,COLUMN('Round 1'!$H$7),0),1,NA())),0,1),IF(ISNA(IF(VLOOKUP($A124,'Round 3'!$A$7:$J$206,COLUMN('Round 1'!$H$7),0),1,NA())),0,1),IF(ISNA(IF(VLOOKUP($A124,'Final Round'!$A$14:$K$18,1,0),1,NA())),0,1)))</f>
        <v/>
      </c>
      <c r="G124" s="115"/>
      <c r="H124" s="116" t="str">
        <f>IF(ISBLANK($A124),"",IF(ISERROR(VLOOKUP($A124,'Round 1'!$A$7:$I$206,COLUMN('Round 1'!$G$7),0)),0,VLOOKUP($A124,'Round 1'!$A$7:$I$206,COLUMN('Round 1'!$G$7),0))+IF(ISERROR(VLOOKUP($A124,'Round 2'!$A$7:$I$206,COLUMN('Round 2'!$G$7),0)),0,VLOOKUP($A124,'Round 2'!$A$7:$I$206,COLUMN('Round 2'!$G$7),0))+IF(ISERROR(VLOOKUP($A124,'Round 3'!$A$7:$I$206,COLUMN('Round 3'!$G$7),0)),0,VLOOKUP($A124,'Round 3'!$A$7:$I$206,COLUMN('Round 3'!$G$7),0)))</f>
        <v/>
      </c>
      <c r="I124" s="116" t="str">
        <f>IF(ISBLANK($A124),"",IF(ISERROR(VLOOKUP($A124,'Round 1'!$A$7:$I$206,COLUMN('Round 1'!$F$7),0)),0,VLOOKUP($A124,'Round 1'!$A$7:$I$206,COLUMN('Round 1'!$F$7),0))+IF(ISERROR(VLOOKUP($A124,'Round 2'!$A$7:$I$206,COLUMN('Round 2'!$F$7),0)),0,VLOOKUP($A124,'Round 2'!$A$7:$I$206,COLUMN('Round 2'!$F$7),0))+IF(ISERROR(VLOOKUP($A124,'Round 3'!$A$7:$I$206,COLUMN('Round 3'!$F$7),0)),0,VLOOKUP($A124,'Round 3'!$A$7:$I$206,COLUMN('Round 3'!$F$7),0)))</f>
        <v/>
      </c>
      <c r="J124" s="117" t="str">
        <f>IF(ISBLANK($A124),"",IF(ISERROR(VLOOKUP($A124,'Round 1'!$A$7:$I$206,COLUMN('Round 1'!$H$7),0)),0,VLOOKUP($A124,'Round 1'!$A$7:$I$206,COLUMN('Round 1'!$H$7),0))+IF(ISERROR(VLOOKUP($A124,'Round 2'!$A$7:$I$206,COLUMN('Round 2'!$H$7),0)),0,VLOOKUP($A124,'Round 2'!$A$7:$I$206,COLUMN('Round 2'!$H$7),0))+IF(ISERROR(VLOOKUP($A124,'Round 3'!$A$7:$I$206,COLUMN('Round 3'!$H$7),0)),0,VLOOKUP($A124,'Round 3'!$A$7:$I$206,COLUMN('Round 3'!$H$7),0)))</f>
        <v/>
      </c>
      <c r="K124" s="116" t="str">
        <f t="shared" si="45"/>
        <v/>
      </c>
      <c r="L124" s="118" t="str">
        <f t="shared" si="46"/>
        <v/>
      </c>
      <c r="M124" s="119"/>
      <c r="N124" s="120" t="str">
        <f t="shared" si="47"/>
        <v/>
      </c>
      <c r="O124" s="36" t="str">
        <f t="shared" si="48"/>
        <v/>
      </c>
      <c r="P124" s="36" t="str">
        <f t="shared" si="49"/>
        <v/>
      </c>
      <c r="Q124" s="36">
        <f t="shared" si="50"/>
        <v>-10</v>
      </c>
      <c r="R124" s="36" t="str">
        <f t="shared" si="51"/>
        <v/>
      </c>
      <c r="S124" s="36" t="str">
        <f t="shared" si="52"/>
        <v/>
      </c>
      <c r="T124" s="36">
        <f t="shared" si="53"/>
        <v>0</v>
      </c>
      <c r="U124" s="120" t="str">
        <f ca="1">IF(N('Final Round'!$J$14)&gt;0,IF(ISBLANK($A124),"",IF($N124&gt;5,$N124,VLOOKUP($A124,'Final Round'!$A$14:$K$18,COLUMN('Final Round'!$J$1),0))),"")</f>
        <v/>
      </c>
      <c r="V124" s="36" t="str">
        <f t="shared" ca="1" si="54"/>
        <v/>
      </c>
      <c r="W124" s="36" t="str">
        <f t="shared" si="55"/>
        <v/>
      </c>
      <c r="X124" s="36" t="str">
        <f t="shared" si="56"/>
        <v/>
      </c>
      <c r="Y124" s="36">
        <f t="shared" si="57"/>
        <v>0</v>
      </c>
      <c r="Z124" s="36" t="str">
        <f t="shared" ca="1" si="58"/>
        <v/>
      </c>
      <c r="AA124" s="36">
        <f t="shared" ca="1" si="59"/>
        <v>0</v>
      </c>
      <c r="AB124" s="121" t="str">
        <f>IF(ISBLANK($A124),"",5+4*(I124+IF(AA124=0,0,VLOOKUP($A124,'Final Round'!$A$14:$K$18,COLUMN('Final Round'!$G$1),0)))+8*(H124+IF(AA124=0,0,IF(VLOOKUP($A124,'Final Round'!$A$14:$K$18,COLUMN('Final Round'!$J$1),0)=1,1,0)))+$AA124)</f>
        <v/>
      </c>
    </row>
    <row r="125" spans="1:28" x14ac:dyDescent="0.2">
      <c r="A125" s="137"/>
      <c r="B125" s="138"/>
      <c r="C125" s="138"/>
      <c r="D125" s="138"/>
      <c r="E125" s="139"/>
      <c r="F125" s="140" t="str">
        <f>IF(ISBLANK($A125),"",SUM(IF(ISNA(IF(VLOOKUP($A125,'Round 1'!$A$7:$J$206,COLUMN('Round 1'!$H$7),0),1,NA())),0,1),IF(ISNA(IF(VLOOKUP($A125,'Round 2'!$A$7:$J$206,COLUMN('Round 1'!$H$7),0),1,NA())),0,1),IF(ISNA(IF(VLOOKUP($A125,'Round 3'!$A$7:$J$206,COLUMN('Round 1'!$H$7),0),1,NA())),0,1),IF(ISNA(IF(VLOOKUP($A125,'Final Round'!$A$14:$K$18,1,0),1,NA())),0,1)))</f>
        <v/>
      </c>
      <c r="G125" s="141"/>
      <c r="H125" s="142" t="str">
        <f>IF(ISBLANK($A125),"",IF(ISERROR(VLOOKUP($A125,'Round 1'!$A$7:$I$206,COLUMN('Round 1'!$G$7),0)),0,VLOOKUP($A125,'Round 1'!$A$7:$I$206,COLUMN('Round 1'!$G$7),0))+IF(ISERROR(VLOOKUP($A125,'Round 2'!$A$7:$I$206,COLUMN('Round 2'!$G$7),0)),0,VLOOKUP($A125,'Round 2'!$A$7:$I$206,COLUMN('Round 2'!$G$7),0))+IF(ISERROR(VLOOKUP($A125,'Round 3'!$A$7:$I$206,COLUMN('Round 3'!$G$7),0)),0,VLOOKUP($A125,'Round 3'!$A$7:$I$206,COLUMN('Round 3'!$G$7),0)))</f>
        <v/>
      </c>
      <c r="I125" s="142" t="str">
        <f>IF(ISBLANK($A125),"",IF(ISERROR(VLOOKUP($A125,'Round 1'!$A$7:$I$206,COLUMN('Round 1'!$F$7),0)),0,VLOOKUP($A125,'Round 1'!$A$7:$I$206,COLUMN('Round 1'!$F$7),0))+IF(ISERROR(VLOOKUP($A125,'Round 2'!$A$7:$I$206,COLUMN('Round 2'!$F$7),0)),0,VLOOKUP($A125,'Round 2'!$A$7:$I$206,COLUMN('Round 2'!$F$7),0))+IF(ISERROR(VLOOKUP($A125,'Round 3'!$A$7:$I$206,COLUMN('Round 3'!$F$7),0)),0,VLOOKUP($A125,'Round 3'!$A$7:$I$206,COLUMN('Round 3'!$F$7),0)))</f>
        <v/>
      </c>
      <c r="J125" s="143" t="str">
        <f>IF(ISBLANK($A125),"",IF(ISERROR(VLOOKUP($A125,'Round 1'!$A$7:$I$206,COLUMN('Round 1'!$H$7),0)),0,VLOOKUP($A125,'Round 1'!$A$7:$I$206,COLUMN('Round 1'!$H$7),0))+IF(ISERROR(VLOOKUP($A125,'Round 2'!$A$7:$I$206,COLUMN('Round 2'!$H$7),0)),0,VLOOKUP($A125,'Round 2'!$A$7:$I$206,COLUMN('Round 2'!$H$7),0))+IF(ISERROR(VLOOKUP($A125,'Round 3'!$A$7:$I$206,COLUMN('Round 3'!$H$7),0)),0,VLOOKUP($A125,'Round 3'!$A$7:$I$206,COLUMN('Round 3'!$H$7),0)))</f>
        <v/>
      </c>
      <c r="K125" s="142" t="str">
        <f t="shared" si="45"/>
        <v/>
      </c>
      <c r="L125" s="144" t="str">
        <f t="shared" si="46"/>
        <v/>
      </c>
      <c r="M125" s="145"/>
      <c r="N125" s="146" t="str">
        <f t="shared" si="47"/>
        <v/>
      </c>
      <c r="O125" s="36" t="str">
        <f t="shared" si="48"/>
        <v/>
      </c>
      <c r="P125" s="36" t="str">
        <f t="shared" si="49"/>
        <v/>
      </c>
      <c r="Q125" s="36">
        <f t="shared" si="50"/>
        <v>-10</v>
      </c>
      <c r="R125" s="36" t="str">
        <f t="shared" si="51"/>
        <v/>
      </c>
      <c r="S125" s="36" t="str">
        <f t="shared" si="52"/>
        <v/>
      </c>
      <c r="T125" s="36">
        <f t="shared" si="53"/>
        <v>0</v>
      </c>
      <c r="U125" s="146" t="str">
        <f ca="1">IF(N('Final Round'!$J$14)&gt;0,IF(ISBLANK($A125),"",IF($N125&gt;5,$N125,VLOOKUP($A125,'Final Round'!$A$14:$K$18,COLUMN('Final Round'!$J$1),0))),"")</f>
        <v/>
      </c>
      <c r="V125" s="36" t="str">
        <f t="shared" ca="1" si="54"/>
        <v/>
      </c>
      <c r="W125" s="36" t="str">
        <f t="shared" si="55"/>
        <v/>
      </c>
      <c r="X125" s="36" t="str">
        <f t="shared" si="56"/>
        <v/>
      </c>
      <c r="Y125" s="36">
        <f t="shared" si="57"/>
        <v>0</v>
      </c>
      <c r="Z125" s="36" t="str">
        <f t="shared" ca="1" si="58"/>
        <v/>
      </c>
      <c r="AA125" s="36">
        <f t="shared" ca="1" si="59"/>
        <v>0</v>
      </c>
      <c r="AB125" s="147" t="str">
        <f>IF(ISBLANK($A125),"",5+4*(I125+IF(AA125=0,0,VLOOKUP($A125,'Final Round'!$A$14:$K$18,COLUMN('Final Round'!$G$1),0)))+8*(H125+IF(AA125=0,0,IF(VLOOKUP($A125,'Final Round'!$A$14:$K$18,COLUMN('Final Round'!$J$1),0)=1,1,0)))+$AA125)</f>
        <v/>
      </c>
    </row>
    <row r="126" spans="1:28" x14ac:dyDescent="0.2">
      <c r="A126" s="111"/>
      <c r="B126" s="112"/>
      <c r="C126" s="112"/>
      <c r="D126" s="112"/>
      <c r="E126" s="113"/>
      <c r="F126" s="114" t="str">
        <f>IF(ISBLANK($A126),"",SUM(IF(ISNA(IF(VLOOKUP($A126,'Round 1'!$A$7:$J$206,COLUMN('Round 1'!$H$7),0),1,NA())),0,1),IF(ISNA(IF(VLOOKUP($A126,'Round 2'!$A$7:$J$206,COLUMN('Round 1'!$H$7),0),1,NA())),0,1),IF(ISNA(IF(VLOOKUP($A126,'Round 3'!$A$7:$J$206,COLUMN('Round 1'!$H$7),0),1,NA())),0,1),IF(ISNA(IF(VLOOKUP($A126,'Final Round'!$A$14:$K$18,1,0),1,NA())),0,1)))</f>
        <v/>
      </c>
      <c r="G126" s="115"/>
      <c r="H126" s="116" t="str">
        <f>IF(ISBLANK($A126),"",IF(ISERROR(VLOOKUP($A126,'Round 1'!$A$7:$I$206,COLUMN('Round 1'!$G$7),0)),0,VLOOKUP($A126,'Round 1'!$A$7:$I$206,COLUMN('Round 1'!$G$7),0))+IF(ISERROR(VLOOKUP($A126,'Round 2'!$A$7:$I$206,COLUMN('Round 2'!$G$7),0)),0,VLOOKUP($A126,'Round 2'!$A$7:$I$206,COLUMN('Round 2'!$G$7),0))+IF(ISERROR(VLOOKUP($A126,'Round 3'!$A$7:$I$206,COLUMN('Round 3'!$G$7),0)),0,VLOOKUP($A126,'Round 3'!$A$7:$I$206,COLUMN('Round 3'!$G$7),0)))</f>
        <v/>
      </c>
      <c r="I126" s="116" t="str">
        <f>IF(ISBLANK($A126),"",IF(ISERROR(VLOOKUP($A126,'Round 1'!$A$7:$I$206,COLUMN('Round 1'!$F$7),0)),0,VLOOKUP($A126,'Round 1'!$A$7:$I$206,COLUMN('Round 1'!$F$7),0))+IF(ISERROR(VLOOKUP($A126,'Round 2'!$A$7:$I$206,COLUMN('Round 2'!$F$7),0)),0,VLOOKUP($A126,'Round 2'!$A$7:$I$206,COLUMN('Round 2'!$F$7),0))+IF(ISERROR(VLOOKUP($A126,'Round 3'!$A$7:$I$206,COLUMN('Round 3'!$F$7),0)),0,VLOOKUP($A126,'Round 3'!$A$7:$I$206,COLUMN('Round 3'!$F$7),0)))</f>
        <v/>
      </c>
      <c r="J126" s="117" t="str">
        <f>IF(ISBLANK($A126),"",IF(ISERROR(VLOOKUP($A126,'Round 1'!$A$7:$I$206,COLUMN('Round 1'!$H$7),0)),0,VLOOKUP($A126,'Round 1'!$A$7:$I$206,COLUMN('Round 1'!$H$7),0))+IF(ISERROR(VLOOKUP($A126,'Round 2'!$A$7:$I$206,COLUMN('Round 2'!$H$7),0)),0,VLOOKUP($A126,'Round 2'!$A$7:$I$206,COLUMN('Round 2'!$H$7),0))+IF(ISERROR(VLOOKUP($A126,'Round 3'!$A$7:$I$206,COLUMN('Round 3'!$H$7),0)),0,VLOOKUP($A126,'Round 3'!$A$7:$I$206,COLUMN('Round 3'!$H$7),0)))</f>
        <v/>
      </c>
      <c r="K126" s="116" t="str">
        <f t="shared" si="45"/>
        <v/>
      </c>
      <c r="L126" s="118" t="str">
        <f t="shared" si="46"/>
        <v/>
      </c>
      <c r="M126" s="119"/>
      <c r="N126" s="120" t="str">
        <f t="shared" si="47"/>
        <v/>
      </c>
      <c r="O126" s="36" t="str">
        <f t="shared" si="48"/>
        <v/>
      </c>
      <c r="P126" s="36" t="str">
        <f t="shared" si="49"/>
        <v/>
      </c>
      <c r="Q126" s="36">
        <f t="shared" si="50"/>
        <v>-10</v>
      </c>
      <c r="R126" s="36" t="str">
        <f t="shared" si="51"/>
        <v/>
      </c>
      <c r="S126" s="36" t="str">
        <f t="shared" si="52"/>
        <v/>
      </c>
      <c r="T126" s="36">
        <f t="shared" si="53"/>
        <v>0</v>
      </c>
      <c r="U126" s="120" t="str">
        <f ca="1">IF(N('Final Round'!$J$14)&gt;0,IF(ISBLANK($A126),"",IF($N126&gt;5,$N126,VLOOKUP($A126,'Final Round'!$A$14:$K$18,COLUMN('Final Round'!$J$1),0))),"")</f>
        <v/>
      </c>
      <c r="V126" s="36" t="str">
        <f t="shared" ca="1" si="54"/>
        <v/>
      </c>
      <c r="W126" s="36" t="str">
        <f t="shared" si="55"/>
        <v/>
      </c>
      <c r="X126" s="36" t="str">
        <f t="shared" si="56"/>
        <v/>
      </c>
      <c r="Y126" s="36">
        <f t="shared" si="57"/>
        <v>0</v>
      </c>
      <c r="Z126" s="36" t="str">
        <f t="shared" ca="1" si="58"/>
        <v/>
      </c>
      <c r="AA126" s="36">
        <f t="shared" ca="1" si="59"/>
        <v>0</v>
      </c>
      <c r="AB126" s="121" t="str">
        <f>IF(ISBLANK($A126),"",5+4*(I126+IF(AA126=0,0,VLOOKUP($A126,'Final Round'!$A$14:$K$18,COLUMN('Final Round'!$G$1),0)))+8*(H126+IF(AA126=0,0,IF(VLOOKUP($A126,'Final Round'!$A$14:$K$18,COLUMN('Final Round'!$J$1),0)=1,1,0)))+$AA126)</f>
        <v/>
      </c>
    </row>
    <row r="127" spans="1:28" x14ac:dyDescent="0.2">
      <c r="A127" s="137"/>
      <c r="B127" s="138"/>
      <c r="C127" s="138"/>
      <c r="D127" s="138"/>
      <c r="E127" s="139"/>
      <c r="F127" s="140" t="str">
        <f>IF(ISBLANK($A127),"",SUM(IF(ISNA(IF(VLOOKUP($A127,'Round 1'!$A$7:$J$206,COLUMN('Round 1'!$H$7),0),1,NA())),0,1),IF(ISNA(IF(VLOOKUP($A127,'Round 2'!$A$7:$J$206,COLUMN('Round 1'!$H$7),0),1,NA())),0,1),IF(ISNA(IF(VLOOKUP($A127,'Round 3'!$A$7:$J$206,COLUMN('Round 1'!$H$7),0),1,NA())),0,1),IF(ISNA(IF(VLOOKUP($A127,'Final Round'!$A$14:$K$18,1,0),1,NA())),0,1)))</f>
        <v/>
      </c>
      <c r="G127" s="141"/>
      <c r="H127" s="142" t="str">
        <f>IF(ISBLANK($A127),"",IF(ISERROR(VLOOKUP($A127,'Round 1'!$A$7:$I$206,COLUMN('Round 1'!$G$7),0)),0,VLOOKUP($A127,'Round 1'!$A$7:$I$206,COLUMN('Round 1'!$G$7),0))+IF(ISERROR(VLOOKUP($A127,'Round 2'!$A$7:$I$206,COLUMN('Round 2'!$G$7),0)),0,VLOOKUP($A127,'Round 2'!$A$7:$I$206,COLUMN('Round 2'!$G$7),0))+IF(ISERROR(VLOOKUP($A127,'Round 3'!$A$7:$I$206,COLUMN('Round 3'!$G$7),0)),0,VLOOKUP($A127,'Round 3'!$A$7:$I$206,COLUMN('Round 3'!$G$7),0)))</f>
        <v/>
      </c>
      <c r="I127" s="142" t="str">
        <f>IF(ISBLANK($A127),"",IF(ISERROR(VLOOKUP($A127,'Round 1'!$A$7:$I$206,COLUMN('Round 1'!$F$7),0)),0,VLOOKUP($A127,'Round 1'!$A$7:$I$206,COLUMN('Round 1'!$F$7),0))+IF(ISERROR(VLOOKUP($A127,'Round 2'!$A$7:$I$206,COLUMN('Round 2'!$F$7),0)),0,VLOOKUP($A127,'Round 2'!$A$7:$I$206,COLUMN('Round 2'!$F$7),0))+IF(ISERROR(VLOOKUP($A127,'Round 3'!$A$7:$I$206,COLUMN('Round 3'!$F$7),0)),0,VLOOKUP($A127,'Round 3'!$A$7:$I$206,COLUMN('Round 3'!$F$7),0)))</f>
        <v/>
      </c>
      <c r="J127" s="143" t="str">
        <f>IF(ISBLANK($A127),"",IF(ISERROR(VLOOKUP($A127,'Round 1'!$A$7:$I$206,COLUMN('Round 1'!$H$7),0)),0,VLOOKUP($A127,'Round 1'!$A$7:$I$206,COLUMN('Round 1'!$H$7),0))+IF(ISERROR(VLOOKUP($A127,'Round 2'!$A$7:$I$206,COLUMN('Round 2'!$H$7),0)),0,VLOOKUP($A127,'Round 2'!$A$7:$I$206,COLUMN('Round 2'!$H$7),0))+IF(ISERROR(VLOOKUP($A127,'Round 3'!$A$7:$I$206,COLUMN('Round 3'!$H$7),0)),0,VLOOKUP($A127,'Round 3'!$A$7:$I$206,COLUMN('Round 3'!$H$7),0)))</f>
        <v/>
      </c>
      <c r="K127" s="142" t="str">
        <f t="shared" si="45"/>
        <v/>
      </c>
      <c r="L127" s="144" t="str">
        <f t="shared" si="46"/>
        <v/>
      </c>
      <c r="M127" s="145"/>
      <c r="N127" s="146" t="str">
        <f t="shared" si="47"/>
        <v/>
      </c>
      <c r="O127" s="36" t="str">
        <f t="shared" si="48"/>
        <v/>
      </c>
      <c r="P127" s="36" t="str">
        <f t="shared" si="49"/>
        <v/>
      </c>
      <c r="Q127" s="36">
        <f t="shared" si="50"/>
        <v>-10</v>
      </c>
      <c r="R127" s="36" t="str">
        <f t="shared" si="51"/>
        <v/>
      </c>
      <c r="S127" s="36" t="str">
        <f t="shared" si="52"/>
        <v/>
      </c>
      <c r="T127" s="36">
        <f t="shared" si="53"/>
        <v>0</v>
      </c>
      <c r="U127" s="146" t="str">
        <f ca="1">IF(N('Final Round'!$J$14)&gt;0,IF(ISBLANK($A127),"",IF($N127&gt;5,$N127,VLOOKUP($A127,'Final Round'!$A$14:$K$18,COLUMN('Final Round'!$J$1),0))),"")</f>
        <v/>
      </c>
      <c r="V127" s="36" t="str">
        <f t="shared" ca="1" si="54"/>
        <v/>
      </c>
      <c r="W127" s="36" t="str">
        <f t="shared" si="55"/>
        <v/>
      </c>
      <c r="X127" s="36" t="str">
        <f t="shared" si="56"/>
        <v/>
      </c>
      <c r="Y127" s="36">
        <f t="shared" si="57"/>
        <v>0</v>
      </c>
      <c r="Z127" s="36" t="str">
        <f t="shared" ca="1" si="58"/>
        <v/>
      </c>
      <c r="AA127" s="36">
        <f t="shared" ca="1" si="59"/>
        <v>0</v>
      </c>
      <c r="AB127" s="147" t="str">
        <f>IF(ISBLANK($A127),"",5+4*(I127+IF(AA127=0,0,VLOOKUP($A127,'Final Round'!$A$14:$K$18,COLUMN('Final Round'!$G$1),0)))+8*(H127+IF(AA127=0,0,IF(VLOOKUP($A127,'Final Round'!$A$14:$K$18,COLUMN('Final Round'!$J$1),0)=1,1,0)))+$AA127)</f>
        <v/>
      </c>
    </row>
    <row r="128" spans="1:28" x14ac:dyDescent="0.2">
      <c r="A128" s="111"/>
      <c r="B128" s="112"/>
      <c r="C128" s="112"/>
      <c r="D128" s="112"/>
      <c r="E128" s="113"/>
      <c r="F128" s="114" t="str">
        <f>IF(ISBLANK($A128),"",SUM(IF(ISNA(IF(VLOOKUP($A128,'Round 1'!$A$7:$J$206,COLUMN('Round 1'!$H$7),0),1,NA())),0,1),IF(ISNA(IF(VLOOKUP($A128,'Round 2'!$A$7:$J$206,COLUMN('Round 1'!$H$7),0),1,NA())),0,1),IF(ISNA(IF(VLOOKUP($A128,'Round 3'!$A$7:$J$206,COLUMN('Round 1'!$H$7),0),1,NA())),0,1),IF(ISNA(IF(VLOOKUP($A128,'Final Round'!$A$14:$K$18,1,0),1,NA())),0,1)))</f>
        <v/>
      </c>
      <c r="G128" s="115"/>
      <c r="H128" s="116" t="str">
        <f>IF(ISBLANK($A128),"",IF(ISERROR(VLOOKUP($A128,'Round 1'!$A$7:$I$206,COLUMN('Round 1'!$G$7),0)),0,VLOOKUP($A128,'Round 1'!$A$7:$I$206,COLUMN('Round 1'!$G$7),0))+IF(ISERROR(VLOOKUP($A128,'Round 2'!$A$7:$I$206,COLUMN('Round 2'!$G$7),0)),0,VLOOKUP($A128,'Round 2'!$A$7:$I$206,COLUMN('Round 2'!$G$7),0))+IF(ISERROR(VLOOKUP($A128,'Round 3'!$A$7:$I$206,COLUMN('Round 3'!$G$7),0)),0,VLOOKUP($A128,'Round 3'!$A$7:$I$206,COLUMN('Round 3'!$G$7),0)))</f>
        <v/>
      </c>
      <c r="I128" s="116" t="str">
        <f>IF(ISBLANK($A128),"",IF(ISERROR(VLOOKUP($A128,'Round 1'!$A$7:$I$206,COLUMN('Round 1'!$F$7),0)),0,VLOOKUP($A128,'Round 1'!$A$7:$I$206,COLUMN('Round 1'!$F$7),0))+IF(ISERROR(VLOOKUP($A128,'Round 2'!$A$7:$I$206,COLUMN('Round 2'!$F$7),0)),0,VLOOKUP($A128,'Round 2'!$A$7:$I$206,COLUMN('Round 2'!$F$7),0))+IF(ISERROR(VLOOKUP($A128,'Round 3'!$A$7:$I$206,COLUMN('Round 3'!$F$7),0)),0,VLOOKUP($A128,'Round 3'!$A$7:$I$206,COLUMN('Round 3'!$F$7),0)))</f>
        <v/>
      </c>
      <c r="J128" s="117" t="str">
        <f>IF(ISBLANK($A128),"",IF(ISERROR(VLOOKUP($A128,'Round 1'!$A$7:$I$206,COLUMN('Round 1'!$H$7),0)),0,VLOOKUP($A128,'Round 1'!$A$7:$I$206,COLUMN('Round 1'!$H$7),0))+IF(ISERROR(VLOOKUP($A128,'Round 2'!$A$7:$I$206,COLUMN('Round 2'!$H$7),0)),0,VLOOKUP($A128,'Round 2'!$A$7:$I$206,COLUMN('Round 2'!$H$7),0))+IF(ISERROR(VLOOKUP($A128,'Round 3'!$A$7:$I$206,COLUMN('Round 3'!$H$7),0)),0,VLOOKUP($A128,'Round 3'!$A$7:$I$206,COLUMN('Round 3'!$H$7),0)))</f>
        <v/>
      </c>
      <c r="K128" s="116" t="str">
        <f t="shared" si="45"/>
        <v/>
      </c>
      <c r="L128" s="118" t="str">
        <f t="shared" si="46"/>
        <v/>
      </c>
      <c r="M128" s="119"/>
      <c r="N128" s="120" t="str">
        <f t="shared" si="47"/>
        <v/>
      </c>
      <c r="O128" s="36" t="str">
        <f t="shared" si="48"/>
        <v/>
      </c>
      <c r="P128" s="36" t="str">
        <f t="shared" si="49"/>
        <v/>
      </c>
      <c r="Q128" s="36">
        <f t="shared" si="50"/>
        <v>-10</v>
      </c>
      <c r="R128" s="36" t="str">
        <f t="shared" si="51"/>
        <v/>
      </c>
      <c r="S128" s="36" t="str">
        <f t="shared" si="52"/>
        <v/>
      </c>
      <c r="T128" s="36">
        <f t="shared" si="53"/>
        <v>0</v>
      </c>
      <c r="U128" s="120" t="str">
        <f ca="1">IF(N('Final Round'!$J$14)&gt;0,IF(ISBLANK($A128),"",IF($N128&gt;5,$N128,VLOOKUP($A128,'Final Round'!$A$14:$K$18,COLUMN('Final Round'!$J$1),0))),"")</f>
        <v/>
      </c>
      <c r="V128" s="36" t="str">
        <f t="shared" ca="1" si="54"/>
        <v/>
      </c>
      <c r="W128" s="36" t="str">
        <f t="shared" si="55"/>
        <v/>
      </c>
      <c r="X128" s="36" t="str">
        <f t="shared" si="56"/>
        <v/>
      </c>
      <c r="Y128" s="36">
        <f t="shared" si="57"/>
        <v>0</v>
      </c>
      <c r="Z128" s="36" t="str">
        <f t="shared" ca="1" si="58"/>
        <v/>
      </c>
      <c r="AA128" s="36">
        <f t="shared" ca="1" si="59"/>
        <v>0</v>
      </c>
      <c r="AB128" s="121" t="str">
        <f>IF(ISBLANK($A128),"",5+4*(I128+IF(AA128=0,0,VLOOKUP($A128,'Final Round'!$A$14:$K$18,COLUMN('Final Round'!$G$1),0)))+8*(H128+IF(AA128=0,0,IF(VLOOKUP($A128,'Final Round'!$A$14:$K$18,COLUMN('Final Round'!$J$1),0)=1,1,0)))+$AA128)</f>
        <v/>
      </c>
    </row>
    <row r="129" spans="1:28" x14ac:dyDescent="0.2">
      <c r="A129" s="137"/>
      <c r="B129" s="138"/>
      <c r="C129" s="138"/>
      <c r="D129" s="138"/>
      <c r="E129" s="139"/>
      <c r="F129" s="140" t="str">
        <f>IF(ISBLANK($A129),"",SUM(IF(ISNA(IF(VLOOKUP($A129,'Round 1'!$A$7:$J$206,COLUMN('Round 1'!$H$7),0),1,NA())),0,1),IF(ISNA(IF(VLOOKUP($A129,'Round 2'!$A$7:$J$206,COLUMN('Round 1'!$H$7),0),1,NA())),0,1),IF(ISNA(IF(VLOOKUP($A129,'Round 3'!$A$7:$J$206,COLUMN('Round 1'!$H$7),0),1,NA())),0,1),IF(ISNA(IF(VLOOKUP($A129,'Final Round'!$A$14:$K$18,1,0),1,NA())),0,1)))</f>
        <v/>
      </c>
      <c r="G129" s="141"/>
      <c r="H129" s="142" t="str">
        <f>IF(ISBLANK($A129),"",IF(ISERROR(VLOOKUP($A129,'Round 1'!$A$7:$I$206,COLUMN('Round 1'!$G$7),0)),0,VLOOKUP($A129,'Round 1'!$A$7:$I$206,COLUMN('Round 1'!$G$7),0))+IF(ISERROR(VLOOKUP($A129,'Round 2'!$A$7:$I$206,COLUMN('Round 2'!$G$7),0)),0,VLOOKUP($A129,'Round 2'!$A$7:$I$206,COLUMN('Round 2'!$G$7),0))+IF(ISERROR(VLOOKUP($A129,'Round 3'!$A$7:$I$206,COLUMN('Round 3'!$G$7),0)),0,VLOOKUP($A129,'Round 3'!$A$7:$I$206,COLUMN('Round 3'!$G$7),0)))</f>
        <v/>
      </c>
      <c r="I129" s="142" t="str">
        <f>IF(ISBLANK($A129),"",IF(ISERROR(VLOOKUP($A129,'Round 1'!$A$7:$I$206,COLUMN('Round 1'!$F$7),0)),0,VLOOKUP($A129,'Round 1'!$A$7:$I$206,COLUMN('Round 1'!$F$7),0))+IF(ISERROR(VLOOKUP($A129,'Round 2'!$A$7:$I$206,COLUMN('Round 2'!$F$7),0)),0,VLOOKUP($A129,'Round 2'!$A$7:$I$206,COLUMN('Round 2'!$F$7),0))+IF(ISERROR(VLOOKUP($A129,'Round 3'!$A$7:$I$206,COLUMN('Round 3'!$F$7),0)),0,VLOOKUP($A129,'Round 3'!$A$7:$I$206,COLUMN('Round 3'!$F$7),0)))</f>
        <v/>
      </c>
      <c r="J129" s="143" t="str">
        <f>IF(ISBLANK($A129),"",IF(ISERROR(VLOOKUP($A129,'Round 1'!$A$7:$I$206,COLUMN('Round 1'!$H$7),0)),0,VLOOKUP($A129,'Round 1'!$A$7:$I$206,COLUMN('Round 1'!$H$7),0))+IF(ISERROR(VLOOKUP($A129,'Round 2'!$A$7:$I$206,COLUMN('Round 2'!$H$7),0)),0,VLOOKUP($A129,'Round 2'!$A$7:$I$206,COLUMN('Round 2'!$H$7),0))+IF(ISERROR(VLOOKUP($A129,'Round 3'!$A$7:$I$206,COLUMN('Round 3'!$H$7),0)),0,VLOOKUP($A129,'Round 3'!$A$7:$I$206,COLUMN('Round 3'!$H$7),0)))</f>
        <v/>
      </c>
      <c r="K129" s="142" t="str">
        <f t="shared" si="45"/>
        <v/>
      </c>
      <c r="L129" s="144" t="str">
        <f t="shared" si="46"/>
        <v/>
      </c>
      <c r="M129" s="145"/>
      <c r="N129" s="146" t="str">
        <f t="shared" si="47"/>
        <v/>
      </c>
      <c r="O129" s="36" t="str">
        <f t="shared" si="48"/>
        <v/>
      </c>
      <c r="P129" s="36" t="str">
        <f t="shared" si="49"/>
        <v/>
      </c>
      <c r="Q129" s="36">
        <f t="shared" si="50"/>
        <v>-10</v>
      </c>
      <c r="R129" s="36" t="str">
        <f t="shared" si="51"/>
        <v/>
      </c>
      <c r="S129" s="36" t="str">
        <f t="shared" si="52"/>
        <v/>
      </c>
      <c r="T129" s="36">
        <f t="shared" si="53"/>
        <v>0</v>
      </c>
      <c r="U129" s="146" t="str">
        <f ca="1">IF(N('Final Round'!$J$14)&gt;0,IF(ISBLANK($A129),"",IF($N129&gt;5,$N129,VLOOKUP($A129,'Final Round'!$A$14:$K$18,COLUMN('Final Round'!$J$1),0))),"")</f>
        <v/>
      </c>
      <c r="V129" s="36" t="str">
        <f t="shared" ca="1" si="54"/>
        <v/>
      </c>
      <c r="W129" s="36" t="str">
        <f t="shared" si="55"/>
        <v/>
      </c>
      <c r="X129" s="36" t="str">
        <f t="shared" si="56"/>
        <v/>
      </c>
      <c r="Y129" s="36">
        <f t="shared" si="57"/>
        <v>0</v>
      </c>
      <c r="Z129" s="36" t="str">
        <f t="shared" ca="1" si="58"/>
        <v/>
      </c>
      <c r="AA129" s="36">
        <f t="shared" ca="1" si="59"/>
        <v>0</v>
      </c>
      <c r="AB129" s="147" t="str">
        <f>IF(ISBLANK($A129),"",5+4*(I129+IF(AA129=0,0,VLOOKUP($A129,'Final Round'!$A$14:$K$18,COLUMN('Final Round'!$G$1),0)))+8*(H129+IF(AA129=0,0,IF(VLOOKUP($A129,'Final Round'!$A$14:$K$18,COLUMN('Final Round'!$J$1),0)=1,1,0)))+$AA129)</f>
        <v/>
      </c>
    </row>
    <row r="130" spans="1:28" x14ac:dyDescent="0.2">
      <c r="A130" s="111"/>
      <c r="B130" s="112"/>
      <c r="C130" s="112"/>
      <c r="D130" s="112"/>
      <c r="E130" s="113"/>
      <c r="F130" s="114" t="str">
        <f>IF(ISBLANK($A130),"",SUM(IF(ISNA(IF(VLOOKUP($A130,'Round 1'!$A$7:$J$206,COLUMN('Round 1'!$H$7),0),1,NA())),0,1),IF(ISNA(IF(VLOOKUP($A130,'Round 2'!$A$7:$J$206,COLUMN('Round 1'!$H$7),0),1,NA())),0,1),IF(ISNA(IF(VLOOKUP($A130,'Round 3'!$A$7:$J$206,COLUMN('Round 1'!$H$7),0),1,NA())),0,1),IF(ISNA(IF(VLOOKUP($A130,'Final Round'!$A$14:$K$18,1,0),1,NA())),0,1)))</f>
        <v/>
      </c>
      <c r="G130" s="115"/>
      <c r="H130" s="116" t="str">
        <f>IF(ISBLANK($A130),"",IF(ISERROR(VLOOKUP($A130,'Round 1'!$A$7:$I$206,COLUMN('Round 1'!$G$7),0)),0,VLOOKUP($A130,'Round 1'!$A$7:$I$206,COLUMN('Round 1'!$G$7),0))+IF(ISERROR(VLOOKUP($A130,'Round 2'!$A$7:$I$206,COLUMN('Round 2'!$G$7),0)),0,VLOOKUP($A130,'Round 2'!$A$7:$I$206,COLUMN('Round 2'!$G$7),0))+IF(ISERROR(VLOOKUP($A130,'Round 3'!$A$7:$I$206,COLUMN('Round 3'!$G$7),0)),0,VLOOKUP($A130,'Round 3'!$A$7:$I$206,COLUMN('Round 3'!$G$7),0)))</f>
        <v/>
      </c>
      <c r="I130" s="116" t="str">
        <f>IF(ISBLANK($A130),"",IF(ISERROR(VLOOKUP($A130,'Round 1'!$A$7:$I$206,COLUMN('Round 1'!$F$7),0)),0,VLOOKUP($A130,'Round 1'!$A$7:$I$206,COLUMN('Round 1'!$F$7),0))+IF(ISERROR(VLOOKUP($A130,'Round 2'!$A$7:$I$206,COLUMN('Round 2'!$F$7),0)),0,VLOOKUP($A130,'Round 2'!$A$7:$I$206,COLUMN('Round 2'!$F$7),0))+IF(ISERROR(VLOOKUP($A130,'Round 3'!$A$7:$I$206,COLUMN('Round 3'!$F$7),0)),0,VLOOKUP($A130,'Round 3'!$A$7:$I$206,COLUMN('Round 3'!$F$7),0)))</f>
        <v/>
      </c>
      <c r="J130" s="117" t="str">
        <f>IF(ISBLANK($A130),"",IF(ISERROR(VLOOKUP($A130,'Round 1'!$A$7:$I$206,COLUMN('Round 1'!$H$7),0)),0,VLOOKUP($A130,'Round 1'!$A$7:$I$206,COLUMN('Round 1'!$H$7),0))+IF(ISERROR(VLOOKUP($A130,'Round 2'!$A$7:$I$206,COLUMN('Round 2'!$H$7),0)),0,VLOOKUP($A130,'Round 2'!$A$7:$I$206,COLUMN('Round 2'!$H$7),0))+IF(ISERROR(VLOOKUP($A130,'Round 3'!$A$7:$I$206,COLUMN('Round 3'!$H$7),0)),0,VLOOKUP($A130,'Round 3'!$A$7:$I$206,COLUMN('Round 3'!$H$7),0)))</f>
        <v/>
      </c>
      <c r="K130" s="116" t="str">
        <f t="shared" si="45"/>
        <v/>
      </c>
      <c r="L130" s="118" t="str">
        <f t="shared" si="46"/>
        <v/>
      </c>
      <c r="M130" s="119"/>
      <c r="N130" s="120" t="str">
        <f t="shared" si="47"/>
        <v/>
      </c>
      <c r="O130" s="36" t="str">
        <f t="shared" si="48"/>
        <v/>
      </c>
      <c r="P130" s="36" t="str">
        <f t="shared" si="49"/>
        <v/>
      </c>
      <c r="Q130" s="36">
        <f t="shared" si="50"/>
        <v>-10</v>
      </c>
      <c r="R130" s="36" t="str">
        <f t="shared" si="51"/>
        <v/>
      </c>
      <c r="S130" s="36" t="str">
        <f t="shared" si="52"/>
        <v/>
      </c>
      <c r="T130" s="36">
        <f t="shared" si="53"/>
        <v>0</v>
      </c>
      <c r="U130" s="120" t="str">
        <f ca="1">IF(N('Final Round'!$J$14)&gt;0,IF(ISBLANK($A130),"",IF($N130&gt;5,$N130,VLOOKUP($A130,'Final Round'!$A$14:$K$18,COLUMN('Final Round'!$J$1),0))),"")</f>
        <v/>
      </c>
      <c r="V130" s="36" t="str">
        <f t="shared" ca="1" si="54"/>
        <v/>
      </c>
      <c r="W130" s="36" t="str">
        <f t="shared" si="55"/>
        <v/>
      </c>
      <c r="X130" s="36" t="str">
        <f t="shared" si="56"/>
        <v/>
      </c>
      <c r="Y130" s="36">
        <f t="shared" si="57"/>
        <v>0</v>
      </c>
      <c r="Z130" s="36" t="str">
        <f t="shared" ca="1" si="58"/>
        <v/>
      </c>
      <c r="AA130" s="36">
        <f t="shared" ca="1" si="59"/>
        <v>0</v>
      </c>
      <c r="AB130" s="121" t="str">
        <f>IF(ISBLANK($A130),"",5+4*(I130+IF(AA130=0,0,VLOOKUP($A130,'Final Round'!$A$14:$K$18,COLUMN('Final Round'!$G$1),0)))+8*(H130+IF(AA130=0,0,IF(VLOOKUP($A130,'Final Round'!$A$14:$K$18,COLUMN('Final Round'!$J$1),0)=1,1,0)))+$AA130)</f>
        <v/>
      </c>
    </row>
    <row r="131" spans="1:28" x14ac:dyDescent="0.2">
      <c r="A131" s="137"/>
      <c r="B131" s="138"/>
      <c r="C131" s="138"/>
      <c r="D131" s="138"/>
      <c r="E131" s="139"/>
      <c r="F131" s="140" t="str">
        <f>IF(ISBLANK($A131),"",SUM(IF(ISNA(IF(VLOOKUP($A131,'Round 1'!$A$7:$J$206,COLUMN('Round 1'!$H$7),0),1,NA())),0,1),IF(ISNA(IF(VLOOKUP($A131,'Round 2'!$A$7:$J$206,COLUMN('Round 1'!$H$7),0),1,NA())),0,1),IF(ISNA(IF(VLOOKUP($A131,'Round 3'!$A$7:$J$206,COLUMN('Round 1'!$H$7),0),1,NA())),0,1),IF(ISNA(IF(VLOOKUP($A131,'Final Round'!$A$14:$K$18,1,0),1,NA())),0,1)))</f>
        <v/>
      </c>
      <c r="G131" s="141"/>
      <c r="H131" s="142" t="str">
        <f>IF(ISBLANK($A131),"",IF(ISERROR(VLOOKUP($A131,'Round 1'!$A$7:$I$206,COLUMN('Round 1'!$G$7),0)),0,VLOOKUP($A131,'Round 1'!$A$7:$I$206,COLUMN('Round 1'!$G$7),0))+IF(ISERROR(VLOOKUP($A131,'Round 2'!$A$7:$I$206,COLUMN('Round 2'!$G$7),0)),0,VLOOKUP($A131,'Round 2'!$A$7:$I$206,COLUMN('Round 2'!$G$7),0))+IF(ISERROR(VLOOKUP($A131,'Round 3'!$A$7:$I$206,COLUMN('Round 3'!$G$7),0)),0,VLOOKUP($A131,'Round 3'!$A$7:$I$206,COLUMN('Round 3'!$G$7),0)))</f>
        <v/>
      </c>
      <c r="I131" s="142" t="str">
        <f>IF(ISBLANK($A131),"",IF(ISERROR(VLOOKUP($A131,'Round 1'!$A$7:$I$206,COLUMN('Round 1'!$F$7),0)),0,VLOOKUP($A131,'Round 1'!$A$7:$I$206,COLUMN('Round 1'!$F$7),0))+IF(ISERROR(VLOOKUP($A131,'Round 2'!$A$7:$I$206,COLUMN('Round 2'!$F$7),0)),0,VLOOKUP($A131,'Round 2'!$A$7:$I$206,COLUMN('Round 2'!$F$7),0))+IF(ISERROR(VLOOKUP($A131,'Round 3'!$A$7:$I$206,COLUMN('Round 3'!$F$7),0)),0,VLOOKUP($A131,'Round 3'!$A$7:$I$206,COLUMN('Round 3'!$F$7),0)))</f>
        <v/>
      </c>
      <c r="J131" s="143" t="str">
        <f>IF(ISBLANK($A131),"",IF(ISERROR(VLOOKUP($A131,'Round 1'!$A$7:$I$206,COLUMN('Round 1'!$H$7),0)),0,VLOOKUP($A131,'Round 1'!$A$7:$I$206,COLUMN('Round 1'!$H$7),0))+IF(ISERROR(VLOOKUP($A131,'Round 2'!$A$7:$I$206,COLUMN('Round 2'!$H$7),0)),0,VLOOKUP($A131,'Round 2'!$A$7:$I$206,COLUMN('Round 2'!$H$7),0))+IF(ISERROR(VLOOKUP($A131,'Round 3'!$A$7:$I$206,COLUMN('Round 3'!$H$7),0)),0,VLOOKUP($A131,'Round 3'!$A$7:$I$206,COLUMN('Round 3'!$H$7),0)))</f>
        <v/>
      </c>
      <c r="K131" s="142" t="str">
        <f t="shared" si="45"/>
        <v/>
      </c>
      <c r="L131" s="144" t="str">
        <f t="shared" si="46"/>
        <v/>
      </c>
      <c r="M131" s="145"/>
      <c r="N131" s="146" t="str">
        <f t="shared" si="47"/>
        <v/>
      </c>
      <c r="O131" s="36" t="str">
        <f t="shared" si="48"/>
        <v/>
      </c>
      <c r="P131" s="36" t="str">
        <f t="shared" si="49"/>
        <v/>
      </c>
      <c r="Q131" s="36">
        <f t="shared" si="50"/>
        <v>-10</v>
      </c>
      <c r="R131" s="36" t="str">
        <f t="shared" si="51"/>
        <v/>
      </c>
      <c r="S131" s="36" t="str">
        <f t="shared" si="52"/>
        <v/>
      </c>
      <c r="T131" s="36">
        <f t="shared" si="53"/>
        <v>0</v>
      </c>
      <c r="U131" s="146" t="str">
        <f ca="1">IF(N('Final Round'!$J$14)&gt;0,IF(ISBLANK($A131),"",IF($N131&gt;5,$N131,VLOOKUP($A131,'Final Round'!$A$14:$K$18,COLUMN('Final Round'!$J$1),0))),"")</f>
        <v/>
      </c>
      <c r="V131" s="36" t="str">
        <f t="shared" ca="1" si="54"/>
        <v/>
      </c>
      <c r="W131" s="36" t="str">
        <f t="shared" si="55"/>
        <v/>
      </c>
      <c r="X131" s="36" t="str">
        <f t="shared" si="56"/>
        <v/>
      </c>
      <c r="Y131" s="36">
        <f t="shared" si="57"/>
        <v>0</v>
      </c>
      <c r="Z131" s="36" t="str">
        <f t="shared" ca="1" si="58"/>
        <v/>
      </c>
      <c r="AA131" s="36">
        <f t="shared" ca="1" si="59"/>
        <v>0</v>
      </c>
      <c r="AB131" s="147" t="str">
        <f>IF(ISBLANK($A131),"",5+4*(I131+IF(AA131=0,0,VLOOKUP($A131,'Final Round'!$A$14:$K$18,COLUMN('Final Round'!$G$1),0)))+8*(H131+IF(AA131=0,0,IF(VLOOKUP($A131,'Final Round'!$A$14:$K$18,COLUMN('Final Round'!$J$1),0)=1,1,0)))+$AA131)</f>
        <v/>
      </c>
    </row>
    <row r="132" spans="1:28" x14ac:dyDescent="0.2">
      <c r="A132" s="111"/>
      <c r="B132" s="112"/>
      <c r="C132" s="112"/>
      <c r="D132" s="112"/>
      <c r="E132" s="113"/>
      <c r="F132" s="114" t="str">
        <f>IF(ISBLANK($A132),"",SUM(IF(ISNA(IF(VLOOKUP($A132,'Round 1'!$A$7:$J$206,COLUMN('Round 1'!$H$7),0),1,NA())),0,1),IF(ISNA(IF(VLOOKUP($A132,'Round 2'!$A$7:$J$206,COLUMN('Round 1'!$H$7),0),1,NA())),0,1),IF(ISNA(IF(VLOOKUP($A132,'Round 3'!$A$7:$J$206,COLUMN('Round 1'!$H$7),0),1,NA())),0,1),IF(ISNA(IF(VLOOKUP($A132,'Final Round'!$A$14:$K$18,1,0),1,NA())),0,1)))</f>
        <v/>
      </c>
      <c r="G132" s="115"/>
      <c r="H132" s="116" t="str">
        <f>IF(ISBLANK($A132),"",IF(ISERROR(VLOOKUP($A132,'Round 1'!$A$7:$I$206,COLUMN('Round 1'!$G$7),0)),0,VLOOKUP($A132,'Round 1'!$A$7:$I$206,COLUMN('Round 1'!$G$7),0))+IF(ISERROR(VLOOKUP($A132,'Round 2'!$A$7:$I$206,COLUMN('Round 2'!$G$7),0)),0,VLOOKUP($A132,'Round 2'!$A$7:$I$206,COLUMN('Round 2'!$G$7),0))+IF(ISERROR(VLOOKUP($A132,'Round 3'!$A$7:$I$206,COLUMN('Round 3'!$G$7),0)),0,VLOOKUP($A132,'Round 3'!$A$7:$I$206,COLUMN('Round 3'!$G$7),0)))</f>
        <v/>
      </c>
      <c r="I132" s="116" t="str">
        <f>IF(ISBLANK($A132),"",IF(ISERROR(VLOOKUP($A132,'Round 1'!$A$7:$I$206,COLUMN('Round 1'!$F$7),0)),0,VLOOKUP($A132,'Round 1'!$A$7:$I$206,COLUMN('Round 1'!$F$7),0))+IF(ISERROR(VLOOKUP($A132,'Round 2'!$A$7:$I$206,COLUMN('Round 2'!$F$7),0)),0,VLOOKUP($A132,'Round 2'!$A$7:$I$206,COLUMN('Round 2'!$F$7),0))+IF(ISERROR(VLOOKUP($A132,'Round 3'!$A$7:$I$206,COLUMN('Round 3'!$F$7),0)),0,VLOOKUP($A132,'Round 3'!$A$7:$I$206,COLUMN('Round 3'!$F$7),0)))</f>
        <v/>
      </c>
      <c r="J132" s="117" t="str">
        <f>IF(ISBLANK($A132),"",IF(ISERROR(VLOOKUP($A132,'Round 1'!$A$7:$I$206,COLUMN('Round 1'!$H$7),0)),0,VLOOKUP($A132,'Round 1'!$A$7:$I$206,COLUMN('Round 1'!$H$7),0))+IF(ISERROR(VLOOKUP($A132,'Round 2'!$A$7:$I$206,COLUMN('Round 2'!$H$7),0)),0,VLOOKUP($A132,'Round 2'!$A$7:$I$206,COLUMN('Round 2'!$H$7),0))+IF(ISERROR(VLOOKUP($A132,'Round 3'!$A$7:$I$206,COLUMN('Round 3'!$H$7),0)),0,VLOOKUP($A132,'Round 3'!$A$7:$I$206,COLUMN('Round 3'!$H$7),0)))</f>
        <v/>
      </c>
      <c r="K132" s="116" t="str">
        <f t="shared" si="45"/>
        <v/>
      </c>
      <c r="L132" s="118" t="str">
        <f t="shared" si="46"/>
        <v/>
      </c>
      <c r="M132" s="119"/>
      <c r="N132" s="120" t="str">
        <f t="shared" si="47"/>
        <v/>
      </c>
      <c r="O132" s="36" t="str">
        <f t="shared" si="48"/>
        <v/>
      </c>
      <c r="P132" s="36" t="str">
        <f t="shared" si="49"/>
        <v/>
      </c>
      <c r="Q132" s="36">
        <f t="shared" si="50"/>
        <v>-10</v>
      </c>
      <c r="R132" s="36" t="str">
        <f t="shared" si="51"/>
        <v/>
      </c>
      <c r="S132" s="36" t="str">
        <f t="shared" si="52"/>
        <v/>
      </c>
      <c r="T132" s="36">
        <f t="shared" si="53"/>
        <v>0</v>
      </c>
      <c r="U132" s="120" t="str">
        <f ca="1">IF(N('Final Round'!$J$14)&gt;0,IF(ISBLANK($A132),"",IF($N132&gt;5,$N132,VLOOKUP($A132,'Final Round'!$A$14:$K$18,COLUMN('Final Round'!$J$1),0))),"")</f>
        <v/>
      </c>
      <c r="V132" s="36" t="str">
        <f t="shared" ca="1" si="54"/>
        <v/>
      </c>
      <c r="W132" s="36" t="str">
        <f t="shared" si="55"/>
        <v/>
      </c>
      <c r="X132" s="36" t="str">
        <f t="shared" si="56"/>
        <v/>
      </c>
      <c r="Y132" s="36">
        <f t="shared" si="57"/>
        <v>0</v>
      </c>
      <c r="Z132" s="36" t="str">
        <f t="shared" ca="1" si="58"/>
        <v/>
      </c>
      <c r="AA132" s="36">
        <f t="shared" ca="1" si="59"/>
        <v>0</v>
      </c>
      <c r="AB132" s="121" t="str">
        <f>IF(ISBLANK($A132),"",5+4*(I132+IF(AA132=0,0,VLOOKUP($A132,'Final Round'!$A$14:$K$18,COLUMN('Final Round'!$G$1),0)))+8*(H132+IF(AA132=0,0,IF(VLOOKUP($A132,'Final Round'!$A$14:$K$18,COLUMN('Final Round'!$J$1),0)=1,1,0)))+$AA132)</f>
        <v/>
      </c>
    </row>
    <row r="133" spans="1:28" x14ac:dyDescent="0.2">
      <c r="A133" s="137"/>
      <c r="B133" s="138"/>
      <c r="C133" s="138"/>
      <c r="D133" s="138"/>
      <c r="E133" s="139"/>
      <c r="F133" s="140" t="str">
        <f>IF(ISBLANK($A133),"",SUM(IF(ISNA(IF(VLOOKUP($A133,'Round 1'!$A$7:$J$206,COLUMN('Round 1'!$H$7),0),1,NA())),0,1),IF(ISNA(IF(VLOOKUP($A133,'Round 2'!$A$7:$J$206,COLUMN('Round 1'!$H$7),0),1,NA())),0,1),IF(ISNA(IF(VLOOKUP($A133,'Round 3'!$A$7:$J$206,COLUMN('Round 1'!$H$7),0),1,NA())),0,1),IF(ISNA(IF(VLOOKUP($A133,'Final Round'!$A$14:$K$18,1,0),1,NA())),0,1)))</f>
        <v/>
      </c>
      <c r="G133" s="141"/>
      <c r="H133" s="142" t="str">
        <f>IF(ISBLANK($A133),"",IF(ISERROR(VLOOKUP($A133,'Round 1'!$A$7:$I$206,COLUMN('Round 1'!$G$7),0)),0,VLOOKUP($A133,'Round 1'!$A$7:$I$206,COLUMN('Round 1'!$G$7),0))+IF(ISERROR(VLOOKUP($A133,'Round 2'!$A$7:$I$206,COLUMN('Round 2'!$G$7),0)),0,VLOOKUP($A133,'Round 2'!$A$7:$I$206,COLUMN('Round 2'!$G$7),0))+IF(ISERROR(VLOOKUP($A133,'Round 3'!$A$7:$I$206,COLUMN('Round 3'!$G$7),0)),0,VLOOKUP($A133,'Round 3'!$A$7:$I$206,COLUMN('Round 3'!$G$7),0)))</f>
        <v/>
      </c>
      <c r="I133" s="142" t="str">
        <f>IF(ISBLANK($A133),"",IF(ISERROR(VLOOKUP($A133,'Round 1'!$A$7:$I$206,COLUMN('Round 1'!$F$7),0)),0,VLOOKUP($A133,'Round 1'!$A$7:$I$206,COLUMN('Round 1'!$F$7),0))+IF(ISERROR(VLOOKUP($A133,'Round 2'!$A$7:$I$206,COLUMN('Round 2'!$F$7),0)),0,VLOOKUP($A133,'Round 2'!$A$7:$I$206,COLUMN('Round 2'!$F$7),0))+IF(ISERROR(VLOOKUP($A133,'Round 3'!$A$7:$I$206,COLUMN('Round 3'!$F$7),0)),0,VLOOKUP($A133,'Round 3'!$A$7:$I$206,COLUMN('Round 3'!$F$7),0)))</f>
        <v/>
      </c>
      <c r="J133" s="143" t="str">
        <f>IF(ISBLANK($A133),"",IF(ISERROR(VLOOKUP($A133,'Round 1'!$A$7:$I$206,COLUMN('Round 1'!$H$7),0)),0,VLOOKUP($A133,'Round 1'!$A$7:$I$206,COLUMN('Round 1'!$H$7),0))+IF(ISERROR(VLOOKUP($A133,'Round 2'!$A$7:$I$206,COLUMN('Round 2'!$H$7),0)),0,VLOOKUP($A133,'Round 2'!$A$7:$I$206,COLUMN('Round 2'!$H$7),0))+IF(ISERROR(VLOOKUP($A133,'Round 3'!$A$7:$I$206,COLUMN('Round 3'!$H$7),0)),0,VLOOKUP($A133,'Round 3'!$A$7:$I$206,COLUMN('Round 3'!$H$7),0)))</f>
        <v/>
      </c>
      <c r="K133" s="142" t="str">
        <f t="shared" si="45"/>
        <v/>
      </c>
      <c r="L133" s="144" t="str">
        <f t="shared" si="46"/>
        <v/>
      </c>
      <c r="M133" s="145"/>
      <c r="N133" s="146" t="str">
        <f t="shared" si="47"/>
        <v/>
      </c>
      <c r="O133" s="36" t="str">
        <f t="shared" si="48"/>
        <v/>
      </c>
      <c r="P133" s="36" t="str">
        <f t="shared" si="49"/>
        <v/>
      </c>
      <c r="Q133" s="36">
        <f t="shared" si="50"/>
        <v>-10</v>
      </c>
      <c r="R133" s="36" t="str">
        <f t="shared" si="51"/>
        <v/>
      </c>
      <c r="S133" s="36" t="str">
        <f t="shared" si="52"/>
        <v/>
      </c>
      <c r="T133" s="36">
        <f t="shared" si="53"/>
        <v>0</v>
      </c>
      <c r="U133" s="146" t="str">
        <f ca="1">IF(N('Final Round'!$J$14)&gt;0,IF(ISBLANK($A133),"",IF($N133&gt;5,$N133,VLOOKUP($A133,'Final Round'!$A$14:$K$18,COLUMN('Final Round'!$J$1),0))),"")</f>
        <v/>
      </c>
      <c r="V133" s="36" t="str">
        <f t="shared" ca="1" si="54"/>
        <v/>
      </c>
      <c r="W133" s="36" t="str">
        <f t="shared" si="55"/>
        <v/>
      </c>
      <c r="X133" s="36" t="str">
        <f t="shared" si="56"/>
        <v/>
      </c>
      <c r="Y133" s="36">
        <f t="shared" si="57"/>
        <v>0</v>
      </c>
      <c r="Z133" s="36" t="str">
        <f t="shared" ca="1" si="58"/>
        <v/>
      </c>
      <c r="AA133" s="36">
        <f t="shared" ca="1" si="59"/>
        <v>0</v>
      </c>
      <c r="AB133" s="147" t="str">
        <f>IF(ISBLANK($A133),"",5+4*(I133+IF(AA133=0,0,VLOOKUP($A133,'Final Round'!$A$14:$K$18,COLUMN('Final Round'!$G$1),0)))+8*(H133+IF(AA133=0,0,IF(VLOOKUP($A133,'Final Round'!$A$14:$K$18,COLUMN('Final Round'!$J$1),0)=1,1,0)))+$AA133)</f>
        <v/>
      </c>
    </row>
    <row r="134" spans="1:28" x14ac:dyDescent="0.2">
      <c r="A134" s="111"/>
      <c r="B134" s="112"/>
      <c r="C134" s="112"/>
      <c r="D134" s="112"/>
      <c r="E134" s="113"/>
      <c r="F134" s="114" t="str">
        <f>IF(ISBLANK($A134),"",SUM(IF(ISNA(IF(VLOOKUP($A134,'Round 1'!$A$7:$J$206,COLUMN('Round 1'!$H$7),0),1,NA())),0,1),IF(ISNA(IF(VLOOKUP($A134,'Round 2'!$A$7:$J$206,COLUMN('Round 1'!$H$7),0),1,NA())),0,1),IF(ISNA(IF(VLOOKUP($A134,'Round 3'!$A$7:$J$206,COLUMN('Round 1'!$H$7),0),1,NA())),0,1),IF(ISNA(IF(VLOOKUP($A134,'Final Round'!$A$14:$K$18,1,0),1,NA())),0,1)))</f>
        <v/>
      </c>
      <c r="G134" s="115"/>
      <c r="H134" s="116" t="str">
        <f>IF(ISBLANK($A134),"",IF(ISERROR(VLOOKUP($A134,'Round 1'!$A$7:$I$206,COLUMN('Round 1'!$G$7),0)),0,VLOOKUP($A134,'Round 1'!$A$7:$I$206,COLUMN('Round 1'!$G$7),0))+IF(ISERROR(VLOOKUP($A134,'Round 2'!$A$7:$I$206,COLUMN('Round 2'!$G$7),0)),0,VLOOKUP($A134,'Round 2'!$A$7:$I$206,COLUMN('Round 2'!$G$7),0))+IF(ISERROR(VLOOKUP($A134,'Round 3'!$A$7:$I$206,COLUMN('Round 3'!$G$7),0)),0,VLOOKUP($A134,'Round 3'!$A$7:$I$206,COLUMN('Round 3'!$G$7),0)))</f>
        <v/>
      </c>
      <c r="I134" s="116" t="str">
        <f>IF(ISBLANK($A134),"",IF(ISERROR(VLOOKUP($A134,'Round 1'!$A$7:$I$206,COLUMN('Round 1'!$F$7),0)),0,VLOOKUP($A134,'Round 1'!$A$7:$I$206,COLUMN('Round 1'!$F$7),0))+IF(ISERROR(VLOOKUP($A134,'Round 2'!$A$7:$I$206,COLUMN('Round 2'!$F$7),0)),0,VLOOKUP($A134,'Round 2'!$A$7:$I$206,COLUMN('Round 2'!$F$7),0))+IF(ISERROR(VLOOKUP($A134,'Round 3'!$A$7:$I$206,COLUMN('Round 3'!$F$7),0)),0,VLOOKUP($A134,'Round 3'!$A$7:$I$206,COLUMN('Round 3'!$F$7),0)))</f>
        <v/>
      </c>
      <c r="J134" s="117" t="str">
        <f>IF(ISBLANK($A134),"",IF(ISERROR(VLOOKUP($A134,'Round 1'!$A$7:$I$206,COLUMN('Round 1'!$H$7),0)),0,VLOOKUP($A134,'Round 1'!$A$7:$I$206,COLUMN('Round 1'!$H$7),0))+IF(ISERROR(VLOOKUP($A134,'Round 2'!$A$7:$I$206,COLUMN('Round 2'!$H$7),0)),0,VLOOKUP($A134,'Round 2'!$A$7:$I$206,COLUMN('Round 2'!$H$7),0))+IF(ISERROR(VLOOKUP($A134,'Round 3'!$A$7:$I$206,COLUMN('Round 3'!$H$7),0)),0,VLOOKUP($A134,'Round 3'!$A$7:$I$206,COLUMN('Round 3'!$H$7),0)))</f>
        <v/>
      </c>
      <c r="K134" s="116" t="str">
        <f t="shared" si="45"/>
        <v/>
      </c>
      <c r="L134" s="118" t="str">
        <f t="shared" si="46"/>
        <v/>
      </c>
      <c r="M134" s="119"/>
      <c r="N134" s="120" t="str">
        <f t="shared" si="47"/>
        <v/>
      </c>
      <c r="O134" s="36" t="str">
        <f t="shared" si="48"/>
        <v/>
      </c>
      <c r="P134" s="36" t="str">
        <f t="shared" si="49"/>
        <v/>
      </c>
      <c r="Q134" s="36">
        <f t="shared" si="50"/>
        <v>-10</v>
      </c>
      <c r="R134" s="36" t="str">
        <f t="shared" si="51"/>
        <v/>
      </c>
      <c r="S134" s="36" t="str">
        <f t="shared" si="52"/>
        <v/>
      </c>
      <c r="T134" s="36">
        <f t="shared" si="53"/>
        <v>0</v>
      </c>
      <c r="U134" s="120" t="str">
        <f ca="1">IF(N('Final Round'!$J$14)&gt;0,IF(ISBLANK($A134),"",IF($N134&gt;5,$N134,VLOOKUP($A134,'Final Round'!$A$14:$K$18,COLUMN('Final Round'!$J$1),0))),"")</f>
        <v/>
      </c>
      <c r="V134" s="36" t="str">
        <f t="shared" ca="1" si="54"/>
        <v/>
      </c>
      <c r="W134" s="36" t="str">
        <f t="shared" si="55"/>
        <v/>
      </c>
      <c r="X134" s="36" t="str">
        <f t="shared" si="56"/>
        <v/>
      </c>
      <c r="Y134" s="36">
        <f t="shared" si="57"/>
        <v>0</v>
      </c>
      <c r="Z134" s="36" t="str">
        <f t="shared" ca="1" si="58"/>
        <v/>
      </c>
      <c r="AA134" s="36">
        <f t="shared" ca="1" si="59"/>
        <v>0</v>
      </c>
      <c r="AB134" s="121" t="str">
        <f>IF(ISBLANK($A134),"",5+4*(I134+IF(AA134=0,0,VLOOKUP($A134,'Final Round'!$A$14:$K$18,COLUMN('Final Round'!$G$1),0)))+8*(H134+IF(AA134=0,0,IF(VLOOKUP($A134,'Final Round'!$A$14:$K$18,COLUMN('Final Round'!$J$1),0)=1,1,0)))+$AA134)</f>
        <v/>
      </c>
    </row>
    <row r="135" spans="1:28" x14ac:dyDescent="0.2">
      <c r="A135" s="137"/>
      <c r="B135" s="138"/>
      <c r="C135" s="138"/>
      <c r="D135" s="138"/>
      <c r="E135" s="139"/>
      <c r="F135" s="140" t="str">
        <f>IF(ISBLANK($A135),"",SUM(IF(ISNA(IF(VLOOKUP($A135,'Round 1'!$A$7:$J$206,COLUMN('Round 1'!$H$7),0),1,NA())),0,1),IF(ISNA(IF(VLOOKUP($A135,'Round 2'!$A$7:$J$206,COLUMN('Round 1'!$H$7),0),1,NA())),0,1),IF(ISNA(IF(VLOOKUP($A135,'Round 3'!$A$7:$J$206,COLUMN('Round 1'!$H$7),0),1,NA())),0,1),IF(ISNA(IF(VLOOKUP($A135,'Final Round'!$A$14:$K$18,1,0),1,NA())),0,1)))</f>
        <v/>
      </c>
      <c r="G135" s="141"/>
      <c r="H135" s="142" t="str">
        <f>IF(ISBLANK($A135),"",IF(ISERROR(VLOOKUP($A135,'Round 1'!$A$7:$I$206,COLUMN('Round 1'!$G$7),0)),0,VLOOKUP($A135,'Round 1'!$A$7:$I$206,COLUMN('Round 1'!$G$7),0))+IF(ISERROR(VLOOKUP($A135,'Round 2'!$A$7:$I$206,COLUMN('Round 2'!$G$7),0)),0,VLOOKUP($A135,'Round 2'!$A$7:$I$206,COLUMN('Round 2'!$G$7),0))+IF(ISERROR(VLOOKUP($A135,'Round 3'!$A$7:$I$206,COLUMN('Round 3'!$G$7),0)),0,VLOOKUP($A135,'Round 3'!$A$7:$I$206,COLUMN('Round 3'!$G$7),0)))</f>
        <v/>
      </c>
      <c r="I135" s="142" t="str">
        <f>IF(ISBLANK($A135),"",IF(ISERROR(VLOOKUP($A135,'Round 1'!$A$7:$I$206,COLUMN('Round 1'!$F$7),0)),0,VLOOKUP($A135,'Round 1'!$A$7:$I$206,COLUMN('Round 1'!$F$7),0))+IF(ISERROR(VLOOKUP($A135,'Round 2'!$A$7:$I$206,COLUMN('Round 2'!$F$7),0)),0,VLOOKUP($A135,'Round 2'!$A$7:$I$206,COLUMN('Round 2'!$F$7),0))+IF(ISERROR(VLOOKUP($A135,'Round 3'!$A$7:$I$206,COLUMN('Round 3'!$F$7),0)),0,VLOOKUP($A135,'Round 3'!$A$7:$I$206,COLUMN('Round 3'!$F$7),0)))</f>
        <v/>
      </c>
      <c r="J135" s="143" t="str">
        <f>IF(ISBLANK($A135),"",IF(ISERROR(VLOOKUP($A135,'Round 1'!$A$7:$I$206,COLUMN('Round 1'!$H$7),0)),0,VLOOKUP($A135,'Round 1'!$A$7:$I$206,COLUMN('Round 1'!$H$7),0))+IF(ISERROR(VLOOKUP($A135,'Round 2'!$A$7:$I$206,COLUMN('Round 2'!$H$7),0)),0,VLOOKUP($A135,'Round 2'!$A$7:$I$206,COLUMN('Round 2'!$H$7),0))+IF(ISERROR(VLOOKUP($A135,'Round 3'!$A$7:$I$206,COLUMN('Round 3'!$H$7),0)),0,VLOOKUP($A135,'Round 3'!$A$7:$I$206,COLUMN('Round 3'!$H$7),0)))</f>
        <v/>
      </c>
      <c r="K135" s="142" t="str">
        <f t="shared" ref="K135:K166" si="60">IF(ISBLANK(A135),"",RANK(P135,$P$7:$P$206))</f>
        <v/>
      </c>
      <c r="L135" s="144" t="str">
        <f t="shared" ref="L135:L166" si="61">IF(ISBLANK($G135),IF($K135&gt;5,"",IF(AND(ISNA(MATCH(K135+1,$K$7:$K$206,0)),$K135&lt;$A$4),"TIE","")),"DQ")</f>
        <v/>
      </c>
      <c r="M135" s="145"/>
      <c r="N135" s="146" t="str">
        <f t="shared" ref="N135:N166" si="62">IF(ISBLANK($G135),$R135,"DQ")</f>
        <v/>
      </c>
      <c r="O135" s="36" t="str">
        <f t="shared" ref="O135:O166" si="63">IF(ISBLANK(A135),"",$H135*$O$6+$I135)</f>
        <v/>
      </c>
      <c r="P135" s="36" t="str">
        <f t="shared" ref="P135:P166" si="64">IF(ISBLANK(A135),"",$O135*10*$P$6+$J135)</f>
        <v/>
      </c>
      <c r="Q135" s="36">
        <f t="shared" ref="Q135:Q166" si="65">IF(ISBLANK($G135),IF(ISBLANK($A135),-10,$P135*$Q$6+IF($M135&gt;0,$Q$6-1-$M135,0)),-1)</f>
        <v>-10</v>
      </c>
      <c r="R135" s="36" t="str">
        <f t="shared" ref="R135:R166" si="66">IF(ISBLANK($A135),"",RANK($Q135,$Q$7:$Q$206))</f>
        <v/>
      </c>
      <c r="S135" s="36" t="str">
        <f t="shared" ref="S135:S166" si="67">IF(ISNA(MATCH($R135+1,$R$7:$R$206,0)),IF($R135=MAX($A$7:$A$206),$R135,-1),$R135)</f>
        <v/>
      </c>
      <c r="T135" s="36">
        <f t="shared" ref="T135:T166" si="68">$A135</f>
        <v>0</v>
      </c>
      <c r="U135" s="146" t="str">
        <f ca="1">IF(N('Final Round'!$J$14)&gt;0,IF(ISBLANK($A135),"",IF($N135&gt;5,$N135,VLOOKUP($A135,'Final Round'!$A$14:$K$18,COLUMN('Final Round'!$J$1),0))),"")</f>
        <v/>
      </c>
      <c r="V135" s="36" t="str">
        <f t="shared" ref="V135:V166" ca="1" si="69">IF(ISNUMBER($U135),$U135,$R135)</f>
        <v/>
      </c>
      <c r="W135" s="36" t="str">
        <f t="shared" ref="W135:W166" si="70">IF(ISBLANK($A135),"",($V$6-$V135)*$W$6+$W$6-$A135)</f>
        <v/>
      </c>
      <c r="X135" s="36" t="str">
        <f t="shared" ref="X135:X166" si="71">IF(ISBLANK($A135),"",RANK($W135,$W$7:$W$206))</f>
        <v/>
      </c>
      <c r="Y135" s="36">
        <f t="shared" ref="Y135:Y166" si="72">$A135</f>
        <v>0</v>
      </c>
      <c r="Z135" s="36" t="str">
        <f t="shared" ref="Z135:Z166" ca="1" si="73">IF($U135="",$N135,$U135)</f>
        <v/>
      </c>
      <c r="AA135" s="36">
        <f t="shared" ref="AA135:AA166" ca="1" si="74">IF($U135&lt;6,INDEX($AA$1:$AA$5,$Z135)*$Z$2,0)</f>
        <v>0</v>
      </c>
      <c r="AB135" s="147" t="str">
        <f>IF(ISBLANK($A135),"",5+4*(I135+IF(AA135=0,0,VLOOKUP($A135,'Final Round'!$A$14:$K$18,COLUMN('Final Round'!$G$1),0)))+8*(H135+IF(AA135=0,0,IF(VLOOKUP($A135,'Final Round'!$A$14:$K$18,COLUMN('Final Round'!$J$1),0)=1,1,0)))+$AA135)</f>
        <v/>
      </c>
    </row>
    <row r="136" spans="1:28" x14ac:dyDescent="0.2">
      <c r="A136" s="111"/>
      <c r="B136" s="112"/>
      <c r="C136" s="112"/>
      <c r="D136" s="112"/>
      <c r="E136" s="113"/>
      <c r="F136" s="114" t="str">
        <f>IF(ISBLANK($A136),"",SUM(IF(ISNA(IF(VLOOKUP($A136,'Round 1'!$A$7:$J$206,COLUMN('Round 1'!$H$7),0),1,NA())),0,1),IF(ISNA(IF(VLOOKUP($A136,'Round 2'!$A$7:$J$206,COLUMN('Round 1'!$H$7),0),1,NA())),0,1),IF(ISNA(IF(VLOOKUP($A136,'Round 3'!$A$7:$J$206,COLUMN('Round 1'!$H$7),0),1,NA())),0,1),IF(ISNA(IF(VLOOKUP($A136,'Final Round'!$A$14:$K$18,1,0),1,NA())),0,1)))</f>
        <v/>
      </c>
      <c r="G136" s="115"/>
      <c r="H136" s="116" t="str">
        <f>IF(ISBLANK($A136),"",IF(ISERROR(VLOOKUP($A136,'Round 1'!$A$7:$I$206,COLUMN('Round 1'!$G$7),0)),0,VLOOKUP($A136,'Round 1'!$A$7:$I$206,COLUMN('Round 1'!$G$7),0))+IF(ISERROR(VLOOKUP($A136,'Round 2'!$A$7:$I$206,COLUMN('Round 2'!$G$7),0)),0,VLOOKUP($A136,'Round 2'!$A$7:$I$206,COLUMN('Round 2'!$G$7),0))+IF(ISERROR(VLOOKUP($A136,'Round 3'!$A$7:$I$206,COLUMN('Round 3'!$G$7),0)),0,VLOOKUP($A136,'Round 3'!$A$7:$I$206,COLUMN('Round 3'!$G$7),0)))</f>
        <v/>
      </c>
      <c r="I136" s="116" t="str">
        <f>IF(ISBLANK($A136),"",IF(ISERROR(VLOOKUP($A136,'Round 1'!$A$7:$I$206,COLUMN('Round 1'!$F$7),0)),0,VLOOKUP($A136,'Round 1'!$A$7:$I$206,COLUMN('Round 1'!$F$7),0))+IF(ISERROR(VLOOKUP($A136,'Round 2'!$A$7:$I$206,COLUMN('Round 2'!$F$7),0)),0,VLOOKUP($A136,'Round 2'!$A$7:$I$206,COLUMN('Round 2'!$F$7),0))+IF(ISERROR(VLOOKUP($A136,'Round 3'!$A$7:$I$206,COLUMN('Round 3'!$F$7),0)),0,VLOOKUP($A136,'Round 3'!$A$7:$I$206,COLUMN('Round 3'!$F$7),0)))</f>
        <v/>
      </c>
      <c r="J136" s="117" t="str">
        <f>IF(ISBLANK($A136),"",IF(ISERROR(VLOOKUP($A136,'Round 1'!$A$7:$I$206,COLUMN('Round 1'!$H$7),0)),0,VLOOKUP($A136,'Round 1'!$A$7:$I$206,COLUMN('Round 1'!$H$7),0))+IF(ISERROR(VLOOKUP($A136,'Round 2'!$A$7:$I$206,COLUMN('Round 2'!$H$7),0)),0,VLOOKUP($A136,'Round 2'!$A$7:$I$206,COLUMN('Round 2'!$H$7),0))+IF(ISERROR(VLOOKUP($A136,'Round 3'!$A$7:$I$206,COLUMN('Round 3'!$H$7),0)),0,VLOOKUP($A136,'Round 3'!$A$7:$I$206,COLUMN('Round 3'!$H$7),0)))</f>
        <v/>
      </c>
      <c r="K136" s="116" t="str">
        <f t="shared" si="60"/>
        <v/>
      </c>
      <c r="L136" s="118" t="str">
        <f t="shared" si="61"/>
        <v/>
      </c>
      <c r="M136" s="119"/>
      <c r="N136" s="120" t="str">
        <f t="shared" si="62"/>
        <v/>
      </c>
      <c r="O136" s="36" t="str">
        <f t="shared" si="63"/>
        <v/>
      </c>
      <c r="P136" s="36" t="str">
        <f t="shared" si="64"/>
        <v/>
      </c>
      <c r="Q136" s="36">
        <f t="shared" si="65"/>
        <v>-10</v>
      </c>
      <c r="R136" s="36" t="str">
        <f t="shared" si="66"/>
        <v/>
      </c>
      <c r="S136" s="36" t="str">
        <f t="shared" si="67"/>
        <v/>
      </c>
      <c r="T136" s="36">
        <f t="shared" si="68"/>
        <v>0</v>
      </c>
      <c r="U136" s="120" t="str">
        <f ca="1">IF(N('Final Round'!$J$14)&gt;0,IF(ISBLANK($A136),"",IF($N136&gt;5,$N136,VLOOKUP($A136,'Final Round'!$A$14:$K$18,COLUMN('Final Round'!$J$1),0))),"")</f>
        <v/>
      </c>
      <c r="V136" s="36" t="str">
        <f t="shared" ca="1" si="69"/>
        <v/>
      </c>
      <c r="W136" s="36" t="str">
        <f t="shared" si="70"/>
        <v/>
      </c>
      <c r="X136" s="36" t="str">
        <f t="shared" si="71"/>
        <v/>
      </c>
      <c r="Y136" s="36">
        <f t="shared" si="72"/>
        <v>0</v>
      </c>
      <c r="Z136" s="36" t="str">
        <f t="shared" ca="1" si="73"/>
        <v/>
      </c>
      <c r="AA136" s="36">
        <f t="shared" ca="1" si="74"/>
        <v>0</v>
      </c>
      <c r="AB136" s="121" t="str">
        <f>IF(ISBLANK($A136),"",5+4*(I136+IF(AA136=0,0,VLOOKUP($A136,'Final Round'!$A$14:$K$18,COLUMN('Final Round'!$G$1),0)))+8*(H136+IF(AA136=0,0,IF(VLOOKUP($A136,'Final Round'!$A$14:$K$18,COLUMN('Final Round'!$J$1),0)=1,1,0)))+$AA136)</f>
        <v/>
      </c>
    </row>
    <row r="137" spans="1:28" x14ac:dyDescent="0.2">
      <c r="A137" s="137"/>
      <c r="B137" s="138"/>
      <c r="C137" s="138"/>
      <c r="D137" s="138"/>
      <c r="E137" s="139"/>
      <c r="F137" s="140" t="str">
        <f>IF(ISBLANK($A137),"",SUM(IF(ISNA(IF(VLOOKUP($A137,'Round 1'!$A$7:$J$206,COLUMN('Round 1'!$H$7),0),1,NA())),0,1),IF(ISNA(IF(VLOOKUP($A137,'Round 2'!$A$7:$J$206,COLUMN('Round 1'!$H$7),0),1,NA())),0,1),IF(ISNA(IF(VLOOKUP($A137,'Round 3'!$A$7:$J$206,COLUMN('Round 1'!$H$7),0),1,NA())),0,1),IF(ISNA(IF(VLOOKUP($A137,'Final Round'!$A$14:$K$18,1,0),1,NA())),0,1)))</f>
        <v/>
      </c>
      <c r="G137" s="141"/>
      <c r="H137" s="142" t="str">
        <f>IF(ISBLANK($A137),"",IF(ISERROR(VLOOKUP($A137,'Round 1'!$A$7:$I$206,COLUMN('Round 1'!$G$7),0)),0,VLOOKUP($A137,'Round 1'!$A$7:$I$206,COLUMN('Round 1'!$G$7),0))+IF(ISERROR(VLOOKUP($A137,'Round 2'!$A$7:$I$206,COLUMN('Round 2'!$G$7),0)),0,VLOOKUP($A137,'Round 2'!$A$7:$I$206,COLUMN('Round 2'!$G$7),0))+IF(ISERROR(VLOOKUP($A137,'Round 3'!$A$7:$I$206,COLUMN('Round 3'!$G$7),0)),0,VLOOKUP($A137,'Round 3'!$A$7:$I$206,COLUMN('Round 3'!$G$7),0)))</f>
        <v/>
      </c>
      <c r="I137" s="142" t="str">
        <f>IF(ISBLANK($A137),"",IF(ISERROR(VLOOKUP($A137,'Round 1'!$A$7:$I$206,COLUMN('Round 1'!$F$7),0)),0,VLOOKUP($A137,'Round 1'!$A$7:$I$206,COLUMN('Round 1'!$F$7),0))+IF(ISERROR(VLOOKUP($A137,'Round 2'!$A$7:$I$206,COLUMN('Round 2'!$F$7),0)),0,VLOOKUP($A137,'Round 2'!$A$7:$I$206,COLUMN('Round 2'!$F$7),0))+IF(ISERROR(VLOOKUP($A137,'Round 3'!$A$7:$I$206,COLUMN('Round 3'!$F$7),0)),0,VLOOKUP($A137,'Round 3'!$A$7:$I$206,COLUMN('Round 3'!$F$7),0)))</f>
        <v/>
      </c>
      <c r="J137" s="143" t="str">
        <f>IF(ISBLANK($A137),"",IF(ISERROR(VLOOKUP($A137,'Round 1'!$A$7:$I$206,COLUMN('Round 1'!$H$7),0)),0,VLOOKUP($A137,'Round 1'!$A$7:$I$206,COLUMN('Round 1'!$H$7),0))+IF(ISERROR(VLOOKUP($A137,'Round 2'!$A$7:$I$206,COLUMN('Round 2'!$H$7),0)),0,VLOOKUP($A137,'Round 2'!$A$7:$I$206,COLUMN('Round 2'!$H$7),0))+IF(ISERROR(VLOOKUP($A137,'Round 3'!$A$7:$I$206,COLUMN('Round 3'!$H$7),0)),0,VLOOKUP($A137,'Round 3'!$A$7:$I$206,COLUMN('Round 3'!$H$7),0)))</f>
        <v/>
      </c>
      <c r="K137" s="142" t="str">
        <f t="shared" si="60"/>
        <v/>
      </c>
      <c r="L137" s="144" t="str">
        <f t="shared" si="61"/>
        <v/>
      </c>
      <c r="M137" s="145"/>
      <c r="N137" s="146" t="str">
        <f t="shared" si="62"/>
        <v/>
      </c>
      <c r="O137" s="36" t="str">
        <f t="shared" si="63"/>
        <v/>
      </c>
      <c r="P137" s="36" t="str">
        <f t="shared" si="64"/>
        <v/>
      </c>
      <c r="Q137" s="36">
        <f t="shared" si="65"/>
        <v>-10</v>
      </c>
      <c r="R137" s="36" t="str">
        <f t="shared" si="66"/>
        <v/>
      </c>
      <c r="S137" s="36" t="str">
        <f t="shared" si="67"/>
        <v/>
      </c>
      <c r="T137" s="36">
        <f t="shared" si="68"/>
        <v>0</v>
      </c>
      <c r="U137" s="146" t="str">
        <f ca="1">IF(N('Final Round'!$J$14)&gt;0,IF(ISBLANK($A137),"",IF($N137&gt;5,$N137,VLOOKUP($A137,'Final Round'!$A$14:$K$18,COLUMN('Final Round'!$J$1),0))),"")</f>
        <v/>
      </c>
      <c r="V137" s="36" t="str">
        <f t="shared" ca="1" si="69"/>
        <v/>
      </c>
      <c r="W137" s="36" t="str">
        <f t="shared" si="70"/>
        <v/>
      </c>
      <c r="X137" s="36" t="str">
        <f t="shared" si="71"/>
        <v/>
      </c>
      <c r="Y137" s="36">
        <f t="shared" si="72"/>
        <v>0</v>
      </c>
      <c r="Z137" s="36" t="str">
        <f t="shared" ca="1" si="73"/>
        <v/>
      </c>
      <c r="AA137" s="36">
        <f t="shared" ca="1" si="74"/>
        <v>0</v>
      </c>
      <c r="AB137" s="147" t="str">
        <f>IF(ISBLANK($A137),"",5+4*(I137+IF(AA137=0,0,VLOOKUP($A137,'Final Round'!$A$14:$K$18,COLUMN('Final Round'!$G$1),0)))+8*(H137+IF(AA137=0,0,IF(VLOOKUP($A137,'Final Round'!$A$14:$K$18,COLUMN('Final Round'!$J$1),0)=1,1,0)))+$AA137)</f>
        <v/>
      </c>
    </row>
    <row r="138" spans="1:28" x14ac:dyDescent="0.2">
      <c r="A138" s="111"/>
      <c r="B138" s="112"/>
      <c r="C138" s="112"/>
      <c r="D138" s="112"/>
      <c r="E138" s="113"/>
      <c r="F138" s="114" t="str">
        <f>IF(ISBLANK($A138),"",SUM(IF(ISNA(IF(VLOOKUP($A138,'Round 1'!$A$7:$J$206,COLUMN('Round 1'!$H$7),0),1,NA())),0,1),IF(ISNA(IF(VLOOKUP($A138,'Round 2'!$A$7:$J$206,COLUMN('Round 1'!$H$7),0),1,NA())),0,1),IF(ISNA(IF(VLOOKUP($A138,'Round 3'!$A$7:$J$206,COLUMN('Round 1'!$H$7),0),1,NA())),0,1),IF(ISNA(IF(VLOOKUP($A138,'Final Round'!$A$14:$K$18,1,0),1,NA())),0,1)))</f>
        <v/>
      </c>
      <c r="G138" s="115"/>
      <c r="H138" s="116" t="str">
        <f>IF(ISBLANK($A138),"",IF(ISERROR(VLOOKUP($A138,'Round 1'!$A$7:$I$206,COLUMN('Round 1'!$G$7),0)),0,VLOOKUP($A138,'Round 1'!$A$7:$I$206,COLUMN('Round 1'!$G$7),0))+IF(ISERROR(VLOOKUP($A138,'Round 2'!$A$7:$I$206,COLUMN('Round 2'!$G$7),0)),0,VLOOKUP($A138,'Round 2'!$A$7:$I$206,COLUMN('Round 2'!$G$7),0))+IF(ISERROR(VLOOKUP($A138,'Round 3'!$A$7:$I$206,COLUMN('Round 3'!$G$7),0)),0,VLOOKUP($A138,'Round 3'!$A$7:$I$206,COLUMN('Round 3'!$G$7),0)))</f>
        <v/>
      </c>
      <c r="I138" s="116" t="str">
        <f>IF(ISBLANK($A138),"",IF(ISERROR(VLOOKUP($A138,'Round 1'!$A$7:$I$206,COLUMN('Round 1'!$F$7),0)),0,VLOOKUP($A138,'Round 1'!$A$7:$I$206,COLUMN('Round 1'!$F$7),0))+IF(ISERROR(VLOOKUP($A138,'Round 2'!$A$7:$I$206,COLUMN('Round 2'!$F$7),0)),0,VLOOKUP($A138,'Round 2'!$A$7:$I$206,COLUMN('Round 2'!$F$7),0))+IF(ISERROR(VLOOKUP($A138,'Round 3'!$A$7:$I$206,COLUMN('Round 3'!$F$7),0)),0,VLOOKUP($A138,'Round 3'!$A$7:$I$206,COLUMN('Round 3'!$F$7),0)))</f>
        <v/>
      </c>
      <c r="J138" s="117" t="str">
        <f>IF(ISBLANK($A138),"",IF(ISERROR(VLOOKUP($A138,'Round 1'!$A$7:$I$206,COLUMN('Round 1'!$H$7),0)),0,VLOOKUP($A138,'Round 1'!$A$7:$I$206,COLUMN('Round 1'!$H$7),0))+IF(ISERROR(VLOOKUP($A138,'Round 2'!$A$7:$I$206,COLUMN('Round 2'!$H$7),0)),0,VLOOKUP($A138,'Round 2'!$A$7:$I$206,COLUMN('Round 2'!$H$7),0))+IF(ISERROR(VLOOKUP($A138,'Round 3'!$A$7:$I$206,COLUMN('Round 3'!$H$7),0)),0,VLOOKUP($A138,'Round 3'!$A$7:$I$206,COLUMN('Round 3'!$H$7),0)))</f>
        <v/>
      </c>
      <c r="K138" s="116" t="str">
        <f t="shared" si="60"/>
        <v/>
      </c>
      <c r="L138" s="118" t="str">
        <f t="shared" si="61"/>
        <v/>
      </c>
      <c r="M138" s="119"/>
      <c r="N138" s="120" t="str">
        <f t="shared" si="62"/>
        <v/>
      </c>
      <c r="O138" s="36" t="str">
        <f t="shared" si="63"/>
        <v/>
      </c>
      <c r="P138" s="36" t="str">
        <f t="shared" si="64"/>
        <v/>
      </c>
      <c r="Q138" s="36">
        <f t="shared" si="65"/>
        <v>-10</v>
      </c>
      <c r="R138" s="36" t="str">
        <f t="shared" si="66"/>
        <v/>
      </c>
      <c r="S138" s="36" t="str">
        <f t="shared" si="67"/>
        <v/>
      </c>
      <c r="T138" s="36">
        <f t="shared" si="68"/>
        <v>0</v>
      </c>
      <c r="U138" s="120" t="str">
        <f ca="1">IF(N('Final Round'!$J$14)&gt;0,IF(ISBLANK($A138),"",IF($N138&gt;5,$N138,VLOOKUP($A138,'Final Round'!$A$14:$K$18,COLUMN('Final Round'!$J$1),0))),"")</f>
        <v/>
      </c>
      <c r="V138" s="36" t="str">
        <f t="shared" ca="1" si="69"/>
        <v/>
      </c>
      <c r="W138" s="36" t="str">
        <f t="shared" si="70"/>
        <v/>
      </c>
      <c r="X138" s="36" t="str">
        <f t="shared" si="71"/>
        <v/>
      </c>
      <c r="Y138" s="36">
        <f t="shared" si="72"/>
        <v>0</v>
      </c>
      <c r="Z138" s="36" t="str">
        <f t="shared" ca="1" si="73"/>
        <v/>
      </c>
      <c r="AA138" s="36">
        <f t="shared" ca="1" si="74"/>
        <v>0</v>
      </c>
      <c r="AB138" s="121" t="str">
        <f>IF(ISBLANK($A138),"",5+4*(I138+IF(AA138=0,0,VLOOKUP($A138,'Final Round'!$A$14:$K$18,COLUMN('Final Round'!$G$1),0)))+8*(H138+IF(AA138=0,0,IF(VLOOKUP($A138,'Final Round'!$A$14:$K$18,COLUMN('Final Round'!$J$1),0)=1,1,0)))+$AA138)</f>
        <v/>
      </c>
    </row>
    <row r="139" spans="1:28" x14ac:dyDescent="0.2">
      <c r="A139" s="137"/>
      <c r="B139" s="138"/>
      <c r="C139" s="138"/>
      <c r="D139" s="138"/>
      <c r="E139" s="139"/>
      <c r="F139" s="140" t="str">
        <f>IF(ISBLANK($A139),"",SUM(IF(ISNA(IF(VLOOKUP($A139,'Round 1'!$A$7:$J$206,COLUMN('Round 1'!$H$7),0),1,NA())),0,1),IF(ISNA(IF(VLOOKUP($A139,'Round 2'!$A$7:$J$206,COLUMN('Round 1'!$H$7),0),1,NA())),0,1),IF(ISNA(IF(VLOOKUP($A139,'Round 3'!$A$7:$J$206,COLUMN('Round 1'!$H$7),0),1,NA())),0,1),IF(ISNA(IF(VLOOKUP($A139,'Final Round'!$A$14:$K$18,1,0),1,NA())),0,1)))</f>
        <v/>
      </c>
      <c r="G139" s="141"/>
      <c r="H139" s="142" t="str">
        <f>IF(ISBLANK($A139),"",IF(ISERROR(VLOOKUP($A139,'Round 1'!$A$7:$I$206,COLUMN('Round 1'!$G$7),0)),0,VLOOKUP($A139,'Round 1'!$A$7:$I$206,COLUMN('Round 1'!$G$7),0))+IF(ISERROR(VLOOKUP($A139,'Round 2'!$A$7:$I$206,COLUMN('Round 2'!$G$7),0)),0,VLOOKUP($A139,'Round 2'!$A$7:$I$206,COLUMN('Round 2'!$G$7),0))+IF(ISERROR(VLOOKUP($A139,'Round 3'!$A$7:$I$206,COLUMN('Round 3'!$G$7),0)),0,VLOOKUP($A139,'Round 3'!$A$7:$I$206,COLUMN('Round 3'!$G$7),0)))</f>
        <v/>
      </c>
      <c r="I139" s="142" t="str">
        <f>IF(ISBLANK($A139),"",IF(ISERROR(VLOOKUP($A139,'Round 1'!$A$7:$I$206,COLUMN('Round 1'!$F$7),0)),0,VLOOKUP($A139,'Round 1'!$A$7:$I$206,COLUMN('Round 1'!$F$7),0))+IF(ISERROR(VLOOKUP($A139,'Round 2'!$A$7:$I$206,COLUMN('Round 2'!$F$7),0)),0,VLOOKUP($A139,'Round 2'!$A$7:$I$206,COLUMN('Round 2'!$F$7),0))+IF(ISERROR(VLOOKUP($A139,'Round 3'!$A$7:$I$206,COLUMN('Round 3'!$F$7),0)),0,VLOOKUP($A139,'Round 3'!$A$7:$I$206,COLUMN('Round 3'!$F$7),0)))</f>
        <v/>
      </c>
      <c r="J139" s="143" t="str">
        <f>IF(ISBLANK($A139),"",IF(ISERROR(VLOOKUP($A139,'Round 1'!$A$7:$I$206,COLUMN('Round 1'!$H$7),0)),0,VLOOKUP($A139,'Round 1'!$A$7:$I$206,COLUMN('Round 1'!$H$7),0))+IF(ISERROR(VLOOKUP($A139,'Round 2'!$A$7:$I$206,COLUMN('Round 2'!$H$7),0)),0,VLOOKUP($A139,'Round 2'!$A$7:$I$206,COLUMN('Round 2'!$H$7),0))+IF(ISERROR(VLOOKUP($A139,'Round 3'!$A$7:$I$206,COLUMN('Round 3'!$H$7),0)),0,VLOOKUP($A139,'Round 3'!$A$7:$I$206,COLUMN('Round 3'!$H$7),0)))</f>
        <v/>
      </c>
      <c r="K139" s="142" t="str">
        <f t="shared" si="60"/>
        <v/>
      </c>
      <c r="L139" s="144" t="str">
        <f t="shared" si="61"/>
        <v/>
      </c>
      <c r="M139" s="145"/>
      <c r="N139" s="146" t="str">
        <f t="shared" si="62"/>
        <v/>
      </c>
      <c r="O139" s="36" t="str">
        <f t="shared" si="63"/>
        <v/>
      </c>
      <c r="P139" s="36" t="str">
        <f t="shared" si="64"/>
        <v/>
      </c>
      <c r="Q139" s="36">
        <f t="shared" si="65"/>
        <v>-10</v>
      </c>
      <c r="R139" s="36" t="str">
        <f t="shared" si="66"/>
        <v/>
      </c>
      <c r="S139" s="36" t="str">
        <f t="shared" si="67"/>
        <v/>
      </c>
      <c r="T139" s="36">
        <f t="shared" si="68"/>
        <v>0</v>
      </c>
      <c r="U139" s="146" t="str">
        <f ca="1">IF(N('Final Round'!$J$14)&gt;0,IF(ISBLANK($A139),"",IF($N139&gt;5,$N139,VLOOKUP($A139,'Final Round'!$A$14:$K$18,COLUMN('Final Round'!$J$1),0))),"")</f>
        <v/>
      </c>
      <c r="V139" s="36" t="str">
        <f t="shared" ca="1" si="69"/>
        <v/>
      </c>
      <c r="W139" s="36" t="str">
        <f t="shared" si="70"/>
        <v/>
      </c>
      <c r="X139" s="36" t="str">
        <f t="shared" si="71"/>
        <v/>
      </c>
      <c r="Y139" s="36">
        <f t="shared" si="72"/>
        <v>0</v>
      </c>
      <c r="Z139" s="36" t="str">
        <f t="shared" ca="1" si="73"/>
        <v/>
      </c>
      <c r="AA139" s="36">
        <f t="shared" ca="1" si="74"/>
        <v>0</v>
      </c>
      <c r="AB139" s="147" t="str">
        <f>IF(ISBLANK($A139),"",5+4*(I139+IF(AA139=0,0,VLOOKUP($A139,'Final Round'!$A$14:$K$18,COLUMN('Final Round'!$G$1),0)))+8*(H139+IF(AA139=0,0,IF(VLOOKUP($A139,'Final Round'!$A$14:$K$18,COLUMN('Final Round'!$J$1),0)=1,1,0)))+$AA139)</f>
        <v/>
      </c>
    </row>
    <row r="140" spans="1:28" x14ac:dyDescent="0.2">
      <c r="A140" s="111"/>
      <c r="B140" s="112"/>
      <c r="C140" s="112"/>
      <c r="D140" s="112"/>
      <c r="E140" s="113"/>
      <c r="F140" s="114" t="str">
        <f>IF(ISBLANK($A140),"",SUM(IF(ISNA(IF(VLOOKUP($A140,'Round 1'!$A$7:$J$206,COLUMN('Round 1'!$H$7),0),1,NA())),0,1),IF(ISNA(IF(VLOOKUP($A140,'Round 2'!$A$7:$J$206,COLUMN('Round 1'!$H$7),0),1,NA())),0,1),IF(ISNA(IF(VLOOKUP($A140,'Round 3'!$A$7:$J$206,COLUMN('Round 1'!$H$7),0),1,NA())),0,1),IF(ISNA(IF(VLOOKUP($A140,'Final Round'!$A$14:$K$18,1,0),1,NA())),0,1)))</f>
        <v/>
      </c>
      <c r="G140" s="115"/>
      <c r="H140" s="116" t="str">
        <f>IF(ISBLANK($A140),"",IF(ISERROR(VLOOKUP($A140,'Round 1'!$A$7:$I$206,COLUMN('Round 1'!$G$7),0)),0,VLOOKUP($A140,'Round 1'!$A$7:$I$206,COLUMN('Round 1'!$G$7),0))+IF(ISERROR(VLOOKUP($A140,'Round 2'!$A$7:$I$206,COLUMN('Round 2'!$G$7),0)),0,VLOOKUP($A140,'Round 2'!$A$7:$I$206,COLUMN('Round 2'!$G$7),0))+IF(ISERROR(VLOOKUP($A140,'Round 3'!$A$7:$I$206,COLUMN('Round 3'!$G$7),0)),0,VLOOKUP($A140,'Round 3'!$A$7:$I$206,COLUMN('Round 3'!$G$7),0)))</f>
        <v/>
      </c>
      <c r="I140" s="116" t="str">
        <f>IF(ISBLANK($A140),"",IF(ISERROR(VLOOKUP($A140,'Round 1'!$A$7:$I$206,COLUMN('Round 1'!$F$7),0)),0,VLOOKUP($A140,'Round 1'!$A$7:$I$206,COLUMN('Round 1'!$F$7),0))+IF(ISERROR(VLOOKUP($A140,'Round 2'!$A$7:$I$206,COLUMN('Round 2'!$F$7),0)),0,VLOOKUP($A140,'Round 2'!$A$7:$I$206,COLUMN('Round 2'!$F$7),0))+IF(ISERROR(VLOOKUP($A140,'Round 3'!$A$7:$I$206,COLUMN('Round 3'!$F$7),0)),0,VLOOKUP($A140,'Round 3'!$A$7:$I$206,COLUMN('Round 3'!$F$7),0)))</f>
        <v/>
      </c>
      <c r="J140" s="117" t="str">
        <f>IF(ISBLANK($A140),"",IF(ISERROR(VLOOKUP($A140,'Round 1'!$A$7:$I$206,COLUMN('Round 1'!$H$7),0)),0,VLOOKUP($A140,'Round 1'!$A$7:$I$206,COLUMN('Round 1'!$H$7),0))+IF(ISERROR(VLOOKUP($A140,'Round 2'!$A$7:$I$206,COLUMN('Round 2'!$H$7),0)),0,VLOOKUP($A140,'Round 2'!$A$7:$I$206,COLUMN('Round 2'!$H$7),0))+IF(ISERROR(VLOOKUP($A140,'Round 3'!$A$7:$I$206,COLUMN('Round 3'!$H$7),0)),0,VLOOKUP($A140,'Round 3'!$A$7:$I$206,COLUMN('Round 3'!$H$7),0)))</f>
        <v/>
      </c>
      <c r="K140" s="116" t="str">
        <f t="shared" si="60"/>
        <v/>
      </c>
      <c r="L140" s="118" t="str">
        <f t="shared" si="61"/>
        <v/>
      </c>
      <c r="M140" s="119"/>
      <c r="N140" s="120" t="str">
        <f t="shared" si="62"/>
        <v/>
      </c>
      <c r="O140" s="36" t="str">
        <f t="shared" si="63"/>
        <v/>
      </c>
      <c r="P140" s="36" t="str">
        <f t="shared" si="64"/>
        <v/>
      </c>
      <c r="Q140" s="36">
        <f t="shared" si="65"/>
        <v>-10</v>
      </c>
      <c r="R140" s="36" t="str">
        <f t="shared" si="66"/>
        <v/>
      </c>
      <c r="S140" s="36" t="str">
        <f t="shared" si="67"/>
        <v/>
      </c>
      <c r="T140" s="36">
        <f t="shared" si="68"/>
        <v>0</v>
      </c>
      <c r="U140" s="120" t="str">
        <f ca="1">IF(N('Final Round'!$J$14)&gt;0,IF(ISBLANK($A140),"",IF($N140&gt;5,$N140,VLOOKUP($A140,'Final Round'!$A$14:$K$18,COLUMN('Final Round'!$J$1),0))),"")</f>
        <v/>
      </c>
      <c r="V140" s="36" t="str">
        <f t="shared" ca="1" si="69"/>
        <v/>
      </c>
      <c r="W140" s="36" t="str">
        <f t="shared" si="70"/>
        <v/>
      </c>
      <c r="X140" s="36" t="str">
        <f t="shared" si="71"/>
        <v/>
      </c>
      <c r="Y140" s="36">
        <f t="shared" si="72"/>
        <v>0</v>
      </c>
      <c r="Z140" s="36" t="str">
        <f t="shared" ca="1" si="73"/>
        <v/>
      </c>
      <c r="AA140" s="36">
        <f t="shared" ca="1" si="74"/>
        <v>0</v>
      </c>
      <c r="AB140" s="121" t="str">
        <f>IF(ISBLANK($A140),"",5+4*(I140+IF(AA140=0,0,VLOOKUP($A140,'Final Round'!$A$14:$K$18,COLUMN('Final Round'!$G$1),0)))+8*(H140+IF(AA140=0,0,IF(VLOOKUP($A140,'Final Round'!$A$14:$K$18,COLUMN('Final Round'!$J$1),0)=1,1,0)))+$AA140)</f>
        <v/>
      </c>
    </row>
    <row r="141" spans="1:28" x14ac:dyDescent="0.2">
      <c r="A141" s="137"/>
      <c r="B141" s="138"/>
      <c r="C141" s="138"/>
      <c r="D141" s="138"/>
      <c r="E141" s="139"/>
      <c r="F141" s="140" t="str">
        <f>IF(ISBLANK($A141),"",SUM(IF(ISNA(IF(VLOOKUP($A141,'Round 1'!$A$7:$J$206,COLUMN('Round 1'!$H$7),0),1,NA())),0,1),IF(ISNA(IF(VLOOKUP($A141,'Round 2'!$A$7:$J$206,COLUMN('Round 1'!$H$7),0),1,NA())),0,1),IF(ISNA(IF(VLOOKUP($A141,'Round 3'!$A$7:$J$206,COLUMN('Round 1'!$H$7),0),1,NA())),0,1),IF(ISNA(IF(VLOOKUP($A141,'Final Round'!$A$14:$K$18,1,0),1,NA())),0,1)))</f>
        <v/>
      </c>
      <c r="G141" s="141"/>
      <c r="H141" s="142" t="str">
        <f>IF(ISBLANK($A141),"",IF(ISERROR(VLOOKUP($A141,'Round 1'!$A$7:$I$206,COLUMN('Round 1'!$G$7),0)),0,VLOOKUP($A141,'Round 1'!$A$7:$I$206,COLUMN('Round 1'!$G$7),0))+IF(ISERROR(VLOOKUP($A141,'Round 2'!$A$7:$I$206,COLUMN('Round 2'!$G$7),0)),0,VLOOKUP($A141,'Round 2'!$A$7:$I$206,COLUMN('Round 2'!$G$7),0))+IF(ISERROR(VLOOKUP($A141,'Round 3'!$A$7:$I$206,COLUMN('Round 3'!$G$7),0)),0,VLOOKUP($A141,'Round 3'!$A$7:$I$206,COLUMN('Round 3'!$G$7),0)))</f>
        <v/>
      </c>
      <c r="I141" s="142" t="str">
        <f>IF(ISBLANK($A141),"",IF(ISERROR(VLOOKUP($A141,'Round 1'!$A$7:$I$206,COLUMN('Round 1'!$F$7),0)),0,VLOOKUP($A141,'Round 1'!$A$7:$I$206,COLUMN('Round 1'!$F$7),0))+IF(ISERROR(VLOOKUP($A141,'Round 2'!$A$7:$I$206,COLUMN('Round 2'!$F$7),0)),0,VLOOKUP($A141,'Round 2'!$A$7:$I$206,COLUMN('Round 2'!$F$7),0))+IF(ISERROR(VLOOKUP($A141,'Round 3'!$A$7:$I$206,COLUMN('Round 3'!$F$7),0)),0,VLOOKUP($A141,'Round 3'!$A$7:$I$206,COLUMN('Round 3'!$F$7),0)))</f>
        <v/>
      </c>
      <c r="J141" s="143" t="str">
        <f>IF(ISBLANK($A141),"",IF(ISERROR(VLOOKUP($A141,'Round 1'!$A$7:$I$206,COLUMN('Round 1'!$H$7),0)),0,VLOOKUP($A141,'Round 1'!$A$7:$I$206,COLUMN('Round 1'!$H$7),0))+IF(ISERROR(VLOOKUP($A141,'Round 2'!$A$7:$I$206,COLUMN('Round 2'!$H$7),0)),0,VLOOKUP($A141,'Round 2'!$A$7:$I$206,COLUMN('Round 2'!$H$7),0))+IF(ISERROR(VLOOKUP($A141,'Round 3'!$A$7:$I$206,COLUMN('Round 3'!$H$7),0)),0,VLOOKUP($A141,'Round 3'!$A$7:$I$206,COLUMN('Round 3'!$H$7),0)))</f>
        <v/>
      </c>
      <c r="K141" s="142" t="str">
        <f t="shared" si="60"/>
        <v/>
      </c>
      <c r="L141" s="144" t="str">
        <f t="shared" si="61"/>
        <v/>
      </c>
      <c r="M141" s="145"/>
      <c r="N141" s="146" t="str">
        <f t="shared" si="62"/>
        <v/>
      </c>
      <c r="O141" s="36" t="str">
        <f t="shared" si="63"/>
        <v/>
      </c>
      <c r="P141" s="36" t="str">
        <f t="shared" si="64"/>
        <v/>
      </c>
      <c r="Q141" s="36">
        <f t="shared" si="65"/>
        <v>-10</v>
      </c>
      <c r="R141" s="36" t="str">
        <f t="shared" si="66"/>
        <v/>
      </c>
      <c r="S141" s="36" t="str">
        <f t="shared" si="67"/>
        <v/>
      </c>
      <c r="T141" s="36">
        <f t="shared" si="68"/>
        <v>0</v>
      </c>
      <c r="U141" s="146" t="str">
        <f ca="1">IF(N('Final Round'!$J$14)&gt;0,IF(ISBLANK($A141),"",IF($N141&gt;5,$N141,VLOOKUP($A141,'Final Round'!$A$14:$K$18,COLUMN('Final Round'!$J$1),0))),"")</f>
        <v/>
      </c>
      <c r="V141" s="36" t="str">
        <f t="shared" ca="1" si="69"/>
        <v/>
      </c>
      <c r="W141" s="36" t="str">
        <f t="shared" si="70"/>
        <v/>
      </c>
      <c r="X141" s="36" t="str">
        <f t="shared" si="71"/>
        <v/>
      </c>
      <c r="Y141" s="36">
        <f t="shared" si="72"/>
        <v>0</v>
      </c>
      <c r="Z141" s="36" t="str">
        <f t="shared" ca="1" si="73"/>
        <v/>
      </c>
      <c r="AA141" s="36">
        <f t="shared" ca="1" si="74"/>
        <v>0</v>
      </c>
      <c r="AB141" s="147" t="str">
        <f>IF(ISBLANK($A141),"",5+4*(I141+IF(AA141=0,0,VLOOKUP($A141,'Final Round'!$A$14:$K$18,COLUMN('Final Round'!$G$1),0)))+8*(H141+IF(AA141=0,0,IF(VLOOKUP($A141,'Final Round'!$A$14:$K$18,COLUMN('Final Round'!$J$1),0)=1,1,0)))+$AA141)</f>
        <v/>
      </c>
    </row>
    <row r="142" spans="1:28" x14ac:dyDescent="0.2">
      <c r="A142" s="111"/>
      <c r="B142" s="112"/>
      <c r="C142" s="112"/>
      <c r="D142" s="112"/>
      <c r="E142" s="113"/>
      <c r="F142" s="114" t="str">
        <f>IF(ISBLANK($A142),"",SUM(IF(ISNA(IF(VLOOKUP($A142,'Round 1'!$A$7:$J$206,COLUMN('Round 1'!$H$7),0),1,NA())),0,1),IF(ISNA(IF(VLOOKUP($A142,'Round 2'!$A$7:$J$206,COLUMN('Round 1'!$H$7),0),1,NA())),0,1),IF(ISNA(IF(VLOOKUP($A142,'Round 3'!$A$7:$J$206,COLUMN('Round 1'!$H$7),0),1,NA())),0,1),IF(ISNA(IF(VLOOKUP($A142,'Final Round'!$A$14:$K$18,1,0),1,NA())),0,1)))</f>
        <v/>
      </c>
      <c r="G142" s="115"/>
      <c r="H142" s="116" t="str">
        <f>IF(ISBLANK($A142),"",IF(ISERROR(VLOOKUP($A142,'Round 1'!$A$7:$I$206,COLUMN('Round 1'!$G$7),0)),0,VLOOKUP($A142,'Round 1'!$A$7:$I$206,COLUMN('Round 1'!$G$7),0))+IF(ISERROR(VLOOKUP($A142,'Round 2'!$A$7:$I$206,COLUMN('Round 2'!$G$7),0)),0,VLOOKUP($A142,'Round 2'!$A$7:$I$206,COLUMN('Round 2'!$G$7),0))+IF(ISERROR(VLOOKUP($A142,'Round 3'!$A$7:$I$206,COLUMN('Round 3'!$G$7),0)),0,VLOOKUP($A142,'Round 3'!$A$7:$I$206,COLUMN('Round 3'!$G$7),0)))</f>
        <v/>
      </c>
      <c r="I142" s="116" t="str">
        <f>IF(ISBLANK($A142),"",IF(ISERROR(VLOOKUP($A142,'Round 1'!$A$7:$I$206,COLUMN('Round 1'!$F$7),0)),0,VLOOKUP($A142,'Round 1'!$A$7:$I$206,COLUMN('Round 1'!$F$7),0))+IF(ISERROR(VLOOKUP($A142,'Round 2'!$A$7:$I$206,COLUMN('Round 2'!$F$7),0)),0,VLOOKUP($A142,'Round 2'!$A$7:$I$206,COLUMN('Round 2'!$F$7),0))+IF(ISERROR(VLOOKUP($A142,'Round 3'!$A$7:$I$206,COLUMN('Round 3'!$F$7),0)),0,VLOOKUP($A142,'Round 3'!$A$7:$I$206,COLUMN('Round 3'!$F$7),0)))</f>
        <v/>
      </c>
      <c r="J142" s="117" t="str">
        <f>IF(ISBLANK($A142),"",IF(ISERROR(VLOOKUP($A142,'Round 1'!$A$7:$I$206,COLUMN('Round 1'!$H$7),0)),0,VLOOKUP($A142,'Round 1'!$A$7:$I$206,COLUMN('Round 1'!$H$7),0))+IF(ISERROR(VLOOKUP($A142,'Round 2'!$A$7:$I$206,COLUMN('Round 2'!$H$7),0)),0,VLOOKUP($A142,'Round 2'!$A$7:$I$206,COLUMN('Round 2'!$H$7),0))+IF(ISERROR(VLOOKUP($A142,'Round 3'!$A$7:$I$206,COLUMN('Round 3'!$H$7),0)),0,VLOOKUP($A142,'Round 3'!$A$7:$I$206,COLUMN('Round 3'!$H$7),0)))</f>
        <v/>
      </c>
      <c r="K142" s="116" t="str">
        <f t="shared" si="60"/>
        <v/>
      </c>
      <c r="L142" s="118" t="str">
        <f t="shared" si="61"/>
        <v/>
      </c>
      <c r="M142" s="119"/>
      <c r="N142" s="120" t="str">
        <f t="shared" si="62"/>
        <v/>
      </c>
      <c r="O142" s="36" t="str">
        <f t="shared" si="63"/>
        <v/>
      </c>
      <c r="P142" s="36" t="str">
        <f t="shared" si="64"/>
        <v/>
      </c>
      <c r="Q142" s="36">
        <f t="shared" si="65"/>
        <v>-10</v>
      </c>
      <c r="R142" s="36" t="str">
        <f t="shared" si="66"/>
        <v/>
      </c>
      <c r="S142" s="36" t="str">
        <f t="shared" si="67"/>
        <v/>
      </c>
      <c r="T142" s="36">
        <f t="shared" si="68"/>
        <v>0</v>
      </c>
      <c r="U142" s="120" t="str">
        <f ca="1">IF(N('Final Round'!$J$14)&gt;0,IF(ISBLANK($A142),"",IF($N142&gt;5,$N142,VLOOKUP($A142,'Final Round'!$A$14:$K$18,COLUMN('Final Round'!$J$1),0))),"")</f>
        <v/>
      </c>
      <c r="V142" s="36" t="str">
        <f t="shared" ca="1" si="69"/>
        <v/>
      </c>
      <c r="W142" s="36" t="str">
        <f t="shared" si="70"/>
        <v/>
      </c>
      <c r="X142" s="36" t="str">
        <f t="shared" si="71"/>
        <v/>
      </c>
      <c r="Y142" s="36">
        <f t="shared" si="72"/>
        <v>0</v>
      </c>
      <c r="Z142" s="36" t="str">
        <f t="shared" ca="1" si="73"/>
        <v/>
      </c>
      <c r="AA142" s="36">
        <f t="shared" ca="1" si="74"/>
        <v>0</v>
      </c>
      <c r="AB142" s="121" t="str">
        <f>IF(ISBLANK($A142),"",5+4*(I142+IF(AA142=0,0,VLOOKUP($A142,'Final Round'!$A$14:$K$18,COLUMN('Final Round'!$G$1),0)))+8*(H142+IF(AA142=0,0,IF(VLOOKUP($A142,'Final Round'!$A$14:$K$18,COLUMN('Final Round'!$J$1),0)=1,1,0)))+$AA142)</f>
        <v/>
      </c>
    </row>
    <row r="143" spans="1:28" x14ac:dyDescent="0.2">
      <c r="A143" s="137"/>
      <c r="B143" s="138"/>
      <c r="C143" s="138"/>
      <c r="D143" s="138"/>
      <c r="E143" s="139"/>
      <c r="F143" s="140" t="str">
        <f>IF(ISBLANK($A143),"",SUM(IF(ISNA(IF(VLOOKUP($A143,'Round 1'!$A$7:$J$206,COLUMN('Round 1'!$H$7),0),1,NA())),0,1),IF(ISNA(IF(VLOOKUP($A143,'Round 2'!$A$7:$J$206,COLUMN('Round 1'!$H$7),0),1,NA())),0,1),IF(ISNA(IF(VLOOKUP($A143,'Round 3'!$A$7:$J$206,COLUMN('Round 1'!$H$7),0),1,NA())),0,1),IF(ISNA(IF(VLOOKUP($A143,'Final Round'!$A$14:$K$18,1,0),1,NA())),0,1)))</f>
        <v/>
      </c>
      <c r="G143" s="141"/>
      <c r="H143" s="142" t="str">
        <f>IF(ISBLANK($A143),"",IF(ISERROR(VLOOKUP($A143,'Round 1'!$A$7:$I$206,COLUMN('Round 1'!$G$7),0)),0,VLOOKUP($A143,'Round 1'!$A$7:$I$206,COLUMN('Round 1'!$G$7),0))+IF(ISERROR(VLOOKUP($A143,'Round 2'!$A$7:$I$206,COLUMN('Round 2'!$G$7),0)),0,VLOOKUP($A143,'Round 2'!$A$7:$I$206,COLUMN('Round 2'!$G$7),0))+IF(ISERROR(VLOOKUP($A143,'Round 3'!$A$7:$I$206,COLUMN('Round 3'!$G$7),0)),0,VLOOKUP($A143,'Round 3'!$A$7:$I$206,COLUMN('Round 3'!$G$7),0)))</f>
        <v/>
      </c>
      <c r="I143" s="142" t="str">
        <f>IF(ISBLANK($A143),"",IF(ISERROR(VLOOKUP($A143,'Round 1'!$A$7:$I$206,COLUMN('Round 1'!$F$7),0)),0,VLOOKUP($A143,'Round 1'!$A$7:$I$206,COLUMN('Round 1'!$F$7),0))+IF(ISERROR(VLOOKUP($A143,'Round 2'!$A$7:$I$206,COLUMN('Round 2'!$F$7),0)),0,VLOOKUP($A143,'Round 2'!$A$7:$I$206,COLUMN('Round 2'!$F$7),0))+IF(ISERROR(VLOOKUP($A143,'Round 3'!$A$7:$I$206,COLUMN('Round 3'!$F$7),0)),0,VLOOKUP($A143,'Round 3'!$A$7:$I$206,COLUMN('Round 3'!$F$7),0)))</f>
        <v/>
      </c>
      <c r="J143" s="143" t="str">
        <f>IF(ISBLANK($A143),"",IF(ISERROR(VLOOKUP($A143,'Round 1'!$A$7:$I$206,COLUMN('Round 1'!$H$7),0)),0,VLOOKUP($A143,'Round 1'!$A$7:$I$206,COLUMN('Round 1'!$H$7),0))+IF(ISERROR(VLOOKUP($A143,'Round 2'!$A$7:$I$206,COLUMN('Round 2'!$H$7),0)),0,VLOOKUP($A143,'Round 2'!$A$7:$I$206,COLUMN('Round 2'!$H$7),0))+IF(ISERROR(VLOOKUP($A143,'Round 3'!$A$7:$I$206,COLUMN('Round 3'!$H$7),0)),0,VLOOKUP($A143,'Round 3'!$A$7:$I$206,COLUMN('Round 3'!$H$7),0)))</f>
        <v/>
      </c>
      <c r="K143" s="142" t="str">
        <f t="shared" si="60"/>
        <v/>
      </c>
      <c r="L143" s="144" t="str">
        <f t="shared" si="61"/>
        <v/>
      </c>
      <c r="M143" s="145"/>
      <c r="N143" s="146" t="str">
        <f t="shared" si="62"/>
        <v/>
      </c>
      <c r="O143" s="36" t="str">
        <f t="shared" si="63"/>
        <v/>
      </c>
      <c r="P143" s="36" t="str">
        <f t="shared" si="64"/>
        <v/>
      </c>
      <c r="Q143" s="36">
        <f t="shared" si="65"/>
        <v>-10</v>
      </c>
      <c r="R143" s="36" t="str">
        <f t="shared" si="66"/>
        <v/>
      </c>
      <c r="S143" s="36" t="str">
        <f t="shared" si="67"/>
        <v/>
      </c>
      <c r="T143" s="36">
        <f t="shared" si="68"/>
        <v>0</v>
      </c>
      <c r="U143" s="146" t="str">
        <f ca="1">IF(N('Final Round'!$J$14)&gt;0,IF(ISBLANK($A143),"",IF($N143&gt;5,$N143,VLOOKUP($A143,'Final Round'!$A$14:$K$18,COLUMN('Final Round'!$J$1),0))),"")</f>
        <v/>
      </c>
      <c r="V143" s="36" t="str">
        <f t="shared" ca="1" si="69"/>
        <v/>
      </c>
      <c r="W143" s="36" t="str">
        <f t="shared" si="70"/>
        <v/>
      </c>
      <c r="X143" s="36" t="str">
        <f t="shared" si="71"/>
        <v/>
      </c>
      <c r="Y143" s="36">
        <f t="shared" si="72"/>
        <v>0</v>
      </c>
      <c r="Z143" s="36" t="str">
        <f t="shared" ca="1" si="73"/>
        <v/>
      </c>
      <c r="AA143" s="36">
        <f t="shared" ca="1" si="74"/>
        <v>0</v>
      </c>
      <c r="AB143" s="147" t="str">
        <f>IF(ISBLANK($A143),"",5+4*(I143+IF(AA143=0,0,VLOOKUP($A143,'Final Round'!$A$14:$K$18,COLUMN('Final Round'!$G$1),0)))+8*(H143+IF(AA143=0,0,IF(VLOOKUP($A143,'Final Round'!$A$14:$K$18,COLUMN('Final Round'!$J$1),0)=1,1,0)))+$AA143)</f>
        <v/>
      </c>
    </row>
    <row r="144" spans="1:28" x14ac:dyDescent="0.2">
      <c r="A144" s="111"/>
      <c r="B144" s="112"/>
      <c r="C144" s="112"/>
      <c r="D144" s="112"/>
      <c r="E144" s="113"/>
      <c r="F144" s="114" t="str">
        <f>IF(ISBLANK($A144),"",SUM(IF(ISNA(IF(VLOOKUP($A144,'Round 1'!$A$7:$J$206,COLUMN('Round 1'!$H$7),0),1,NA())),0,1),IF(ISNA(IF(VLOOKUP($A144,'Round 2'!$A$7:$J$206,COLUMN('Round 1'!$H$7),0),1,NA())),0,1),IF(ISNA(IF(VLOOKUP($A144,'Round 3'!$A$7:$J$206,COLUMN('Round 1'!$H$7),0),1,NA())),0,1),IF(ISNA(IF(VLOOKUP($A144,'Final Round'!$A$14:$K$18,1,0),1,NA())),0,1)))</f>
        <v/>
      </c>
      <c r="G144" s="115"/>
      <c r="H144" s="116" t="str">
        <f>IF(ISBLANK($A144),"",IF(ISERROR(VLOOKUP($A144,'Round 1'!$A$7:$I$206,COLUMN('Round 1'!$G$7),0)),0,VLOOKUP($A144,'Round 1'!$A$7:$I$206,COLUMN('Round 1'!$G$7),0))+IF(ISERROR(VLOOKUP($A144,'Round 2'!$A$7:$I$206,COLUMN('Round 2'!$G$7),0)),0,VLOOKUP($A144,'Round 2'!$A$7:$I$206,COLUMN('Round 2'!$G$7),0))+IF(ISERROR(VLOOKUP($A144,'Round 3'!$A$7:$I$206,COLUMN('Round 3'!$G$7),0)),0,VLOOKUP($A144,'Round 3'!$A$7:$I$206,COLUMN('Round 3'!$G$7),0)))</f>
        <v/>
      </c>
      <c r="I144" s="116" t="str">
        <f>IF(ISBLANK($A144),"",IF(ISERROR(VLOOKUP($A144,'Round 1'!$A$7:$I$206,COLUMN('Round 1'!$F$7),0)),0,VLOOKUP($A144,'Round 1'!$A$7:$I$206,COLUMN('Round 1'!$F$7),0))+IF(ISERROR(VLOOKUP($A144,'Round 2'!$A$7:$I$206,COLUMN('Round 2'!$F$7),0)),0,VLOOKUP($A144,'Round 2'!$A$7:$I$206,COLUMN('Round 2'!$F$7),0))+IF(ISERROR(VLOOKUP($A144,'Round 3'!$A$7:$I$206,COLUMN('Round 3'!$F$7),0)),0,VLOOKUP($A144,'Round 3'!$A$7:$I$206,COLUMN('Round 3'!$F$7),0)))</f>
        <v/>
      </c>
      <c r="J144" s="117" t="str">
        <f>IF(ISBLANK($A144),"",IF(ISERROR(VLOOKUP($A144,'Round 1'!$A$7:$I$206,COLUMN('Round 1'!$H$7),0)),0,VLOOKUP($A144,'Round 1'!$A$7:$I$206,COLUMN('Round 1'!$H$7),0))+IF(ISERROR(VLOOKUP($A144,'Round 2'!$A$7:$I$206,COLUMN('Round 2'!$H$7),0)),0,VLOOKUP($A144,'Round 2'!$A$7:$I$206,COLUMN('Round 2'!$H$7),0))+IF(ISERROR(VLOOKUP($A144,'Round 3'!$A$7:$I$206,COLUMN('Round 3'!$H$7),0)),0,VLOOKUP($A144,'Round 3'!$A$7:$I$206,COLUMN('Round 3'!$H$7),0)))</f>
        <v/>
      </c>
      <c r="K144" s="116" t="str">
        <f t="shared" si="60"/>
        <v/>
      </c>
      <c r="L144" s="118" t="str">
        <f t="shared" si="61"/>
        <v/>
      </c>
      <c r="M144" s="119"/>
      <c r="N144" s="120" t="str">
        <f t="shared" si="62"/>
        <v/>
      </c>
      <c r="O144" s="36" t="str">
        <f t="shared" si="63"/>
        <v/>
      </c>
      <c r="P144" s="36" t="str">
        <f t="shared" si="64"/>
        <v/>
      </c>
      <c r="Q144" s="36">
        <f t="shared" si="65"/>
        <v>-10</v>
      </c>
      <c r="R144" s="36" t="str">
        <f t="shared" si="66"/>
        <v/>
      </c>
      <c r="S144" s="36" t="str">
        <f t="shared" si="67"/>
        <v/>
      </c>
      <c r="T144" s="36">
        <f t="shared" si="68"/>
        <v>0</v>
      </c>
      <c r="U144" s="120" t="str">
        <f ca="1">IF(N('Final Round'!$J$14)&gt;0,IF(ISBLANK($A144),"",IF($N144&gt;5,$N144,VLOOKUP($A144,'Final Round'!$A$14:$K$18,COLUMN('Final Round'!$J$1),0))),"")</f>
        <v/>
      </c>
      <c r="V144" s="36" t="str">
        <f t="shared" ca="1" si="69"/>
        <v/>
      </c>
      <c r="W144" s="36" t="str">
        <f t="shared" si="70"/>
        <v/>
      </c>
      <c r="X144" s="36" t="str">
        <f t="shared" si="71"/>
        <v/>
      </c>
      <c r="Y144" s="36">
        <f t="shared" si="72"/>
        <v>0</v>
      </c>
      <c r="Z144" s="36" t="str">
        <f t="shared" ca="1" si="73"/>
        <v/>
      </c>
      <c r="AA144" s="36">
        <f t="shared" ca="1" si="74"/>
        <v>0</v>
      </c>
      <c r="AB144" s="121" t="str">
        <f>IF(ISBLANK($A144),"",5+4*(I144+IF(AA144=0,0,VLOOKUP($A144,'Final Round'!$A$14:$K$18,COLUMN('Final Round'!$G$1),0)))+8*(H144+IF(AA144=0,0,IF(VLOOKUP($A144,'Final Round'!$A$14:$K$18,COLUMN('Final Round'!$J$1),0)=1,1,0)))+$AA144)</f>
        <v/>
      </c>
    </row>
    <row r="145" spans="1:28" x14ac:dyDescent="0.2">
      <c r="A145" s="137"/>
      <c r="B145" s="138"/>
      <c r="C145" s="138"/>
      <c r="D145" s="138"/>
      <c r="E145" s="139"/>
      <c r="F145" s="140" t="str">
        <f>IF(ISBLANK($A145),"",SUM(IF(ISNA(IF(VLOOKUP($A145,'Round 1'!$A$7:$J$206,COLUMN('Round 1'!$H$7),0),1,NA())),0,1),IF(ISNA(IF(VLOOKUP($A145,'Round 2'!$A$7:$J$206,COLUMN('Round 1'!$H$7),0),1,NA())),0,1),IF(ISNA(IF(VLOOKUP($A145,'Round 3'!$A$7:$J$206,COLUMN('Round 1'!$H$7),0),1,NA())),0,1),IF(ISNA(IF(VLOOKUP($A145,'Final Round'!$A$14:$K$18,1,0),1,NA())),0,1)))</f>
        <v/>
      </c>
      <c r="G145" s="141"/>
      <c r="H145" s="142" t="str">
        <f>IF(ISBLANK($A145),"",IF(ISERROR(VLOOKUP($A145,'Round 1'!$A$7:$I$206,COLUMN('Round 1'!$G$7),0)),0,VLOOKUP($A145,'Round 1'!$A$7:$I$206,COLUMN('Round 1'!$G$7),0))+IF(ISERROR(VLOOKUP($A145,'Round 2'!$A$7:$I$206,COLUMN('Round 2'!$G$7),0)),0,VLOOKUP($A145,'Round 2'!$A$7:$I$206,COLUMN('Round 2'!$G$7),0))+IF(ISERROR(VLOOKUP($A145,'Round 3'!$A$7:$I$206,COLUMN('Round 3'!$G$7),0)),0,VLOOKUP($A145,'Round 3'!$A$7:$I$206,COLUMN('Round 3'!$G$7),0)))</f>
        <v/>
      </c>
      <c r="I145" s="142" t="str">
        <f>IF(ISBLANK($A145),"",IF(ISERROR(VLOOKUP($A145,'Round 1'!$A$7:$I$206,COLUMN('Round 1'!$F$7),0)),0,VLOOKUP($A145,'Round 1'!$A$7:$I$206,COLUMN('Round 1'!$F$7),0))+IF(ISERROR(VLOOKUP($A145,'Round 2'!$A$7:$I$206,COLUMN('Round 2'!$F$7),0)),0,VLOOKUP($A145,'Round 2'!$A$7:$I$206,COLUMN('Round 2'!$F$7),0))+IF(ISERROR(VLOOKUP($A145,'Round 3'!$A$7:$I$206,COLUMN('Round 3'!$F$7),0)),0,VLOOKUP($A145,'Round 3'!$A$7:$I$206,COLUMN('Round 3'!$F$7),0)))</f>
        <v/>
      </c>
      <c r="J145" s="143" t="str">
        <f>IF(ISBLANK($A145),"",IF(ISERROR(VLOOKUP($A145,'Round 1'!$A$7:$I$206,COLUMN('Round 1'!$H$7),0)),0,VLOOKUP($A145,'Round 1'!$A$7:$I$206,COLUMN('Round 1'!$H$7),0))+IF(ISERROR(VLOOKUP($A145,'Round 2'!$A$7:$I$206,COLUMN('Round 2'!$H$7),0)),0,VLOOKUP($A145,'Round 2'!$A$7:$I$206,COLUMN('Round 2'!$H$7),0))+IF(ISERROR(VLOOKUP($A145,'Round 3'!$A$7:$I$206,COLUMN('Round 3'!$H$7),0)),0,VLOOKUP($A145,'Round 3'!$A$7:$I$206,COLUMN('Round 3'!$H$7),0)))</f>
        <v/>
      </c>
      <c r="K145" s="142" t="str">
        <f t="shared" si="60"/>
        <v/>
      </c>
      <c r="L145" s="144" t="str">
        <f t="shared" si="61"/>
        <v/>
      </c>
      <c r="M145" s="145"/>
      <c r="N145" s="146" t="str">
        <f t="shared" si="62"/>
        <v/>
      </c>
      <c r="O145" s="36" t="str">
        <f t="shared" si="63"/>
        <v/>
      </c>
      <c r="P145" s="36" t="str">
        <f t="shared" si="64"/>
        <v/>
      </c>
      <c r="Q145" s="36">
        <f t="shared" si="65"/>
        <v>-10</v>
      </c>
      <c r="R145" s="36" t="str">
        <f t="shared" si="66"/>
        <v/>
      </c>
      <c r="S145" s="36" t="str">
        <f t="shared" si="67"/>
        <v/>
      </c>
      <c r="T145" s="36">
        <f t="shared" si="68"/>
        <v>0</v>
      </c>
      <c r="U145" s="146" t="str">
        <f ca="1">IF(N('Final Round'!$J$14)&gt;0,IF(ISBLANK($A145),"",IF($N145&gt;5,$N145,VLOOKUP($A145,'Final Round'!$A$14:$K$18,COLUMN('Final Round'!$J$1),0))),"")</f>
        <v/>
      </c>
      <c r="V145" s="36" t="str">
        <f t="shared" ca="1" si="69"/>
        <v/>
      </c>
      <c r="W145" s="36" t="str">
        <f t="shared" si="70"/>
        <v/>
      </c>
      <c r="X145" s="36" t="str">
        <f t="shared" si="71"/>
        <v/>
      </c>
      <c r="Y145" s="36">
        <f t="shared" si="72"/>
        <v>0</v>
      </c>
      <c r="Z145" s="36" t="str">
        <f t="shared" ca="1" si="73"/>
        <v/>
      </c>
      <c r="AA145" s="36">
        <f t="shared" ca="1" si="74"/>
        <v>0</v>
      </c>
      <c r="AB145" s="147" t="str">
        <f>IF(ISBLANK($A145),"",5+4*(I145+IF(AA145=0,0,VLOOKUP($A145,'Final Round'!$A$14:$K$18,COLUMN('Final Round'!$G$1),0)))+8*(H145+IF(AA145=0,0,IF(VLOOKUP($A145,'Final Round'!$A$14:$K$18,COLUMN('Final Round'!$J$1),0)=1,1,0)))+$AA145)</f>
        <v/>
      </c>
    </row>
    <row r="146" spans="1:28" x14ac:dyDescent="0.2">
      <c r="A146" s="111"/>
      <c r="B146" s="112"/>
      <c r="C146" s="112"/>
      <c r="D146" s="112"/>
      <c r="E146" s="113"/>
      <c r="F146" s="114" t="str">
        <f>IF(ISBLANK($A146),"",SUM(IF(ISNA(IF(VLOOKUP($A146,'Round 1'!$A$7:$J$206,COLUMN('Round 1'!$H$7),0),1,NA())),0,1),IF(ISNA(IF(VLOOKUP($A146,'Round 2'!$A$7:$J$206,COLUMN('Round 1'!$H$7),0),1,NA())),0,1),IF(ISNA(IF(VLOOKUP($A146,'Round 3'!$A$7:$J$206,COLUMN('Round 1'!$H$7),0),1,NA())),0,1),IF(ISNA(IF(VLOOKUP($A146,'Final Round'!$A$14:$K$18,1,0),1,NA())),0,1)))</f>
        <v/>
      </c>
      <c r="G146" s="115"/>
      <c r="H146" s="116" t="str">
        <f>IF(ISBLANK($A146),"",IF(ISERROR(VLOOKUP($A146,'Round 1'!$A$7:$I$206,COLUMN('Round 1'!$G$7),0)),0,VLOOKUP($A146,'Round 1'!$A$7:$I$206,COLUMN('Round 1'!$G$7),0))+IF(ISERROR(VLOOKUP($A146,'Round 2'!$A$7:$I$206,COLUMN('Round 2'!$G$7),0)),0,VLOOKUP($A146,'Round 2'!$A$7:$I$206,COLUMN('Round 2'!$G$7),0))+IF(ISERROR(VLOOKUP($A146,'Round 3'!$A$7:$I$206,COLUMN('Round 3'!$G$7),0)),0,VLOOKUP($A146,'Round 3'!$A$7:$I$206,COLUMN('Round 3'!$G$7),0)))</f>
        <v/>
      </c>
      <c r="I146" s="116" t="str">
        <f>IF(ISBLANK($A146),"",IF(ISERROR(VLOOKUP($A146,'Round 1'!$A$7:$I$206,COLUMN('Round 1'!$F$7),0)),0,VLOOKUP($A146,'Round 1'!$A$7:$I$206,COLUMN('Round 1'!$F$7),0))+IF(ISERROR(VLOOKUP($A146,'Round 2'!$A$7:$I$206,COLUMN('Round 2'!$F$7),0)),0,VLOOKUP($A146,'Round 2'!$A$7:$I$206,COLUMN('Round 2'!$F$7),0))+IF(ISERROR(VLOOKUP($A146,'Round 3'!$A$7:$I$206,COLUMN('Round 3'!$F$7),0)),0,VLOOKUP($A146,'Round 3'!$A$7:$I$206,COLUMN('Round 3'!$F$7),0)))</f>
        <v/>
      </c>
      <c r="J146" s="117" t="str">
        <f>IF(ISBLANK($A146),"",IF(ISERROR(VLOOKUP($A146,'Round 1'!$A$7:$I$206,COLUMN('Round 1'!$H$7),0)),0,VLOOKUP($A146,'Round 1'!$A$7:$I$206,COLUMN('Round 1'!$H$7),0))+IF(ISERROR(VLOOKUP($A146,'Round 2'!$A$7:$I$206,COLUMN('Round 2'!$H$7),0)),0,VLOOKUP($A146,'Round 2'!$A$7:$I$206,COLUMN('Round 2'!$H$7),0))+IF(ISERROR(VLOOKUP($A146,'Round 3'!$A$7:$I$206,COLUMN('Round 3'!$H$7),0)),0,VLOOKUP($A146,'Round 3'!$A$7:$I$206,COLUMN('Round 3'!$H$7),0)))</f>
        <v/>
      </c>
      <c r="K146" s="116" t="str">
        <f t="shared" si="60"/>
        <v/>
      </c>
      <c r="L146" s="118" t="str">
        <f t="shared" si="61"/>
        <v/>
      </c>
      <c r="M146" s="119"/>
      <c r="N146" s="120" t="str">
        <f t="shared" si="62"/>
        <v/>
      </c>
      <c r="O146" s="36" t="str">
        <f t="shared" si="63"/>
        <v/>
      </c>
      <c r="P146" s="36" t="str">
        <f t="shared" si="64"/>
        <v/>
      </c>
      <c r="Q146" s="36">
        <f t="shared" si="65"/>
        <v>-10</v>
      </c>
      <c r="R146" s="36" t="str">
        <f t="shared" si="66"/>
        <v/>
      </c>
      <c r="S146" s="36" t="str">
        <f t="shared" si="67"/>
        <v/>
      </c>
      <c r="T146" s="36">
        <f t="shared" si="68"/>
        <v>0</v>
      </c>
      <c r="U146" s="120" t="str">
        <f ca="1">IF(N('Final Round'!$J$14)&gt;0,IF(ISBLANK($A146),"",IF($N146&gt;5,$N146,VLOOKUP($A146,'Final Round'!$A$14:$K$18,COLUMN('Final Round'!$J$1),0))),"")</f>
        <v/>
      </c>
      <c r="V146" s="36" t="str">
        <f t="shared" ca="1" si="69"/>
        <v/>
      </c>
      <c r="W146" s="36" t="str">
        <f t="shared" si="70"/>
        <v/>
      </c>
      <c r="X146" s="36" t="str">
        <f t="shared" si="71"/>
        <v/>
      </c>
      <c r="Y146" s="36">
        <f t="shared" si="72"/>
        <v>0</v>
      </c>
      <c r="Z146" s="36" t="str">
        <f t="shared" ca="1" si="73"/>
        <v/>
      </c>
      <c r="AA146" s="36">
        <f t="shared" ca="1" si="74"/>
        <v>0</v>
      </c>
      <c r="AB146" s="121" t="str">
        <f>IF(ISBLANK($A146),"",5+4*(I146+IF(AA146=0,0,VLOOKUP($A146,'Final Round'!$A$14:$K$18,COLUMN('Final Round'!$G$1),0)))+8*(H146+IF(AA146=0,0,IF(VLOOKUP($A146,'Final Round'!$A$14:$K$18,COLUMN('Final Round'!$J$1),0)=1,1,0)))+$AA146)</f>
        <v/>
      </c>
    </row>
    <row r="147" spans="1:28" x14ac:dyDescent="0.2">
      <c r="A147" s="137"/>
      <c r="B147" s="138"/>
      <c r="C147" s="138"/>
      <c r="D147" s="138"/>
      <c r="E147" s="139"/>
      <c r="F147" s="140" t="str">
        <f>IF(ISBLANK($A147),"",SUM(IF(ISNA(IF(VLOOKUP($A147,'Round 1'!$A$7:$J$206,COLUMN('Round 1'!$H$7),0),1,NA())),0,1),IF(ISNA(IF(VLOOKUP($A147,'Round 2'!$A$7:$J$206,COLUMN('Round 1'!$H$7),0),1,NA())),0,1),IF(ISNA(IF(VLOOKUP($A147,'Round 3'!$A$7:$J$206,COLUMN('Round 1'!$H$7),0),1,NA())),0,1),IF(ISNA(IF(VLOOKUP($A147,'Final Round'!$A$14:$K$18,1,0),1,NA())),0,1)))</f>
        <v/>
      </c>
      <c r="G147" s="141"/>
      <c r="H147" s="142" t="str">
        <f>IF(ISBLANK($A147),"",IF(ISERROR(VLOOKUP($A147,'Round 1'!$A$7:$I$206,COLUMN('Round 1'!$G$7),0)),0,VLOOKUP($A147,'Round 1'!$A$7:$I$206,COLUMN('Round 1'!$G$7),0))+IF(ISERROR(VLOOKUP($A147,'Round 2'!$A$7:$I$206,COLUMN('Round 2'!$G$7),0)),0,VLOOKUP($A147,'Round 2'!$A$7:$I$206,COLUMN('Round 2'!$G$7),0))+IF(ISERROR(VLOOKUP($A147,'Round 3'!$A$7:$I$206,COLUMN('Round 3'!$G$7),0)),0,VLOOKUP($A147,'Round 3'!$A$7:$I$206,COLUMN('Round 3'!$G$7),0)))</f>
        <v/>
      </c>
      <c r="I147" s="142" t="str">
        <f>IF(ISBLANK($A147),"",IF(ISERROR(VLOOKUP($A147,'Round 1'!$A$7:$I$206,COLUMN('Round 1'!$F$7),0)),0,VLOOKUP($A147,'Round 1'!$A$7:$I$206,COLUMN('Round 1'!$F$7),0))+IF(ISERROR(VLOOKUP($A147,'Round 2'!$A$7:$I$206,COLUMN('Round 2'!$F$7),0)),0,VLOOKUP($A147,'Round 2'!$A$7:$I$206,COLUMN('Round 2'!$F$7),0))+IF(ISERROR(VLOOKUP($A147,'Round 3'!$A$7:$I$206,COLUMN('Round 3'!$F$7),0)),0,VLOOKUP($A147,'Round 3'!$A$7:$I$206,COLUMN('Round 3'!$F$7),0)))</f>
        <v/>
      </c>
      <c r="J147" s="143" t="str">
        <f>IF(ISBLANK($A147),"",IF(ISERROR(VLOOKUP($A147,'Round 1'!$A$7:$I$206,COLUMN('Round 1'!$H$7),0)),0,VLOOKUP($A147,'Round 1'!$A$7:$I$206,COLUMN('Round 1'!$H$7),0))+IF(ISERROR(VLOOKUP($A147,'Round 2'!$A$7:$I$206,COLUMN('Round 2'!$H$7),0)),0,VLOOKUP($A147,'Round 2'!$A$7:$I$206,COLUMN('Round 2'!$H$7),0))+IF(ISERROR(VLOOKUP($A147,'Round 3'!$A$7:$I$206,COLUMN('Round 3'!$H$7),0)),0,VLOOKUP($A147,'Round 3'!$A$7:$I$206,COLUMN('Round 3'!$H$7),0)))</f>
        <v/>
      </c>
      <c r="K147" s="142" t="str">
        <f t="shared" si="60"/>
        <v/>
      </c>
      <c r="L147" s="144" t="str">
        <f t="shared" si="61"/>
        <v/>
      </c>
      <c r="M147" s="145"/>
      <c r="N147" s="146" t="str">
        <f t="shared" si="62"/>
        <v/>
      </c>
      <c r="O147" s="36" t="str">
        <f t="shared" si="63"/>
        <v/>
      </c>
      <c r="P147" s="36" t="str">
        <f t="shared" si="64"/>
        <v/>
      </c>
      <c r="Q147" s="36">
        <f t="shared" si="65"/>
        <v>-10</v>
      </c>
      <c r="R147" s="36" t="str">
        <f t="shared" si="66"/>
        <v/>
      </c>
      <c r="S147" s="36" t="str">
        <f t="shared" si="67"/>
        <v/>
      </c>
      <c r="T147" s="36">
        <f t="shared" si="68"/>
        <v>0</v>
      </c>
      <c r="U147" s="146" t="str">
        <f ca="1">IF(N('Final Round'!$J$14)&gt;0,IF(ISBLANK($A147),"",IF($N147&gt;5,$N147,VLOOKUP($A147,'Final Round'!$A$14:$K$18,COLUMN('Final Round'!$J$1),0))),"")</f>
        <v/>
      </c>
      <c r="V147" s="36" t="str">
        <f t="shared" ca="1" si="69"/>
        <v/>
      </c>
      <c r="W147" s="36" t="str">
        <f t="shared" si="70"/>
        <v/>
      </c>
      <c r="X147" s="36" t="str">
        <f t="shared" si="71"/>
        <v/>
      </c>
      <c r="Y147" s="36">
        <f t="shared" si="72"/>
        <v>0</v>
      </c>
      <c r="Z147" s="36" t="str">
        <f t="shared" ca="1" si="73"/>
        <v/>
      </c>
      <c r="AA147" s="36">
        <f t="shared" ca="1" si="74"/>
        <v>0</v>
      </c>
      <c r="AB147" s="147" t="str">
        <f>IF(ISBLANK($A147),"",5+4*(I147+IF(AA147=0,0,VLOOKUP($A147,'Final Round'!$A$14:$K$18,COLUMN('Final Round'!$G$1),0)))+8*(H147+IF(AA147=0,0,IF(VLOOKUP($A147,'Final Round'!$A$14:$K$18,COLUMN('Final Round'!$J$1),0)=1,1,0)))+$AA147)</f>
        <v/>
      </c>
    </row>
    <row r="148" spans="1:28" x14ac:dyDescent="0.2">
      <c r="A148" s="111"/>
      <c r="B148" s="112"/>
      <c r="C148" s="112"/>
      <c r="D148" s="112"/>
      <c r="E148" s="113"/>
      <c r="F148" s="114" t="str">
        <f>IF(ISBLANK($A148),"",SUM(IF(ISNA(IF(VLOOKUP($A148,'Round 1'!$A$7:$J$206,COLUMN('Round 1'!$H$7),0),1,NA())),0,1),IF(ISNA(IF(VLOOKUP($A148,'Round 2'!$A$7:$J$206,COLUMN('Round 1'!$H$7),0),1,NA())),0,1),IF(ISNA(IF(VLOOKUP($A148,'Round 3'!$A$7:$J$206,COLUMN('Round 1'!$H$7),0),1,NA())),0,1),IF(ISNA(IF(VLOOKUP($A148,'Final Round'!$A$14:$K$18,1,0),1,NA())),0,1)))</f>
        <v/>
      </c>
      <c r="G148" s="115"/>
      <c r="H148" s="116" t="str">
        <f>IF(ISBLANK($A148),"",IF(ISERROR(VLOOKUP($A148,'Round 1'!$A$7:$I$206,COLUMN('Round 1'!$G$7),0)),0,VLOOKUP($A148,'Round 1'!$A$7:$I$206,COLUMN('Round 1'!$G$7),0))+IF(ISERROR(VLOOKUP($A148,'Round 2'!$A$7:$I$206,COLUMN('Round 2'!$G$7),0)),0,VLOOKUP($A148,'Round 2'!$A$7:$I$206,COLUMN('Round 2'!$G$7),0))+IF(ISERROR(VLOOKUP($A148,'Round 3'!$A$7:$I$206,COLUMN('Round 3'!$G$7),0)),0,VLOOKUP($A148,'Round 3'!$A$7:$I$206,COLUMN('Round 3'!$G$7),0)))</f>
        <v/>
      </c>
      <c r="I148" s="116" t="str">
        <f>IF(ISBLANK($A148),"",IF(ISERROR(VLOOKUP($A148,'Round 1'!$A$7:$I$206,COLUMN('Round 1'!$F$7),0)),0,VLOOKUP($A148,'Round 1'!$A$7:$I$206,COLUMN('Round 1'!$F$7),0))+IF(ISERROR(VLOOKUP($A148,'Round 2'!$A$7:$I$206,COLUMN('Round 2'!$F$7),0)),0,VLOOKUP($A148,'Round 2'!$A$7:$I$206,COLUMN('Round 2'!$F$7),0))+IF(ISERROR(VLOOKUP($A148,'Round 3'!$A$7:$I$206,COLUMN('Round 3'!$F$7),0)),0,VLOOKUP($A148,'Round 3'!$A$7:$I$206,COLUMN('Round 3'!$F$7),0)))</f>
        <v/>
      </c>
      <c r="J148" s="117" t="str">
        <f>IF(ISBLANK($A148),"",IF(ISERROR(VLOOKUP($A148,'Round 1'!$A$7:$I$206,COLUMN('Round 1'!$H$7),0)),0,VLOOKUP($A148,'Round 1'!$A$7:$I$206,COLUMN('Round 1'!$H$7),0))+IF(ISERROR(VLOOKUP($A148,'Round 2'!$A$7:$I$206,COLUMN('Round 2'!$H$7),0)),0,VLOOKUP($A148,'Round 2'!$A$7:$I$206,COLUMN('Round 2'!$H$7),0))+IF(ISERROR(VLOOKUP($A148,'Round 3'!$A$7:$I$206,COLUMN('Round 3'!$H$7),0)),0,VLOOKUP($A148,'Round 3'!$A$7:$I$206,COLUMN('Round 3'!$H$7),0)))</f>
        <v/>
      </c>
      <c r="K148" s="116" t="str">
        <f t="shared" si="60"/>
        <v/>
      </c>
      <c r="L148" s="118" t="str">
        <f t="shared" si="61"/>
        <v/>
      </c>
      <c r="M148" s="119"/>
      <c r="N148" s="120" t="str">
        <f t="shared" si="62"/>
        <v/>
      </c>
      <c r="O148" s="36" t="str">
        <f t="shared" si="63"/>
        <v/>
      </c>
      <c r="P148" s="36" t="str">
        <f t="shared" si="64"/>
        <v/>
      </c>
      <c r="Q148" s="36">
        <f t="shared" si="65"/>
        <v>-10</v>
      </c>
      <c r="R148" s="36" t="str">
        <f t="shared" si="66"/>
        <v/>
      </c>
      <c r="S148" s="36" t="str">
        <f t="shared" si="67"/>
        <v/>
      </c>
      <c r="T148" s="36">
        <f t="shared" si="68"/>
        <v>0</v>
      </c>
      <c r="U148" s="120" t="str">
        <f ca="1">IF(N('Final Round'!$J$14)&gt;0,IF(ISBLANK($A148),"",IF($N148&gt;5,$N148,VLOOKUP($A148,'Final Round'!$A$14:$K$18,COLUMN('Final Round'!$J$1),0))),"")</f>
        <v/>
      </c>
      <c r="V148" s="36" t="str">
        <f t="shared" ca="1" si="69"/>
        <v/>
      </c>
      <c r="W148" s="36" t="str">
        <f t="shared" si="70"/>
        <v/>
      </c>
      <c r="X148" s="36" t="str">
        <f t="shared" si="71"/>
        <v/>
      </c>
      <c r="Y148" s="36">
        <f t="shared" si="72"/>
        <v>0</v>
      </c>
      <c r="Z148" s="36" t="str">
        <f t="shared" ca="1" si="73"/>
        <v/>
      </c>
      <c r="AA148" s="36">
        <f t="shared" ca="1" si="74"/>
        <v>0</v>
      </c>
      <c r="AB148" s="121" t="str">
        <f>IF(ISBLANK($A148),"",5+4*(I148+IF(AA148=0,0,VLOOKUP($A148,'Final Round'!$A$14:$K$18,COLUMN('Final Round'!$G$1),0)))+8*(H148+IF(AA148=0,0,IF(VLOOKUP($A148,'Final Round'!$A$14:$K$18,COLUMN('Final Round'!$J$1),0)=1,1,0)))+$AA148)</f>
        <v/>
      </c>
    </row>
    <row r="149" spans="1:28" x14ac:dyDescent="0.2">
      <c r="A149" s="137"/>
      <c r="B149" s="138"/>
      <c r="C149" s="138"/>
      <c r="D149" s="138"/>
      <c r="E149" s="139"/>
      <c r="F149" s="140" t="str">
        <f>IF(ISBLANK($A149),"",SUM(IF(ISNA(IF(VLOOKUP($A149,'Round 1'!$A$7:$J$206,COLUMN('Round 1'!$H$7),0),1,NA())),0,1),IF(ISNA(IF(VLOOKUP($A149,'Round 2'!$A$7:$J$206,COLUMN('Round 1'!$H$7),0),1,NA())),0,1),IF(ISNA(IF(VLOOKUP($A149,'Round 3'!$A$7:$J$206,COLUMN('Round 1'!$H$7),0),1,NA())),0,1),IF(ISNA(IF(VLOOKUP($A149,'Final Round'!$A$14:$K$18,1,0),1,NA())),0,1)))</f>
        <v/>
      </c>
      <c r="G149" s="141"/>
      <c r="H149" s="142" t="str">
        <f>IF(ISBLANK($A149),"",IF(ISERROR(VLOOKUP($A149,'Round 1'!$A$7:$I$206,COLUMN('Round 1'!$G$7),0)),0,VLOOKUP($A149,'Round 1'!$A$7:$I$206,COLUMN('Round 1'!$G$7),0))+IF(ISERROR(VLOOKUP($A149,'Round 2'!$A$7:$I$206,COLUMN('Round 2'!$G$7),0)),0,VLOOKUP($A149,'Round 2'!$A$7:$I$206,COLUMN('Round 2'!$G$7),0))+IF(ISERROR(VLOOKUP($A149,'Round 3'!$A$7:$I$206,COLUMN('Round 3'!$G$7),0)),0,VLOOKUP($A149,'Round 3'!$A$7:$I$206,COLUMN('Round 3'!$G$7),0)))</f>
        <v/>
      </c>
      <c r="I149" s="142" t="str">
        <f>IF(ISBLANK($A149),"",IF(ISERROR(VLOOKUP($A149,'Round 1'!$A$7:$I$206,COLUMN('Round 1'!$F$7),0)),0,VLOOKUP($A149,'Round 1'!$A$7:$I$206,COLUMN('Round 1'!$F$7),0))+IF(ISERROR(VLOOKUP($A149,'Round 2'!$A$7:$I$206,COLUMN('Round 2'!$F$7),0)),0,VLOOKUP($A149,'Round 2'!$A$7:$I$206,COLUMN('Round 2'!$F$7),0))+IF(ISERROR(VLOOKUP($A149,'Round 3'!$A$7:$I$206,COLUMN('Round 3'!$F$7),0)),0,VLOOKUP($A149,'Round 3'!$A$7:$I$206,COLUMN('Round 3'!$F$7),0)))</f>
        <v/>
      </c>
      <c r="J149" s="143" t="str">
        <f>IF(ISBLANK($A149),"",IF(ISERROR(VLOOKUP($A149,'Round 1'!$A$7:$I$206,COLUMN('Round 1'!$H$7),0)),0,VLOOKUP($A149,'Round 1'!$A$7:$I$206,COLUMN('Round 1'!$H$7),0))+IF(ISERROR(VLOOKUP($A149,'Round 2'!$A$7:$I$206,COLUMN('Round 2'!$H$7),0)),0,VLOOKUP($A149,'Round 2'!$A$7:$I$206,COLUMN('Round 2'!$H$7),0))+IF(ISERROR(VLOOKUP($A149,'Round 3'!$A$7:$I$206,COLUMN('Round 3'!$H$7),0)),0,VLOOKUP($A149,'Round 3'!$A$7:$I$206,COLUMN('Round 3'!$H$7),0)))</f>
        <v/>
      </c>
      <c r="K149" s="142" t="str">
        <f t="shared" si="60"/>
        <v/>
      </c>
      <c r="L149" s="144" t="str">
        <f t="shared" si="61"/>
        <v/>
      </c>
      <c r="M149" s="145"/>
      <c r="N149" s="146" t="str">
        <f t="shared" si="62"/>
        <v/>
      </c>
      <c r="O149" s="36" t="str">
        <f t="shared" si="63"/>
        <v/>
      </c>
      <c r="P149" s="36" t="str">
        <f t="shared" si="64"/>
        <v/>
      </c>
      <c r="Q149" s="36">
        <f t="shared" si="65"/>
        <v>-10</v>
      </c>
      <c r="R149" s="36" t="str">
        <f t="shared" si="66"/>
        <v/>
      </c>
      <c r="S149" s="36" t="str">
        <f t="shared" si="67"/>
        <v/>
      </c>
      <c r="T149" s="36">
        <f t="shared" si="68"/>
        <v>0</v>
      </c>
      <c r="U149" s="146" t="str">
        <f ca="1">IF(N('Final Round'!$J$14)&gt;0,IF(ISBLANK($A149),"",IF($N149&gt;5,$N149,VLOOKUP($A149,'Final Round'!$A$14:$K$18,COLUMN('Final Round'!$J$1),0))),"")</f>
        <v/>
      </c>
      <c r="V149" s="36" t="str">
        <f t="shared" ca="1" si="69"/>
        <v/>
      </c>
      <c r="W149" s="36" t="str">
        <f t="shared" si="70"/>
        <v/>
      </c>
      <c r="X149" s="36" t="str">
        <f t="shared" si="71"/>
        <v/>
      </c>
      <c r="Y149" s="36">
        <f t="shared" si="72"/>
        <v>0</v>
      </c>
      <c r="Z149" s="36" t="str">
        <f t="shared" ca="1" si="73"/>
        <v/>
      </c>
      <c r="AA149" s="36">
        <f t="shared" ca="1" si="74"/>
        <v>0</v>
      </c>
      <c r="AB149" s="147" t="str">
        <f>IF(ISBLANK($A149),"",5+4*(I149+IF(AA149=0,0,VLOOKUP($A149,'Final Round'!$A$14:$K$18,COLUMN('Final Round'!$G$1),0)))+8*(H149+IF(AA149=0,0,IF(VLOOKUP($A149,'Final Round'!$A$14:$K$18,COLUMN('Final Round'!$J$1),0)=1,1,0)))+$AA149)</f>
        <v/>
      </c>
    </row>
    <row r="150" spans="1:28" x14ac:dyDescent="0.2">
      <c r="A150" s="111"/>
      <c r="B150" s="112"/>
      <c r="C150" s="112"/>
      <c r="D150" s="112"/>
      <c r="E150" s="113"/>
      <c r="F150" s="114" t="str">
        <f>IF(ISBLANK($A150),"",SUM(IF(ISNA(IF(VLOOKUP($A150,'Round 1'!$A$7:$J$206,COLUMN('Round 1'!$H$7),0),1,NA())),0,1),IF(ISNA(IF(VLOOKUP($A150,'Round 2'!$A$7:$J$206,COLUMN('Round 1'!$H$7),0),1,NA())),0,1),IF(ISNA(IF(VLOOKUP($A150,'Round 3'!$A$7:$J$206,COLUMN('Round 1'!$H$7),0),1,NA())),0,1),IF(ISNA(IF(VLOOKUP($A150,'Final Round'!$A$14:$K$18,1,0),1,NA())),0,1)))</f>
        <v/>
      </c>
      <c r="G150" s="115"/>
      <c r="H150" s="116" t="str">
        <f>IF(ISBLANK($A150),"",IF(ISERROR(VLOOKUP($A150,'Round 1'!$A$7:$I$206,COLUMN('Round 1'!$G$7),0)),0,VLOOKUP($A150,'Round 1'!$A$7:$I$206,COLUMN('Round 1'!$G$7),0))+IF(ISERROR(VLOOKUP($A150,'Round 2'!$A$7:$I$206,COLUMN('Round 2'!$G$7),0)),0,VLOOKUP($A150,'Round 2'!$A$7:$I$206,COLUMN('Round 2'!$G$7),0))+IF(ISERROR(VLOOKUP($A150,'Round 3'!$A$7:$I$206,COLUMN('Round 3'!$G$7),0)),0,VLOOKUP($A150,'Round 3'!$A$7:$I$206,COLUMN('Round 3'!$G$7),0)))</f>
        <v/>
      </c>
      <c r="I150" s="116" t="str">
        <f>IF(ISBLANK($A150),"",IF(ISERROR(VLOOKUP($A150,'Round 1'!$A$7:$I$206,COLUMN('Round 1'!$F$7),0)),0,VLOOKUP($A150,'Round 1'!$A$7:$I$206,COLUMN('Round 1'!$F$7),0))+IF(ISERROR(VLOOKUP($A150,'Round 2'!$A$7:$I$206,COLUMN('Round 2'!$F$7),0)),0,VLOOKUP($A150,'Round 2'!$A$7:$I$206,COLUMN('Round 2'!$F$7),0))+IF(ISERROR(VLOOKUP($A150,'Round 3'!$A$7:$I$206,COLUMN('Round 3'!$F$7),0)),0,VLOOKUP($A150,'Round 3'!$A$7:$I$206,COLUMN('Round 3'!$F$7),0)))</f>
        <v/>
      </c>
      <c r="J150" s="117" t="str">
        <f>IF(ISBLANK($A150),"",IF(ISERROR(VLOOKUP($A150,'Round 1'!$A$7:$I$206,COLUMN('Round 1'!$H$7),0)),0,VLOOKUP($A150,'Round 1'!$A$7:$I$206,COLUMN('Round 1'!$H$7),0))+IF(ISERROR(VLOOKUP($A150,'Round 2'!$A$7:$I$206,COLUMN('Round 2'!$H$7),0)),0,VLOOKUP($A150,'Round 2'!$A$7:$I$206,COLUMN('Round 2'!$H$7),0))+IF(ISERROR(VLOOKUP($A150,'Round 3'!$A$7:$I$206,COLUMN('Round 3'!$H$7),0)),0,VLOOKUP($A150,'Round 3'!$A$7:$I$206,COLUMN('Round 3'!$H$7),0)))</f>
        <v/>
      </c>
      <c r="K150" s="116" t="str">
        <f t="shared" si="60"/>
        <v/>
      </c>
      <c r="L150" s="118" t="str">
        <f t="shared" si="61"/>
        <v/>
      </c>
      <c r="M150" s="119"/>
      <c r="N150" s="120" t="str">
        <f t="shared" si="62"/>
        <v/>
      </c>
      <c r="O150" s="36" t="str">
        <f t="shared" si="63"/>
        <v/>
      </c>
      <c r="P150" s="36" t="str">
        <f t="shared" si="64"/>
        <v/>
      </c>
      <c r="Q150" s="36">
        <f t="shared" si="65"/>
        <v>-10</v>
      </c>
      <c r="R150" s="36" t="str">
        <f t="shared" si="66"/>
        <v/>
      </c>
      <c r="S150" s="36" t="str">
        <f t="shared" si="67"/>
        <v/>
      </c>
      <c r="T150" s="36">
        <f t="shared" si="68"/>
        <v>0</v>
      </c>
      <c r="U150" s="120" t="str">
        <f ca="1">IF(N('Final Round'!$J$14)&gt;0,IF(ISBLANK($A150),"",IF($N150&gt;5,$N150,VLOOKUP($A150,'Final Round'!$A$14:$K$18,COLUMN('Final Round'!$J$1),0))),"")</f>
        <v/>
      </c>
      <c r="V150" s="36" t="str">
        <f t="shared" ca="1" si="69"/>
        <v/>
      </c>
      <c r="W150" s="36" t="str">
        <f t="shared" si="70"/>
        <v/>
      </c>
      <c r="X150" s="36" t="str">
        <f t="shared" si="71"/>
        <v/>
      </c>
      <c r="Y150" s="36">
        <f t="shared" si="72"/>
        <v>0</v>
      </c>
      <c r="Z150" s="36" t="str">
        <f t="shared" ca="1" si="73"/>
        <v/>
      </c>
      <c r="AA150" s="36">
        <f t="shared" ca="1" si="74"/>
        <v>0</v>
      </c>
      <c r="AB150" s="121" t="str">
        <f>IF(ISBLANK($A150),"",5+4*(I150+IF(AA150=0,0,VLOOKUP($A150,'Final Round'!$A$14:$K$18,COLUMN('Final Round'!$G$1),0)))+8*(H150+IF(AA150=0,0,IF(VLOOKUP($A150,'Final Round'!$A$14:$K$18,COLUMN('Final Round'!$J$1),0)=1,1,0)))+$AA150)</f>
        <v/>
      </c>
    </row>
    <row r="151" spans="1:28" x14ac:dyDescent="0.2">
      <c r="A151" s="137"/>
      <c r="B151" s="138"/>
      <c r="C151" s="138"/>
      <c r="D151" s="138"/>
      <c r="E151" s="139"/>
      <c r="F151" s="140" t="str">
        <f>IF(ISBLANK($A151),"",SUM(IF(ISNA(IF(VLOOKUP($A151,'Round 1'!$A$7:$J$206,COLUMN('Round 1'!$H$7),0),1,NA())),0,1),IF(ISNA(IF(VLOOKUP($A151,'Round 2'!$A$7:$J$206,COLUMN('Round 1'!$H$7),0),1,NA())),0,1),IF(ISNA(IF(VLOOKUP($A151,'Round 3'!$A$7:$J$206,COLUMN('Round 1'!$H$7),0),1,NA())),0,1),IF(ISNA(IF(VLOOKUP($A151,'Final Round'!$A$14:$K$18,1,0),1,NA())),0,1)))</f>
        <v/>
      </c>
      <c r="G151" s="141"/>
      <c r="H151" s="142" t="str">
        <f>IF(ISBLANK($A151),"",IF(ISERROR(VLOOKUP($A151,'Round 1'!$A$7:$I$206,COLUMN('Round 1'!$G$7),0)),0,VLOOKUP($A151,'Round 1'!$A$7:$I$206,COLUMN('Round 1'!$G$7),0))+IF(ISERROR(VLOOKUP($A151,'Round 2'!$A$7:$I$206,COLUMN('Round 2'!$G$7),0)),0,VLOOKUP($A151,'Round 2'!$A$7:$I$206,COLUMN('Round 2'!$G$7),0))+IF(ISERROR(VLOOKUP($A151,'Round 3'!$A$7:$I$206,COLUMN('Round 3'!$G$7),0)),0,VLOOKUP($A151,'Round 3'!$A$7:$I$206,COLUMN('Round 3'!$G$7),0)))</f>
        <v/>
      </c>
      <c r="I151" s="142" t="str">
        <f>IF(ISBLANK($A151),"",IF(ISERROR(VLOOKUP($A151,'Round 1'!$A$7:$I$206,COLUMN('Round 1'!$F$7),0)),0,VLOOKUP($A151,'Round 1'!$A$7:$I$206,COLUMN('Round 1'!$F$7),0))+IF(ISERROR(VLOOKUP($A151,'Round 2'!$A$7:$I$206,COLUMN('Round 2'!$F$7),0)),0,VLOOKUP($A151,'Round 2'!$A$7:$I$206,COLUMN('Round 2'!$F$7),0))+IF(ISERROR(VLOOKUP($A151,'Round 3'!$A$7:$I$206,COLUMN('Round 3'!$F$7),0)),0,VLOOKUP($A151,'Round 3'!$A$7:$I$206,COLUMN('Round 3'!$F$7),0)))</f>
        <v/>
      </c>
      <c r="J151" s="143" t="str">
        <f>IF(ISBLANK($A151),"",IF(ISERROR(VLOOKUP($A151,'Round 1'!$A$7:$I$206,COLUMN('Round 1'!$H$7),0)),0,VLOOKUP($A151,'Round 1'!$A$7:$I$206,COLUMN('Round 1'!$H$7),0))+IF(ISERROR(VLOOKUP($A151,'Round 2'!$A$7:$I$206,COLUMN('Round 2'!$H$7),0)),0,VLOOKUP($A151,'Round 2'!$A$7:$I$206,COLUMN('Round 2'!$H$7),0))+IF(ISERROR(VLOOKUP($A151,'Round 3'!$A$7:$I$206,COLUMN('Round 3'!$H$7),0)),0,VLOOKUP($A151,'Round 3'!$A$7:$I$206,COLUMN('Round 3'!$H$7),0)))</f>
        <v/>
      </c>
      <c r="K151" s="142" t="str">
        <f t="shared" si="60"/>
        <v/>
      </c>
      <c r="L151" s="144" t="str">
        <f t="shared" si="61"/>
        <v/>
      </c>
      <c r="M151" s="145"/>
      <c r="N151" s="146" t="str">
        <f t="shared" si="62"/>
        <v/>
      </c>
      <c r="O151" s="36" t="str">
        <f t="shared" si="63"/>
        <v/>
      </c>
      <c r="P151" s="36" t="str">
        <f t="shared" si="64"/>
        <v/>
      </c>
      <c r="Q151" s="36">
        <f t="shared" si="65"/>
        <v>-10</v>
      </c>
      <c r="R151" s="36" t="str">
        <f t="shared" si="66"/>
        <v/>
      </c>
      <c r="S151" s="36" t="str">
        <f t="shared" si="67"/>
        <v/>
      </c>
      <c r="T151" s="36">
        <f t="shared" si="68"/>
        <v>0</v>
      </c>
      <c r="U151" s="146" t="str">
        <f ca="1">IF(N('Final Round'!$J$14)&gt;0,IF(ISBLANK($A151),"",IF($N151&gt;5,$N151,VLOOKUP($A151,'Final Round'!$A$14:$K$18,COLUMN('Final Round'!$J$1),0))),"")</f>
        <v/>
      </c>
      <c r="V151" s="36" t="str">
        <f t="shared" ca="1" si="69"/>
        <v/>
      </c>
      <c r="W151" s="36" t="str">
        <f t="shared" si="70"/>
        <v/>
      </c>
      <c r="X151" s="36" t="str">
        <f t="shared" si="71"/>
        <v/>
      </c>
      <c r="Y151" s="36">
        <f t="shared" si="72"/>
        <v>0</v>
      </c>
      <c r="Z151" s="36" t="str">
        <f t="shared" ca="1" si="73"/>
        <v/>
      </c>
      <c r="AA151" s="36">
        <f t="shared" ca="1" si="74"/>
        <v>0</v>
      </c>
      <c r="AB151" s="147" t="str">
        <f>IF(ISBLANK($A151),"",5+4*(I151+IF(AA151=0,0,VLOOKUP($A151,'Final Round'!$A$14:$K$18,COLUMN('Final Round'!$G$1),0)))+8*(H151+IF(AA151=0,0,IF(VLOOKUP($A151,'Final Round'!$A$14:$K$18,COLUMN('Final Round'!$J$1),0)=1,1,0)))+$AA151)</f>
        <v/>
      </c>
    </row>
    <row r="152" spans="1:28" x14ac:dyDescent="0.2">
      <c r="A152" s="111"/>
      <c r="B152" s="112"/>
      <c r="C152" s="112"/>
      <c r="D152" s="112"/>
      <c r="E152" s="113"/>
      <c r="F152" s="114" t="str">
        <f>IF(ISBLANK($A152),"",SUM(IF(ISNA(IF(VLOOKUP($A152,'Round 1'!$A$7:$J$206,COLUMN('Round 1'!$H$7),0),1,NA())),0,1),IF(ISNA(IF(VLOOKUP($A152,'Round 2'!$A$7:$J$206,COLUMN('Round 1'!$H$7),0),1,NA())),0,1),IF(ISNA(IF(VLOOKUP($A152,'Round 3'!$A$7:$J$206,COLUMN('Round 1'!$H$7),0),1,NA())),0,1),IF(ISNA(IF(VLOOKUP($A152,'Final Round'!$A$14:$K$18,1,0),1,NA())),0,1)))</f>
        <v/>
      </c>
      <c r="G152" s="115"/>
      <c r="H152" s="116" t="str">
        <f>IF(ISBLANK($A152),"",IF(ISERROR(VLOOKUP($A152,'Round 1'!$A$7:$I$206,COLUMN('Round 1'!$G$7),0)),0,VLOOKUP($A152,'Round 1'!$A$7:$I$206,COLUMN('Round 1'!$G$7),0))+IF(ISERROR(VLOOKUP($A152,'Round 2'!$A$7:$I$206,COLUMN('Round 2'!$G$7),0)),0,VLOOKUP($A152,'Round 2'!$A$7:$I$206,COLUMN('Round 2'!$G$7),0))+IF(ISERROR(VLOOKUP($A152,'Round 3'!$A$7:$I$206,COLUMN('Round 3'!$G$7),0)),0,VLOOKUP($A152,'Round 3'!$A$7:$I$206,COLUMN('Round 3'!$G$7),0)))</f>
        <v/>
      </c>
      <c r="I152" s="116" t="str">
        <f>IF(ISBLANK($A152),"",IF(ISERROR(VLOOKUP($A152,'Round 1'!$A$7:$I$206,COLUMN('Round 1'!$F$7),0)),0,VLOOKUP($A152,'Round 1'!$A$7:$I$206,COLUMN('Round 1'!$F$7),0))+IF(ISERROR(VLOOKUP($A152,'Round 2'!$A$7:$I$206,COLUMN('Round 2'!$F$7),0)),0,VLOOKUP($A152,'Round 2'!$A$7:$I$206,COLUMN('Round 2'!$F$7),0))+IF(ISERROR(VLOOKUP($A152,'Round 3'!$A$7:$I$206,COLUMN('Round 3'!$F$7),0)),0,VLOOKUP($A152,'Round 3'!$A$7:$I$206,COLUMN('Round 3'!$F$7),0)))</f>
        <v/>
      </c>
      <c r="J152" s="117" t="str">
        <f>IF(ISBLANK($A152),"",IF(ISERROR(VLOOKUP($A152,'Round 1'!$A$7:$I$206,COLUMN('Round 1'!$H$7),0)),0,VLOOKUP($A152,'Round 1'!$A$7:$I$206,COLUMN('Round 1'!$H$7),0))+IF(ISERROR(VLOOKUP($A152,'Round 2'!$A$7:$I$206,COLUMN('Round 2'!$H$7),0)),0,VLOOKUP($A152,'Round 2'!$A$7:$I$206,COLUMN('Round 2'!$H$7),0))+IF(ISERROR(VLOOKUP($A152,'Round 3'!$A$7:$I$206,COLUMN('Round 3'!$H$7),0)),0,VLOOKUP($A152,'Round 3'!$A$7:$I$206,COLUMN('Round 3'!$H$7),0)))</f>
        <v/>
      </c>
      <c r="K152" s="116" t="str">
        <f t="shared" si="60"/>
        <v/>
      </c>
      <c r="L152" s="118" t="str">
        <f t="shared" si="61"/>
        <v/>
      </c>
      <c r="M152" s="119"/>
      <c r="N152" s="120" t="str">
        <f t="shared" si="62"/>
        <v/>
      </c>
      <c r="O152" s="36" t="str">
        <f t="shared" si="63"/>
        <v/>
      </c>
      <c r="P152" s="36" t="str">
        <f t="shared" si="64"/>
        <v/>
      </c>
      <c r="Q152" s="36">
        <f t="shared" si="65"/>
        <v>-10</v>
      </c>
      <c r="R152" s="36" t="str">
        <f t="shared" si="66"/>
        <v/>
      </c>
      <c r="S152" s="36" t="str">
        <f t="shared" si="67"/>
        <v/>
      </c>
      <c r="T152" s="36">
        <f t="shared" si="68"/>
        <v>0</v>
      </c>
      <c r="U152" s="120" t="str">
        <f ca="1">IF(N('Final Round'!$J$14)&gt;0,IF(ISBLANK($A152),"",IF($N152&gt;5,$N152,VLOOKUP($A152,'Final Round'!$A$14:$K$18,COLUMN('Final Round'!$J$1),0))),"")</f>
        <v/>
      </c>
      <c r="V152" s="36" t="str">
        <f t="shared" ca="1" si="69"/>
        <v/>
      </c>
      <c r="W152" s="36" t="str">
        <f t="shared" si="70"/>
        <v/>
      </c>
      <c r="X152" s="36" t="str">
        <f t="shared" si="71"/>
        <v/>
      </c>
      <c r="Y152" s="36">
        <f t="shared" si="72"/>
        <v>0</v>
      </c>
      <c r="Z152" s="36" t="str">
        <f t="shared" ca="1" si="73"/>
        <v/>
      </c>
      <c r="AA152" s="36">
        <f t="shared" ca="1" si="74"/>
        <v>0</v>
      </c>
      <c r="AB152" s="121" t="str">
        <f>IF(ISBLANK($A152),"",5+4*(I152+IF(AA152=0,0,VLOOKUP($A152,'Final Round'!$A$14:$K$18,COLUMN('Final Round'!$G$1),0)))+8*(H152+IF(AA152=0,0,IF(VLOOKUP($A152,'Final Round'!$A$14:$K$18,COLUMN('Final Round'!$J$1),0)=1,1,0)))+$AA152)</f>
        <v/>
      </c>
    </row>
    <row r="153" spans="1:28" x14ac:dyDescent="0.2">
      <c r="A153" s="137"/>
      <c r="B153" s="138"/>
      <c r="C153" s="138"/>
      <c r="D153" s="138"/>
      <c r="E153" s="139"/>
      <c r="F153" s="140" t="str">
        <f>IF(ISBLANK($A153),"",SUM(IF(ISNA(IF(VLOOKUP($A153,'Round 1'!$A$7:$J$206,COLUMN('Round 1'!$H$7),0),1,NA())),0,1),IF(ISNA(IF(VLOOKUP($A153,'Round 2'!$A$7:$J$206,COLUMN('Round 1'!$H$7),0),1,NA())),0,1),IF(ISNA(IF(VLOOKUP($A153,'Round 3'!$A$7:$J$206,COLUMN('Round 1'!$H$7),0),1,NA())),0,1),IF(ISNA(IF(VLOOKUP($A153,'Final Round'!$A$14:$K$18,1,0),1,NA())),0,1)))</f>
        <v/>
      </c>
      <c r="G153" s="141"/>
      <c r="H153" s="142" t="str">
        <f>IF(ISBLANK($A153),"",IF(ISERROR(VLOOKUP($A153,'Round 1'!$A$7:$I$206,COLUMN('Round 1'!$G$7),0)),0,VLOOKUP($A153,'Round 1'!$A$7:$I$206,COLUMN('Round 1'!$G$7),0))+IF(ISERROR(VLOOKUP($A153,'Round 2'!$A$7:$I$206,COLUMN('Round 2'!$G$7),0)),0,VLOOKUP($A153,'Round 2'!$A$7:$I$206,COLUMN('Round 2'!$G$7),0))+IF(ISERROR(VLOOKUP($A153,'Round 3'!$A$7:$I$206,COLUMN('Round 3'!$G$7),0)),0,VLOOKUP($A153,'Round 3'!$A$7:$I$206,COLUMN('Round 3'!$G$7),0)))</f>
        <v/>
      </c>
      <c r="I153" s="142" t="str">
        <f>IF(ISBLANK($A153),"",IF(ISERROR(VLOOKUP($A153,'Round 1'!$A$7:$I$206,COLUMN('Round 1'!$F$7),0)),0,VLOOKUP($A153,'Round 1'!$A$7:$I$206,COLUMN('Round 1'!$F$7),0))+IF(ISERROR(VLOOKUP($A153,'Round 2'!$A$7:$I$206,COLUMN('Round 2'!$F$7),0)),0,VLOOKUP($A153,'Round 2'!$A$7:$I$206,COLUMN('Round 2'!$F$7),0))+IF(ISERROR(VLOOKUP($A153,'Round 3'!$A$7:$I$206,COLUMN('Round 3'!$F$7),0)),0,VLOOKUP($A153,'Round 3'!$A$7:$I$206,COLUMN('Round 3'!$F$7),0)))</f>
        <v/>
      </c>
      <c r="J153" s="143" t="str">
        <f>IF(ISBLANK($A153),"",IF(ISERROR(VLOOKUP($A153,'Round 1'!$A$7:$I$206,COLUMN('Round 1'!$H$7),0)),0,VLOOKUP($A153,'Round 1'!$A$7:$I$206,COLUMN('Round 1'!$H$7),0))+IF(ISERROR(VLOOKUP($A153,'Round 2'!$A$7:$I$206,COLUMN('Round 2'!$H$7),0)),0,VLOOKUP($A153,'Round 2'!$A$7:$I$206,COLUMN('Round 2'!$H$7),0))+IF(ISERROR(VLOOKUP($A153,'Round 3'!$A$7:$I$206,COLUMN('Round 3'!$H$7),0)),0,VLOOKUP($A153,'Round 3'!$A$7:$I$206,COLUMN('Round 3'!$H$7),0)))</f>
        <v/>
      </c>
      <c r="K153" s="142" t="str">
        <f t="shared" si="60"/>
        <v/>
      </c>
      <c r="L153" s="144" t="str">
        <f t="shared" si="61"/>
        <v/>
      </c>
      <c r="M153" s="145"/>
      <c r="N153" s="146" t="str">
        <f t="shared" si="62"/>
        <v/>
      </c>
      <c r="O153" s="36" t="str">
        <f t="shared" si="63"/>
        <v/>
      </c>
      <c r="P153" s="36" t="str">
        <f t="shared" si="64"/>
        <v/>
      </c>
      <c r="Q153" s="36">
        <f t="shared" si="65"/>
        <v>-10</v>
      </c>
      <c r="R153" s="36" t="str">
        <f t="shared" si="66"/>
        <v/>
      </c>
      <c r="S153" s="36" t="str">
        <f t="shared" si="67"/>
        <v/>
      </c>
      <c r="T153" s="36">
        <f t="shared" si="68"/>
        <v>0</v>
      </c>
      <c r="U153" s="146" t="str">
        <f ca="1">IF(N('Final Round'!$J$14)&gt;0,IF(ISBLANK($A153),"",IF($N153&gt;5,$N153,VLOOKUP($A153,'Final Round'!$A$14:$K$18,COLUMN('Final Round'!$J$1),0))),"")</f>
        <v/>
      </c>
      <c r="V153" s="36" t="str">
        <f t="shared" ca="1" si="69"/>
        <v/>
      </c>
      <c r="W153" s="36" t="str">
        <f t="shared" si="70"/>
        <v/>
      </c>
      <c r="X153" s="36" t="str">
        <f t="shared" si="71"/>
        <v/>
      </c>
      <c r="Y153" s="36">
        <f t="shared" si="72"/>
        <v>0</v>
      </c>
      <c r="Z153" s="36" t="str">
        <f t="shared" ca="1" si="73"/>
        <v/>
      </c>
      <c r="AA153" s="36">
        <f t="shared" ca="1" si="74"/>
        <v>0</v>
      </c>
      <c r="AB153" s="147" t="str">
        <f>IF(ISBLANK($A153),"",5+4*(I153+IF(AA153=0,0,VLOOKUP($A153,'Final Round'!$A$14:$K$18,COLUMN('Final Round'!$G$1),0)))+8*(H153+IF(AA153=0,0,IF(VLOOKUP($A153,'Final Round'!$A$14:$K$18,COLUMN('Final Round'!$J$1),0)=1,1,0)))+$AA153)</f>
        <v/>
      </c>
    </row>
    <row r="154" spans="1:28" x14ac:dyDescent="0.2">
      <c r="A154" s="111"/>
      <c r="B154" s="112"/>
      <c r="C154" s="112"/>
      <c r="D154" s="112"/>
      <c r="E154" s="113"/>
      <c r="F154" s="114" t="str">
        <f>IF(ISBLANK($A154),"",SUM(IF(ISNA(IF(VLOOKUP($A154,'Round 1'!$A$7:$J$206,COLUMN('Round 1'!$H$7),0),1,NA())),0,1),IF(ISNA(IF(VLOOKUP($A154,'Round 2'!$A$7:$J$206,COLUMN('Round 1'!$H$7),0),1,NA())),0,1),IF(ISNA(IF(VLOOKUP($A154,'Round 3'!$A$7:$J$206,COLUMN('Round 1'!$H$7),0),1,NA())),0,1),IF(ISNA(IF(VLOOKUP($A154,'Final Round'!$A$14:$K$18,1,0),1,NA())),0,1)))</f>
        <v/>
      </c>
      <c r="G154" s="115"/>
      <c r="H154" s="116" t="str">
        <f>IF(ISBLANK($A154),"",IF(ISERROR(VLOOKUP($A154,'Round 1'!$A$7:$I$206,COLUMN('Round 1'!$G$7),0)),0,VLOOKUP($A154,'Round 1'!$A$7:$I$206,COLUMN('Round 1'!$G$7),0))+IF(ISERROR(VLOOKUP($A154,'Round 2'!$A$7:$I$206,COLUMN('Round 2'!$G$7),0)),0,VLOOKUP($A154,'Round 2'!$A$7:$I$206,COLUMN('Round 2'!$G$7),0))+IF(ISERROR(VLOOKUP($A154,'Round 3'!$A$7:$I$206,COLUMN('Round 3'!$G$7),0)),0,VLOOKUP($A154,'Round 3'!$A$7:$I$206,COLUMN('Round 3'!$G$7),0)))</f>
        <v/>
      </c>
      <c r="I154" s="116" t="str">
        <f>IF(ISBLANK($A154),"",IF(ISERROR(VLOOKUP($A154,'Round 1'!$A$7:$I$206,COLUMN('Round 1'!$F$7),0)),0,VLOOKUP($A154,'Round 1'!$A$7:$I$206,COLUMN('Round 1'!$F$7),0))+IF(ISERROR(VLOOKUP($A154,'Round 2'!$A$7:$I$206,COLUMN('Round 2'!$F$7),0)),0,VLOOKUP($A154,'Round 2'!$A$7:$I$206,COLUMN('Round 2'!$F$7),0))+IF(ISERROR(VLOOKUP($A154,'Round 3'!$A$7:$I$206,COLUMN('Round 3'!$F$7),0)),0,VLOOKUP($A154,'Round 3'!$A$7:$I$206,COLUMN('Round 3'!$F$7),0)))</f>
        <v/>
      </c>
      <c r="J154" s="117" t="str">
        <f>IF(ISBLANK($A154),"",IF(ISERROR(VLOOKUP($A154,'Round 1'!$A$7:$I$206,COLUMN('Round 1'!$H$7),0)),0,VLOOKUP($A154,'Round 1'!$A$7:$I$206,COLUMN('Round 1'!$H$7),0))+IF(ISERROR(VLOOKUP($A154,'Round 2'!$A$7:$I$206,COLUMN('Round 2'!$H$7),0)),0,VLOOKUP($A154,'Round 2'!$A$7:$I$206,COLUMN('Round 2'!$H$7),0))+IF(ISERROR(VLOOKUP($A154,'Round 3'!$A$7:$I$206,COLUMN('Round 3'!$H$7),0)),0,VLOOKUP($A154,'Round 3'!$A$7:$I$206,COLUMN('Round 3'!$H$7),0)))</f>
        <v/>
      </c>
      <c r="K154" s="116" t="str">
        <f t="shared" si="60"/>
        <v/>
      </c>
      <c r="L154" s="118" t="str">
        <f t="shared" si="61"/>
        <v/>
      </c>
      <c r="M154" s="119"/>
      <c r="N154" s="120" t="str">
        <f t="shared" si="62"/>
        <v/>
      </c>
      <c r="O154" s="36" t="str">
        <f t="shared" si="63"/>
        <v/>
      </c>
      <c r="P154" s="36" t="str">
        <f t="shared" si="64"/>
        <v/>
      </c>
      <c r="Q154" s="36">
        <f t="shared" si="65"/>
        <v>-10</v>
      </c>
      <c r="R154" s="36" t="str">
        <f t="shared" si="66"/>
        <v/>
      </c>
      <c r="S154" s="36" t="str">
        <f t="shared" si="67"/>
        <v/>
      </c>
      <c r="T154" s="36">
        <f t="shared" si="68"/>
        <v>0</v>
      </c>
      <c r="U154" s="120" t="str">
        <f ca="1">IF(N('Final Round'!$J$14)&gt;0,IF(ISBLANK($A154),"",IF($N154&gt;5,$N154,VLOOKUP($A154,'Final Round'!$A$14:$K$18,COLUMN('Final Round'!$J$1),0))),"")</f>
        <v/>
      </c>
      <c r="V154" s="36" t="str">
        <f t="shared" ca="1" si="69"/>
        <v/>
      </c>
      <c r="W154" s="36" t="str">
        <f t="shared" si="70"/>
        <v/>
      </c>
      <c r="X154" s="36" t="str">
        <f t="shared" si="71"/>
        <v/>
      </c>
      <c r="Y154" s="36">
        <f t="shared" si="72"/>
        <v>0</v>
      </c>
      <c r="Z154" s="36" t="str">
        <f t="shared" ca="1" si="73"/>
        <v/>
      </c>
      <c r="AA154" s="36">
        <f t="shared" ca="1" si="74"/>
        <v>0</v>
      </c>
      <c r="AB154" s="121" t="str">
        <f>IF(ISBLANK($A154),"",5+4*(I154+IF(AA154=0,0,VLOOKUP($A154,'Final Round'!$A$14:$K$18,COLUMN('Final Round'!$G$1),0)))+8*(H154+IF(AA154=0,0,IF(VLOOKUP($A154,'Final Round'!$A$14:$K$18,COLUMN('Final Round'!$J$1),0)=1,1,0)))+$AA154)</f>
        <v/>
      </c>
    </row>
    <row r="155" spans="1:28" x14ac:dyDescent="0.2">
      <c r="A155" s="137"/>
      <c r="B155" s="138"/>
      <c r="C155" s="138"/>
      <c r="D155" s="138"/>
      <c r="E155" s="139"/>
      <c r="F155" s="140" t="str">
        <f>IF(ISBLANK($A155),"",SUM(IF(ISNA(IF(VLOOKUP($A155,'Round 1'!$A$7:$J$206,COLUMN('Round 1'!$H$7),0),1,NA())),0,1),IF(ISNA(IF(VLOOKUP($A155,'Round 2'!$A$7:$J$206,COLUMN('Round 1'!$H$7),0),1,NA())),0,1),IF(ISNA(IF(VLOOKUP($A155,'Round 3'!$A$7:$J$206,COLUMN('Round 1'!$H$7),0),1,NA())),0,1),IF(ISNA(IF(VLOOKUP($A155,'Final Round'!$A$14:$K$18,1,0),1,NA())),0,1)))</f>
        <v/>
      </c>
      <c r="G155" s="141"/>
      <c r="H155" s="142" t="str">
        <f>IF(ISBLANK($A155),"",IF(ISERROR(VLOOKUP($A155,'Round 1'!$A$7:$I$206,COLUMN('Round 1'!$G$7),0)),0,VLOOKUP($A155,'Round 1'!$A$7:$I$206,COLUMN('Round 1'!$G$7),0))+IF(ISERROR(VLOOKUP($A155,'Round 2'!$A$7:$I$206,COLUMN('Round 2'!$G$7),0)),0,VLOOKUP($A155,'Round 2'!$A$7:$I$206,COLUMN('Round 2'!$G$7),0))+IF(ISERROR(VLOOKUP($A155,'Round 3'!$A$7:$I$206,COLUMN('Round 3'!$G$7),0)),0,VLOOKUP($A155,'Round 3'!$A$7:$I$206,COLUMN('Round 3'!$G$7),0)))</f>
        <v/>
      </c>
      <c r="I155" s="142" t="str">
        <f>IF(ISBLANK($A155),"",IF(ISERROR(VLOOKUP($A155,'Round 1'!$A$7:$I$206,COLUMN('Round 1'!$F$7),0)),0,VLOOKUP($A155,'Round 1'!$A$7:$I$206,COLUMN('Round 1'!$F$7),0))+IF(ISERROR(VLOOKUP($A155,'Round 2'!$A$7:$I$206,COLUMN('Round 2'!$F$7),0)),0,VLOOKUP($A155,'Round 2'!$A$7:$I$206,COLUMN('Round 2'!$F$7),0))+IF(ISERROR(VLOOKUP($A155,'Round 3'!$A$7:$I$206,COLUMN('Round 3'!$F$7),0)),0,VLOOKUP($A155,'Round 3'!$A$7:$I$206,COLUMN('Round 3'!$F$7),0)))</f>
        <v/>
      </c>
      <c r="J155" s="143" t="str">
        <f>IF(ISBLANK($A155),"",IF(ISERROR(VLOOKUP($A155,'Round 1'!$A$7:$I$206,COLUMN('Round 1'!$H$7),0)),0,VLOOKUP($A155,'Round 1'!$A$7:$I$206,COLUMN('Round 1'!$H$7),0))+IF(ISERROR(VLOOKUP($A155,'Round 2'!$A$7:$I$206,COLUMN('Round 2'!$H$7),0)),0,VLOOKUP($A155,'Round 2'!$A$7:$I$206,COLUMN('Round 2'!$H$7),0))+IF(ISERROR(VLOOKUP($A155,'Round 3'!$A$7:$I$206,COLUMN('Round 3'!$H$7),0)),0,VLOOKUP($A155,'Round 3'!$A$7:$I$206,COLUMN('Round 3'!$H$7),0)))</f>
        <v/>
      </c>
      <c r="K155" s="142" t="str">
        <f t="shared" si="60"/>
        <v/>
      </c>
      <c r="L155" s="144" t="str">
        <f t="shared" si="61"/>
        <v/>
      </c>
      <c r="M155" s="145"/>
      <c r="N155" s="146" t="str">
        <f t="shared" si="62"/>
        <v/>
      </c>
      <c r="O155" s="36" t="str">
        <f t="shared" si="63"/>
        <v/>
      </c>
      <c r="P155" s="36" t="str">
        <f t="shared" si="64"/>
        <v/>
      </c>
      <c r="Q155" s="36">
        <f t="shared" si="65"/>
        <v>-10</v>
      </c>
      <c r="R155" s="36" t="str">
        <f t="shared" si="66"/>
        <v/>
      </c>
      <c r="S155" s="36" t="str">
        <f t="shared" si="67"/>
        <v/>
      </c>
      <c r="T155" s="36">
        <f t="shared" si="68"/>
        <v>0</v>
      </c>
      <c r="U155" s="146" t="str">
        <f ca="1">IF(N('Final Round'!$J$14)&gt;0,IF(ISBLANK($A155),"",IF($N155&gt;5,$N155,VLOOKUP($A155,'Final Round'!$A$14:$K$18,COLUMN('Final Round'!$J$1),0))),"")</f>
        <v/>
      </c>
      <c r="V155" s="36" t="str">
        <f t="shared" ca="1" si="69"/>
        <v/>
      </c>
      <c r="W155" s="36" t="str">
        <f t="shared" si="70"/>
        <v/>
      </c>
      <c r="X155" s="36" t="str">
        <f t="shared" si="71"/>
        <v/>
      </c>
      <c r="Y155" s="36">
        <f t="shared" si="72"/>
        <v>0</v>
      </c>
      <c r="Z155" s="36" t="str">
        <f t="shared" ca="1" si="73"/>
        <v/>
      </c>
      <c r="AA155" s="36">
        <f t="shared" ca="1" si="74"/>
        <v>0</v>
      </c>
      <c r="AB155" s="147" t="str">
        <f>IF(ISBLANK($A155),"",5+4*(I155+IF(AA155=0,0,VLOOKUP($A155,'Final Round'!$A$14:$K$18,COLUMN('Final Round'!$G$1),0)))+8*(H155+IF(AA155=0,0,IF(VLOOKUP($A155,'Final Round'!$A$14:$K$18,COLUMN('Final Round'!$J$1),0)=1,1,0)))+$AA155)</f>
        <v/>
      </c>
    </row>
    <row r="156" spans="1:28" x14ac:dyDescent="0.2">
      <c r="A156" s="111"/>
      <c r="B156" s="112"/>
      <c r="C156" s="112"/>
      <c r="D156" s="112"/>
      <c r="E156" s="113"/>
      <c r="F156" s="114" t="str">
        <f>IF(ISBLANK($A156),"",SUM(IF(ISNA(IF(VLOOKUP($A156,'Round 1'!$A$7:$J$206,COLUMN('Round 1'!$H$7),0),1,NA())),0,1),IF(ISNA(IF(VLOOKUP($A156,'Round 2'!$A$7:$J$206,COLUMN('Round 1'!$H$7),0),1,NA())),0,1),IF(ISNA(IF(VLOOKUP($A156,'Round 3'!$A$7:$J$206,COLUMN('Round 1'!$H$7),0),1,NA())),0,1),IF(ISNA(IF(VLOOKUP($A156,'Final Round'!$A$14:$K$18,1,0),1,NA())),0,1)))</f>
        <v/>
      </c>
      <c r="G156" s="115"/>
      <c r="H156" s="116" t="str">
        <f>IF(ISBLANK($A156),"",IF(ISERROR(VLOOKUP($A156,'Round 1'!$A$7:$I$206,COLUMN('Round 1'!$G$7),0)),0,VLOOKUP($A156,'Round 1'!$A$7:$I$206,COLUMN('Round 1'!$G$7),0))+IF(ISERROR(VLOOKUP($A156,'Round 2'!$A$7:$I$206,COLUMN('Round 2'!$G$7),0)),0,VLOOKUP($A156,'Round 2'!$A$7:$I$206,COLUMN('Round 2'!$G$7),0))+IF(ISERROR(VLOOKUP($A156,'Round 3'!$A$7:$I$206,COLUMN('Round 3'!$G$7),0)),0,VLOOKUP($A156,'Round 3'!$A$7:$I$206,COLUMN('Round 3'!$G$7),0)))</f>
        <v/>
      </c>
      <c r="I156" s="116" t="str">
        <f>IF(ISBLANK($A156),"",IF(ISERROR(VLOOKUP($A156,'Round 1'!$A$7:$I$206,COLUMN('Round 1'!$F$7),0)),0,VLOOKUP($A156,'Round 1'!$A$7:$I$206,COLUMN('Round 1'!$F$7),0))+IF(ISERROR(VLOOKUP($A156,'Round 2'!$A$7:$I$206,COLUMN('Round 2'!$F$7),0)),0,VLOOKUP($A156,'Round 2'!$A$7:$I$206,COLUMN('Round 2'!$F$7),0))+IF(ISERROR(VLOOKUP($A156,'Round 3'!$A$7:$I$206,COLUMN('Round 3'!$F$7),0)),0,VLOOKUP($A156,'Round 3'!$A$7:$I$206,COLUMN('Round 3'!$F$7),0)))</f>
        <v/>
      </c>
      <c r="J156" s="117" t="str">
        <f>IF(ISBLANK($A156),"",IF(ISERROR(VLOOKUP($A156,'Round 1'!$A$7:$I$206,COLUMN('Round 1'!$H$7),0)),0,VLOOKUP($A156,'Round 1'!$A$7:$I$206,COLUMN('Round 1'!$H$7),0))+IF(ISERROR(VLOOKUP($A156,'Round 2'!$A$7:$I$206,COLUMN('Round 2'!$H$7),0)),0,VLOOKUP($A156,'Round 2'!$A$7:$I$206,COLUMN('Round 2'!$H$7),0))+IF(ISERROR(VLOOKUP($A156,'Round 3'!$A$7:$I$206,COLUMN('Round 3'!$H$7),0)),0,VLOOKUP($A156,'Round 3'!$A$7:$I$206,COLUMN('Round 3'!$H$7),0)))</f>
        <v/>
      </c>
      <c r="K156" s="116" t="str">
        <f t="shared" si="60"/>
        <v/>
      </c>
      <c r="L156" s="118" t="str">
        <f t="shared" si="61"/>
        <v/>
      </c>
      <c r="M156" s="119"/>
      <c r="N156" s="120" t="str">
        <f t="shared" si="62"/>
        <v/>
      </c>
      <c r="O156" s="36" t="str">
        <f t="shared" si="63"/>
        <v/>
      </c>
      <c r="P156" s="36" t="str">
        <f t="shared" si="64"/>
        <v/>
      </c>
      <c r="Q156" s="36">
        <f t="shared" si="65"/>
        <v>-10</v>
      </c>
      <c r="R156" s="36" t="str">
        <f t="shared" si="66"/>
        <v/>
      </c>
      <c r="S156" s="36" t="str">
        <f t="shared" si="67"/>
        <v/>
      </c>
      <c r="T156" s="36">
        <f t="shared" si="68"/>
        <v>0</v>
      </c>
      <c r="U156" s="120" t="str">
        <f ca="1">IF(N('Final Round'!$J$14)&gt;0,IF(ISBLANK($A156),"",IF($N156&gt;5,$N156,VLOOKUP($A156,'Final Round'!$A$14:$K$18,COLUMN('Final Round'!$J$1),0))),"")</f>
        <v/>
      </c>
      <c r="V156" s="36" t="str">
        <f t="shared" ca="1" si="69"/>
        <v/>
      </c>
      <c r="W156" s="36" t="str">
        <f t="shared" si="70"/>
        <v/>
      </c>
      <c r="X156" s="36" t="str">
        <f t="shared" si="71"/>
        <v/>
      </c>
      <c r="Y156" s="36">
        <f t="shared" si="72"/>
        <v>0</v>
      </c>
      <c r="Z156" s="36" t="str">
        <f t="shared" ca="1" si="73"/>
        <v/>
      </c>
      <c r="AA156" s="36">
        <f t="shared" ca="1" si="74"/>
        <v>0</v>
      </c>
      <c r="AB156" s="121" t="str">
        <f>IF(ISBLANK($A156),"",5+4*(I156+IF(AA156=0,0,VLOOKUP($A156,'Final Round'!$A$14:$K$18,COLUMN('Final Round'!$G$1),0)))+8*(H156+IF(AA156=0,0,IF(VLOOKUP($A156,'Final Round'!$A$14:$K$18,COLUMN('Final Round'!$J$1),0)=1,1,0)))+$AA156)</f>
        <v/>
      </c>
    </row>
    <row r="157" spans="1:28" x14ac:dyDescent="0.2">
      <c r="A157" s="137"/>
      <c r="B157" s="138"/>
      <c r="C157" s="138"/>
      <c r="D157" s="138"/>
      <c r="E157" s="139"/>
      <c r="F157" s="140" t="str">
        <f>IF(ISBLANK($A157),"",SUM(IF(ISNA(IF(VLOOKUP($A157,'Round 1'!$A$7:$J$206,COLUMN('Round 1'!$H$7),0),1,NA())),0,1),IF(ISNA(IF(VLOOKUP($A157,'Round 2'!$A$7:$J$206,COLUMN('Round 1'!$H$7),0),1,NA())),0,1),IF(ISNA(IF(VLOOKUP($A157,'Round 3'!$A$7:$J$206,COLUMN('Round 1'!$H$7),0),1,NA())),0,1),IF(ISNA(IF(VLOOKUP($A157,'Final Round'!$A$14:$K$18,1,0),1,NA())),0,1)))</f>
        <v/>
      </c>
      <c r="G157" s="141"/>
      <c r="H157" s="142" t="str">
        <f>IF(ISBLANK($A157),"",IF(ISERROR(VLOOKUP($A157,'Round 1'!$A$7:$I$206,COLUMN('Round 1'!$G$7),0)),0,VLOOKUP($A157,'Round 1'!$A$7:$I$206,COLUMN('Round 1'!$G$7),0))+IF(ISERROR(VLOOKUP($A157,'Round 2'!$A$7:$I$206,COLUMN('Round 2'!$G$7),0)),0,VLOOKUP($A157,'Round 2'!$A$7:$I$206,COLUMN('Round 2'!$G$7),0))+IF(ISERROR(VLOOKUP($A157,'Round 3'!$A$7:$I$206,COLUMN('Round 3'!$G$7),0)),0,VLOOKUP($A157,'Round 3'!$A$7:$I$206,COLUMN('Round 3'!$G$7),0)))</f>
        <v/>
      </c>
      <c r="I157" s="142" t="str">
        <f>IF(ISBLANK($A157),"",IF(ISERROR(VLOOKUP($A157,'Round 1'!$A$7:$I$206,COLUMN('Round 1'!$F$7),0)),0,VLOOKUP($A157,'Round 1'!$A$7:$I$206,COLUMN('Round 1'!$F$7),0))+IF(ISERROR(VLOOKUP($A157,'Round 2'!$A$7:$I$206,COLUMN('Round 2'!$F$7),0)),0,VLOOKUP($A157,'Round 2'!$A$7:$I$206,COLUMN('Round 2'!$F$7),0))+IF(ISERROR(VLOOKUP($A157,'Round 3'!$A$7:$I$206,COLUMN('Round 3'!$F$7),0)),0,VLOOKUP($A157,'Round 3'!$A$7:$I$206,COLUMN('Round 3'!$F$7),0)))</f>
        <v/>
      </c>
      <c r="J157" s="143" t="str">
        <f>IF(ISBLANK($A157),"",IF(ISERROR(VLOOKUP($A157,'Round 1'!$A$7:$I$206,COLUMN('Round 1'!$H$7),0)),0,VLOOKUP($A157,'Round 1'!$A$7:$I$206,COLUMN('Round 1'!$H$7),0))+IF(ISERROR(VLOOKUP($A157,'Round 2'!$A$7:$I$206,COLUMN('Round 2'!$H$7),0)),0,VLOOKUP($A157,'Round 2'!$A$7:$I$206,COLUMN('Round 2'!$H$7),0))+IF(ISERROR(VLOOKUP($A157,'Round 3'!$A$7:$I$206,COLUMN('Round 3'!$H$7),0)),0,VLOOKUP($A157,'Round 3'!$A$7:$I$206,COLUMN('Round 3'!$H$7),0)))</f>
        <v/>
      </c>
      <c r="K157" s="142" t="str">
        <f t="shared" si="60"/>
        <v/>
      </c>
      <c r="L157" s="144" t="str">
        <f t="shared" si="61"/>
        <v/>
      </c>
      <c r="M157" s="145"/>
      <c r="N157" s="146" t="str">
        <f t="shared" si="62"/>
        <v/>
      </c>
      <c r="O157" s="36" t="str">
        <f t="shared" si="63"/>
        <v/>
      </c>
      <c r="P157" s="36" t="str">
        <f t="shared" si="64"/>
        <v/>
      </c>
      <c r="Q157" s="36">
        <f t="shared" si="65"/>
        <v>-10</v>
      </c>
      <c r="R157" s="36" t="str">
        <f t="shared" si="66"/>
        <v/>
      </c>
      <c r="S157" s="36" t="str">
        <f t="shared" si="67"/>
        <v/>
      </c>
      <c r="T157" s="36">
        <f t="shared" si="68"/>
        <v>0</v>
      </c>
      <c r="U157" s="146" t="str">
        <f ca="1">IF(N('Final Round'!$J$14)&gt;0,IF(ISBLANK($A157),"",IF($N157&gt;5,$N157,VLOOKUP($A157,'Final Round'!$A$14:$K$18,COLUMN('Final Round'!$J$1),0))),"")</f>
        <v/>
      </c>
      <c r="V157" s="36" t="str">
        <f t="shared" ca="1" si="69"/>
        <v/>
      </c>
      <c r="W157" s="36" t="str">
        <f t="shared" si="70"/>
        <v/>
      </c>
      <c r="X157" s="36" t="str">
        <f t="shared" si="71"/>
        <v/>
      </c>
      <c r="Y157" s="36">
        <f t="shared" si="72"/>
        <v>0</v>
      </c>
      <c r="Z157" s="36" t="str">
        <f t="shared" ca="1" si="73"/>
        <v/>
      </c>
      <c r="AA157" s="36">
        <f t="shared" ca="1" si="74"/>
        <v>0</v>
      </c>
      <c r="AB157" s="147" t="str">
        <f>IF(ISBLANK($A157),"",5+4*(I157+IF(AA157=0,0,VLOOKUP($A157,'Final Round'!$A$14:$K$18,COLUMN('Final Round'!$G$1),0)))+8*(H157+IF(AA157=0,0,IF(VLOOKUP($A157,'Final Round'!$A$14:$K$18,COLUMN('Final Round'!$J$1),0)=1,1,0)))+$AA157)</f>
        <v/>
      </c>
    </row>
    <row r="158" spans="1:28" x14ac:dyDescent="0.2">
      <c r="A158" s="111"/>
      <c r="B158" s="112"/>
      <c r="C158" s="112"/>
      <c r="D158" s="112"/>
      <c r="E158" s="113"/>
      <c r="F158" s="114" t="str">
        <f>IF(ISBLANK($A158),"",SUM(IF(ISNA(IF(VLOOKUP($A158,'Round 1'!$A$7:$J$206,COLUMN('Round 1'!$H$7),0),1,NA())),0,1),IF(ISNA(IF(VLOOKUP($A158,'Round 2'!$A$7:$J$206,COLUMN('Round 1'!$H$7),0),1,NA())),0,1),IF(ISNA(IF(VLOOKUP($A158,'Round 3'!$A$7:$J$206,COLUMN('Round 1'!$H$7),0),1,NA())),0,1),IF(ISNA(IF(VLOOKUP($A158,'Final Round'!$A$14:$K$18,1,0),1,NA())),0,1)))</f>
        <v/>
      </c>
      <c r="G158" s="115"/>
      <c r="H158" s="116" t="str">
        <f>IF(ISBLANK($A158),"",IF(ISERROR(VLOOKUP($A158,'Round 1'!$A$7:$I$206,COLUMN('Round 1'!$G$7),0)),0,VLOOKUP($A158,'Round 1'!$A$7:$I$206,COLUMN('Round 1'!$G$7),0))+IF(ISERROR(VLOOKUP($A158,'Round 2'!$A$7:$I$206,COLUMN('Round 2'!$G$7),0)),0,VLOOKUP($A158,'Round 2'!$A$7:$I$206,COLUMN('Round 2'!$G$7),0))+IF(ISERROR(VLOOKUP($A158,'Round 3'!$A$7:$I$206,COLUMN('Round 3'!$G$7),0)),0,VLOOKUP($A158,'Round 3'!$A$7:$I$206,COLUMN('Round 3'!$G$7),0)))</f>
        <v/>
      </c>
      <c r="I158" s="116" t="str">
        <f>IF(ISBLANK($A158),"",IF(ISERROR(VLOOKUP($A158,'Round 1'!$A$7:$I$206,COLUMN('Round 1'!$F$7),0)),0,VLOOKUP($A158,'Round 1'!$A$7:$I$206,COLUMN('Round 1'!$F$7),0))+IF(ISERROR(VLOOKUP($A158,'Round 2'!$A$7:$I$206,COLUMN('Round 2'!$F$7),0)),0,VLOOKUP($A158,'Round 2'!$A$7:$I$206,COLUMN('Round 2'!$F$7),0))+IF(ISERROR(VLOOKUP($A158,'Round 3'!$A$7:$I$206,COLUMN('Round 3'!$F$7),0)),0,VLOOKUP($A158,'Round 3'!$A$7:$I$206,COLUMN('Round 3'!$F$7),0)))</f>
        <v/>
      </c>
      <c r="J158" s="117" t="str">
        <f>IF(ISBLANK($A158),"",IF(ISERROR(VLOOKUP($A158,'Round 1'!$A$7:$I$206,COLUMN('Round 1'!$H$7),0)),0,VLOOKUP($A158,'Round 1'!$A$7:$I$206,COLUMN('Round 1'!$H$7),0))+IF(ISERROR(VLOOKUP($A158,'Round 2'!$A$7:$I$206,COLUMN('Round 2'!$H$7),0)),0,VLOOKUP($A158,'Round 2'!$A$7:$I$206,COLUMN('Round 2'!$H$7),0))+IF(ISERROR(VLOOKUP($A158,'Round 3'!$A$7:$I$206,COLUMN('Round 3'!$H$7),0)),0,VLOOKUP($A158,'Round 3'!$A$7:$I$206,COLUMN('Round 3'!$H$7),0)))</f>
        <v/>
      </c>
      <c r="K158" s="116" t="str">
        <f t="shared" si="60"/>
        <v/>
      </c>
      <c r="L158" s="118" t="str">
        <f t="shared" si="61"/>
        <v/>
      </c>
      <c r="M158" s="119"/>
      <c r="N158" s="120" t="str">
        <f t="shared" si="62"/>
        <v/>
      </c>
      <c r="O158" s="36" t="str">
        <f t="shared" si="63"/>
        <v/>
      </c>
      <c r="P158" s="36" t="str">
        <f t="shared" si="64"/>
        <v/>
      </c>
      <c r="Q158" s="36">
        <f t="shared" si="65"/>
        <v>-10</v>
      </c>
      <c r="R158" s="36" t="str">
        <f t="shared" si="66"/>
        <v/>
      </c>
      <c r="S158" s="36" t="str">
        <f t="shared" si="67"/>
        <v/>
      </c>
      <c r="T158" s="36">
        <f t="shared" si="68"/>
        <v>0</v>
      </c>
      <c r="U158" s="120" t="str">
        <f ca="1">IF(N('Final Round'!$J$14)&gt;0,IF(ISBLANK($A158),"",IF($N158&gt;5,$N158,VLOOKUP($A158,'Final Round'!$A$14:$K$18,COLUMN('Final Round'!$J$1),0))),"")</f>
        <v/>
      </c>
      <c r="V158" s="36" t="str">
        <f t="shared" ca="1" si="69"/>
        <v/>
      </c>
      <c r="W158" s="36" t="str">
        <f t="shared" si="70"/>
        <v/>
      </c>
      <c r="X158" s="36" t="str">
        <f t="shared" si="71"/>
        <v/>
      </c>
      <c r="Y158" s="36">
        <f t="shared" si="72"/>
        <v>0</v>
      </c>
      <c r="Z158" s="36" t="str">
        <f t="shared" ca="1" si="73"/>
        <v/>
      </c>
      <c r="AA158" s="36">
        <f t="shared" ca="1" si="74"/>
        <v>0</v>
      </c>
      <c r="AB158" s="121" t="str">
        <f>IF(ISBLANK($A158),"",5+4*(I158+IF(AA158=0,0,VLOOKUP($A158,'Final Round'!$A$14:$K$18,COLUMN('Final Round'!$G$1),0)))+8*(H158+IF(AA158=0,0,IF(VLOOKUP($A158,'Final Round'!$A$14:$K$18,COLUMN('Final Round'!$J$1),0)=1,1,0)))+$AA158)</f>
        <v/>
      </c>
    </row>
    <row r="159" spans="1:28" x14ac:dyDescent="0.2">
      <c r="A159" s="137"/>
      <c r="B159" s="138"/>
      <c r="C159" s="138"/>
      <c r="D159" s="138"/>
      <c r="E159" s="139"/>
      <c r="F159" s="140" t="str">
        <f>IF(ISBLANK($A159),"",SUM(IF(ISNA(IF(VLOOKUP($A159,'Round 1'!$A$7:$J$206,COLUMN('Round 1'!$H$7),0),1,NA())),0,1),IF(ISNA(IF(VLOOKUP($A159,'Round 2'!$A$7:$J$206,COLUMN('Round 1'!$H$7),0),1,NA())),0,1),IF(ISNA(IF(VLOOKUP($A159,'Round 3'!$A$7:$J$206,COLUMN('Round 1'!$H$7),0),1,NA())),0,1),IF(ISNA(IF(VLOOKUP($A159,'Final Round'!$A$14:$K$18,1,0),1,NA())),0,1)))</f>
        <v/>
      </c>
      <c r="G159" s="141"/>
      <c r="H159" s="142" t="str">
        <f>IF(ISBLANK($A159),"",IF(ISERROR(VLOOKUP($A159,'Round 1'!$A$7:$I$206,COLUMN('Round 1'!$G$7),0)),0,VLOOKUP($A159,'Round 1'!$A$7:$I$206,COLUMN('Round 1'!$G$7),0))+IF(ISERROR(VLOOKUP($A159,'Round 2'!$A$7:$I$206,COLUMN('Round 2'!$G$7),0)),0,VLOOKUP($A159,'Round 2'!$A$7:$I$206,COLUMN('Round 2'!$G$7),0))+IF(ISERROR(VLOOKUP($A159,'Round 3'!$A$7:$I$206,COLUMN('Round 3'!$G$7),0)),0,VLOOKUP($A159,'Round 3'!$A$7:$I$206,COLUMN('Round 3'!$G$7),0)))</f>
        <v/>
      </c>
      <c r="I159" s="142" t="str">
        <f>IF(ISBLANK($A159),"",IF(ISERROR(VLOOKUP($A159,'Round 1'!$A$7:$I$206,COLUMN('Round 1'!$F$7),0)),0,VLOOKUP($A159,'Round 1'!$A$7:$I$206,COLUMN('Round 1'!$F$7),0))+IF(ISERROR(VLOOKUP($A159,'Round 2'!$A$7:$I$206,COLUMN('Round 2'!$F$7),0)),0,VLOOKUP($A159,'Round 2'!$A$7:$I$206,COLUMN('Round 2'!$F$7),0))+IF(ISERROR(VLOOKUP($A159,'Round 3'!$A$7:$I$206,COLUMN('Round 3'!$F$7),0)),0,VLOOKUP($A159,'Round 3'!$A$7:$I$206,COLUMN('Round 3'!$F$7),0)))</f>
        <v/>
      </c>
      <c r="J159" s="143" t="str">
        <f>IF(ISBLANK($A159),"",IF(ISERROR(VLOOKUP($A159,'Round 1'!$A$7:$I$206,COLUMN('Round 1'!$H$7),0)),0,VLOOKUP($A159,'Round 1'!$A$7:$I$206,COLUMN('Round 1'!$H$7),0))+IF(ISERROR(VLOOKUP($A159,'Round 2'!$A$7:$I$206,COLUMN('Round 2'!$H$7),0)),0,VLOOKUP($A159,'Round 2'!$A$7:$I$206,COLUMN('Round 2'!$H$7),0))+IF(ISERROR(VLOOKUP($A159,'Round 3'!$A$7:$I$206,COLUMN('Round 3'!$H$7),0)),0,VLOOKUP($A159,'Round 3'!$A$7:$I$206,COLUMN('Round 3'!$H$7),0)))</f>
        <v/>
      </c>
      <c r="K159" s="142" t="str">
        <f t="shared" si="60"/>
        <v/>
      </c>
      <c r="L159" s="144" t="str">
        <f t="shared" si="61"/>
        <v/>
      </c>
      <c r="M159" s="145"/>
      <c r="N159" s="146" t="str">
        <f t="shared" si="62"/>
        <v/>
      </c>
      <c r="O159" s="36" t="str">
        <f t="shared" si="63"/>
        <v/>
      </c>
      <c r="P159" s="36" t="str">
        <f t="shared" si="64"/>
        <v/>
      </c>
      <c r="Q159" s="36">
        <f t="shared" si="65"/>
        <v>-10</v>
      </c>
      <c r="R159" s="36" t="str">
        <f t="shared" si="66"/>
        <v/>
      </c>
      <c r="S159" s="36" t="str">
        <f t="shared" si="67"/>
        <v/>
      </c>
      <c r="T159" s="36">
        <f t="shared" si="68"/>
        <v>0</v>
      </c>
      <c r="U159" s="146" t="str">
        <f ca="1">IF(N('Final Round'!$J$14)&gt;0,IF(ISBLANK($A159),"",IF($N159&gt;5,$N159,VLOOKUP($A159,'Final Round'!$A$14:$K$18,COLUMN('Final Round'!$J$1),0))),"")</f>
        <v/>
      </c>
      <c r="V159" s="36" t="str">
        <f t="shared" ca="1" si="69"/>
        <v/>
      </c>
      <c r="W159" s="36" t="str">
        <f t="shared" si="70"/>
        <v/>
      </c>
      <c r="X159" s="36" t="str">
        <f t="shared" si="71"/>
        <v/>
      </c>
      <c r="Y159" s="36">
        <f t="shared" si="72"/>
        <v>0</v>
      </c>
      <c r="Z159" s="36" t="str">
        <f t="shared" ca="1" si="73"/>
        <v/>
      </c>
      <c r="AA159" s="36">
        <f t="shared" ca="1" si="74"/>
        <v>0</v>
      </c>
      <c r="AB159" s="147" t="str">
        <f>IF(ISBLANK($A159),"",5+4*(I159+IF(AA159=0,0,VLOOKUP($A159,'Final Round'!$A$14:$K$18,COLUMN('Final Round'!$G$1),0)))+8*(H159+IF(AA159=0,0,IF(VLOOKUP($A159,'Final Round'!$A$14:$K$18,COLUMN('Final Round'!$J$1),0)=1,1,0)))+$AA159)</f>
        <v/>
      </c>
    </row>
    <row r="160" spans="1:28" x14ac:dyDescent="0.2">
      <c r="A160" s="111"/>
      <c r="B160" s="112"/>
      <c r="C160" s="112"/>
      <c r="D160" s="112"/>
      <c r="E160" s="113"/>
      <c r="F160" s="114" t="str">
        <f>IF(ISBLANK($A160),"",SUM(IF(ISNA(IF(VLOOKUP($A160,'Round 1'!$A$7:$J$206,COLUMN('Round 1'!$H$7),0),1,NA())),0,1),IF(ISNA(IF(VLOOKUP($A160,'Round 2'!$A$7:$J$206,COLUMN('Round 1'!$H$7),0),1,NA())),0,1),IF(ISNA(IF(VLOOKUP($A160,'Round 3'!$A$7:$J$206,COLUMN('Round 1'!$H$7),0),1,NA())),0,1),IF(ISNA(IF(VLOOKUP($A160,'Final Round'!$A$14:$K$18,1,0),1,NA())),0,1)))</f>
        <v/>
      </c>
      <c r="G160" s="115"/>
      <c r="H160" s="116" t="str">
        <f>IF(ISBLANK($A160),"",IF(ISERROR(VLOOKUP($A160,'Round 1'!$A$7:$I$206,COLUMN('Round 1'!$G$7),0)),0,VLOOKUP($A160,'Round 1'!$A$7:$I$206,COLUMN('Round 1'!$G$7),0))+IF(ISERROR(VLOOKUP($A160,'Round 2'!$A$7:$I$206,COLUMN('Round 2'!$G$7),0)),0,VLOOKUP($A160,'Round 2'!$A$7:$I$206,COLUMN('Round 2'!$G$7),0))+IF(ISERROR(VLOOKUP($A160,'Round 3'!$A$7:$I$206,COLUMN('Round 3'!$G$7),0)),0,VLOOKUP($A160,'Round 3'!$A$7:$I$206,COLUMN('Round 3'!$G$7),0)))</f>
        <v/>
      </c>
      <c r="I160" s="116" t="str">
        <f>IF(ISBLANK($A160),"",IF(ISERROR(VLOOKUP($A160,'Round 1'!$A$7:$I$206,COLUMN('Round 1'!$F$7),0)),0,VLOOKUP($A160,'Round 1'!$A$7:$I$206,COLUMN('Round 1'!$F$7),0))+IF(ISERROR(VLOOKUP($A160,'Round 2'!$A$7:$I$206,COLUMN('Round 2'!$F$7),0)),0,VLOOKUP($A160,'Round 2'!$A$7:$I$206,COLUMN('Round 2'!$F$7),0))+IF(ISERROR(VLOOKUP($A160,'Round 3'!$A$7:$I$206,COLUMN('Round 3'!$F$7),0)),0,VLOOKUP($A160,'Round 3'!$A$7:$I$206,COLUMN('Round 3'!$F$7),0)))</f>
        <v/>
      </c>
      <c r="J160" s="117" t="str">
        <f>IF(ISBLANK($A160),"",IF(ISERROR(VLOOKUP($A160,'Round 1'!$A$7:$I$206,COLUMN('Round 1'!$H$7),0)),0,VLOOKUP($A160,'Round 1'!$A$7:$I$206,COLUMN('Round 1'!$H$7),0))+IF(ISERROR(VLOOKUP($A160,'Round 2'!$A$7:$I$206,COLUMN('Round 2'!$H$7),0)),0,VLOOKUP($A160,'Round 2'!$A$7:$I$206,COLUMN('Round 2'!$H$7),0))+IF(ISERROR(VLOOKUP($A160,'Round 3'!$A$7:$I$206,COLUMN('Round 3'!$H$7),0)),0,VLOOKUP($A160,'Round 3'!$A$7:$I$206,COLUMN('Round 3'!$H$7),0)))</f>
        <v/>
      </c>
      <c r="K160" s="116" t="str">
        <f t="shared" si="60"/>
        <v/>
      </c>
      <c r="L160" s="118" t="str">
        <f t="shared" si="61"/>
        <v/>
      </c>
      <c r="M160" s="119"/>
      <c r="N160" s="120" t="str">
        <f t="shared" si="62"/>
        <v/>
      </c>
      <c r="O160" s="36" t="str">
        <f t="shared" si="63"/>
        <v/>
      </c>
      <c r="P160" s="36" t="str">
        <f t="shared" si="64"/>
        <v/>
      </c>
      <c r="Q160" s="36">
        <f t="shared" si="65"/>
        <v>-10</v>
      </c>
      <c r="R160" s="36" t="str">
        <f t="shared" si="66"/>
        <v/>
      </c>
      <c r="S160" s="36" t="str">
        <f t="shared" si="67"/>
        <v/>
      </c>
      <c r="T160" s="36">
        <f t="shared" si="68"/>
        <v>0</v>
      </c>
      <c r="U160" s="120" t="str">
        <f ca="1">IF(N('Final Round'!$J$14)&gt;0,IF(ISBLANK($A160),"",IF($N160&gt;5,$N160,VLOOKUP($A160,'Final Round'!$A$14:$K$18,COLUMN('Final Round'!$J$1),0))),"")</f>
        <v/>
      </c>
      <c r="V160" s="36" t="str">
        <f t="shared" ca="1" si="69"/>
        <v/>
      </c>
      <c r="W160" s="36" t="str">
        <f t="shared" si="70"/>
        <v/>
      </c>
      <c r="X160" s="36" t="str">
        <f t="shared" si="71"/>
        <v/>
      </c>
      <c r="Y160" s="36">
        <f t="shared" si="72"/>
        <v>0</v>
      </c>
      <c r="Z160" s="36" t="str">
        <f t="shared" ca="1" si="73"/>
        <v/>
      </c>
      <c r="AA160" s="36">
        <f t="shared" ca="1" si="74"/>
        <v>0</v>
      </c>
      <c r="AB160" s="121" t="str">
        <f>IF(ISBLANK($A160),"",5+4*(I160+IF(AA160=0,0,VLOOKUP($A160,'Final Round'!$A$14:$K$18,COLUMN('Final Round'!$G$1),0)))+8*(H160+IF(AA160=0,0,IF(VLOOKUP($A160,'Final Round'!$A$14:$K$18,COLUMN('Final Round'!$J$1),0)=1,1,0)))+$AA160)</f>
        <v/>
      </c>
    </row>
    <row r="161" spans="1:28" x14ac:dyDescent="0.2">
      <c r="A161" s="137"/>
      <c r="B161" s="138"/>
      <c r="C161" s="138"/>
      <c r="D161" s="138"/>
      <c r="E161" s="139"/>
      <c r="F161" s="140" t="str">
        <f>IF(ISBLANK($A161),"",SUM(IF(ISNA(IF(VLOOKUP($A161,'Round 1'!$A$7:$J$206,COLUMN('Round 1'!$H$7),0),1,NA())),0,1),IF(ISNA(IF(VLOOKUP($A161,'Round 2'!$A$7:$J$206,COLUMN('Round 1'!$H$7),0),1,NA())),0,1),IF(ISNA(IF(VLOOKUP($A161,'Round 3'!$A$7:$J$206,COLUMN('Round 1'!$H$7),0),1,NA())),0,1),IF(ISNA(IF(VLOOKUP($A161,'Final Round'!$A$14:$K$18,1,0),1,NA())),0,1)))</f>
        <v/>
      </c>
      <c r="G161" s="141"/>
      <c r="H161" s="142" t="str">
        <f>IF(ISBLANK($A161),"",IF(ISERROR(VLOOKUP($A161,'Round 1'!$A$7:$I$206,COLUMN('Round 1'!$G$7),0)),0,VLOOKUP($A161,'Round 1'!$A$7:$I$206,COLUMN('Round 1'!$G$7),0))+IF(ISERROR(VLOOKUP($A161,'Round 2'!$A$7:$I$206,COLUMN('Round 2'!$G$7),0)),0,VLOOKUP($A161,'Round 2'!$A$7:$I$206,COLUMN('Round 2'!$G$7),0))+IF(ISERROR(VLOOKUP($A161,'Round 3'!$A$7:$I$206,COLUMN('Round 3'!$G$7),0)),0,VLOOKUP($A161,'Round 3'!$A$7:$I$206,COLUMN('Round 3'!$G$7),0)))</f>
        <v/>
      </c>
      <c r="I161" s="142" t="str">
        <f>IF(ISBLANK($A161),"",IF(ISERROR(VLOOKUP($A161,'Round 1'!$A$7:$I$206,COLUMN('Round 1'!$F$7),0)),0,VLOOKUP($A161,'Round 1'!$A$7:$I$206,COLUMN('Round 1'!$F$7),0))+IF(ISERROR(VLOOKUP($A161,'Round 2'!$A$7:$I$206,COLUMN('Round 2'!$F$7),0)),0,VLOOKUP($A161,'Round 2'!$A$7:$I$206,COLUMN('Round 2'!$F$7),0))+IF(ISERROR(VLOOKUP($A161,'Round 3'!$A$7:$I$206,COLUMN('Round 3'!$F$7),0)),0,VLOOKUP($A161,'Round 3'!$A$7:$I$206,COLUMN('Round 3'!$F$7),0)))</f>
        <v/>
      </c>
      <c r="J161" s="143" t="str">
        <f>IF(ISBLANK($A161),"",IF(ISERROR(VLOOKUP($A161,'Round 1'!$A$7:$I$206,COLUMN('Round 1'!$H$7),0)),0,VLOOKUP($A161,'Round 1'!$A$7:$I$206,COLUMN('Round 1'!$H$7),0))+IF(ISERROR(VLOOKUP($A161,'Round 2'!$A$7:$I$206,COLUMN('Round 2'!$H$7),0)),0,VLOOKUP($A161,'Round 2'!$A$7:$I$206,COLUMN('Round 2'!$H$7),0))+IF(ISERROR(VLOOKUP($A161,'Round 3'!$A$7:$I$206,COLUMN('Round 3'!$H$7),0)),0,VLOOKUP($A161,'Round 3'!$A$7:$I$206,COLUMN('Round 3'!$H$7),0)))</f>
        <v/>
      </c>
      <c r="K161" s="142" t="str">
        <f t="shared" si="60"/>
        <v/>
      </c>
      <c r="L161" s="144" t="str">
        <f t="shared" si="61"/>
        <v/>
      </c>
      <c r="M161" s="145"/>
      <c r="N161" s="146" t="str">
        <f t="shared" si="62"/>
        <v/>
      </c>
      <c r="O161" s="36" t="str">
        <f t="shared" si="63"/>
        <v/>
      </c>
      <c r="P161" s="36" t="str">
        <f t="shared" si="64"/>
        <v/>
      </c>
      <c r="Q161" s="36">
        <f t="shared" si="65"/>
        <v>-10</v>
      </c>
      <c r="R161" s="36" t="str">
        <f t="shared" si="66"/>
        <v/>
      </c>
      <c r="S161" s="36" t="str">
        <f t="shared" si="67"/>
        <v/>
      </c>
      <c r="T161" s="36">
        <f t="shared" si="68"/>
        <v>0</v>
      </c>
      <c r="U161" s="146" t="str">
        <f ca="1">IF(N('Final Round'!$J$14)&gt;0,IF(ISBLANK($A161),"",IF($N161&gt;5,$N161,VLOOKUP($A161,'Final Round'!$A$14:$K$18,COLUMN('Final Round'!$J$1),0))),"")</f>
        <v/>
      </c>
      <c r="V161" s="36" t="str">
        <f t="shared" ca="1" si="69"/>
        <v/>
      </c>
      <c r="W161" s="36" t="str">
        <f t="shared" si="70"/>
        <v/>
      </c>
      <c r="X161" s="36" t="str">
        <f t="shared" si="71"/>
        <v/>
      </c>
      <c r="Y161" s="36">
        <f t="shared" si="72"/>
        <v>0</v>
      </c>
      <c r="Z161" s="36" t="str">
        <f t="shared" ca="1" si="73"/>
        <v/>
      </c>
      <c r="AA161" s="36">
        <f t="shared" ca="1" si="74"/>
        <v>0</v>
      </c>
      <c r="AB161" s="147" t="str">
        <f>IF(ISBLANK($A161),"",5+4*(I161+IF(AA161=0,0,VLOOKUP($A161,'Final Round'!$A$14:$K$18,COLUMN('Final Round'!$G$1),0)))+8*(H161+IF(AA161=0,0,IF(VLOOKUP($A161,'Final Round'!$A$14:$K$18,COLUMN('Final Round'!$J$1),0)=1,1,0)))+$AA161)</f>
        <v/>
      </c>
    </row>
    <row r="162" spans="1:28" x14ac:dyDescent="0.2">
      <c r="A162" s="111"/>
      <c r="B162" s="112"/>
      <c r="C162" s="112"/>
      <c r="D162" s="112"/>
      <c r="E162" s="113"/>
      <c r="F162" s="114" t="str">
        <f>IF(ISBLANK($A162),"",SUM(IF(ISNA(IF(VLOOKUP($A162,'Round 1'!$A$7:$J$206,COLUMN('Round 1'!$H$7),0),1,NA())),0,1),IF(ISNA(IF(VLOOKUP($A162,'Round 2'!$A$7:$J$206,COLUMN('Round 1'!$H$7),0),1,NA())),0,1),IF(ISNA(IF(VLOOKUP($A162,'Round 3'!$A$7:$J$206,COLUMN('Round 1'!$H$7),0),1,NA())),0,1),IF(ISNA(IF(VLOOKUP($A162,'Final Round'!$A$14:$K$18,1,0),1,NA())),0,1)))</f>
        <v/>
      </c>
      <c r="G162" s="115"/>
      <c r="H162" s="116" t="str">
        <f>IF(ISBLANK($A162),"",IF(ISERROR(VLOOKUP($A162,'Round 1'!$A$7:$I$206,COLUMN('Round 1'!$G$7),0)),0,VLOOKUP($A162,'Round 1'!$A$7:$I$206,COLUMN('Round 1'!$G$7),0))+IF(ISERROR(VLOOKUP($A162,'Round 2'!$A$7:$I$206,COLUMN('Round 2'!$G$7),0)),0,VLOOKUP($A162,'Round 2'!$A$7:$I$206,COLUMN('Round 2'!$G$7),0))+IF(ISERROR(VLOOKUP($A162,'Round 3'!$A$7:$I$206,COLUMN('Round 3'!$G$7),0)),0,VLOOKUP($A162,'Round 3'!$A$7:$I$206,COLUMN('Round 3'!$G$7),0)))</f>
        <v/>
      </c>
      <c r="I162" s="116" t="str">
        <f>IF(ISBLANK($A162),"",IF(ISERROR(VLOOKUP($A162,'Round 1'!$A$7:$I$206,COLUMN('Round 1'!$F$7),0)),0,VLOOKUP($A162,'Round 1'!$A$7:$I$206,COLUMN('Round 1'!$F$7),0))+IF(ISERROR(VLOOKUP($A162,'Round 2'!$A$7:$I$206,COLUMN('Round 2'!$F$7),0)),0,VLOOKUP($A162,'Round 2'!$A$7:$I$206,COLUMN('Round 2'!$F$7),0))+IF(ISERROR(VLOOKUP($A162,'Round 3'!$A$7:$I$206,COLUMN('Round 3'!$F$7),0)),0,VLOOKUP($A162,'Round 3'!$A$7:$I$206,COLUMN('Round 3'!$F$7),0)))</f>
        <v/>
      </c>
      <c r="J162" s="117" t="str">
        <f>IF(ISBLANK($A162),"",IF(ISERROR(VLOOKUP($A162,'Round 1'!$A$7:$I$206,COLUMN('Round 1'!$H$7),0)),0,VLOOKUP($A162,'Round 1'!$A$7:$I$206,COLUMN('Round 1'!$H$7),0))+IF(ISERROR(VLOOKUP($A162,'Round 2'!$A$7:$I$206,COLUMN('Round 2'!$H$7),0)),0,VLOOKUP($A162,'Round 2'!$A$7:$I$206,COLUMN('Round 2'!$H$7),0))+IF(ISERROR(VLOOKUP($A162,'Round 3'!$A$7:$I$206,COLUMN('Round 3'!$H$7),0)),0,VLOOKUP($A162,'Round 3'!$A$7:$I$206,COLUMN('Round 3'!$H$7),0)))</f>
        <v/>
      </c>
      <c r="K162" s="116" t="str">
        <f t="shared" si="60"/>
        <v/>
      </c>
      <c r="L162" s="118" t="str">
        <f t="shared" si="61"/>
        <v/>
      </c>
      <c r="M162" s="119"/>
      <c r="N162" s="120" t="str">
        <f t="shared" si="62"/>
        <v/>
      </c>
      <c r="O162" s="36" t="str">
        <f t="shared" si="63"/>
        <v/>
      </c>
      <c r="P162" s="36" t="str">
        <f t="shared" si="64"/>
        <v/>
      </c>
      <c r="Q162" s="36">
        <f t="shared" si="65"/>
        <v>-10</v>
      </c>
      <c r="R162" s="36" t="str">
        <f t="shared" si="66"/>
        <v/>
      </c>
      <c r="S162" s="36" t="str">
        <f t="shared" si="67"/>
        <v/>
      </c>
      <c r="T162" s="36">
        <f t="shared" si="68"/>
        <v>0</v>
      </c>
      <c r="U162" s="120" t="str">
        <f ca="1">IF(N('Final Round'!$J$14)&gt;0,IF(ISBLANK($A162),"",IF($N162&gt;5,$N162,VLOOKUP($A162,'Final Round'!$A$14:$K$18,COLUMN('Final Round'!$J$1),0))),"")</f>
        <v/>
      </c>
      <c r="V162" s="36" t="str">
        <f t="shared" ca="1" si="69"/>
        <v/>
      </c>
      <c r="W162" s="36" t="str">
        <f t="shared" si="70"/>
        <v/>
      </c>
      <c r="X162" s="36" t="str">
        <f t="shared" si="71"/>
        <v/>
      </c>
      <c r="Y162" s="36">
        <f t="shared" si="72"/>
        <v>0</v>
      </c>
      <c r="Z162" s="36" t="str">
        <f t="shared" ca="1" si="73"/>
        <v/>
      </c>
      <c r="AA162" s="36">
        <f t="shared" ca="1" si="74"/>
        <v>0</v>
      </c>
      <c r="AB162" s="121" t="str">
        <f>IF(ISBLANK($A162),"",5+4*(I162+IF(AA162=0,0,VLOOKUP($A162,'Final Round'!$A$14:$K$18,COLUMN('Final Round'!$G$1),0)))+8*(H162+IF(AA162=0,0,IF(VLOOKUP($A162,'Final Round'!$A$14:$K$18,COLUMN('Final Round'!$J$1),0)=1,1,0)))+$AA162)</f>
        <v/>
      </c>
    </row>
    <row r="163" spans="1:28" x14ac:dyDescent="0.2">
      <c r="A163" s="137"/>
      <c r="B163" s="138"/>
      <c r="C163" s="138"/>
      <c r="D163" s="138"/>
      <c r="E163" s="139"/>
      <c r="F163" s="140" t="str">
        <f>IF(ISBLANK($A163),"",SUM(IF(ISNA(IF(VLOOKUP($A163,'Round 1'!$A$7:$J$206,COLUMN('Round 1'!$H$7),0),1,NA())),0,1),IF(ISNA(IF(VLOOKUP($A163,'Round 2'!$A$7:$J$206,COLUMN('Round 1'!$H$7),0),1,NA())),0,1),IF(ISNA(IF(VLOOKUP($A163,'Round 3'!$A$7:$J$206,COLUMN('Round 1'!$H$7),0),1,NA())),0,1),IF(ISNA(IF(VLOOKUP($A163,'Final Round'!$A$14:$K$18,1,0),1,NA())),0,1)))</f>
        <v/>
      </c>
      <c r="G163" s="141"/>
      <c r="H163" s="142" t="str">
        <f>IF(ISBLANK($A163),"",IF(ISERROR(VLOOKUP($A163,'Round 1'!$A$7:$I$206,COLUMN('Round 1'!$G$7),0)),0,VLOOKUP($A163,'Round 1'!$A$7:$I$206,COLUMN('Round 1'!$G$7),0))+IF(ISERROR(VLOOKUP($A163,'Round 2'!$A$7:$I$206,COLUMN('Round 2'!$G$7),0)),0,VLOOKUP($A163,'Round 2'!$A$7:$I$206,COLUMN('Round 2'!$G$7),0))+IF(ISERROR(VLOOKUP($A163,'Round 3'!$A$7:$I$206,COLUMN('Round 3'!$G$7),0)),0,VLOOKUP($A163,'Round 3'!$A$7:$I$206,COLUMN('Round 3'!$G$7),0)))</f>
        <v/>
      </c>
      <c r="I163" s="142" t="str">
        <f>IF(ISBLANK($A163),"",IF(ISERROR(VLOOKUP($A163,'Round 1'!$A$7:$I$206,COLUMN('Round 1'!$F$7),0)),0,VLOOKUP($A163,'Round 1'!$A$7:$I$206,COLUMN('Round 1'!$F$7),0))+IF(ISERROR(VLOOKUP($A163,'Round 2'!$A$7:$I$206,COLUMN('Round 2'!$F$7),0)),0,VLOOKUP($A163,'Round 2'!$A$7:$I$206,COLUMN('Round 2'!$F$7),0))+IF(ISERROR(VLOOKUP($A163,'Round 3'!$A$7:$I$206,COLUMN('Round 3'!$F$7),0)),0,VLOOKUP($A163,'Round 3'!$A$7:$I$206,COLUMN('Round 3'!$F$7),0)))</f>
        <v/>
      </c>
      <c r="J163" s="143" t="str">
        <f>IF(ISBLANK($A163),"",IF(ISERROR(VLOOKUP($A163,'Round 1'!$A$7:$I$206,COLUMN('Round 1'!$H$7),0)),0,VLOOKUP($A163,'Round 1'!$A$7:$I$206,COLUMN('Round 1'!$H$7),0))+IF(ISERROR(VLOOKUP($A163,'Round 2'!$A$7:$I$206,COLUMN('Round 2'!$H$7),0)),0,VLOOKUP($A163,'Round 2'!$A$7:$I$206,COLUMN('Round 2'!$H$7),0))+IF(ISERROR(VLOOKUP($A163,'Round 3'!$A$7:$I$206,COLUMN('Round 3'!$H$7),0)),0,VLOOKUP($A163,'Round 3'!$A$7:$I$206,COLUMN('Round 3'!$H$7),0)))</f>
        <v/>
      </c>
      <c r="K163" s="142" t="str">
        <f t="shared" si="60"/>
        <v/>
      </c>
      <c r="L163" s="144" t="str">
        <f t="shared" si="61"/>
        <v/>
      </c>
      <c r="M163" s="145"/>
      <c r="N163" s="146" t="str">
        <f t="shared" si="62"/>
        <v/>
      </c>
      <c r="O163" s="36" t="str">
        <f t="shared" si="63"/>
        <v/>
      </c>
      <c r="P163" s="36" t="str">
        <f t="shared" si="64"/>
        <v/>
      </c>
      <c r="Q163" s="36">
        <f t="shared" si="65"/>
        <v>-10</v>
      </c>
      <c r="R163" s="36" t="str">
        <f t="shared" si="66"/>
        <v/>
      </c>
      <c r="S163" s="36" t="str">
        <f t="shared" si="67"/>
        <v/>
      </c>
      <c r="T163" s="36">
        <f t="shared" si="68"/>
        <v>0</v>
      </c>
      <c r="U163" s="146" t="str">
        <f ca="1">IF(N('Final Round'!$J$14)&gt;0,IF(ISBLANK($A163),"",IF($N163&gt;5,$N163,VLOOKUP($A163,'Final Round'!$A$14:$K$18,COLUMN('Final Round'!$J$1),0))),"")</f>
        <v/>
      </c>
      <c r="V163" s="36" t="str">
        <f t="shared" ca="1" si="69"/>
        <v/>
      </c>
      <c r="W163" s="36" t="str">
        <f t="shared" si="70"/>
        <v/>
      </c>
      <c r="X163" s="36" t="str">
        <f t="shared" si="71"/>
        <v/>
      </c>
      <c r="Y163" s="36">
        <f t="shared" si="72"/>
        <v>0</v>
      </c>
      <c r="Z163" s="36" t="str">
        <f t="shared" ca="1" si="73"/>
        <v/>
      </c>
      <c r="AA163" s="36">
        <f t="shared" ca="1" si="74"/>
        <v>0</v>
      </c>
      <c r="AB163" s="147" t="str">
        <f>IF(ISBLANK($A163),"",5+4*(I163+IF(AA163=0,0,VLOOKUP($A163,'Final Round'!$A$14:$K$18,COLUMN('Final Round'!$G$1),0)))+8*(H163+IF(AA163=0,0,IF(VLOOKUP($A163,'Final Round'!$A$14:$K$18,COLUMN('Final Round'!$J$1),0)=1,1,0)))+$AA163)</f>
        <v/>
      </c>
    </row>
    <row r="164" spans="1:28" x14ac:dyDescent="0.2">
      <c r="A164" s="111"/>
      <c r="B164" s="112"/>
      <c r="C164" s="112"/>
      <c r="D164" s="112"/>
      <c r="E164" s="113"/>
      <c r="F164" s="114" t="str">
        <f>IF(ISBLANK($A164),"",SUM(IF(ISNA(IF(VLOOKUP($A164,'Round 1'!$A$7:$J$206,COLUMN('Round 1'!$H$7),0),1,NA())),0,1),IF(ISNA(IF(VLOOKUP($A164,'Round 2'!$A$7:$J$206,COLUMN('Round 1'!$H$7),0),1,NA())),0,1),IF(ISNA(IF(VLOOKUP($A164,'Round 3'!$A$7:$J$206,COLUMN('Round 1'!$H$7),0),1,NA())),0,1),IF(ISNA(IF(VLOOKUP($A164,'Final Round'!$A$14:$K$18,1,0),1,NA())),0,1)))</f>
        <v/>
      </c>
      <c r="G164" s="115"/>
      <c r="H164" s="116" t="str">
        <f>IF(ISBLANK($A164),"",IF(ISERROR(VLOOKUP($A164,'Round 1'!$A$7:$I$206,COLUMN('Round 1'!$G$7),0)),0,VLOOKUP($A164,'Round 1'!$A$7:$I$206,COLUMN('Round 1'!$G$7),0))+IF(ISERROR(VLOOKUP($A164,'Round 2'!$A$7:$I$206,COLUMN('Round 2'!$G$7),0)),0,VLOOKUP($A164,'Round 2'!$A$7:$I$206,COLUMN('Round 2'!$G$7),0))+IF(ISERROR(VLOOKUP($A164,'Round 3'!$A$7:$I$206,COLUMN('Round 3'!$G$7),0)),0,VLOOKUP($A164,'Round 3'!$A$7:$I$206,COLUMN('Round 3'!$G$7),0)))</f>
        <v/>
      </c>
      <c r="I164" s="116" t="str">
        <f>IF(ISBLANK($A164),"",IF(ISERROR(VLOOKUP($A164,'Round 1'!$A$7:$I$206,COLUMN('Round 1'!$F$7),0)),0,VLOOKUP($A164,'Round 1'!$A$7:$I$206,COLUMN('Round 1'!$F$7),0))+IF(ISERROR(VLOOKUP($A164,'Round 2'!$A$7:$I$206,COLUMN('Round 2'!$F$7),0)),0,VLOOKUP($A164,'Round 2'!$A$7:$I$206,COLUMN('Round 2'!$F$7),0))+IF(ISERROR(VLOOKUP($A164,'Round 3'!$A$7:$I$206,COLUMN('Round 3'!$F$7),0)),0,VLOOKUP($A164,'Round 3'!$A$7:$I$206,COLUMN('Round 3'!$F$7),0)))</f>
        <v/>
      </c>
      <c r="J164" s="117" t="str">
        <f>IF(ISBLANK($A164),"",IF(ISERROR(VLOOKUP($A164,'Round 1'!$A$7:$I$206,COLUMN('Round 1'!$H$7),0)),0,VLOOKUP($A164,'Round 1'!$A$7:$I$206,COLUMN('Round 1'!$H$7),0))+IF(ISERROR(VLOOKUP($A164,'Round 2'!$A$7:$I$206,COLUMN('Round 2'!$H$7),0)),0,VLOOKUP($A164,'Round 2'!$A$7:$I$206,COLUMN('Round 2'!$H$7),0))+IF(ISERROR(VLOOKUP($A164,'Round 3'!$A$7:$I$206,COLUMN('Round 3'!$H$7),0)),0,VLOOKUP($A164,'Round 3'!$A$7:$I$206,COLUMN('Round 3'!$H$7),0)))</f>
        <v/>
      </c>
      <c r="K164" s="116" t="str">
        <f t="shared" si="60"/>
        <v/>
      </c>
      <c r="L164" s="118" t="str">
        <f t="shared" si="61"/>
        <v/>
      </c>
      <c r="M164" s="119"/>
      <c r="N164" s="120" t="str">
        <f t="shared" si="62"/>
        <v/>
      </c>
      <c r="O164" s="36" t="str">
        <f t="shared" si="63"/>
        <v/>
      </c>
      <c r="P164" s="36" t="str">
        <f t="shared" si="64"/>
        <v/>
      </c>
      <c r="Q164" s="36">
        <f t="shared" si="65"/>
        <v>-10</v>
      </c>
      <c r="R164" s="36" t="str">
        <f t="shared" si="66"/>
        <v/>
      </c>
      <c r="S164" s="36" t="str">
        <f t="shared" si="67"/>
        <v/>
      </c>
      <c r="T164" s="36">
        <f t="shared" si="68"/>
        <v>0</v>
      </c>
      <c r="U164" s="120" t="str">
        <f ca="1">IF(N('Final Round'!$J$14)&gt;0,IF(ISBLANK($A164),"",IF($N164&gt;5,$N164,VLOOKUP($A164,'Final Round'!$A$14:$K$18,COLUMN('Final Round'!$J$1),0))),"")</f>
        <v/>
      </c>
      <c r="V164" s="36" t="str">
        <f t="shared" ca="1" si="69"/>
        <v/>
      </c>
      <c r="W164" s="36" t="str">
        <f t="shared" si="70"/>
        <v/>
      </c>
      <c r="X164" s="36" t="str">
        <f t="shared" si="71"/>
        <v/>
      </c>
      <c r="Y164" s="36">
        <f t="shared" si="72"/>
        <v>0</v>
      </c>
      <c r="Z164" s="36" t="str">
        <f t="shared" ca="1" si="73"/>
        <v/>
      </c>
      <c r="AA164" s="36">
        <f t="shared" ca="1" si="74"/>
        <v>0</v>
      </c>
      <c r="AB164" s="121" t="str">
        <f>IF(ISBLANK($A164),"",5+4*(I164+IF(AA164=0,0,VLOOKUP($A164,'Final Round'!$A$14:$K$18,COLUMN('Final Round'!$G$1),0)))+8*(H164+IF(AA164=0,0,IF(VLOOKUP($A164,'Final Round'!$A$14:$K$18,COLUMN('Final Round'!$J$1),0)=1,1,0)))+$AA164)</f>
        <v/>
      </c>
    </row>
    <row r="165" spans="1:28" x14ac:dyDescent="0.2">
      <c r="A165" s="137"/>
      <c r="B165" s="138"/>
      <c r="C165" s="138"/>
      <c r="D165" s="138"/>
      <c r="E165" s="139"/>
      <c r="F165" s="140" t="str">
        <f>IF(ISBLANK($A165),"",SUM(IF(ISNA(IF(VLOOKUP($A165,'Round 1'!$A$7:$J$206,COLUMN('Round 1'!$H$7),0),1,NA())),0,1),IF(ISNA(IF(VLOOKUP($A165,'Round 2'!$A$7:$J$206,COLUMN('Round 1'!$H$7),0),1,NA())),0,1),IF(ISNA(IF(VLOOKUP($A165,'Round 3'!$A$7:$J$206,COLUMN('Round 1'!$H$7),0),1,NA())),0,1),IF(ISNA(IF(VLOOKUP($A165,'Final Round'!$A$14:$K$18,1,0),1,NA())),0,1)))</f>
        <v/>
      </c>
      <c r="G165" s="141"/>
      <c r="H165" s="142" t="str">
        <f>IF(ISBLANK($A165),"",IF(ISERROR(VLOOKUP($A165,'Round 1'!$A$7:$I$206,COLUMN('Round 1'!$G$7),0)),0,VLOOKUP($A165,'Round 1'!$A$7:$I$206,COLUMN('Round 1'!$G$7),0))+IF(ISERROR(VLOOKUP($A165,'Round 2'!$A$7:$I$206,COLUMN('Round 2'!$G$7),0)),0,VLOOKUP($A165,'Round 2'!$A$7:$I$206,COLUMN('Round 2'!$G$7),0))+IF(ISERROR(VLOOKUP($A165,'Round 3'!$A$7:$I$206,COLUMN('Round 3'!$G$7),0)),0,VLOOKUP($A165,'Round 3'!$A$7:$I$206,COLUMN('Round 3'!$G$7),0)))</f>
        <v/>
      </c>
      <c r="I165" s="142" t="str">
        <f>IF(ISBLANK($A165),"",IF(ISERROR(VLOOKUP($A165,'Round 1'!$A$7:$I$206,COLUMN('Round 1'!$F$7),0)),0,VLOOKUP($A165,'Round 1'!$A$7:$I$206,COLUMN('Round 1'!$F$7),0))+IF(ISERROR(VLOOKUP($A165,'Round 2'!$A$7:$I$206,COLUMN('Round 2'!$F$7),0)),0,VLOOKUP($A165,'Round 2'!$A$7:$I$206,COLUMN('Round 2'!$F$7),0))+IF(ISERROR(VLOOKUP($A165,'Round 3'!$A$7:$I$206,COLUMN('Round 3'!$F$7),0)),0,VLOOKUP($A165,'Round 3'!$A$7:$I$206,COLUMN('Round 3'!$F$7),0)))</f>
        <v/>
      </c>
      <c r="J165" s="143" t="str">
        <f>IF(ISBLANK($A165),"",IF(ISERROR(VLOOKUP($A165,'Round 1'!$A$7:$I$206,COLUMN('Round 1'!$H$7),0)),0,VLOOKUP($A165,'Round 1'!$A$7:$I$206,COLUMN('Round 1'!$H$7),0))+IF(ISERROR(VLOOKUP($A165,'Round 2'!$A$7:$I$206,COLUMN('Round 2'!$H$7),0)),0,VLOOKUP($A165,'Round 2'!$A$7:$I$206,COLUMN('Round 2'!$H$7),0))+IF(ISERROR(VLOOKUP($A165,'Round 3'!$A$7:$I$206,COLUMN('Round 3'!$H$7),0)),0,VLOOKUP($A165,'Round 3'!$A$7:$I$206,COLUMN('Round 3'!$H$7),0)))</f>
        <v/>
      </c>
      <c r="K165" s="142" t="str">
        <f t="shared" si="60"/>
        <v/>
      </c>
      <c r="L165" s="144" t="str">
        <f t="shared" si="61"/>
        <v/>
      </c>
      <c r="M165" s="145"/>
      <c r="N165" s="146" t="str">
        <f t="shared" si="62"/>
        <v/>
      </c>
      <c r="O165" s="36" t="str">
        <f t="shared" si="63"/>
        <v/>
      </c>
      <c r="P165" s="36" t="str">
        <f t="shared" si="64"/>
        <v/>
      </c>
      <c r="Q165" s="36">
        <f t="shared" si="65"/>
        <v>-10</v>
      </c>
      <c r="R165" s="36" t="str">
        <f t="shared" si="66"/>
        <v/>
      </c>
      <c r="S165" s="36" t="str">
        <f t="shared" si="67"/>
        <v/>
      </c>
      <c r="T165" s="36">
        <f t="shared" si="68"/>
        <v>0</v>
      </c>
      <c r="U165" s="146" t="str">
        <f ca="1">IF(N('Final Round'!$J$14)&gt;0,IF(ISBLANK($A165),"",IF($N165&gt;5,$N165,VLOOKUP($A165,'Final Round'!$A$14:$K$18,COLUMN('Final Round'!$J$1),0))),"")</f>
        <v/>
      </c>
      <c r="V165" s="36" t="str">
        <f t="shared" ca="1" si="69"/>
        <v/>
      </c>
      <c r="W165" s="36" t="str">
        <f t="shared" si="70"/>
        <v/>
      </c>
      <c r="X165" s="36" t="str">
        <f t="shared" si="71"/>
        <v/>
      </c>
      <c r="Y165" s="36">
        <f t="shared" si="72"/>
        <v>0</v>
      </c>
      <c r="Z165" s="36" t="str">
        <f t="shared" ca="1" si="73"/>
        <v/>
      </c>
      <c r="AA165" s="36">
        <f t="shared" ca="1" si="74"/>
        <v>0</v>
      </c>
      <c r="AB165" s="147" t="str">
        <f>IF(ISBLANK($A165),"",5+4*(I165+IF(AA165=0,0,VLOOKUP($A165,'Final Round'!$A$14:$K$18,COLUMN('Final Round'!$G$1),0)))+8*(H165+IF(AA165=0,0,IF(VLOOKUP($A165,'Final Round'!$A$14:$K$18,COLUMN('Final Round'!$J$1),0)=1,1,0)))+$AA165)</f>
        <v/>
      </c>
    </row>
    <row r="166" spans="1:28" x14ac:dyDescent="0.2">
      <c r="A166" s="111"/>
      <c r="B166" s="112"/>
      <c r="C166" s="112"/>
      <c r="D166" s="112"/>
      <c r="E166" s="113"/>
      <c r="F166" s="114" t="str">
        <f>IF(ISBLANK($A166),"",SUM(IF(ISNA(IF(VLOOKUP($A166,'Round 1'!$A$7:$J$206,COLUMN('Round 1'!$H$7),0),1,NA())),0,1),IF(ISNA(IF(VLOOKUP($A166,'Round 2'!$A$7:$J$206,COLUMN('Round 1'!$H$7),0),1,NA())),0,1),IF(ISNA(IF(VLOOKUP($A166,'Round 3'!$A$7:$J$206,COLUMN('Round 1'!$H$7),0),1,NA())),0,1),IF(ISNA(IF(VLOOKUP($A166,'Final Round'!$A$14:$K$18,1,0),1,NA())),0,1)))</f>
        <v/>
      </c>
      <c r="G166" s="115"/>
      <c r="H166" s="116" t="str">
        <f>IF(ISBLANK($A166),"",IF(ISERROR(VLOOKUP($A166,'Round 1'!$A$7:$I$206,COLUMN('Round 1'!$G$7),0)),0,VLOOKUP($A166,'Round 1'!$A$7:$I$206,COLUMN('Round 1'!$G$7),0))+IF(ISERROR(VLOOKUP($A166,'Round 2'!$A$7:$I$206,COLUMN('Round 2'!$G$7),0)),0,VLOOKUP($A166,'Round 2'!$A$7:$I$206,COLUMN('Round 2'!$G$7),0))+IF(ISERROR(VLOOKUP($A166,'Round 3'!$A$7:$I$206,COLUMN('Round 3'!$G$7),0)),0,VLOOKUP($A166,'Round 3'!$A$7:$I$206,COLUMN('Round 3'!$G$7),0)))</f>
        <v/>
      </c>
      <c r="I166" s="116" t="str">
        <f>IF(ISBLANK($A166),"",IF(ISERROR(VLOOKUP($A166,'Round 1'!$A$7:$I$206,COLUMN('Round 1'!$F$7),0)),0,VLOOKUP($A166,'Round 1'!$A$7:$I$206,COLUMN('Round 1'!$F$7),0))+IF(ISERROR(VLOOKUP($A166,'Round 2'!$A$7:$I$206,COLUMN('Round 2'!$F$7),0)),0,VLOOKUP($A166,'Round 2'!$A$7:$I$206,COLUMN('Round 2'!$F$7),0))+IF(ISERROR(VLOOKUP($A166,'Round 3'!$A$7:$I$206,COLUMN('Round 3'!$F$7),0)),0,VLOOKUP($A166,'Round 3'!$A$7:$I$206,COLUMN('Round 3'!$F$7),0)))</f>
        <v/>
      </c>
      <c r="J166" s="117" t="str">
        <f>IF(ISBLANK($A166),"",IF(ISERROR(VLOOKUP($A166,'Round 1'!$A$7:$I$206,COLUMN('Round 1'!$H$7),0)),0,VLOOKUP($A166,'Round 1'!$A$7:$I$206,COLUMN('Round 1'!$H$7),0))+IF(ISERROR(VLOOKUP($A166,'Round 2'!$A$7:$I$206,COLUMN('Round 2'!$H$7),0)),0,VLOOKUP($A166,'Round 2'!$A$7:$I$206,COLUMN('Round 2'!$H$7),0))+IF(ISERROR(VLOOKUP($A166,'Round 3'!$A$7:$I$206,COLUMN('Round 3'!$H$7),0)),0,VLOOKUP($A166,'Round 3'!$A$7:$I$206,COLUMN('Round 3'!$H$7),0)))</f>
        <v/>
      </c>
      <c r="K166" s="116" t="str">
        <f t="shared" si="60"/>
        <v/>
      </c>
      <c r="L166" s="118" t="str">
        <f t="shared" si="61"/>
        <v/>
      </c>
      <c r="M166" s="119"/>
      <c r="N166" s="120" t="str">
        <f t="shared" si="62"/>
        <v/>
      </c>
      <c r="O166" s="36" t="str">
        <f t="shared" si="63"/>
        <v/>
      </c>
      <c r="P166" s="36" t="str">
        <f t="shared" si="64"/>
        <v/>
      </c>
      <c r="Q166" s="36">
        <f t="shared" si="65"/>
        <v>-10</v>
      </c>
      <c r="R166" s="36" t="str">
        <f t="shared" si="66"/>
        <v/>
      </c>
      <c r="S166" s="36" t="str">
        <f t="shared" si="67"/>
        <v/>
      </c>
      <c r="T166" s="36">
        <f t="shared" si="68"/>
        <v>0</v>
      </c>
      <c r="U166" s="120" t="str">
        <f ca="1">IF(N('Final Round'!$J$14)&gt;0,IF(ISBLANK($A166),"",IF($N166&gt;5,$N166,VLOOKUP($A166,'Final Round'!$A$14:$K$18,COLUMN('Final Round'!$J$1),0))),"")</f>
        <v/>
      </c>
      <c r="V166" s="36" t="str">
        <f t="shared" ca="1" si="69"/>
        <v/>
      </c>
      <c r="W166" s="36" t="str">
        <f t="shared" si="70"/>
        <v/>
      </c>
      <c r="X166" s="36" t="str">
        <f t="shared" si="71"/>
        <v/>
      </c>
      <c r="Y166" s="36">
        <f t="shared" si="72"/>
        <v>0</v>
      </c>
      <c r="Z166" s="36" t="str">
        <f t="shared" ca="1" si="73"/>
        <v/>
      </c>
      <c r="AA166" s="36">
        <f t="shared" ca="1" si="74"/>
        <v>0</v>
      </c>
      <c r="AB166" s="121" t="str">
        <f>IF(ISBLANK($A166),"",5+4*(I166+IF(AA166=0,0,VLOOKUP($A166,'Final Round'!$A$14:$K$18,COLUMN('Final Round'!$G$1),0)))+8*(H166+IF(AA166=0,0,IF(VLOOKUP($A166,'Final Round'!$A$14:$K$18,COLUMN('Final Round'!$J$1),0)=1,1,0)))+$AA166)</f>
        <v/>
      </c>
    </row>
    <row r="167" spans="1:28" x14ac:dyDescent="0.2">
      <c r="A167" s="137"/>
      <c r="B167" s="138"/>
      <c r="C167" s="138"/>
      <c r="D167" s="138"/>
      <c r="E167" s="139"/>
      <c r="F167" s="140" t="str">
        <f>IF(ISBLANK($A167),"",SUM(IF(ISNA(IF(VLOOKUP($A167,'Round 1'!$A$7:$J$206,COLUMN('Round 1'!$H$7),0),1,NA())),0,1),IF(ISNA(IF(VLOOKUP($A167,'Round 2'!$A$7:$J$206,COLUMN('Round 1'!$H$7),0),1,NA())),0,1),IF(ISNA(IF(VLOOKUP($A167,'Round 3'!$A$7:$J$206,COLUMN('Round 1'!$H$7),0),1,NA())),0,1),IF(ISNA(IF(VLOOKUP($A167,'Final Round'!$A$14:$K$18,1,0),1,NA())),0,1)))</f>
        <v/>
      </c>
      <c r="G167" s="141"/>
      <c r="H167" s="142" t="str">
        <f>IF(ISBLANK($A167),"",IF(ISERROR(VLOOKUP($A167,'Round 1'!$A$7:$I$206,COLUMN('Round 1'!$G$7),0)),0,VLOOKUP($A167,'Round 1'!$A$7:$I$206,COLUMN('Round 1'!$G$7),0))+IF(ISERROR(VLOOKUP($A167,'Round 2'!$A$7:$I$206,COLUMN('Round 2'!$G$7),0)),0,VLOOKUP($A167,'Round 2'!$A$7:$I$206,COLUMN('Round 2'!$G$7),0))+IF(ISERROR(VLOOKUP($A167,'Round 3'!$A$7:$I$206,COLUMN('Round 3'!$G$7),0)),0,VLOOKUP($A167,'Round 3'!$A$7:$I$206,COLUMN('Round 3'!$G$7),0)))</f>
        <v/>
      </c>
      <c r="I167" s="142" t="str">
        <f>IF(ISBLANK($A167),"",IF(ISERROR(VLOOKUP($A167,'Round 1'!$A$7:$I$206,COLUMN('Round 1'!$F$7),0)),0,VLOOKUP($A167,'Round 1'!$A$7:$I$206,COLUMN('Round 1'!$F$7),0))+IF(ISERROR(VLOOKUP($A167,'Round 2'!$A$7:$I$206,COLUMN('Round 2'!$F$7),0)),0,VLOOKUP($A167,'Round 2'!$A$7:$I$206,COLUMN('Round 2'!$F$7),0))+IF(ISERROR(VLOOKUP($A167,'Round 3'!$A$7:$I$206,COLUMN('Round 3'!$F$7),0)),0,VLOOKUP($A167,'Round 3'!$A$7:$I$206,COLUMN('Round 3'!$F$7),0)))</f>
        <v/>
      </c>
      <c r="J167" s="143" t="str">
        <f>IF(ISBLANK($A167),"",IF(ISERROR(VLOOKUP($A167,'Round 1'!$A$7:$I$206,COLUMN('Round 1'!$H$7),0)),0,VLOOKUP($A167,'Round 1'!$A$7:$I$206,COLUMN('Round 1'!$H$7),0))+IF(ISERROR(VLOOKUP($A167,'Round 2'!$A$7:$I$206,COLUMN('Round 2'!$H$7),0)),0,VLOOKUP($A167,'Round 2'!$A$7:$I$206,COLUMN('Round 2'!$H$7),0))+IF(ISERROR(VLOOKUP($A167,'Round 3'!$A$7:$I$206,COLUMN('Round 3'!$H$7),0)),0,VLOOKUP($A167,'Round 3'!$A$7:$I$206,COLUMN('Round 3'!$H$7),0)))</f>
        <v/>
      </c>
      <c r="K167" s="142" t="str">
        <f t="shared" ref="K167:K198" si="75">IF(ISBLANK(A167),"",RANK(P167,$P$7:$P$206))</f>
        <v/>
      </c>
      <c r="L167" s="144" t="str">
        <f t="shared" ref="L167:L198" si="76">IF(ISBLANK($G167),IF($K167&gt;5,"",IF(AND(ISNA(MATCH(K167+1,$K$7:$K$206,0)),$K167&lt;$A$4),"TIE","")),"DQ")</f>
        <v/>
      </c>
      <c r="M167" s="145"/>
      <c r="N167" s="146" t="str">
        <f t="shared" ref="N167:N198" si="77">IF(ISBLANK($G167),$R167,"DQ")</f>
        <v/>
      </c>
      <c r="O167" s="36" t="str">
        <f t="shared" ref="O167:O198" si="78">IF(ISBLANK(A167),"",$H167*$O$6+$I167)</f>
        <v/>
      </c>
      <c r="P167" s="36" t="str">
        <f t="shared" ref="P167:P198" si="79">IF(ISBLANK(A167),"",$O167*10*$P$6+$J167)</f>
        <v/>
      </c>
      <c r="Q167" s="36">
        <f t="shared" ref="Q167:Q198" si="80">IF(ISBLANK($G167),IF(ISBLANK($A167),-10,$P167*$Q$6+IF($M167&gt;0,$Q$6-1-$M167,0)),-1)</f>
        <v>-10</v>
      </c>
      <c r="R167" s="36" t="str">
        <f t="shared" ref="R167:R198" si="81">IF(ISBLANK($A167),"",RANK($Q167,$Q$7:$Q$206))</f>
        <v/>
      </c>
      <c r="S167" s="36" t="str">
        <f t="shared" ref="S167:S198" si="82">IF(ISNA(MATCH($R167+1,$R$7:$R$206,0)),IF($R167=MAX($A$7:$A$206),$R167,-1),$R167)</f>
        <v/>
      </c>
      <c r="T167" s="36">
        <f t="shared" ref="T167:T198" si="83">$A167</f>
        <v>0</v>
      </c>
      <c r="U167" s="146" t="str">
        <f ca="1">IF(N('Final Round'!$J$14)&gt;0,IF(ISBLANK($A167),"",IF($N167&gt;5,$N167,VLOOKUP($A167,'Final Round'!$A$14:$K$18,COLUMN('Final Round'!$J$1),0))),"")</f>
        <v/>
      </c>
      <c r="V167" s="36" t="str">
        <f t="shared" ref="V167:V198" ca="1" si="84">IF(ISNUMBER($U167),$U167,$R167)</f>
        <v/>
      </c>
      <c r="W167" s="36" t="str">
        <f t="shared" ref="W167:W198" si="85">IF(ISBLANK($A167),"",($V$6-$V167)*$W$6+$W$6-$A167)</f>
        <v/>
      </c>
      <c r="X167" s="36" t="str">
        <f t="shared" ref="X167:X198" si="86">IF(ISBLANK($A167),"",RANK($W167,$W$7:$W$206))</f>
        <v/>
      </c>
      <c r="Y167" s="36">
        <f t="shared" ref="Y167:Y198" si="87">$A167</f>
        <v>0</v>
      </c>
      <c r="Z167" s="36" t="str">
        <f t="shared" ref="Z167:Z198" ca="1" si="88">IF($U167="",$N167,$U167)</f>
        <v/>
      </c>
      <c r="AA167" s="36">
        <f t="shared" ref="AA167:AA198" ca="1" si="89">IF($U167&lt;6,INDEX($AA$1:$AA$5,$Z167)*$Z$2,0)</f>
        <v>0</v>
      </c>
      <c r="AB167" s="147" t="str">
        <f>IF(ISBLANK($A167),"",5+4*(I167+IF(AA167=0,0,VLOOKUP($A167,'Final Round'!$A$14:$K$18,COLUMN('Final Round'!$G$1),0)))+8*(H167+IF(AA167=0,0,IF(VLOOKUP($A167,'Final Round'!$A$14:$K$18,COLUMN('Final Round'!$J$1),0)=1,1,0)))+$AA167)</f>
        <v/>
      </c>
    </row>
    <row r="168" spans="1:28" x14ac:dyDescent="0.2">
      <c r="A168" s="111"/>
      <c r="B168" s="112"/>
      <c r="C168" s="112"/>
      <c r="D168" s="112"/>
      <c r="E168" s="113"/>
      <c r="F168" s="114" t="str">
        <f>IF(ISBLANK($A168),"",SUM(IF(ISNA(IF(VLOOKUP($A168,'Round 1'!$A$7:$J$206,COLUMN('Round 1'!$H$7),0),1,NA())),0,1),IF(ISNA(IF(VLOOKUP($A168,'Round 2'!$A$7:$J$206,COLUMN('Round 1'!$H$7),0),1,NA())),0,1),IF(ISNA(IF(VLOOKUP($A168,'Round 3'!$A$7:$J$206,COLUMN('Round 1'!$H$7),0),1,NA())),0,1),IF(ISNA(IF(VLOOKUP($A168,'Final Round'!$A$14:$K$18,1,0),1,NA())),0,1)))</f>
        <v/>
      </c>
      <c r="G168" s="115"/>
      <c r="H168" s="116" t="str">
        <f>IF(ISBLANK($A168),"",IF(ISERROR(VLOOKUP($A168,'Round 1'!$A$7:$I$206,COLUMN('Round 1'!$G$7),0)),0,VLOOKUP($A168,'Round 1'!$A$7:$I$206,COLUMN('Round 1'!$G$7),0))+IF(ISERROR(VLOOKUP($A168,'Round 2'!$A$7:$I$206,COLUMN('Round 2'!$G$7),0)),0,VLOOKUP($A168,'Round 2'!$A$7:$I$206,COLUMN('Round 2'!$G$7),0))+IF(ISERROR(VLOOKUP($A168,'Round 3'!$A$7:$I$206,COLUMN('Round 3'!$G$7),0)),0,VLOOKUP($A168,'Round 3'!$A$7:$I$206,COLUMN('Round 3'!$G$7),0)))</f>
        <v/>
      </c>
      <c r="I168" s="116" t="str">
        <f>IF(ISBLANK($A168),"",IF(ISERROR(VLOOKUP($A168,'Round 1'!$A$7:$I$206,COLUMN('Round 1'!$F$7),0)),0,VLOOKUP($A168,'Round 1'!$A$7:$I$206,COLUMN('Round 1'!$F$7),0))+IF(ISERROR(VLOOKUP($A168,'Round 2'!$A$7:$I$206,COLUMN('Round 2'!$F$7),0)),0,VLOOKUP($A168,'Round 2'!$A$7:$I$206,COLUMN('Round 2'!$F$7),0))+IF(ISERROR(VLOOKUP($A168,'Round 3'!$A$7:$I$206,COLUMN('Round 3'!$F$7),0)),0,VLOOKUP($A168,'Round 3'!$A$7:$I$206,COLUMN('Round 3'!$F$7),0)))</f>
        <v/>
      </c>
      <c r="J168" s="117" t="str">
        <f>IF(ISBLANK($A168),"",IF(ISERROR(VLOOKUP($A168,'Round 1'!$A$7:$I$206,COLUMN('Round 1'!$H$7),0)),0,VLOOKUP($A168,'Round 1'!$A$7:$I$206,COLUMN('Round 1'!$H$7),0))+IF(ISERROR(VLOOKUP($A168,'Round 2'!$A$7:$I$206,COLUMN('Round 2'!$H$7),0)),0,VLOOKUP($A168,'Round 2'!$A$7:$I$206,COLUMN('Round 2'!$H$7),0))+IF(ISERROR(VLOOKUP($A168,'Round 3'!$A$7:$I$206,COLUMN('Round 3'!$H$7),0)),0,VLOOKUP($A168,'Round 3'!$A$7:$I$206,COLUMN('Round 3'!$H$7),0)))</f>
        <v/>
      </c>
      <c r="K168" s="116" t="str">
        <f t="shared" si="75"/>
        <v/>
      </c>
      <c r="L168" s="118" t="str">
        <f t="shared" si="76"/>
        <v/>
      </c>
      <c r="M168" s="119"/>
      <c r="N168" s="120" t="str">
        <f t="shared" si="77"/>
        <v/>
      </c>
      <c r="O168" s="36" t="str">
        <f t="shared" si="78"/>
        <v/>
      </c>
      <c r="P168" s="36" t="str">
        <f t="shared" si="79"/>
        <v/>
      </c>
      <c r="Q168" s="36">
        <f t="shared" si="80"/>
        <v>-10</v>
      </c>
      <c r="R168" s="36" t="str">
        <f t="shared" si="81"/>
        <v/>
      </c>
      <c r="S168" s="36" t="str">
        <f t="shared" si="82"/>
        <v/>
      </c>
      <c r="T168" s="36">
        <f t="shared" si="83"/>
        <v>0</v>
      </c>
      <c r="U168" s="120" t="str">
        <f ca="1">IF(N('Final Round'!$J$14)&gt;0,IF(ISBLANK($A168),"",IF($N168&gt;5,$N168,VLOOKUP($A168,'Final Round'!$A$14:$K$18,COLUMN('Final Round'!$J$1),0))),"")</f>
        <v/>
      </c>
      <c r="V168" s="36" t="str">
        <f t="shared" ca="1" si="84"/>
        <v/>
      </c>
      <c r="W168" s="36" t="str">
        <f t="shared" si="85"/>
        <v/>
      </c>
      <c r="X168" s="36" t="str">
        <f t="shared" si="86"/>
        <v/>
      </c>
      <c r="Y168" s="36">
        <f t="shared" si="87"/>
        <v>0</v>
      </c>
      <c r="Z168" s="36" t="str">
        <f t="shared" ca="1" si="88"/>
        <v/>
      </c>
      <c r="AA168" s="36">
        <f t="shared" ca="1" si="89"/>
        <v>0</v>
      </c>
      <c r="AB168" s="121" t="str">
        <f>IF(ISBLANK($A168),"",5+4*(I168+IF(AA168=0,0,VLOOKUP($A168,'Final Round'!$A$14:$K$18,COLUMN('Final Round'!$G$1),0)))+8*(H168+IF(AA168=0,0,IF(VLOOKUP($A168,'Final Round'!$A$14:$K$18,COLUMN('Final Round'!$J$1),0)=1,1,0)))+$AA168)</f>
        <v/>
      </c>
    </row>
    <row r="169" spans="1:28" x14ac:dyDescent="0.2">
      <c r="A169" s="137"/>
      <c r="B169" s="138"/>
      <c r="C169" s="138"/>
      <c r="D169" s="138"/>
      <c r="E169" s="139"/>
      <c r="F169" s="140" t="str">
        <f>IF(ISBLANK($A169),"",SUM(IF(ISNA(IF(VLOOKUP($A169,'Round 1'!$A$7:$J$206,COLUMN('Round 1'!$H$7),0),1,NA())),0,1),IF(ISNA(IF(VLOOKUP($A169,'Round 2'!$A$7:$J$206,COLUMN('Round 1'!$H$7),0),1,NA())),0,1),IF(ISNA(IF(VLOOKUP($A169,'Round 3'!$A$7:$J$206,COLUMN('Round 1'!$H$7),0),1,NA())),0,1),IF(ISNA(IF(VLOOKUP($A169,'Final Round'!$A$14:$K$18,1,0),1,NA())),0,1)))</f>
        <v/>
      </c>
      <c r="G169" s="141"/>
      <c r="H169" s="142" t="str">
        <f>IF(ISBLANK($A169),"",IF(ISERROR(VLOOKUP($A169,'Round 1'!$A$7:$I$206,COLUMN('Round 1'!$G$7),0)),0,VLOOKUP($A169,'Round 1'!$A$7:$I$206,COLUMN('Round 1'!$G$7),0))+IF(ISERROR(VLOOKUP($A169,'Round 2'!$A$7:$I$206,COLUMN('Round 2'!$G$7),0)),0,VLOOKUP($A169,'Round 2'!$A$7:$I$206,COLUMN('Round 2'!$G$7),0))+IF(ISERROR(VLOOKUP($A169,'Round 3'!$A$7:$I$206,COLUMN('Round 3'!$G$7),0)),0,VLOOKUP($A169,'Round 3'!$A$7:$I$206,COLUMN('Round 3'!$G$7),0)))</f>
        <v/>
      </c>
      <c r="I169" s="142" t="str">
        <f>IF(ISBLANK($A169),"",IF(ISERROR(VLOOKUP($A169,'Round 1'!$A$7:$I$206,COLUMN('Round 1'!$F$7),0)),0,VLOOKUP($A169,'Round 1'!$A$7:$I$206,COLUMN('Round 1'!$F$7),0))+IF(ISERROR(VLOOKUP($A169,'Round 2'!$A$7:$I$206,COLUMN('Round 2'!$F$7),0)),0,VLOOKUP($A169,'Round 2'!$A$7:$I$206,COLUMN('Round 2'!$F$7),0))+IF(ISERROR(VLOOKUP($A169,'Round 3'!$A$7:$I$206,COLUMN('Round 3'!$F$7),0)),0,VLOOKUP($A169,'Round 3'!$A$7:$I$206,COLUMN('Round 3'!$F$7),0)))</f>
        <v/>
      </c>
      <c r="J169" s="143" t="str">
        <f>IF(ISBLANK($A169),"",IF(ISERROR(VLOOKUP($A169,'Round 1'!$A$7:$I$206,COLUMN('Round 1'!$H$7),0)),0,VLOOKUP($A169,'Round 1'!$A$7:$I$206,COLUMN('Round 1'!$H$7),0))+IF(ISERROR(VLOOKUP($A169,'Round 2'!$A$7:$I$206,COLUMN('Round 2'!$H$7),0)),0,VLOOKUP($A169,'Round 2'!$A$7:$I$206,COLUMN('Round 2'!$H$7),0))+IF(ISERROR(VLOOKUP($A169,'Round 3'!$A$7:$I$206,COLUMN('Round 3'!$H$7),0)),0,VLOOKUP($A169,'Round 3'!$A$7:$I$206,COLUMN('Round 3'!$H$7),0)))</f>
        <v/>
      </c>
      <c r="K169" s="142" t="str">
        <f t="shared" si="75"/>
        <v/>
      </c>
      <c r="L169" s="144" t="str">
        <f t="shared" si="76"/>
        <v/>
      </c>
      <c r="M169" s="145"/>
      <c r="N169" s="146" t="str">
        <f t="shared" si="77"/>
        <v/>
      </c>
      <c r="O169" s="36" t="str">
        <f t="shared" si="78"/>
        <v/>
      </c>
      <c r="P169" s="36" t="str">
        <f t="shared" si="79"/>
        <v/>
      </c>
      <c r="Q169" s="36">
        <f t="shared" si="80"/>
        <v>-10</v>
      </c>
      <c r="R169" s="36" t="str">
        <f t="shared" si="81"/>
        <v/>
      </c>
      <c r="S169" s="36" t="str">
        <f t="shared" si="82"/>
        <v/>
      </c>
      <c r="T169" s="36">
        <f t="shared" si="83"/>
        <v>0</v>
      </c>
      <c r="U169" s="146" t="str">
        <f ca="1">IF(N('Final Round'!$J$14)&gt;0,IF(ISBLANK($A169),"",IF($N169&gt;5,$N169,VLOOKUP($A169,'Final Round'!$A$14:$K$18,COLUMN('Final Round'!$J$1),0))),"")</f>
        <v/>
      </c>
      <c r="V169" s="36" t="str">
        <f t="shared" ca="1" si="84"/>
        <v/>
      </c>
      <c r="W169" s="36" t="str">
        <f t="shared" si="85"/>
        <v/>
      </c>
      <c r="X169" s="36" t="str">
        <f t="shared" si="86"/>
        <v/>
      </c>
      <c r="Y169" s="36">
        <f t="shared" si="87"/>
        <v>0</v>
      </c>
      <c r="Z169" s="36" t="str">
        <f t="shared" ca="1" si="88"/>
        <v/>
      </c>
      <c r="AA169" s="36">
        <f t="shared" ca="1" si="89"/>
        <v>0</v>
      </c>
      <c r="AB169" s="147" t="str">
        <f>IF(ISBLANK($A169),"",5+4*(I169+IF(AA169=0,0,VLOOKUP($A169,'Final Round'!$A$14:$K$18,COLUMN('Final Round'!$G$1),0)))+8*(H169+IF(AA169=0,0,IF(VLOOKUP($A169,'Final Round'!$A$14:$K$18,COLUMN('Final Round'!$J$1),0)=1,1,0)))+$AA169)</f>
        <v/>
      </c>
    </row>
    <row r="170" spans="1:28" x14ac:dyDescent="0.2">
      <c r="A170" s="111"/>
      <c r="B170" s="112"/>
      <c r="C170" s="112"/>
      <c r="D170" s="112"/>
      <c r="E170" s="113"/>
      <c r="F170" s="114" t="str">
        <f>IF(ISBLANK($A170),"",SUM(IF(ISNA(IF(VLOOKUP($A170,'Round 1'!$A$7:$J$206,COLUMN('Round 1'!$H$7),0),1,NA())),0,1),IF(ISNA(IF(VLOOKUP($A170,'Round 2'!$A$7:$J$206,COLUMN('Round 1'!$H$7),0),1,NA())),0,1),IF(ISNA(IF(VLOOKUP($A170,'Round 3'!$A$7:$J$206,COLUMN('Round 1'!$H$7),0),1,NA())),0,1),IF(ISNA(IF(VLOOKUP($A170,'Final Round'!$A$14:$K$18,1,0),1,NA())),0,1)))</f>
        <v/>
      </c>
      <c r="G170" s="115"/>
      <c r="H170" s="116" t="str">
        <f>IF(ISBLANK($A170),"",IF(ISERROR(VLOOKUP($A170,'Round 1'!$A$7:$I$206,COLUMN('Round 1'!$G$7),0)),0,VLOOKUP($A170,'Round 1'!$A$7:$I$206,COLUMN('Round 1'!$G$7),0))+IF(ISERROR(VLOOKUP($A170,'Round 2'!$A$7:$I$206,COLUMN('Round 2'!$G$7),0)),0,VLOOKUP($A170,'Round 2'!$A$7:$I$206,COLUMN('Round 2'!$G$7),0))+IF(ISERROR(VLOOKUP($A170,'Round 3'!$A$7:$I$206,COLUMN('Round 3'!$G$7),0)),0,VLOOKUP($A170,'Round 3'!$A$7:$I$206,COLUMN('Round 3'!$G$7),0)))</f>
        <v/>
      </c>
      <c r="I170" s="116" t="str">
        <f>IF(ISBLANK($A170),"",IF(ISERROR(VLOOKUP($A170,'Round 1'!$A$7:$I$206,COLUMN('Round 1'!$F$7),0)),0,VLOOKUP($A170,'Round 1'!$A$7:$I$206,COLUMN('Round 1'!$F$7),0))+IF(ISERROR(VLOOKUP($A170,'Round 2'!$A$7:$I$206,COLUMN('Round 2'!$F$7),0)),0,VLOOKUP($A170,'Round 2'!$A$7:$I$206,COLUMN('Round 2'!$F$7),0))+IF(ISERROR(VLOOKUP($A170,'Round 3'!$A$7:$I$206,COLUMN('Round 3'!$F$7),0)),0,VLOOKUP($A170,'Round 3'!$A$7:$I$206,COLUMN('Round 3'!$F$7),0)))</f>
        <v/>
      </c>
      <c r="J170" s="117" t="str">
        <f>IF(ISBLANK($A170),"",IF(ISERROR(VLOOKUP($A170,'Round 1'!$A$7:$I$206,COLUMN('Round 1'!$H$7),0)),0,VLOOKUP($A170,'Round 1'!$A$7:$I$206,COLUMN('Round 1'!$H$7),0))+IF(ISERROR(VLOOKUP($A170,'Round 2'!$A$7:$I$206,COLUMN('Round 2'!$H$7),0)),0,VLOOKUP($A170,'Round 2'!$A$7:$I$206,COLUMN('Round 2'!$H$7),0))+IF(ISERROR(VLOOKUP($A170,'Round 3'!$A$7:$I$206,COLUMN('Round 3'!$H$7),0)),0,VLOOKUP($A170,'Round 3'!$A$7:$I$206,COLUMN('Round 3'!$H$7),0)))</f>
        <v/>
      </c>
      <c r="K170" s="116" t="str">
        <f t="shared" si="75"/>
        <v/>
      </c>
      <c r="L170" s="118" t="str">
        <f t="shared" si="76"/>
        <v/>
      </c>
      <c r="M170" s="119"/>
      <c r="N170" s="120" t="str">
        <f t="shared" si="77"/>
        <v/>
      </c>
      <c r="O170" s="36" t="str">
        <f t="shared" si="78"/>
        <v/>
      </c>
      <c r="P170" s="36" t="str">
        <f t="shared" si="79"/>
        <v/>
      </c>
      <c r="Q170" s="36">
        <f t="shared" si="80"/>
        <v>-10</v>
      </c>
      <c r="R170" s="36" t="str">
        <f t="shared" si="81"/>
        <v/>
      </c>
      <c r="S170" s="36" t="str">
        <f t="shared" si="82"/>
        <v/>
      </c>
      <c r="T170" s="36">
        <f t="shared" si="83"/>
        <v>0</v>
      </c>
      <c r="U170" s="120" t="str">
        <f ca="1">IF(N('Final Round'!$J$14)&gt;0,IF(ISBLANK($A170),"",IF($N170&gt;5,$N170,VLOOKUP($A170,'Final Round'!$A$14:$K$18,COLUMN('Final Round'!$J$1),0))),"")</f>
        <v/>
      </c>
      <c r="V170" s="36" t="str">
        <f t="shared" ca="1" si="84"/>
        <v/>
      </c>
      <c r="W170" s="36" t="str">
        <f t="shared" si="85"/>
        <v/>
      </c>
      <c r="X170" s="36" t="str">
        <f t="shared" si="86"/>
        <v/>
      </c>
      <c r="Y170" s="36">
        <f t="shared" si="87"/>
        <v>0</v>
      </c>
      <c r="Z170" s="36" t="str">
        <f t="shared" ca="1" si="88"/>
        <v/>
      </c>
      <c r="AA170" s="36">
        <f t="shared" ca="1" si="89"/>
        <v>0</v>
      </c>
      <c r="AB170" s="121" t="str">
        <f>IF(ISBLANK($A170),"",5+4*(I170+IF(AA170=0,0,VLOOKUP($A170,'Final Round'!$A$14:$K$18,COLUMN('Final Round'!$G$1),0)))+8*(H170+IF(AA170=0,0,IF(VLOOKUP($A170,'Final Round'!$A$14:$K$18,COLUMN('Final Round'!$J$1),0)=1,1,0)))+$AA170)</f>
        <v/>
      </c>
    </row>
    <row r="171" spans="1:28" x14ac:dyDescent="0.2">
      <c r="A171" s="137"/>
      <c r="B171" s="138"/>
      <c r="C171" s="138"/>
      <c r="D171" s="138"/>
      <c r="E171" s="139"/>
      <c r="F171" s="140" t="str">
        <f>IF(ISBLANK($A171),"",SUM(IF(ISNA(IF(VLOOKUP($A171,'Round 1'!$A$7:$J$206,COLUMN('Round 1'!$H$7),0),1,NA())),0,1),IF(ISNA(IF(VLOOKUP($A171,'Round 2'!$A$7:$J$206,COLUMN('Round 1'!$H$7),0),1,NA())),0,1),IF(ISNA(IF(VLOOKUP($A171,'Round 3'!$A$7:$J$206,COLUMN('Round 1'!$H$7),0),1,NA())),0,1),IF(ISNA(IF(VLOOKUP($A171,'Final Round'!$A$14:$K$18,1,0),1,NA())),0,1)))</f>
        <v/>
      </c>
      <c r="G171" s="141"/>
      <c r="H171" s="142" t="str">
        <f>IF(ISBLANK($A171),"",IF(ISERROR(VLOOKUP($A171,'Round 1'!$A$7:$I$206,COLUMN('Round 1'!$G$7),0)),0,VLOOKUP($A171,'Round 1'!$A$7:$I$206,COLUMN('Round 1'!$G$7),0))+IF(ISERROR(VLOOKUP($A171,'Round 2'!$A$7:$I$206,COLUMN('Round 2'!$G$7),0)),0,VLOOKUP($A171,'Round 2'!$A$7:$I$206,COLUMN('Round 2'!$G$7),0))+IF(ISERROR(VLOOKUP($A171,'Round 3'!$A$7:$I$206,COLUMN('Round 3'!$G$7),0)),0,VLOOKUP($A171,'Round 3'!$A$7:$I$206,COLUMN('Round 3'!$G$7),0)))</f>
        <v/>
      </c>
      <c r="I171" s="142" t="str">
        <f>IF(ISBLANK($A171),"",IF(ISERROR(VLOOKUP($A171,'Round 1'!$A$7:$I$206,COLUMN('Round 1'!$F$7),0)),0,VLOOKUP($A171,'Round 1'!$A$7:$I$206,COLUMN('Round 1'!$F$7),0))+IF(ISERROR(VLOOKUP($A171,'Round 2'!$A$7:$I$206,COLUMN('Round 2'!$F$7),0)),0,VLOOKUP($A171,'Round 2'!$A$7:$I$206,COLUMN('Round 2'!$F$7),0))+IF(ISERROR(VLOOKUP($A171,'Round 3'!$A$7:$I$206,COLUMN('Round 3'!$F$7),0)),0,VLOOKUP($A171,'Round 3'!$A$7:$I$206,COLUMN('Round 3'!$F$7),0)))</f>
        <v/>
      </c>
      <c r="J171" s="143" t="str">
        <f>IF(ISBLANK($A171),"",IF(ISERROR(VLOOKUP($A171,'Round 1'!$A$7:$I$206,COLUMN('Round 1'!$H$7),0)),0,VLOOKUP($A171,'Round 1'!$A$7:$I$206,COLUMN('Round 1'!$H$7),0))+IF(ISERROR(VLOOKUP($A171,'Round 2'!$A$7:$I$206,COLUMN('Round 2'!$H$7),0)),0,VLOOKUP($A171,'Round 2'!$A$7:$I$206,COLUMN('Round 2'!$H$7),0))+IF(ISERROR(VLOOKUP($A171,'Round 3'!$A$7:$I$206,COLUMN('Round 3'!$H$7),0)),0,VLOOKUP($A171,'Round 3'!$A$7:$I$206,COLUMN('Round 3'!$H$7),0)))</f>
        <v/>
      </c>
      <c r="K171" s="142" t="str">
        <f t="shared" si="75"/>
        <v/>
      </c>
      <c r="L171" s="144" t="str">
        <f t="shared" si="76"/>
        <v/>
      </c>
      <c r="M171" s="145"/>
      <c r="N171" s="146" t="str">
        <f t="shared" si="77"/>
        <v/>
      </c>
      <c r="O171" s="36" t="str">
        <f t="shared" si="78"/>
        <v/>
      </c>
      <c r="P171" s="36" t="str">
        <f t="shared" si="79"/>
        <v/>
      </c>
      <c r="Q171" s="36">
        <f t="shared" si="80"/>
        <v>-10</v>
      </c>
      <c r="R171" s="36" t="str">
        <f t="shared" si="81"/>
        <v/>
      </c>
      <c r="S171" s="36" t="str">
        <f t="shared" si="82"/>
        <v/>
      </c>
      <c r="T171" s="36">
        <f t="shared" si="83"/>
        <v>0</v>
      </c>
      <c r="U171" s="146" t="str">
        <f ca="1">IF(N('Final Round'!$J$14)&gt;0,IF(ISBLANK($A171),"",IF($N171&gt;5,$N171,VLOOKUP($A171,'Final Round'!$A$14:$K$18,COLUMN('Final Round'!$J$1),0))),"")</f>
        <v/>
      </c>
      <c r="V171" s="36" t="str">
        <f t="shared" ca="1" si="84"/>
        <v/>
      </c>
      <c r="W171" s="36" t="str">
        <f t="shared" si="85"/>
        <v/>
      </c>
      <c r="X171" s="36" t="str">
        <f t="shared" si="86"/>
        <v/>
      </c>
      <c r="Y171" s="36">
        <f t="shared" si="87"/>
        <v>0</v>
      </c>
      <c r="Z171" s="36" t="str">
        <f t="shared" ca="1" si="88"/>
        <v/>
      </c>
      <c r="AA171" s="36">
        <f t="shared" ca="1" si="89"/>
        <v>0</v>
      </c>
      <c r="AB171" s="147" t="str">
        <f>IF(ISBLANK($A171),"",5+4*(I171+IF(AA171=0,0,VLOOKUP($A171,'Final Round'!$A$14:$K$18,COLUMN('Final Round'!$G$1),0)))+8*(H171+IF(AA171=0,0,IF(VLOOKUP($A171,'Final Round'!$A$14:$K$18,COLUMN('Final Round'!$J$1),0)=1,1,0)))+$AA171)</f>
        <v/>
      </c>
    </row>
    <row r="172" spans="1:28" x14ac:dyDescent="0.2">
      <c r="A172" s="111"/>
      <c r="B172" s="112"/>
      <c r="C172" s="112"/>
      <c r="D172" s="112"/>
      <c r="E172" s="113"/>
      <c r="F172" s="114" t="str">
        <f>IF(ISBLANK($A172),"",SUM(IF(ISNA(IF(VLOOKUP($A172,'Round 1'!$A$7:$J$206,COLUMN('Round 1'!$H$7),0),1,NA())),0,1),IF(ISNA(IF(VLOOKUP($A172,'Round 2'!$A$7:$J$206,COLUMN('Round 1'!$H$7),0),1,NA())),0,1),IF(ISNA(IF(VLOOKUP($A172,'Round 3'!$A$7:$J$206,COLUMN('Round 1'!$H$7),0),1,NA())),0,1),IF(ISNA(IF(VLOOKUP($A172,'Final Round'!$A$14:$K$18,1,0),1,NA())),0,1)))</f>
        <v/>
      </c>
      <c r="G172" s="115"/>
      <c r="H172" s="116" t="str">
        <f>IF(ISBLANK($A172),"",IF(ISERROR(VLOOKUP($A172,'Round 1'!$A$7:$I$206,COLUMN('Round 1'!$G$7),0)),0,VLOOKUP($A172,'Round 1'!$A$7:$I$206,COLUMN('Round 1'!$G$7),0))+IF(ISERROR(VLOOKUP($A172,'Round 2'!$A$7:$I$206,COLUMN('Round 2'!$G$7),0)),0,VLOOKUP($A172,'Round 2'!$A$7:$I$206,COLUMN('Round 2'!$G$7),0))+IF(ISERROR(VLOOKUP($A172,'Round 3'!$A$7:$I$206,COLUMN('Round 3'!$G$7),0)),0,VLOOKUP($A172,'Round 3'!$A$7:$I$206,COLUMN('Round 3'!$G$7),0)))</f>
        <v/>
      </c>
      <c r="I172" s="116" t="str">
        <f>IF(ISBLANK($A172),"",IF(ISERROR(VLOOKUP($A172,'Round 1'!$A$7:$I$206,COLUMN('Round 1'!$F$7),0)),0,VLOOKUP($A172,'Round 1'!$A$7:$I$206,COLUMN('Round 1'!$F$7),0))+IF(ISERROR(VLOOKUP($A172,'Round 2'!$A$7:$I$206,COLUMN('Round 2'!$F$7),0)),0,VLOOKUP($A172,'Round 2'!$A$7:$I$206,COLUMN('Round 2'!$F$7),0))+IF(ISERROR(VLOOKUP($A172,'Round 3'!$A$7:$I$206,COLUMN('Round 3'!$F$7),0)),0,VLOOKUP($A172,'Round 3'!$A$7:$I$206,COLUMN('Round 3'!$F$7),0)))</f>
        <v/>
      </c>
      <c r="J172" s="117" t="str">
        <f>IF(ISBLANK($A172),"",IF(ISERROR(VLOOKUP($A172,'Round 1'!$A$7:$I$206,COLUMN('Round 1'!$H$7),0)),0,VLOOKUP($A172,'Round 1'!$A$7:$I$206,COLUMN('Round 1'!$H$7),0))+IF(ISERROR(VLOOKUP($A172,'Round 2'!$A$7:$I$206,COLUMN('Round 2'!$H$7),0)),0,VLOOKUP($A172,'Round 2'!$A$7:$I$206,COLUMN('Round 2'!$H$7),0))+IF(ISERROR(VLOOKUP($A172,'Round 3'!$A$7:$I$206,COLUMN('Round 3'!$H$7),0)),0,VLOOKUP($A172,'Round 3'!$A$7:$I$206,COLUMN('Round 3'!$H$7),0)))</f>
        <v/>
      </c>
      <c r="K172" s="116" t="str">
        <f t="shared" si="75"/>
        <v/>
      </c>
      <c r="L172" s="118" t="str">
        <f t="shared" si="76"/>
        <v/>
      </c>
      <c r="M172" s="119"/>
      <c r="N172" s="120" t="str">
        <f t="shared" si="77"/>
        <v/>
      </c>
      <c r="O172" s="36" t="str">
        <f t="shared" si="78"/>
        <v/>
      </c>
      <c r="P172" s="36" t="str">
        <f t="shared" si="79"/>
        <v/>
      </c>
      <c r="Q172" s="36">
        <f t="shared" si="80"/>
        <v>-10</v>
      </c>
      <c r="R172" s="36" t="str">
        <f t="shared" si="81"/>
        <v/>
      </c>
      <c r="S172" s="36" t="str">
        <f t="shared" si="82"/>
        <v/>
      </c>
      <c r="T172" s="36">
        <f t="shared" si="83"/>
        <v>0</v>
      </c>
      <c r="U172" s="120" t="str">
        <f ca="1">IF(N('Final Round'!$J$14)&gt;0,IF(ISBLANK($A172),"",IF($N172&gt;5,$N172,VLOOKUP($A172,'Final Round'!$A$14:$K$18,COLUMN('Final Round'!$J$1),0))),"")</f>
        <v/>
      </c>
      <c r="V172" s="36" t="str">
        <f t="shared" ca="1" si="84"/>
        <v/>
      </c>
      <c r="W172" s="36" t="str">
        <f t="shared" si="85"/>
        <v/>
      </c>
      <c r="X172" s="36" t="str">
        <f t="shared" si="86"/>
        <v/>
      </c>
      <c r="Y172" s="36">
        <f t="shared" si="87"/>
        <v>0</v>
      </c>
      <c r="Z172" s="36" t="str">
        <f t="shared" ca="1" si="88"/>
        <v/>
      </c>
      <c r="AA172" s="36">
        <f t="shared" ca="1" si="89"/>
        <v>0</v>
      </c>
      <c r="AB172" s="121" t="str">
        <f>IF(ISBLANK($A172),"",5+4*(I172+IF(AA172=0,0,VLOOKUP($A172,'Final Round'!$A$14:$K$18,COLUMN('Final Round'!$G$1),0)))+8*(H172+IF(AA172=0,0,IF(VLOOKUP($A172,'Final Round'!$A$14:$K$18,COLUMN('Final Round'!$J$1),0)=1,1,0)))+$AA172)</f>
        <v/>
      </c>
    </row>
    <row r="173" spans="1:28" x14ac:dyDescent="0.2">
      <c r="A173" s="137"/>
      <c r="B173" s="138"/>
      <c r="C173" s="138"/>
      <c r="D173" s="138"/>
      <c r="E173" s="139"/>
      <c r="F173" s="140" t="str">
        <f>IF(ISBLANK($A173),"",SUM(IF(ISNA(IF(VLOOKUP($A173,'Round 1'!$A$7:$J$206,COLUMN('Round 1'!$H$7),0),1,NA())),0,1),IF(ISNA(IF(VLOOKUP($A173,'Round 2'!$A$7:$J$206,COLUMN('Round 1'!$H$7),0),1,NA())),0,1),IF(ISNA(IF(VLOOKUP($A173,'Round 3'!$A$7:$J$206,COLUMN('Round 1'!$H$7),0),1,NA())),0,1),IF(ISNA(IF(VLOOKUP($A173,'Final Round'!$A$14:$K$18,1,0),1,NA())),0,1)))</f>
        <v/>
      </c>
      <c r="G173" s="141"/>
      <c r="H173" s="142" t="str">
        <f>IF(ISBLANK($A173),"",IF(ISERROR(VLOOKUP($A173,'Round 1'!$A$7:$I$206,COLUMN('Round 1'!$G$7),0)),0,VLOOKUP($A173,'Round 1'!$A$7:$I$206,COLUMN('Round 1'!$G$7),0))+IF(ISERROR(VLOOKUP($A173,'Round 2'!$A$7:$I$206,COLUMN('Round 2'!$G$7),0)),0,VLOOKUP($A173,'Round 2'!$A$7:$I$206,COLUMN('Round 2'!$G$7),0))+IF(ISERROR(VLOOKUP($A173,'Round 3'!$A$7:$I$206,COLUMN('Round 3'!$G$7),0)),0,VLOOKUP($A173,'Round 3'!$A$7:$I$206,COLUMN('Round 3'!$G$7),0)))</f>
        <v/>
      </c>
      <c r="I173" s="142" t="str">
        <f>IF(ISBLANK($A173),"",IF(ISERROR(VLOOKUP($A173,'Round 1'!$A$7:$I$206,COLUMN('Round 1'!$F$7),0)),0,VLOOKUP($A173,'Round 1'!$A$7:$I$206,COLUMN('Round 1'!$F$7),0))+IF(ISERROR(VLOOKUP($A173,'Round 2'!$A$7:$I$206,COLUMN('Round 2'!$F$7),0)),0,VLOOKUP($A173,'Round 2'!$A$7:$I$206,COLUMN('Round 2'!$F$7),0))+IF(ISERROR(VLOOKUP($A173,'Round 3'!$A$7:$I$206,COLUMN('Round 3'!$F$7),0)),0,VLOOKUP($A173,'Round 3'!$A$7:$I$206,COLUMN('Round 3'!$F$7),0)))</f>
        <v/>
      </c>
      <c r="J173" s="143" t="str">
        <f>IF(ISBLANK($A173),"",IF(ISERROR(VLOOKUP($A173,'Round 1'!$A$7:$I$206,COLUMN('Round 1'!$H$7),0)),0,VLOOKUP($A173,'Round 1'!$A$7:$I$206,COLUMN('Round 1'!$H$7),0))+IF(ISERROR(VLOOKUP($A173,'Round 2'!$A$7:$I$206,COLUMN('Round 2'!$H$7),0)),0,VLOOKUP($A173,'Round 2'!$A$7:$I$206,COLUMN('Round 2'!$H$7),0))+IF(ISERROR(VLOOKUP($A173,'Round 3'!$A$7:$I$206,COLUMN('Round 3'!$H$7),0)),0,VLOOKUP($A173,'Round 3'!$A$7:$I$206,COLUMN('Round 3'!$H$7),0)))</f>
        <v/>
      </c>
      <c r="K173" s="142" t="str">
        <f t="shared" si="75"/>
        <v/>
      </c>
      <c r="L173" s="144" t="str">
        <f t="shared" si="76"/>
        <v/>
      </c>
      <c r="M173" s="145"/>
      <c r="N173" s="146" t="str">
        <f t="shared" si="77"/>
        <v/>
      </c>
      <c r="O173" s="36" t="str">
        <f t="shared" si="78"/>
        <v/>
      </c>
      <c r="P173" s="36" t="str">
        <f t="shared" si="79"/>
        <v/>
      </c>
      <c r="Q173" s="36">
        <f t="shared" si="80"/>
        <v>-10</v>
      </c>
      <c r="R173" s="36" t="str">
        <f t="shared" si="81"/>
        <v/>
      </c>
      <c r="S173" s="36" t="str">
        <f t="shared" si="82"/>
        <v/>
      </c>
      <c r="T173" s="36">
        <f t="shared" si="83"/>
        <v>0</v>
      </c>
      <c r="U173" s="146" t="str">
        <f ca="1">IF(N('Final Round'!$J$14)&gt;0,IF(ISBLANK($A173),"",IF($N173&gt;5,$N173,VLOOKUP($A173,'Final Round'!$A$14:$K$18,COLUMN('Final Round'!$J$1),0))),"")</f>
        <v/>
      </c>
      <c r="V173" s="36" t="str">
        <f t="shared" ca="1" si="84"/>
        <v/>
      </c>
      <c r="W173" s="36" t="str">
        <f t="shared" si="85"/>
        <v/>
      </c>
      <c r="X173" s="36" t="str">
        <f t="shared" si="86"/>
        <v/>
      </c>
      <c r="Y173" s="36">
        <f t="shared" si="87"/>
        <v>0</v>
      </c>
      <c r="Z173" s="36" t="str">
        <f t="shared" ca="1" si="88"/>
        <v/>
      </c>
      <c r="AA173" s="36">
        <f t="shared" ca="1" si="89"/>
        <v>0</v>
      </c>
      <c r="AB173" s="147" t="str">
        <f>IF(ISBLANK($A173),"",5+4*(I173+IF(AA173=0,0,VLOOKUP($A173,'Final Round'!$A$14:$K$18,COLUMN('Final Round'!$G$1),0)))+8*(H173+IF(AA173=0,0,IF(VLOOKUP($A173,'Final Round'!$A$14:$K$18,COLUMN('Final Round'!$J$1),0)=1,1,0)))+$AA173)</f>
        <v/>
      </c>
    </row>
    <row r="174" spans="1:28" x14ac:dyDescent="0.2">
      <c r="A174" s="111"/>
      <c r="B174" s="112"/>
      <c r="C174" s="112"/>
      <c r="D174" s="112"/>
      <c r="E174" s="113"/>
      <c r="F174" s="114" t="str">
        <f>IF(ISBLANK($A174),"",SUM(IF(ISNA(IF(VLOOKUP($A174,'Round 1'!$A$7:$J$206,COLUMN('Round 1'!$H$7),0),1,NA())),0,1),IF(ISNA(IF(VLOOKUP($A174,'Round 2'!$A$7:$J$206,COLUMN('Round 1'!$H$7),0),1,NA())),0,1),IF(ISNA(IF(VLOOKUP($A174,'Round 3'!$A$7:$J$206,COLUMN('Round 1'!$H$7),0),1,NA())),0,1),IF(ISNA(IF(VLOOKUP($A174,'Final Round'!$A$14:$K$18,1,0),1,NA())),0,1)))</f>
        <v/>
      </c>
      <c r="G174" s="115"/>
      <c r="H174" s="116" t="str">
        <f>IF(ISBLANK($A174),"",IF(ISERROR(VLOOKUP($A174,'Round 1'!$A$7:$I$206,COLUMN('Round 1'!$G$7),0)),0,VLOOKUP($A174,'Round 1'!$A$7:$I$206,COLUMN('Round 1'!$G$7),0))+IF(ISERROR(VLOOKUP($A174,'Round 2'!$A$7:$I$206,COLUMN('Round 2'!$G$7),0)),0,VLOOKUP($A174,'Round 2'!$A$7:$I$206,COLUMN('Round 2'!$G$7),0))+IF(ISERROR(VLOOKUP($A174,'Round 3'!$A$7:$I$206,COLUMN('Round 3'!$G$7),0)),0,VLOOKUP($A174,'Round 3'!$A$7:$I$206,COLUMN('Round 3'!$G$7),0)))</f>
        <v/>
      </c>
      <c r="I174" s="116" t="str">
        <f>IF(ISBLANK($A174),"",IF(ISERROR(VLOOKUP($A174,'Round 1'!$A$7:$I$206,COLUMN('Round 1'!$F$7),0)),0,VLOOKUP($A174,'Round 1'!$A$7:$I$206,COLUMN('Round 1'!$F$7),0))+IF(ISERROR(VLOOKUP($A174,'Round 2'!$A$7:$I$206,COLUMN('Round 2'!$F$7),0)),0,VLOOKUP($A174,'Round 2'!$A$7:$I$206,COLUMN('Round 2'!$F$7),0))+IF(ISERROR(VLOOKUP($A174,'Round 3'!$A$7:$I$206,COLUMN('Round 3'!$F$7),0)),0,VLOOKUP($A174,'Round 3'!$A$7:$I$206,COLUMN('Round 3'!$F$7),0)))</f>
        <v/>
      </c>
      <c r="J174" s="117" t="str">
        <f>IF(ISBLANK($A174),"",IF(ISERROR(VLOOKUP($A174,'Round 1'!$A$7:$I$206,COLUMN('Round 1'!$H$7),0)),0,VLOOKUP($A174,'Round 1'!$A$7:$I$206,COLUMN('Round 1'!$H$7),0))+IF(ISERROR(VLOOKUP($A174,'Round 2'!$A$7:$I$206,COLUMN('Round 2'!$H$7),0)),0,VLOOKUP($A174,'Round 2'!$A$7:$I$206,COLUMN('Round 2'!$H$7),0))+IF(ISERROR(VLOOKUP($A174,'Round 3'!$A$7:$I$206,COLUMN('Round 3'!$H$7),0)),0,VLOOKUP($A174,'Round 3'!$A$7:$I$206,COLUMN('Round 3'!$H$7),0)))</f>
        <v/>
      </c>
      <c r="K174" s="116" t="str">
        <f t="shared" si="75"/>
        <v/>
      </c>
      <c r="L174" s="118" t="str">
        <f t="shared" si="76"/>
        <v/>
      </c>
      <c r="M174" s="119"/>
      <c r="N174" s="120" t="str">
        <f t="shared" si="77"/>
        <v/>
      </c>
      <c r="O174" s="36" t="str">
        <f t="shared" si="78"/>
        <v/>
      </c>
      <c r="P174" s="36" t="str">
        <f t="shared" si="79"/>
        <v/>
      </c>
      <c r="Q174" s="36">
        <f t="shared" si="80"/>
        <v>-10</v>
      </c>
      <c r="R174" s="36" t="str">
        <f t="shared" si="81"/>
        <v/>
      </c>
      <c r="S174" s="36" t="str">
        <f t="shared" si="82"/>
        <v/>
      </c>
      <c r="T174" s="36">
        <f t="shared" si="83"/>
        <v>0</v>
      </c>
      <c r="U174" s="120" t="str">
        <f ca="1">IF(N('Final Round'!$J$14)&gt;0,IF(ISBLANK($A174),"",IF($N174&gt;5,$N174,VLOOKUP($A174,'Final Round'!$A$14:$K$18,COLUMN('Final Round'!$J$1),0))),"")</f>
        <v/>
      </c>
      <c r="V174" s="36" t="str">
        <f t="shared" ca="1" si="84"/>
        <v/>
      </c>
      <c r="W174" s="36" t="str">
        <f t="shared" si="85"/>
        <v/>
      </c>
      <c r="X174" s="36" t="str">
        <f t="shared" si="86"/>
        <v/>
      </c>
      <c r="Y174" s="36">
        <f t="shared" si="87"/>
        <v>0</v>
      </c>
      <c r="Z174" s="36" t="str">
        <f t="shared" ca="1" si="88"/>
        <v/>
      </c>
      <c r="AA174" s="36">
        <f t="shared" ca="1" si="89"/>
        <v>0</v>
      </c>
      <c r="AB174" s="121" t="str">
        <f>IF(ISBLANK($A174),"",5+4*(I174+IF(AA174=0,0,VLOOKUP($A174,'Final Round'!$A$14:$K$18,COLUMN('Final Round'!$G$1),0)))+8*(H174+IF(AA174=0,0,IF(VLOOKUP($A174,'Final Round'!$A$14:$K$18,COLUMN('Final Round'!$J$1),0)=1,1,0)))+$AA174)</f>
        <v/>
      </c>
    </row>
    <row r="175" spans="1:28" x14ac:dyDescent="0.2">
      <c r="A175" s="137"/>
      <c r="B175" s="138"/>
      <c r="C175" s="138"/>
      <c r="D175" s="138"/>
      <c r="E175" s="139"/>
      <c r="F175" s="140" t="str">
        <f>IF(ISBLANK($A175),"",SUM(IF(ISNA(IF(VLOOKUP($A175,'Round 1'!$A$7:$J$206,COLUMN('Round 1'!$H$7),0),1,NA())),0,1),IF(ISNA(IF(VLOOKUP($A175,'Round 2'!$A$7:$J$206,COLUMN('Round 1'!$H$7),0),1,NA())),0,1),IF(ISNA(IF(VLOOKUP($A175,'Round 3'!$A$7:$J$206,COLUMN('Round 1'!$H$7),0),1,NA())),0,1),IF(ISNA(IF(VLOOKUP($A175,'Final Round'!$A$14:$K$18,1,0),1,NA())),0,1)))</f>
        <v/>
      </c>
      <c r="G175" s="141"/>
      <c r="H175" s="142" t="str">
        <f>IF(ISBLANK($A175),"",IF(ISERROR(VLOOKUP($A175,'Round 1'!$A$7:$I$206,COLUMN('Round 1'!$G$7),0)),0,VLOOKUP($A175,'Round 1'!$A$7:$I$206,COLUMN('Round 1'!$G$7),0))+IF(ISERROR(VLOOKUP($A175,'Round 2'!$A$7:$I$206,COLUMN('Round 2'!$G$7),0)),0,VLOOKUP($A175,'Round 2'!$A$7:$I$206,COLUMN('Round 2'!$G$7),0))+IF(ISERROR(VLOOKUP($A175,'Round 3'!$A$7:$I$206,COLUMN('Round 3'!$G$7),0)),0,VLOOKUP($A175,'Round 3'!$A$7:$I$206,COLUMN('Round 3'!$G$7),0)))</f>
        <v/>
      </c>
      <c r="I175" s="142" t="str">
        <f>IF(ISBLANK($A175),"",IF(ISERROR(VLOOKUP($A175,'Round 1'!$A$7:$I$206,COLUMN('Round 1'!$F$7),0)),0,VLOOKUP($A175,'Round 1'!$A$7:$I$206,COLUMN('Round 1'!$F$7),0))+IF(ISERROR(VLOOKUP($A175,'Round 2'!$A$7:$I$206,COLUMN('Round 2'!$F$7),0)),0,VLOOKUP($A175,'Round 2'!$A$7:$I$206,COLUMN('Round 2'!$F$7),0))+IF(ISERROR(VLOOKUP($A175,'Round 3'!$A$7:$I$206,COLUMN('Round 3'!$F$7),0)),0,VLOOKUP($A175,'Round 3'!$A$7:$I$206,COLUMN('Round 3'!$F$7),0)))</f>
        <v/>
      </c>
      <c r="J175" s="143" t="str">
        <f>IF(ISBLANK($A175),"",IF(ISERROR(VLOOKUP($A175,'Round 1'!$A$7:$I$206,COLUMN('Round 1'!$H$7),0)),0,VLOOKUP($A175,'Round 1'!$A$7:$I$206,COLUMN('Round 1'!$H$7),0))+IF(ISERROR(VLOOKUP($A175,'Round 2'!$A$7:$I$206,COLUMN('Round 2'!$H$7),0)),0,VLOOKUP($A175,'Round 2'!$A$7:$I$206,COLUMN('Round 2'!$H$7),0))+IF(ISERROR(VLOOKUP($A175,'Round 3'!$A$7:$I$206,COLUMN('Round 3'!$H$7),0)),0,VLOOKUP($A175,'Round 3'!$A$7:$I$206,COLUMN('Round 3'!$H$7),0)))</f>
        <v/>
      </c>
      <c r="K175" s="142" t="str">
        <f t="shared" si="75"/>
        <v/>
      </c>
      <c r="L175" s="144" t="str">
        <f t="shared" si="76"/>
        <v/>
      </c>
      <c r="M175" s="145"/>
      <c r="N175" s="146" t="str">
        <f t="shared" si="77"/>
        <v/>
      </c>
      <c r="O175" s="36" t="str">
        <f t="shared" si="78"/>
        <v/>
      </c>
      <c r="P175" s="36" t="str">
        <f t="shared" si="79"/>
        <v/>
      </c>
      <c r="Q175" s="36">
        <f t="shared" si="80"/>
        <v>-10</v>
      </c>
      <c r="R175" s="36" t="str">
        <f t="shared" si="81"/>
        <v/>
      </c>
      <c r="S175" s="36" t="str">
        <f t="shared" si="82"/>
        <v/>
      </c>
      <c r="T175" s="36">
        <f t="shared" si="83"/>
        <v>0</v>
      </c>
      <c r="U175" s="146" t="str">
        <f ca="1">IF(N('Final Round'!$J$14)&gt;0,IF(ISBLANK($A175),"",IF($N175&gt;5,$N175,VLOOKUP($A175,'Final Round'!$A$14:$K$18,COLUMN('Final Round'!$J$1),0))),"")</f>
        <v/>
      </c>
      <c r="V175" s="36" t="str">
        <f t="shared" ca="1" si="84"/>
        <v/>
      </c>
      <c r="W175" s="36" t="str">
        <f t="shared" si="85"/>
        <v/>
      </c>
      <c r="X175" s="36" t="str">
        <f t="shared" si="86"/>
        <v/>
      </c>
      <c r="Y175" s="36">
        <f t="shared" si="87"/>
        <v>0</v>
      </c>
      <c r="Z175" s="36" t="str">
        <f t="shared" ca="1" si="88"/>
        <v/>
      </c>
      <c r="AA175" s="36">
        <f t="shared" ca="1" si="89"/>
        <v>0</v>
      </c>
      <c r="AB175" s="147" t="str">
        <f>IF(ISBLANK($A175),"",5+4*(I175+IF(AA175=0,0,VLOOKUP($A175,'Final Round'!$A$14:$K$18,COLUMN('Final Round'!$G$1),0)))+8*(H175+IF(AA175=0,0,IF(VLOOKUP($A175,'Final Round'!$A$14:$K$18,COLUMN('Final Round'!$J$1),0)=1,1,0)))+$AA175)</f>
        <v/>
      </c>
    </row>
    <row r="176" spans="1:28" x14ac:dyDescent="0.2">
      <c r="A176" s="111"/>
      <c r="B176" s="112"/>
      <c r="C176" s="112"/>
      <c r="D176" s="112"/>
      <c r="E176" s="113"/>
      <c r="F176" s="114" t="str">
        <f>IF(ISBLANK($A176),"",SUM(IF(ISNA(IF(VLOOKUP($A176,'Round 1'!$A$7:$J$206,COLUMN('Round 1'!$H$7),0),1,NA())),0,1),IF(ISNA(IF(VLOOKUP($A176,'Round 2'!$A$7:$J$206,COLUMN('Round 1'!$H$7),0),1,NA())),0,1),IF(ISNA(IF(VLOOKUP($A176,'Round 3'!$A$7:$J$206,COLUMN('Round 1'!$H$7),0),1,NA())),0,1),IF(ISNA(IF(VLOOKUP($A176,'Final Round'!$A$14:$K$18,1,0),1,NA())),0,1)))</f>
        <v/>
      </c>
      <c r="G176" s="115"/>
      <c r="H176" s="116" t="str">
        <f>IF(ISBLANK($A176),"",IF(ISERROR(VLOOKUP($A176,'Round 1'!$A$7:$I$206,COLUMN('Round 1'!$G$7),0)),0,VLOOKUP($A176,'Round 1'!$A$7:$I$206,COLUMN('Round 1'!$G$7),0))+IF(ISERROR(VLOOKUP($A176,'Round 2'!$A$7:$I$206,COLUMN('Round 2'!$G$7),0)),0,VLOOKUP($A176,'Round 2'!$A$7:$I$206,COLUMN('Round 2'!$G$7),0))+IF(ISERROR(VLOOKUP($A176,'Round 3'!$A$7:$I$206,COLUMN('Round 3'!$G$7),0)),0,VLOOKUP($A176,'Round 3'!$A$7:$I$206,COLUMN('Round 3'!$G$7),0)))</f>
        <v/>
      </c>
      <c r="I176" s="116" t="str">
        <f>IF(ISBLANK($A176),"",IF(ISERROR(VLOOKUP($A176,'Round 1'!$A$7:$I$206,COLUMN('Round 1'!$F$7),0)),0,VLOOKUP($A176,'Round 1'!$A$7:$I$206,COLUMN('Round 1'!$F$7),0))+IF(ISERROR(VLOOKUP($A176,'Round 2'!$A$7:$I$206,COLUMN('Round 2'!$F$7),0)),0,VLOOKUP($A176,'Round 2'!$A$7:$I$206,COLUMN('Round 2'!$F$7),0))+IF(ISERROR(VLOOKUP($A176,'Round 3'!$A$7:$I$206,COLUMN('Round 3'!$F$7),0)),0,VLOOKUP($A176,'Round 3'!$A$7:$I$206,COLUMN('Round 3'!$F$7),0)))</f>
        <v/>
      </c>
      <c r="J176" s="117" t="str">
        <f>IF(ISBLANK($A176),"",IF(ISERROR(VLOOKUP($A176,'Round 1'!$A$7:$I$206,COLUMN('Round 1'!$H$7),0)),0,VLOOKUP($A176,'Round 1'!$A$7:$I$206,COLUMN('Round 1'!$H$7),0))+IF(ISERROR(VLOOKUP($A176,'Round 2'!$A$7:$I$206,COLUMN('Round 2'!$H$7),0)),0,VLOOKUP($A176,'Round 2'!$A$7:$I$206,COLUMN('Round 2'!$H$7),0))+IF(ISERROR(VLOOKUP($A176,'Round 3'!$A$7:$I$206,COLUMN('Round 3'!$H$7),0)),0,VLOOKUP($A176,'Round 3'!$A$7:$I$206,COLUMN('Round 3'!$H$7),0)))</f>
        <v/>
      </c>
      <c r="K176" s="116" t="str">
        <f t="shared" si="75"/>
        <v/>
      </c>
      <c r="L176" s="118" t="str">
        <f t="shared" si="76"/>
        <v/>
      </c>
      <c r="M176" s="119"/>
      <c r="N176" s="120" t="str">
        <f t="shared" si="77"/>
        <v/>
      </c>
      <c r="O176" s="36" t="str">
        <f t="shared" si="78"/>
        <v/>
      </c>
      <c r="P176" s="36" t="str">
        <f t="shared" si="79"/>
        <v/>
      </c>
      <c r="Q176" s="36">
        <f t="shared" si="80"/>
        <v>-10</v>
      </c>
      <c r="R176" s="36" t="str">
        <f t="shared" si="81"/>
        <v/>
      </c>
      <c r="S176" s="36" t="str">
        <f t="shared" si="82"/>
        <v/>
      </c>
      <c r="T176" s="36">
        <f t="shared" si="83"/>
        <v>0</v>
      </c>
      <c r="U176" s="120" t="str">
        <f ca="1">IF(N('Final Round'!$J$14)&gt;0,IF(ISBLANK($A176),"",IF($N176&gt;5,$N176,VLOOKUP($A176,'Final Round'!$A$14:$K$18,COLUMN('Final Round'!$J$1),0))),"")</f>
        <v/>
      </c>
      <c r="V176" s="36" t="str">
        <f t="shared" ca="1" si="84"/>
        <v/>
      </c>
      <c r="W176" s="36" t="str">
        <f t="shared" si="85"/>
        <v/>
      </c>
      <c r="X176" s="36" t="str">
        <f t="shared" si="86"/>
        <v/>
      </c>
      <c r="Y176" s="36">
        <f t="shared" si="87"/>
        <v>0</v>
      </c>
      <c r="Z176" s="36" t="str">
        <f t="shared" ca="1" si="88"/>
        <v/>
      </c>
      <c r="AA176" s="36">
        <f t="shared" ca="1" si="89"/>
        <v>0</v>
      </c>
      <c r="AB176" s="121" t="str">
        <f>IF(ISBLANK($A176),"",5+4*(I176+IF(AA176=0,0,VLOOKUP($A176,'Final Round'!$A$14:$K$18,COLUMN('Final Round'!$G$1),0)))+8*(H176+IF(AA176=0,0,IF(VLOOKUP($A176,'Final Round'!$A$14:$K$18,COLUMN('Final Round'!$J$1),0)=1,1,0)))+$AA176)</f>
        <v/>
      </c>
    </row>
    <row r="177" spans="1:28" x14ac:dyDescent="0.2">
      <c r="A177" s="137"/>
      <c r="B177" s="138"/>
      <c r="C177" s="138"/>
      <c r="D177" s="138"/>
      <c r="E177" s="139"/>
      <c r="F177" s="140" t="str">
        <f>IF(ISBLANK($A177),"",SUM(IF(ISNA(IF(VLOOKUP($A177,'Round 1'!$A$7:$J$206,COLUMN('Round 1'!$H$7),0),1,NA())),0,1),IF(ISNA(IF(VLOOKUP($A177,'Round 2'!$A$7:$J$206,COLUMN('Round 1'!$H$7),0),1,NA())),0,1),IF(ISNA(IF(VLOOKUP($A177,'Round 3'!$A$7:$J$206,COLUMN('Round 1'!$H$7),0),1,NA())),0,1),IF(ISNA(IF(VLOOKUP($A177,'Final Round'!$A$14:$K$18,1,0),1,NA())),0,1)))</f>
        <v/>
      </c>
      <c r="G177" s="141"/>
      <c r="H177" s="142" t="str">
        <f>IF(ISBLANK($A177),"",IF(ISERROR(VLOOKUP($A177,'Round 1'!$A$7:$I$206,COLUMN('Round 1'!$G$7),0)),0,VLOOKUP($A177,'Round 1'!$A$7:$I$206,COLUMN('Round 1'!$G$7),0))+IF(ISERROR(VLOOKUP($A177,'Round 2'!$A$7:$I$206,COLUMN('Round 2'!$G$7),0)),0,VLOOKUP($A177,'Round 2'!$A$7:$I$206,COLUMN('Round 2'!$G$7),0))+IF(ISERROR(VLOOKUP($A177,'Round 3'!$A$7:$I$206,COLUMN('Round 3'!$G$7),0)),0,VLOOKUP($A177,'Round 3'!$A$7:$I$206,COLUMN('Round 3'!$G$7),0)))</f>
        <v/>
      </c>
      <c r="I177" s="142" t="str">
        <f>IF(ISBLANK($A177),"",IF(ISERROR(VLOOKUP($A177,'Round 1'!$A$7:$I$206,COLUMN('Round 1'!$F$7),0)),0,VLOOKUP($A177,'Round 1'!$A$7:$I$206,COLUMN('Round 1'!$F$7),0))+IF(ISERROR(VLOOKUP($A177,'Round 2'!$A$7:$I$206,COLUMN('Round 2'!$F$7),0)),0,VLOOKUP($A177,'Round 2'!$A$7:$I$206,COLUMN('Round 2'!$F$7),0))+IF(ISERROR(VLOOKUP($A177,'Round 3'!$A$7:$I$206,COLUMN('Round 3'!$F$7),0)),0,VLOOKUP($A177,'Round 3'!$A$7:$I$206,COLUMN('Round 3'!$F$7),0)))</f>
        <v/>
      </c>
      <c r="J177" s="143" t="str">
        <f>IF(ISBLANK($A177),"",IF(ISERROR(VLOOKUP($A177,'Round 1'!$A$7:$I$206,COLUMN('Round 1'!$H$7),0)),0,VLOOKUP($A177,'Round 1'!$A$7:$I$206,COLUMN('Round 1'!$H$7),0))+IF(ISERROR(VLOOKUP($A177,'Round 2'!$A$7:$I$206,COLUMN('Round 2'!$H$7),0)),0,VLOOKUP($A177,'Round 2'!$A$7:$I$206,COLUMN('Round 2'!$H$7),0))+IF(ISERROR(VLOOKUP($A177,'Round 3'!$A$7:$I$206,COLUMN('Round 3'!$H$7),0)),0,VLOOKUP($A177,'Round 3'!$A$7:$I$206,COLUMN('Round 3'!$H$7),0)))</f>
        <v/>
      </c>
      <c r="K177" s="142" t="str">
        <f t="shared" si="75"/>
        <v/>
      </c>
      <c r="L177" s="144" t="str">
        <f t="shared" si="76"/>
        <v/>
      </c>
      <c r="M177" s="145"/>
      <c r="N177" s="146" t="str">
        <f t="shared" si="77"/>
        <v/>
      </c>
      <c r="O177" s="36" t="str">
        <f t="shared" si="78"/>
        <v/>
      </c>
      <c r="P177" s="36" t="str">
        <f t="shared" si="79"/>
        <v/>
      </c>
      <c r="Q177" s="36">
        <f t="shared" si="80"/>
        <v>-10</v>
      </c>
      <c r="R177" s="36" t="str">
        <f t="shared" si="81"/>
        <v/>
      </c>
      <c r="S177" s="36" t="str">
        <f t="shared" si="82"/>
        <v/>
      </c>
      <c r="T177" s="36">
        <f t="shared" si="83"/>
        <v>0</v>
      </c>
      <c r="U177" s="146" t="str">
        <f ca="1">IF(N('Final Round'!$J$14)&gt;0,IF(ISBLANK($A177),"",IF($N177&gt;5,$N177,VLOOKUP($A177,'Final Round'!$A$14:$K$18,COLUMN('Final Round'!$J$1),0))),"")</f>
        <v/>
      </c>
      <c r="V177" s="36" t="str">
        <f t="shared" ca="1" si="84"/>
        <v/>
      </c>
      <c r="W177" s="36" t="str">
        <f t="shared" si="85"/>
        <v/>
      </c>
      <c r="X177" s="36" t="str">
        <f t="shared" si="86"/>
        <v/>
      </c>
      <c r="Y177" s="36">
        <f t="shared" si="87"/>
        <v>0</v>
      </c>
      <c r="Z177" s="36" t="str">
        <f t="shared" ca="1" si="88"/>
        <v/>
      </c>
      <c r="AA177" s="36">
        <f t="shared" ca="1" si="89"/>
        <v>0</v>
      </c>
      <c r="AB177" s="147" t="str">
        <f>IF(ISBLANK($A177),"",5+4*(I177+IF(AA177=0,0,VLOOKUP($A177,'Final Round'!$A$14:$K$18,COLUMN('Final Round'!$G$1),0)))+8*(H177+IF(AA177=0,0,IF(VLOOKUP($A177,'Final Round'!$A$14:$K$18,COLUMN('Final Round'!$J$1),0)=1,1,0)))+$AA177)</f>
        <v/>
      </c>
    </row>
    <row r="178" spans="1:28" x14ac:dyDescent="0.2">
      <c r="A178" s="111"/>
      <c r="B178" s="112"/>
      <c r="C178" s="112"/>
      <c r="D178" s="112"/>
      <c r="E178" s="113"/>
      <c r="F178" s="114" t="str">
        <f>IF(ISBLANK($A178),"",SUM(IF(ISNA(IF(VLOOKUP($A178,'Round 1'!$A$7:$J$206,COLUMN('Round 1'!$H$7),0),1,NA())),0,1),IF(ISNA(IF(VLOOKUP($A178,'Round 2'!$A$7:$J$206,COLUMN('Round 1'!$H$7),0),1,NA())),0,1),IF(ISNA(IF(VLOOKUP($A178,'Round 3'!$A$7:$J$206,COLUMN('Round 1'!$H$7),0),1,NA())),0,1),IF(ISNA(IF(VLOOKUP($A178,'Final Round'!$A$14:$K$18,1,0),1,NA())),0,1)))</f>
        <v/>
      </c>
      <c r="G178" s="115"/>
      <c r="H178" s="116" t="str">
        <f>IF(ISBLANK($A178),"",IF(ISERROR(VLOOKUP($A178,'Round 1'!$A$7:$I$206,COLUMN('Round 1'!$G$7),0)),0,VLOOKUP($A178,'Round 1'!$A$7:$I$206,COLUMN('Round 1'!$G$7),0))+IF(ISERROR(VLOOKUP($A178,'Round 2'!$A$7:$I$206,COLUMN('Round 2'!$G$7),0)),0,VLOOKUP($A178,'Round 2'!$A$7:$I$206,COLUMN('Round 2'!$G$7),0))+IF(ISERROR(VLOOKUP($A178,'Round 3'!$A$7:$I$206,COLUMN('Round 3'!$G$7),0)),0,VLOOKUP($A178,'Round 3'!$A$7:$I$206,COLUMN('Round 3'!$G$7),0)))</f>
        <v/>
      </c>
      <c r="I178" s="116" t="str">
        <f>IF(ISBLANK($A178),"",IF(ISERROR(VLOOKUP($A178,'Round 1'!$A$7:$I$206,COLUMN('Round 1'!$F$7),0)),0,VLOOKUP($A178,'Round 1'!$A$7:$I$206,COLUMN('Round 1'!$F$7),0))+IF(ISERROR(VLOOKUP($A178,'Round 2'!$A$7:$I$206,COLUMN('Round 2'!$F$7),0)),0,VLOOKUP($A178,'Round 2'!$A$7:$I$206,COLUMN('Round 2'!$F$7),0))+IF(ISERROR(VLOOKUP($A178,'Round 3'!$A$7:$I$206,COLUMN('Round 3'!$F$7),0)),0,VLOOKUP($A178,'Round 3'!$A$7:$I$206,COLUMN('Round 3'!$F$7),0)))</f>
        <v/>
      </c>
      <c r="J178" s="117" t="str">
        <f>IF(ISBLANK($A178),"",IF(ISERROR(VLOOKUP($A178,'Round 1'!$A$7:$I$206,COLUMN('Round 1'!$H$7),0)),0,VLOOKUP($A178,'Round 1'!$A$7:$I$206,COLUMN('Round 1'!$H$7),0))+IF(ISERROR(VLOOKUP($A178,'Round 2'!$A$7:$I$206,COLUMN('Round 2'!$H$7),0)),0,VLOOKUP($A178,'Round 2'!$A$7:$I$206,COLUMN('Round 2'!$H$7),0))+IF(ISERROR(VLOOKUP($A178,'Round 3'!$A$7:$I$206,COLUMN('Round 3'!$H$7),0)),0,VLOOKUP($A178,'Round 3'!$A$7:$I$206,COLUMN('Round 3'!$H$7),0)))</f>
        <v/>
      </c>
      <c r="K178" s="116" t="str">
        <f t="shared" si="75"/>
        <v/>
      </c>
      <c r="L178" s="118" t="str">
        <f t="shared" si="76"/>
        <v/>
      </c>
      <c r="M178" s="119"/>
      <c r="N178" s="120" t="str">
        <f t="shared" si="77"/>
        <v/>
      </c>
      <c r="O178" s="36" t="str">
        <f t="shared" si="78"/>
        <v/>
      </c>
      <c r="P178" s="36" t="str">
        <f t="shared" si="79"/>
        <v/>
      </c>
      <c r="Q178" s="36">
        <f t="shared" si="80"/>
        <v>-10</v>
      </c>
      <c r="R178" s="36" t="str">
        <f t="shared" si="81"/>
        <v/>
      </c>
      <c r="S178" s="36" t="str">
        <f t="shared" si="82"/>
        <v/>
      </c>
      <c r="T178" s="36">
        <f t="shared" si="83"/>
        <v>0</v>
      </c>
      <c r="U178" s="120" t="str">
        <f ca="1">IF(N('Final Round'!$J$14)&gt;0,IF(ISBLANK($A178),"",IF($N178&gt;5,$N178,VLOOKUP($A178,'Final Round'!$A$14:$K$18,COLUMN('Final Round'!$J$1),0))),"")</f>
        <v/>
      </c>
      <c r="V178" s="36" t="str">
        <f t="shared" ca="1" si="84"/>
        <v/>
      </c>
      <c r="W178" s="36" t="str">
        <f t="shared" si="85"/>
        <v/>
      </c>
      <c r="X178" s="36" t="str">
        <f t="shared" si="86"/>
        <v/>
      </c>
      <c r="Y178" s="36">
        <f t="shared" si="87"/>
        <v>0</v>
      </c>
      <c r="Z178" s="36" t="str">
        <f t="shared" ca="1" si="88"/>
        <v/>
      </c>
      <c r="AA178" s="36">
        <f t="shared" ca="1" si="89"/>
        <v>0</v>
      </c>
      <c r="AB178" s="121" t="str">
        <f>IF(ISBLANK($A178),"",5+4*(I178+IF(AA178=0,0,VLOOKUP($A178,'Final Round'!$A$14:$K$18,COLUMN('Final Round'!$G$1),0)))+8*(H178+IF(AA178=0,0,IF(VLOOKUP($A178,'Final Round'!$A$14:$K$18,COLUMN('Final Round'!$J$1),0)=1,1,0)))+$AA178)</f>
        <v/>
      </c>
    </row>
    <row r="179" spans="1:28" x14ac:dyDescent="0.2">
      <c r="A179" s="137"/>
      <c r="B179" s="138"/>
      <c r="C179" s="138"/>
      <c r="D179" s="138"/>
      <c r="E179" s="139"/>
      <c r="F179" s="140" t="str">
        <f>IF(ISBLANK($A179),"",SUM(IF(ISNA(IF(VLOOKUP($A179,'Round 1'!$A$7:$J$206,COLUMN('Round 1'!$H$7),0),1,NA())),0,1),IF(ISNA(IF(VLOOKUP($A179,'Round 2'!$A$7:$J$206,COLUMN('Round 1'!$H$7),0),1,NA())),0,1),IF(ISNA(IF(VLOOKUP($A179,'Round 3'!$A$7:$J$206,COLUMN('Round 1'!$H$7),0),1,NA())),0,1),IF(ISNA(IF(VLOOKUP($A179,'Final Round'!$A$14:$K$18,1,0),1,NA())),0,1)))</f>
        <v/>
      </c>
      <c r="G179" s="141"/>
      <c r="H179" s="142" t="str">
        <f>IF(ISBLANK($A179),"",IF(ISERROR(VLOOKUP($A179,'Round 1'!$A$7:$I$206,COLUMN('Round 1'!$G$7),0)),0,VLOOKUP($A179,'Round 1'!$A$7:$I$206,COLUMN('Round 1'!$G$7),0))+IF(ISERROR(VLOOKUP($A179,'Round 2'!$A$7:$I$206,COLUMN('Round 2'!$G$7),0)),0,VLOOKUP($A179,'Round 2'!$A$7:$I$206,COLUMN('Round 2'!$G$7),0))+IF(ISERROR(VLOOKUP($A179,'Round 3'!$A$7:$I$206,COLUMN('Round 3'!$G$7),0)),0,VLOOKUP($A179,'Round 3'!$A$7:$I$206,COLUMN('Round 3'!$G$7),0)))</f>
        <v/>
      </c>
      <c r="I179" s="142" t="str">
        <f>IF(ISBLANK($A179),"",IF(ISERROR(VLOOKUP($A179,'Round 1'!$A$7:$I$206,COLUMN('Round 1'!$F$7),0)),0,VLOOKUP($A179,'Round 1'!$A$7:$I$206,COLUMN('Round 1'!$F$7),0))+IF(ISERROR(VLOOKUP($A179,'Round 2'!$A$7:$I$206,COLUMN('Round 2'!$F$7),0)),0,VLOOKUP($A179,'Round 2'!$A$7:$I$206,COLUMN('Round 2'!$F$7),0))+IF(ISERROR(VLOOKUP($A179,'Round 3'!$A$7:$I$206,COLUMN('Round 3'!$F$7),0)),0,VLOOKUP($A179,'Round 3'!$A$7:$I$206,COLUMN('Round 3'!$F$7),0)))</f>
        <v/>
      </c>
      <c r="J179" s="143" t="str">
        <f>IF(ISBLANK($A179),"",IF(ISERROR(VLOOKUP($A179,'Round 1'!$A$7:$I$206,COLUMN('Round 1'!$H$7),0)),0,VLOOKUP($A179,'Round 1'!$A$7:$I$206,COLUMN('Round 1'!$H$7),0))+IF(ISERROR(VLOOKUP($A179,'Round 2'!$A$7:$I$206,COLUMN('Round 2'!$H$7),0)),0,VLOOKUP($A179,'Round 2'!$A$7:$I$206,COLUMN('Round 2'!$H$7),0))+IF(ISERROR(VLOOKUP($A179,'Round 3'!$A$7:$I$206,COLUMN('Round 3'!$H$7),0)),0,VLOOKUP($A179,'Round 3'!$A$7:$I$206,COLUMN('Round 3'!$H$7),0)))</f>
        <v/>
      </c>
      <c r="K179" s="142" t="str">
        <f t="shared" si="75"/>
        <v/>
      </c>
      <c r="L179" s="144" t="str">
        <f t="shared" si="76"/>
        <v/>
      </c>
      <c r="M179" s="145"/>
      <c r="N179" s="146" t="str">
        <f t="shared" si="77"/>
        <v/>
      </c>
      <c r="O179" s="36" t="str">
        <f t="shared" si="78"/>
        <v/>
      </c>
      <c r="P179" s="36" t="str">
        <f t="shared" si="79"/>
        <v/>
      </c>
      <c r="Q179" s="36">
        <f t="shared" si="80"/>
        <v>-10</v>
      </c>
      <c r="R179" s="36" t="str">
        <f t="shared" si="81"/>
        <v/>
      </c>
      <c r="S179" s="36" t="str">
        <f t="shared" si="82"/>
        <v/>
      </c>
      <c r="T179" s="36">
        <f t="shared" si="83"/>
        <v>0</v>
      </c>
      <c r="U179" s="146" t="str">
        <f ca="1">IF(N('Final Round'!$J$14)&gt;0,IF(ISBLANK($A179),"",IF($N179&gt;5,$N179,VLOOKUP($A179,'Final Round'!$A$14:$K$18,COLUMN('Final Round'!$J$1),0))),"")</f>
        <v/>
      </c>
      <c r="V179" s="36" t="str">
        <f t="shared" ca="1" si="84"/>
        <v/>
      </c>
      <c r="W179" s="36" t="str">
        <f t="shared" si="85"/>
        <v/>
      </c>
      <c r="X179" s="36" t="str">
        <f t="shared" si="86"/>
        <v/>
      </c>
      <c r="Y179" s="36">
        <f t="shared" si="87"/>
        <v>0</v>
      </c>
      <c r="Z179" s="36" t="str">
        <f t="shared" ca="1" si="88"/>
        <v/>
      </c>
      <c r="AA179" s="36">
        <f t="shared" ca="1" si="89"/>
        <v>0</v>
      </c>
      <c r="AB179" s="147" t="str">
        <f>IF(ISBLANK($A179),"",5+4*(I179+IF(AA179=0,0,VLOOKUP($A179,'Final Round'!$A$14:$K$18,COLUMN('Final Round'!$G$1),0)))+8*(H179+IF(AA179=0,0,IF(VLOOKUP($A179,'Final Round'!$A$14:$K$18,COLUMN('Final Round'!$J$1),0)=1,1,0)))+$AA179)</f>
        <v/>
      </c>
    </row>
    <row r="180" spans="1:28" x14ac:dyDescent="0.2">
      <c r="A180" s="111"/>
      <c r="B180" s="112"/>
      <c r="C180" s="112"/>
      <c r="D180" s="112"/>
      <c r="E180" s="113"/>
      <c r="F180" s="114" t="str">
        <f>IF(ISBLANK($A180),"",SUM(IF(ISNA(IF(VLOOKUP($A180,'Round 1'!$A$7:$J$206,COLUMN('Round 1'!$H$7),0),1,NA())),0,1),IF(ISNA(IF(VLOOKUP($A180,'Round 2'!$A$7:$J$206,COLUMN('Round 1'!$H$7),0),1,NA())),0,1),IF(ISNA(IF(VLOOKUP($A180,'Round 3'!$A$7:$J$206,COLUMN('Round 1'!$H$7),0),1,NA())),0,1),IF(ISNA(IF(VLOOKUP($A180,'Final Round'!$A$14:$K$18,1,0),1,NA())),0,1)))</f>
        <v/>
      </c>
      <c r="G180" s="115"/>
      <c r="H180" s="116" t="str">
        <f>IF(ISBLANK($A180),"",IF(ISERROR(VLOOKUP($A180,'Round 1'!$A$7:$I$206,COLUMN('Round 1'!$G$7),0)),0,VLOOKUP($A180,'Round 1'!$A$7:$I$206,COLUMN('Round 1'!$G$7),0))+IF(ISERROR(VLOOKUP($A180,'Round 2'!$A$7:$I$206,COLUMN('Round 2'!$G$7),0)),0,VLOOKUP($A180,'Round 2'!$A$7:$I$206,COLUMN('Round 2'!$G$7),0))+IF(ISERROR(VLOOKUP($A180,'Round 3'!$A$7:$I$206,COLUMN('Round 3'!$G$7),0)),0,VLOOKUP($A180,'Round 3'!$A$7:$I$206,COLUMN('Round 3'!$G$7),0)))</f>
        <v/>
      </c>
      <c r="I180" s="116" t="str">
        <f>IF(ISBLANK($A180),"",IF(ISERROR(VLOOKUP($A180,'Round 1'!$A$7:$I$206,COLUMN('Round 1'!$F$7),0)),0,VLOOKUP($A180,'Round 1'!$A$7:$I$206,COLUMN('Round 1'!$F$7),0))+IF(ISERROR(VLOOKUP($A180,'Round 2'!$A$7:$I$206,COLUMN('Round 2'!$F$7),0)),0,VLOOKUP($A180,'Round 2'!$A$7:$I$206,COLUMN('Round 2'!$F$7),0))+IF(ISERROR(VLOOKUP($A180,'Round 3'!$A$7:$I$206,COLUMN('Round 3'!$F$7),0)),0,VLOOKUP($A180,'Round 3'!$A$7:$I$206,COLUMN('Round 3'!$F$7),0)))</f>
        <v/>
      </c>
      <c r="J180" s="117" t="str">
        <f>IF(ISBLANK($A180),"",IF(ISERROR(VLOOKUP($A180,'Round 1'!$A$7:$I$206,COLUMN('Round 1'!$H$7),0)),0,VLOOKUP($A180,'Round 1'!$A$7:$I$206,COLUMN('Round 1'!$H$7),0))+IF(ISERROR(VLOOKUP($A180,'Round 2'!$A$7:$I$206,COLUMN('Round 2'!$H$7),0)),0,VLOOKUP($A180,'Round 2'!$A$7:$I$206,COLUMN('Round 2'!$H$7),0))+IF(ISERROR(VLOOKUP($A180,'Round 3'!$A$7:$I$206,COLUMN('Round 3'!$H$7),0)),0,VLOOKUP($A180,'Round 3'!$A$7:$I$206,COLUMN('Round 3'!$H$7),0)))</f>
        <v/>
      </c>
      <c r="K180" s="116" t="str">
        <f t="shared" si="75"/>
        <v/>
      </c>
      <c r="L180" s="118" t="str">
        <f t="shared" si="76"/>
        <v/>
      </c>
      <c r="M180" s="119"/>
      <c r="N180" s="120" t="str">
        <f t="shared" si="77"/>
        <v/>
      </c>
      <c r="O180" s="36" t="str">
        <f t="shared" si="78"/>
        <v/>
      </c>
      <c r="P180" s="36" t="str">
        <f t="shared" si="79"/>
        <v/>
      </c>
      <c r="Q180" s="36">
        <f t="shared" si="80"/>
        <v>-10</v>
      </c>
      <c r="R180" s="36" t="str">
        <f t="shared" si="81"/>
        <v/>
      </c>
      <c r="S180" s="36" t="str">
        <f t="shared" si="82"/>
        <v/>
      </c>
      <c r="T180" s="36">
        <f t="shared" si="83"/>
        <v>0</v>
      </c>
      <c r="U180" s="120" t="str">
        <f ca="1">IF(N('Final Round'!$J$14)&gt;0,IF(ISBLANK($A180),"",IF($N180&gt;5,$N180,VLOOKUP($A180,'Final Round'!$A$14:$K$18,COLUMN('Final Round'!$J$1),0))),"")</f>
        <v/>
      </c>
      <c r="V180" s="36" t="str">
        <f t="shared" ca="1" si="84"/>
        <v/>
      </c>
      <c r="W180" s="36" t="str">
        <f t="shared" si="85"/>
        <v/>
      </c>
      <c r="X180" s="36" t="str">
        <f t="shared" si="86"/>
        <v/>
      </c>
      <c r="Y180" s="36">
        <f t="shared" si="87"/>
        <v>0</v>
      </c>
      <c r="Z180" s="36" t="str">
        <f t="shared" ca="1" si="88"/>
        <v/>
      </c>
      <c r="AA180" s="36">
        <f t="shared" ca="1" si="89"/>
        <v>0</v>
      </c>
      <c r="AB180" s="121" t="str">
        <f>IF(ISBLANK($A180),"",5+4*(I180+IF(AA180=0,0,VLOOKUP($A180,'Final Round'!$A$14:$K$18,COLUMN('Final Round'!$G$1),0)))+8*(H180+IF(AA180=0,0,IF(VLOOKUP($A180,'Final Round'!$A$14:$K$18,COLUMN('Final Round'!$J$1),0)=1,1,0)))+$AA180)</f>
        <v/>
      </c>
    </row>
    <row r="181" spans="1:28" x14ac:dyDescent="0.2">
      <c r="A181" s="137"/>
      <c r="B181" s="138"/>
      <c r="C181" s="138"/>
      <c r="D181" s="138"/>
      <c r="E181" s="139"/>
      <c r="F181" s="140" t="str">
        <f>IF(ISBLANK($A181),"",SUM(IF(ISNA(IF(VLOOKUP($A181,'Round 1'!$A$7:$J$206,COLUMN('Round 1'!$H$7),0),1,NA())),0,1),IF(ISNA(IF(VLOOKUP($A181,'Round 2'!$A$7:$J$206,COLUMN('Round 1'!$H$7),0),1,NA())),0,1),IF(ISNA(IF(VLOOKUP($A181,'Round 3'!$A$7:$J$206,COLUMN('Round 1'!$H$7),0),1,NA())),0,1),IF(ISNA(IF(VLOOKUP($A181,'Final Round'!$A$14:$K$18,1,0),1,NA())),0,1)))</f>
        <v/>
      </c>
      <c r="G181" s="141"/>
      <c r="H181" s="142" t="str">
        <f>IF(ISBLANK($A181),"",IF(ISERROR(VLOOKUP($A181,'Round 1'!$A$7:$I$206,COLUMN('Round 1'!$G$7),0)),0,VLOOKUP($A181,'Round 1'!$A$7:$I$206,COLUMN('Round 1'!$G$7),0))+IF(ISERROR(VLOOKUP($A181,'Round 2'!$A$7:$I$206,COLUMN('Round 2'!$G$7),0)),0,VLOOKUP($A181,'Round 2'!$A$7:$I$206,COLUMN('Round 2'!$G$7),0))+IF(ISERROR(VLOOKUP($A181,'Round 3'!$A$7:$I$206,COLUMN('Round 3'!$G$7),0)),0,VLOOKUP($A181,'Round 3'!$A$7:$I$206,COLUMN('Round 3'!$G$7),0)))</f>
        <v/>
      </c>
      <c r="I181" s="142" t="str">
        <f>IF(ISBLANK($A181),"",IF(ISERROR(VLOOKUP($A181,'Round 1'!$A$7:$I$206,COLUMN('Round 1'!$F$7),0)),0,VLOOKUP($A181,'Round 1'!$A$7:$I$206,COLUMN('Round 1'!$F$7),0))+IF(ISERROR(VLOOKUP($A181,'Round 2'!$A$7:$I$206,COLUMN('Round 2'!$F$7),0)),0,VLOOKUP($A181,'Round 2'!$A$7:$I$206,COLUMN('Round 2'!$F$7),0))+IF(ISERROR(VLOOKUP($A181,'Round 3'!$A$7:$I$206,COLUMN('Round 3'!$F$7),0)),0,VLOOKUP($A181,'Round 3'!$A$7:$I$206,COLUMN('Round 3'!$F$7),0)))</f>
        <v/>
      </c>
      <c r="J181" s="143" t="str">
        <f>IF(ISBLANK($A181),"",IF(ISERROR(VLOOKUP($A181,'Round 1'!$A$7:$I$206,COLUMN('Round 1'!$H$7),0)),0,VLOOKUP($A181,'Round 1'!$A$7:$I$206,COLUMN('Round 1'!$H$7),0))+IF(ISERROR(VLOOKUP($A181,'Round 2'!$A$7:$I$206,COLUMN('Round 2'!$H$7),0)),0,VLOOKUP($A181,'Round 2'!$A$7:$I$206,COLUMN('Round 2'!$H$7),0))+IF(ISERROR(VLOOKUP($A181,'Round 3'!$A$7:$I$206,COLUMN('Round 3'!$H$7),0)),0,VLOOKUP($A181,'Round 3'!$A$7:$I$206,COLUMN('Round 3'!$H$7),0)))</f>
        <v/>
      </c>
      <c r="K181" s="142" t="str">
        <f t="shared" si="75"/>
        <v/>
      </c>
      <c r="L181" s="144" t="str">
        <f t="shared" si="76"/>
        <v/>
      </c>
      <c r="M181" s="145"/>
      <c r="N181" s="146" t="str">
        <f t="shared" si="77"/>
        <v/>
      </c>
      <c r="O181" s="36" t="str">
        <f t="shared" si="78"/>
        <v/>
      </c>
      <c r="P181" s="36" t="str">
        <f t="shared" si="79"/>
        <v/>
      </c>
      <c r="Q181" s="36">
        <f t="shared" si="80"/>
        <v>-10</v>
      </c>
      <c r="R181" s="36" t="str">
        <f t="shared" si="81"/>
        <v/>
      </c>
      <c r="S181" s="36" t="str">
        <f t="shared" si="82"/>
        <v/>
      </c>
      <c r="T181" s="36">
        <f t="shared" si="83"/>
        <v>0</v>
      </c>
      <c r="U181" s="146" t="str">
        <f ca="1">IF(N('Final Round'!$J$14)&gt;0,IF(ISBLANK($A181),"",IF($N181&gt;5,$N181,VLOOKUP($A181,'Final Round'!$A$14:$K$18,COLUMN('Final Round'!$J$1),0))),"")</f>
        <v/>
      </c>
      <c r="V181" s="36" t="str">
        <f t="shared" ca="1" si="84"/>
        <v/>
      </c>
      <c r="W181" s="36" t="str">
        <f t="shared" si="85"/>
        <v/>
      </c>
      <c r="X181" s="36" t="str">
        <f t="shared" si="86"/>
        <v/>
      </c>
      <c r="Y181" s="36">
        <f t="shared" si="87"/>
        <v>0</v>
      </c>
      <c r="Z181" s="36" t="str">
        <f t="shared" ca="1" si="88"/>
        <v/>
      </c>
      <c r="AA181" s="36">
        <f t="shared" ca="1" si="89"/>
        <v>0</v>
      </c>
      <c r="AB181" s="147" t="str">
        <f>IF(ISBLANK($A181),"",5+4*(I181+IF(AA181=0,0,VLOOKUP($A181,'Final Round'!$A$14:$K$18,COLUMN('Final Round'!$G$1),0)))+8*(H181+IF(AA181=0,0,IF(VLOOKUP($A181,'Final Round'!$A$14:$K$18,COLUMN('Final Round'!$J$1),0)=1,1,0)))+$AA181)</f>
        <v/>
      </c>
    </row>
    <row r="182" spans="1:28" x14ac:dyDescent="0.2">
      <c r="A182" s="111"/>
      <c r="B182" s="112"/>
      <c r="C182" s="112"/>
      <c r="D182" s="112"/>
      <c r="E182" s="113"/>
      <c r="F182" s="114" t="str">
        <f>IF(ISBLANK($A182),"",SUM(IF(ISNA(IF(VLOOKUP($A182,'Round 1'!$A$7:$J$206,COLUMN('Round 1'!$H$7),0),1,NA())),0,1),IF(ISNA(IF(VLOOKUP($A182,'Round 2'!$A$7:$J$206,COLUMN('Round 1'!$H$7),0),1,NA())),0,1),IF(ISNA(IF(VLOOKUP($A182,'Round 3'!$A$7:$J$206,COLUMN('Round 1'!$H$7),0),1,NA())),0,1),IF(ISNA(IF(VLOOKUP($A182,'Final Round'!$A$14:$K$18,1,0),1,NA())),0,1)))</f>
        <v/>
      </c>
      <c r="G182" s="115"/>
      <c r="H182" s="116" t="str">
        <f>IF(ISBLANK($A182),"",IF(ISERROR(VLOOKUP($A182,'Round 1'!$A$7:$I$206,COLUMN('Round 1'!$G$7),0)),0,VLOOKUP($A182,'Round 1'!$A$7:$I$206,COLUMN('Round 1'!$G$7),0))+IF(ISERROR(VLOOKUP($A182,'Round 2'!$A$7:$I$206,COLUMN('Round 2'!$G$7),0)),0,VLOOKUP($A182,'Round 2'!$A$7:$I$206,COLUMN('Round 2'!$G$7),0))+IF(ISERROR(VLOOKUP($A182,'Round 3'!$A$7:$I$206,COLUMN('Round 3'!$G$7),0)),0,VLOOKUP($A182,'Round 3'!$A$7:$I$206,COLUMN('Round 3'!$G$7),0)))</f>
        <v/>
      </c>
      <c r="I182" s="116" t="str">
        <f>IF(ISBLANK($A182),"",IF(ISERROR(VLOOKUP($A182,'Round 1'!$A$7:$I$206,COLUMN('Round 1'!$F$7),0)),0,VLOOKUP($A182,'Round 1'!$A$7:$I$206,COLUMN('Round 1'!$F$7),0))+IF(ISERROR(VLOOKUP($A182,'Round 2'!$A$7:$I$206,COLUMN('Round 2'!$F$7),0)),0,VLOOKUP($A182,'Round 2'!$A$7:$I$206,COLUMN('Round 2'!$F$7),0))+IF(ISERROR(VLOOKUP($A182,'Round 3'!$A$7:$I$206,COLUMN('Round 3'!$F$7),0)),0,VLOOKUP($A182,'Round 3'!$A$7:$I$206,COLUMN('Round 3'!$F$7),0)))</f>
        <v/>
      </c>
      <c r="J182" s="117" t="str">
        <f>IF(ISBLANK($A182),"",IF(ISERROR(VLOOKUP($A182,'Round 1'!$A$7:$I$206,COLUMN('Round 1'!$H$7),0)),0,VLOOKUP($A182,'Round 1'!$A$7:$I$206,COLUMN('Round 1'!$H$7),0))+IF(ISERROR(VLOOKUP($A182,'Round 2'!$A$7:$I$206,COLUMN('Round 2'!$H$7),0)),0,VLOOKUP($A182,'Round 2'!$A$7:$I$206,COLUMN('Round 2'!$H$7),0))+IF(ISERROR(VLOOKUP($A182,'Round 3'!$A$7:$I$206,COLUMN('Round 3'!$H$7),0)),0,VLOOKUP($A182,'Round 3'!$A$7:$I$206,COLUMN('Round 3'!$H$7),0)))</f>
        <v/>
      </c>
      <c r="K182" s="116" t="str">
        <f t="shared" si="75"/>
        <v/>
      </c>
      <c r="L182" s="118" t="str">
        <f t="shared" si="76"/>
        <v/>
      </c>
      <c r="M182" s="119"/>
      <c r="N182" s="120" t="str">
        <f t="shared" si="77"/>
        <v/>
      </c>
      <c r="O182" s="36" t="str">
        <f t="shared" si="78"/>
        <v/>
      </c>
      <c r="P182" s="36" t="str">
        <f t="shared" si="79"/>
        <v/>
      </c>
      <c r="Q182" s="36">
        <f t="shared" si="80"/>
        <v>-10</v>
      </c>
      <c r="R182" s="36" t="str">
        <f t="shared" si="81"/>
        <v/>
      </c>
      <c r="S182" s="36" t="str">
        <f t="shared" si="82"/>
        <v/>
      </c>
      <c r="T182" s="36">
        <f t="shared" si="83"/>
        <v>0</v>
      </c>
      <c r="U182" s="120" t="str">
        <f ca="1">IF(N('Final Round'!$J$14)&gt;0,IF(ISBLANK($A182),"",IF($N182&gt;5,$N182,VLOOKUP($A182,'Final Round'!$A$14:$K$18,COLUMN('Final Round'!$J$1),0))),"")</f>
        <v/>
      </c>
      <c r="V182" s="36" t="str">
        <f t="shared" ca="1" si="84"/>
        <v/>
      </c>
      <c r="W182" s="36" t="str">
        <f t="shared" si="85"/>
        <v/>
      </c>
      <c r="X182" s="36" t="str">
        <f t="shared" si="86"/>
        <v/>
      </c>
      <c r="Y182" s="36">
        <f t="shared" si="87"/>
        <v>0</v>
      </c>
      <c r="Z182" s="36" t="str">
        <f t="shared" ca="1" si="88"/>
        <v/>
      </c>
      <c r="AA182" s="36">
        <f t="shared" ca="1" si="89"/>
        <v>0</v>
      </c>
      <c r="AB182" s="121" t="str">
        <f>IF(ISBLANK($A182),"",5+4*(I182+IF(AA182=0,0,VLOOKUP($A182,'Final Round'!$A$14:$K$18,COLUMN('Final Round'!$G$1),0)))+8*(H182+IF(AA182=0,0,IF(VLOOKUP($A182,'Final Round'!$A$14:$K$18,COLUMN('Final Round'!$J$1),0)=1,1,0)))+$AA182)</f>
        <v/>
      </c>
    </row>
    <row r="183" spans="1:28" x14ac:dyDescent="0.2">
      <c r="A183" s="137"/>
      <c r="B183" s="138"/>
      <c r="C183" s="138"/>
      <c r="D183" s="138"/>
      <c r="E183" s="139"/>
      <c r="F183" s="140" t="str">
        <f>IF(ISBLANK($A183),"",SUM(IF(ISNA(IF(VLOOKUP($A183,'Round 1'!$A$7:$J$206,COLUMN('Round 1'!$H$7),0),1,NA())),0,1),IF(ISNA(IF(VLOOKUP($A183,'Round 2'!$A$7:$J$206,COLUMN('Round 1'!$H$7),0),1,NA())),0,1),IF(ISNA(IF(VLOOKUP($A183,'Round 3'!$A$7:$J$206,COLUMN('Round 1'!$H$7),0),1,NA())),0,1),IF(ISNA(IF(VLOOKUP($A183,'Final Round'!$A$14:$K$18,1,0),1,NA())),0,1)))</f>
        <v/>
      </c>
      <c r="G183" s="141"/>
      <c r="H183" s="142" t="str">
        <f>IF(ISBLANK($A183),"",IF(ISERROR(VLOOKUP($A183,'Round 1'!$A$7:$I$206,COLUMN('Round 1'!$G$7),0)),0,VLOOKUP($A183,'Round 1'!$A$7:$I$206,COLUMN('Round 1'!$G$7),0))+IF(ISERROR(VLOOKUP($A183,'Round 2'!$A$7:$I$206,COLUMN('Round 2'!$G$7),0)),0,VLOOKUP($A183,'Round 2'!$A$7:$I$206,COLUMN('Round 2'!$G$7),0))+IF(ISERROR(VLOOKUP($A183,'Round 3'!$A$7:$I$206,COLUMN('Round 3'!$G$7),0)),0,VLOOKUP($A183,'Round 3'!$A$7:$I$206,COLUMN('Round 3'!$G$7),0)))</f>
        <v/>
      </c>
      <c r="I183" s="142" t="str">
        <f>IF(ISBLANK($A183),"",IF(ISERROR(VLOOKUP($A183,'Round 1'!$A$7:$I$206,COLUMN('Round 1'!$F$7),0)),0,VLOOKUP($A183,'Round 1'!$A$7:$I$206,COLUMN('Round 1'!$F$7),0))+IF(ISERROR(VLOOKUP($A183,'Round 2'!$A$7:$I$206,COLUMN('Round 2'!$F$7),0)),0,VLOOKUP($A183,'Round 2'!$A$7:$I$206,COLUMN('Round 2'!$F$7),0))+IF(ISERROR(VLOOKUP($A183,'Round 3'!$A$7:$I$206,COLUMN('Round 3'!$F$7),0)),0,VLOOKUP($A183,'Round 3'!$A$7:$I$206,COLUMN('Round 3'!$F$7),0)))</f>
        <v/>
      </c>
      <c r="J183" s="143" t="str">
        <f>IF(ISBLANK($A183),"",IF(ISERROR(VLOOKUP($A183,'Round 1'!$A$7:$I$206,COLUMN('Round 1'!$H$7),0)),0,VLOOKUP($A183,'Round 1'!$A$7:$I$206,COLUMN('Round 1'!$H$7),0))+IF(ISERROR(VLOOKUP($A183,'Round 2'!$A$7:$I$206,COLUMN('Round 2'!$H$7),0)),0,VLOOKUP($A183,'Round 2'!$A$7:$I$206,COLUMN('Round 2'!$H$7),0))+IF(ISERROR(VLOOKUP($A183,'Round 3'!$A$7:$I$206,COLUMN('Round 3'!$H$7),0)),0,VLOOKUP($A183,'Round 3'!$A$7:$I$206,COLUMN('Round 3'!$H$7),0)))</f>
        <v/>
      </c>
      <c r="K183" s="142" t="str">
        <f t="shared" si="75"/>
        <v/>
      </c>
      <c r="L183" s="144" t="str">
        <f t="shared" si="76"/>
        <v/>
      </c>
      <c r="M183" s="145"/>
      <c r="N183" s="146" t="str">
        <f t="shared" si="77"/>
        <v/>
      </c>
      <c r="O183" s="36" t="str">
        <f t="shared" si="78"/>
        <v/>
      </c>
      <c r="P183" s="36" t="str">
        <f t="shared" si="79"/>
        <v/>
      </c>
      <c r="Q183" s="36">
        <f t="shared" si="80"/>
        <v>-10</v>
      </c>
      <c r="R183" s="36" t="str">
        <f t="shared" si="81"/>
        <v/>
      </c>
      <c r="S183" s="36" t="str">
        <f t="shared" si="82"/>
        <v/>
      </c>
      <c r="T183" s="36">
        <f t="shared" si="83"/>
        <v>0</v>
      </c>
      <c r="U183" s="146" t="str">
        <f ca="1">IF(N('Final Round'!$J$14)&gt;0,IF(ISBLANK($A183),"",IF($N183&gt;5,$N183,VLOOKUP($A183,'Final Round'!$A$14:$K$18,COLUMN('Final Round'!$J$1),0))),"")</f>
        <v/>
      </c>
      <c r="V183" s="36" t="str">
        <f t="shared" ca="1" si="84"/>
        <v/>
      </c>
      <c r="W183" s="36" t="str">
        <f t="shared" si="85"/>
        <v/>
      </c>
      <c r="X183" s="36" t="str">
        <f t="shared" si="86"/>
        <v/>
      </c>
      <c r="Y183" s="36">
        <f t="shared" si="87"/>
        <v>0</v>
      </c>
      <c r="Z183" s="36" t="str">
        <f t="shared" ca="1" si="88"/>
        <v/>
      </c>
      <c r="AA183" s="36">
        <f t="shared" ca="1" si="89"/>
        <v>0</v>
      </c>
      <c r="AB183" s="147" t="str">
        <f>IF(ISBLANK($A183),"",5+4*(I183+IF(AA183=0,0,VLOOKUP($A183,'Final Round'!$A$14:$K$18,COLUMN('Final Round'!$G$1),0)))+8*(H183+IF(AA183=0,0,IF(VLOOKUP($A183,'Final Round'!$A$14:$K$18,COLUMN('Final Round'!$J$1),0)=1,1,0)))+$AA183)</f>
        <v/>
      </c>
    </row>
    <row r="184" spans="1:28" x14ac:dyDescent="0.2">
      <c r="A184" s="111"/>
      <c r="B184" s="112"/>
      <c r="C184" s="112"/>
      <c r="D184" s="112"/>
      <c r="E184" s="113"/>
      <c r="F184" s="114" t="str">
        <f>IF(ISBLANK($A184),"",SUM(IF(ISNA(IF(VLOOKUP($A184,'Round 1'!$A$7:$J$206,COLUMN('Round 1'!$H$7),0),1,NA())),0,1),IF(ISNA(IF(VLOOKUP($A184,'Round 2'!$A$7:$J$206,COLUMN('Round 1'!$H$7),0),1,NA())),0,1),IF(ISNA(IF(VLOOKUP($A184,'Round 3'!$A$7:$J$206,COLUMN('Round 1'!$H$7),0),1,NA())),0,1),IF(ISNA(IF(VLOOKUP($A184,'Final Round'!$A$14:$K$18,1,0),1,NA())),0,1)))</f>
        <v/>
      </c>
      <c r="G184" s="115"/>
      <c r="H184" s="116" t="str">
        <f>IF(ISBLANK($A184),"",IF(ISERROR(VLOOKUP($A184,'Round 1'!$A$7:$I$206,COLUMN('Round 1'!$G$7),0)),0,VLOOKUP($A184,'Round 1'!$A$7:$I$206,COLUMN('Round 1'!$G$7),0))+IF(ISERROR(VLOOKUP($A184,'Round 2'!$A$7:$I$206,COLUMN('Round 2'!$G$7),0)),0,VLOOKUP($A184,'Round 2'!$A$7:$I$206,COLUMN('Round 2'!$G$7),0))+IF(ISERROR(VLOOKUP($A184,'Round 3'!$A$7:$I$206,COLUMN('Round 3'!$G$7),0)),0,VLOOKUP($A184,'Round 3'!$A$7:$I$206,COLUMN('Round 3'!$G$7),0)))</f>
        <v/>
      </c>
      <c r="I184" s="116" t="str">
        <f>IF(ISBLANK($A184),"",IF(ISERROR(VLOOKUP($A184,'Round 1'!$A$7:$I$206,COLUMN('Round 1'!$F$7),0)),0,VLOOKUP($A184,'Round 1'!$A$7:$I$206,COLUMN('Round 1'!$F$7),0))+IF(ISERROR(VLOOKUP($A184,'Round 2'!$A$7:$I$206,COLUMN('Round 2'!$F$7),0)),0,VLOOKUP($A184,'Round 2'!$A$7:$I$206,COLUMN('Round 2'!$F$7),0))+IF(ISERROR(VLOOKUP($A184,'Round 3'!$A$7:$I$206,COLUMN('Round 3'!$F$7),0)),0,VLOOKUP($A184,'Round 3'!$A$7:$I$206,COLUMN('Round 3'!$F$7),0)))</f>
        <v/>
      </c>
      <c r="J184" s="117" t="str">
        <f>IF(ISBLANK($A184),"",IF(ISERROR(VLOOKUP($A184,'Round 1'!$A$7:$I$206,COLUMN('Round 1'!$H$7),0)),0,VLOOKUP($A184,'Round 1'!$A$7:$I$206,COLUMN('Round 1'!$H$7),0))+IF(ISERROR(VLOOKUP($A184,'Round 2'!$A$7:$I$206,COLUMN('Round 2'!$H$7),0)),0,VLOOKUP($A184,'Round 2'!$A$7:$I$206,COLUMN('Round 2'!$H$7),0))+IF(ISERROR(VLOOKUP($A184,'Round 3'!$A$7:$I$206,COLUMN('Round 3'!$H$7),0)),0,VLOOKUP($A184,'Round 3'!$A$7:$I$206,COLUMN('Round 3'!$H$7),0)))</f>
        <v/>
      </c>
      <c r="K184" s="116" t="str">
        <f t="shared" si="75"/>
        <v/>
      </c>
      <c r="L184" s="118" t="str">
        <f t="shared" si="76"/>
        <v/>
      </c>
      <c r="M184" s="119"/>
      <c r="N184" s="120" t="str">
        <f t="shared" si="77"/>
        <v/>
      </c>
      <c r="O184" s="36" t="str">
        <f t="shared" si="78"/>
        <v/>
      </c>
      <c r="P184" s="36" t="str">
        <f t="shared" si="79"/>
        <v/>
      </c>
      <c r="Q184" s="36">
        <f t="shared" si="80"/>
        <v>-10</v>
      </c>
      <c r="R184" s="36" t="str">
        <f t="shared" si="81"/>
        <v/>
      </c>
      <c r="S184" s="36" t="str">
        <f t="shared" si="82"/>
        <v/>
      </c>
      <c r="T184" s="36">
        <f t="shared" si="83"/>
        <v>0</v>
      </c>
      <c r="U184" s="120" t="str">
        <f ca="1">IF(N('Final Round'!$J$14)&gt;0,IF(ISBLANK($A184),"",IF($N184&gt;5,$N184,VLOOKUP($A184,'Final Round'!$A$14:$K$18,COLUMN('Final Round'!$J$1),0))),"")</f>
        <v/>
      </c>
      <c r="V184" s="36" t="str">
        <f t="shared" ca="1" si="84"/>
        <v/>
      </c>
      <c r="W184" s="36" t="str">
        <f t="shared" si="85"/>
        <v/>
      </c>
      <c r="X184" s="36" t="str">
        <f t="shared" si="86"/>
        <v/>
      </c>
      <c r="Y184" s="36">
        <f t="shared" si="87"/>
        <v>0</v>
      </c>
      <c r="Z184" s="36" t="str">
        <f t="shared" ca="1" si="88"/>
        <v/>
      </c>
      <c r="AA184" s="36">
        <f t="shared" ca="1" si="89"/>
        <v>0</v>
      </c>
      <c r="AB184" s="121" t="str">
        <f>IF(ISBLANK($A184),"",5+4*(I184+IF(AA184=0,0,VLOOKUP($A184,'Final Round'!$A$14:$K$18,COLUMN('Final Round'!$G$1),0)))+8*(H184+IF(AA184=0,0,IF(VLOOKUP($A184,'Final Round'!$A$14:$K$18,COLUMN('Final Round'!$J$1),0)=1,1,0)))+$AA184)</f>
        <v/>
      </c>
    </row>
    <row r="185" spans="1:28" x14ac:dyDescent="0.2">
      <c r="A185" s="137"/>
      <c r="B185" s="138"/>
      <c r="C185" s="138"/>
      <c r="D185" s="138"/>
      <c r="E185" s="139"/>
      <c r="F185" s="140" t="str">
        <f>IF(ISBLANK($A185),"",SUM(IF(ISNA(IF(VLOOKUP($A185,'Round 1'!$A$7:$J$206,COLUMN('Round 1'!$H$7),0),1,NA())),0,1),IF(ISNA(IF(VLOOKUP($A185,'Round 2'!$A$7:$J$206,COLUMN('Round 1'!$H$7),0),1,NA())),0,1),IF(ISNA(IF(VLOOKUP($A185,'Round 3'!$A$7:$J$206,COLUMN('Round 1'!$H$7),0),1,NA())),0,1),IF(ISNA(IF(VLOOKUP($A185,'Final Round'!$A$14:$K$18,1,0),1,NA())),0,1)))</f>
        <v/>
      </c>
      <c r="G185" s="141"/>
      <c r="H185" s="142" t="str">
        <f>IF(ISBLANK($A185),"",IF(ISERROR(VLOOKUP($A185,'Round 1'!$A$7:$I$206,COLUMN('Round 1'!$G$7),0)),0,VLOOKUP($A185,'Round 1'!$A$7:$I$206,COLUMN('Round 1'!$G$7),0))+IF(ISERROR(VLOOKUP($A185,'Round 2'!$A$7:$I$206,COLUMN('Round 2'!$G$7),0)),0,VLOOKUP($A185,'Round 2'!$A$7:$I$206,COLUMN('Round 2'!$G$7),0))+IF(ISERROR(VLOOKUP($A185,'Round 3'!$A$7:$I$206,COLUMN('Round 3'!$G$7),0)),0,VLOOKUP($A185,'Round 3'!$A$7:$I$206,COLUMN('Round 3'!$G$7),0)))</f>
        <v/>
      </c>
      <c r="I185" s="142" t="str">
        <f>IF(ISBLANK($A185),"",IF(ISERROR(VLOOKUP($A185,'Round 1'!$A$7:$I$206,COLUMN('Round 1'!$F$7),0)),0,VLOOKUP($A185,'Round 1'!$A$7:$I$206,COLUMN('Round 1'!$F$7),0))+IF(ISERROR(VLOOKUP($A185,'Round 2'!$A$7:$I$206,COLUMN('Round 2'!$F$7),0)),0,VLOOKUP($A185,'Round 2'!$A$7:$I$206,COLUMN('Round 2'!$F$7),0))+IF(ISERROR(VLOOKUP($A185,'Round 3'!$A$7:$I$206,COLUMN('Round 3'!$F$7),0)),0,VLOOKUP($A185,'Round 3'!$A$7:$I$206,COLUMN('Round 3'!$F$7),0)))</f>
        <v/>
      </c>
      <c r="J185" s="143" t="str">
        <f>IF(ISBLANK($A185),"",IF(ISERROR(VLOOKUP($A185,'Round 1'!$A$7:$I$206,COLUMN('Round 1'!$H$7),0)),0,VLOOKUP($A185,'Round 1'!$A$7:$I$206,COLUMN('Round 1'!$H$7),0))+IF(ISERROR(VLOOKUP($A185,'Round 2'!$A$7:$I$206,COLUMN('Round 2'!$H$7),0)),0,VLOOKUP($A185,'Round 2'!$A$7:$I$206,COLUMN('Round 2'!$H$7),0))+IF(ISERROR(VLOOKUP($A185,'Round 3'!$A$7:$I$206,COLUMN('Round 3'!$H$7),0)),0,VLOOKUP($A185,'Round 3'!$A$7:$I$206,COLUMN('Round 3'!$H$7),0)))</f>
        <v/>
      </c>
      <c r="K185" s="142" t="str">
        <f t="shared" si="75"/>
        <v/>
      </c>
      <c r="L185" s="144" t="str">
        <f t="shared" si="76"/>
        <v/>
      </c>
      <c r="M185" s="145"/>
      <c r="N185" s="146" t="str">
        <f t="shared" si="77"/>
        <v/>
      </c>
      <c r="O185" s="36" t="str">
        <f t="shared" si="78"/>
        <v/>
      </c>
      <c r="P185" s="36" t="str">
        <f t="shared" si="79"/>
        <v/>
      </c>
      <c r="Q185" s="36">
        <f t="shared" si="80"/>
        <v>-10</v>
      </c>
      <c r="R185" s="36" t="str">
        <f t="shared" si="81"/>
        <v/>
      </c>
      <c r="S185" s="36" t="str">
        <f t="shared" si="82"/>
        <v/>
      </c>
      <c r="T185" s="36">
        <f t="shared" si="83"/>
        <v>0</v>
      </c>
      <c r="U185" s="146" t="str">
        <f ca="1">IF(N('Final Round'!$J$14)&gt;0,IF(ISBLANK($A185),"",IF($N185&gt;5,$N185,VLOOKUP($A185,'Final Round'!$A$14:$K$18,COLUMN('Final Round'!$J$1),0))),"")</f>
        <v/>
      </c>
      <c r="V185" s="36" t="str">
        <f t="shared" ca="1" si="84"/>
        <v/>
      </c>
      <c r="W185" s="36" t="str">
        <f t="shared" si="85"/>
        <v/>
      </c>
      <c r="X185" s="36" t="str">
        <f t="shared" si="86"/>
        <v/>
      </c>
      <c r="Y185" s="36">
        <f t="shared" si="87"/>
        <v>0</v>
      </c>
      <c r="Z185" s="36" t="str">
        <f t="shared" ca="1" si="88"/>
        <v/>
      </c>
      <c r="AA185" s="36">
        <f t="shared" ca="1" si="89"/>
        <v>0</v>
      </c>
      <c r="AB185" s="147" t="str">
        <f>IF(ISBLANK($A185),"",5+4*(I185+IF(AA185=0,0,VLOOKUP($A185,'Final Round'!$A$14:$K$18,COLUMN('Final Round'!$G$1),0)))+8*(H185+IF(AA185=0,0,IF(VLOOKUP($A185,'Final Round'!$A$14:$K$18,COLUMN('Final Round'!$J$1),0)=1,1,0)))+$AA185)</f>
        <v/>
      </c>
    </row>
    <row r="186" spans="1:28" x14ac:dyDescent="0.2">
      <c r="A186" s="111"/>
      <c r="B186" s="112"/>
      <c r="C186" s="112"/>
      <c r="D186" s="112"/>
      <c r="E186" s="113"/>
      <c r="F186" s="114" t="str">
        <f>IF(ISBLANK($A186),"",SUM(IF(ISNA(IF(VLOOKUP($A186,'Round 1'!$A$7:$J$206,COLUMN('Round 1'!$H$7),0),1,NA())),0,1),IF(ISNA(IF(VLOOKUP($A186,'Round 2'!$A$7:$J$206,COLUMN('Round 1'!$H$7),0),1,NA())),0,1),IF(ISNA(IF(VLOOKUP($A186,'Round 3'!$A$7:$J$206,COLUMN('Round 1'!$H$7),0),1,NA())),0,1),IF(ISNA(IF(VLOOKUP($A186,'Final Round'!$A$14:$K$18,1,0),1,NA())),0,1)))</f>
        <v/>
      </c>
      <c r="G186" s="115"/>
      <c r="H186" s="116" t="str">
        <f>IF(ISBLANK($A186),"",IF(ISERROR(VLOOKUP($A186,'Round 1'!$A$7:$I$206,COLUMN('Round 1'!$G$7),0)),0,VLOOKUP($A186,'Round 1'!$A$7:$I$206,COLUMN('Round 1'!$G$7),0))+IF(ISERROR(VLOOKUP($A186,'Round 2'!$A$7:$I$206,COLUMN('Round 2'!$G$7),0)),0,VLOOKUP($A186,'Round 2'!$A$7:$I$206,COLUMN('Round 2'!$G$7),0))+IF(ISERROR(VLOOKUP($A186,'Round 3'!$A$7:$I$206,COLUMN('Round 3'!$G$7),0)),0,VLOOKUP($A186,'Round 3'!$A$7:$I$206,COLUMN('Round 3'!$G$7),0)))</f>
        <v/>
      </c>
      <c r="I186" s="116" t="str">
        <f>IF(ISBLANK($A186),"",IF(ISERROR(VLOOKUP($A186,'Round 1'!$A$7:$I$206,COLUMN('Round 1'!$F$7),0)),0,VLOOKUP($A186,'Round 1'!$A$7:$I$206,COLUMN('Round 1'!$F$7),0))+IF(ISERROR(VLOOKUP($A186,'Round 2'!$A$7:$I$206,COLUMN('Round 2'!$F$7),0)),0,VLOOKUP($A186,'Round 2'!$A$7:$I$206,COLUMN('Round 2'!$F$7),0))+IF(ISERROR(VLOOKUP($A186,'Round 3'!$A$7:$I$206,COLUMN('Round 3'!$F$7),0)),0,VLOOKUP($A186,'Round 3'!$A$7:$I$206,COLUMN('Round 3'!$F$7),0)))</f>
        <v/>
      </c>
      <c r="J186" s="117" t="str">
        <f>IF(ISBLANK($A186),"",IF(ISERROR(VLOOKUP($A186,'Round 1'!$A$7:$I$206,COLUMN('Round 1'!$H$7),0)),0,VLOOKUP($A186,'Round 1'!$A$7:$I$206,COLUMN('Round 1'!$H$7),0))+IF(ISERROR(VLOOKUP($A186,'Round 2'!$A$7:$I$206,COLUMN('Round 2'!$H$7),0)),0,VLOOKUP($A186,'Round 2'!$A$7:$I$206,COLUMN('Round 2'!$H$7),0))+IF(ISERROR(VLOOKUP($A186,'Round 3'!$A$7:$I$206,COLUMN('Round 3'!$H$7),0)),0,VLOOKUP($A186,'Round 3'!$A$7:$I$206,COLUMN('Round 3'!$H$7),0)))</f>
        <v/>
      </c>
      <c r="K186" s="116" t="str">
        <f t="shared" si="75"/>
        <v/>
      </c>
      <c r="L186" s="118" t="str">
        <f t="shared" si="76"/>
        <v/>
      </c>
      <c r="M186" s="119"/>
      <c r="N186" s="120" t="str">
        <f t="shared" si="77"/>
        <v/>
      </c>
      <c r="O186" s="36" t="str">
        <f t="shared" si="78"/>
        <v/>
      </c>
      <c r="P186" s="36" t="str">
        <f t="shared" si="79"/>
        <v/>
      </c>
      <c r="Q186" s="36">
        <f t="shared" si="80"/>
        <v>-10</v>
      </c>
      <c r="R186" s="36" t="str">
        <f t="shared" si="81"/>
        <v/>
      </c>
      <c r="S186" s="36" t="str">
        <f t="shared" si="82"/>
        <v/>
      </c>
      <c r="T186" s="36">
        <f t="shared" si="83"/>
        <v>0</v>
      </c>
      <c r="U186" s="120" t="str">
        <f ca="1">IF(N('Final Round'!$J$14)&gt;0,IF(ISBLANK($A186),"",IF($N186&gt;5,$N186,VLOOKUP($A186,'Final Round'!$A$14:$K$18,COLUMN('Final Round'!$J$1),0))),"")</f>
        <v/>
      </c>
      <c r="V186" s="36" t="str">
        <f t="shared" ca="1" si="84"/>
        <v/>
      </c>
      <c r="W186" s="36" t="str">
        <f t="shared" si="85"/>
        <v/>
      </c>
      <c r="X186" s="36" t="str">
        <f t="shared" si="86"/>
        <v/>
      </c>
      <c r="Y186" s="36">
        <f t="shared" si="87"/>
        <v>0</v>
      </c>
      <c r="Z186" s="36" t="str">
        <f t="shared" ca="1" si="88"/>
        <v/>
      </c>
      <c r="AA186" s="36">
        <f t="shared" ca="1" si="89"/>
        <v>0</v>
      </c>
      <c r="AB186" s="121" t="str">
        <f>IF(ISBLANK($A186),"",5+4*(I186+IF(AA186=0,0,VLOOKUP($A186,'Final Round'!$A$14:$K$18,COLUMN('Final Round'!$G$1),0)))+8*(H186+IF(AA186=0,0,IF(VLOOKUP($A186,'Final Round'!$A$14:$K$18,COLUMN('Final Round'!$J$1),0)=1,1,0)))+$AA186)</f>
        <v/>
      </c>
    </row>
    <row r="187" spans="1:28" x14ac:dyDescent="0.2">
      <c r="A187" s="137"/>
      <c r="B187" s="138"/>
      <c r="C187" s="138"/>
      <c r="D187" s="138"/>
      <c r="E187" s="139"/>
      <c r="F187" s="140" t="str">
        <f>IF(ISBLANK($A187),"",SUM(IF(ISNA(IF(VLOOKUP($A187,'Round 1'!$A$7:$J$206,COLUMN('Round 1'!$H$7),0),1,NA())),0,1),IF(ISNA(IF(VLOOKUP($A187,'Round 2'!$A$7:$J$206,COLUMN('Round 1'!$H$7),0),1,NA())),0,1),IF(ISNA(IF(VLOOKUP($A187,'Round 3'!$A$7:$J$206,COLUMN('Round 1'!$H$7),0),1,NA())),0,1),IF(ISNA(IF(VLOOKUP($A187,'Final Round'!$A$14:$K$18,1,0),1,NA())),0,1)))</f>
        <v/>
      </c>
      <c r="G187" s="141"/>
      <c r="H187" s="142" t="str">
        <f>IF(ISBLANK($A187),"",IF(ISERROR(VLOOKUP($A187,'Round 1'!$A$7:$I$206,COLUMN('Round 1'!$G$7),0)),0,VLOOKUP($A187,'Round 1'!$A$7:$I$206,COLUMN('Round 1'!$G$7),0))+IF(ISERROR(VLOOKUP($A187,'Round 2'!$A$7:$I$206,COLUMN('Round 2'!$G$7),0)),0,VLOOKUP($A187,'Round 2'!$A$7:$I$206,COLUMN('Round 2'!$G$7),0))+IF(ISERROR(VLOOKUP($A187,'Round 3'!$A$7:$I$206,COLUMN('Round 3'!$G$7),0)),0,VLOOKUP($A187,'Round 3'!$A$7:$I$206,COLUMN('Round 3'!$G$7),0)))</f>
        <v/>
      </c>
      <c r="I187" s="142" t="str">
        <f>IF(ISBLANK($A187),"",IF(ISERROR(VLOOKUP($A187,'Round 1'!$A$7:$I$206,COLUMN('Round 1'!$F$7),0)),0,VLOOKUP($A187,'Round 1'!$A$7:$I$206,COLUMN('Round 1'!$F$7),0))+IF(ISERROR(VLOOKUP($A187,'Round 2'!$A$7:$I$206,COLUMN('Round 2'!$F$7),0)),0,VLOOKUP($A187,'Round 2'!$A$7:$I$206,COLUMN('Round 2'!$F$7),0))+IF(ISERROR(VLOOKUP($A187,'Round 3'!$A$7:$I$206,COLUMN('Round 3'!$F$7),0)),0,VLOOKUP($A187,'Round 3'!$A$7:$I$206,COLUMN('Round 3'!$F$7),0)))</f>
        <v/>
      </c>
      <c r="J187" s="143" t="str">
        <f>IF(ISBLANK($A187),"",IF(ISERROR(VLOOKUP($A187,'Round 1'!$A$7:$I$206,COLUMN('Round 1'!$H$7),0)),0,VLOOKUP($A187,'Round 1'!$A$7:$I$206,COLUMN('Round 1'!$H$7),0))+IF(ISERROR(VLOOKUP($A187,'Round 2'!$A$7:$I$206,COLUMN('Round 2'!$H$7),0)),0,VLOOKUP($A187,'Round 2'!$A$7:$I$206,COLUMN('Round 2'!$H$7),0))+IF(ISERROR(VLOOKUP($A187,'Round 3'!$A$7:$I$206,COLUMN('Round 3'!$H$7),0)),0,VLOOKUP($A187,'Round 3'!$A$7:$I$206,COLUMN('Round 3'!$H$7),0)))</f>
        <v/>
      </c>
      <c r="K187" s="142" t="str">
        <f t="shared" si="75"/>
        <v/>
      </c>
      <c r="L187" s="144" t="str">
        <f t="shared" si="76"/>
        <v/>
      </c>
      <c r="M187" s="145"/>
      <c r="N187" s="146" t="str">
        <f t="shared" si="77"/>
        <v/>
      </c>
      <c r="O187" s="36" t="str">
        <f t="shared" si="78"/>
        <v/>
      </c>
      <c r="P187" s="36" t="str">
        <f t="shared" si="79"/>
        <v/>
      </c>
      <c r="Q187" s="36">
        <f t="shared" si="80"/>
        <v>-10</v>
      </c>
      <c r="R187" s="36" t="str">
        <f t="shared" si="81"/>
        <v/>
      </c>
      <c r="S187" s="36" t="str">
        <f t="shared" si="82"/>
        <v/>
      </c>
      <c r="T187" s="36">
        <f t="shared" si="83"/>
        <v>0</v>
      </c>
      <c r="U187" s="146" t="str">
        <f ca="1">IF(N('Final Round'!$J$14)&gt;0,IF(ISBLANK($A187),"",IF($N187&gt;5,$N187,VLOOKUP($A187,'Final Round'!$A$14:$K$18,COLUMN('Final Round'!$J$1),0))),"")</f>
        <v/>
      </c>
      <c r="V187" s="36" t="str">
        <f t="shared" ca="1" si="84"/>
        <v/>
      </c>
      <c r="W187" s="36" t="str">
        <f t="shared" si="85"/>
        <v/>
      </c>
      <c r="X187" s="36" t="str">
        <f t="shared" si="86"/>
        <v/>
      </c>
      <c r="Y187" s="36">
        <f t="shared" si="87"/>
        <v>0</v>
      </c>
      <c r="Z187" s="36" t="str">
        <f t="shared" ca="1" si="88"/>
        <v/>
      </c>
      <c r="AA187" s="36">
        <f t="shared" ca="1" si="89"/>
        <v>0</v>
      </c>
      <c r="AB187" s="147" t="str">
        <f>IF(ISBLANK($A187),"",5+4*(I187+IF(AA187=0,0,VLOOKUP($A187,'Final Round'!$A$14:$K$18,COLUMN('Final Round'!$G$1),0)))+8*(H187+IF(AA187=0,0,IF(VLOOKUP($A187,'Final Round'!$A$14:$K$18,COLUMN('Final Round'!$J$1),0)=1,1,0)))+$AA187)</f>
        <v/>
      </c>
    </row>
    <row r="188" spans="1:28" x14ac:dyDescent="0.2">
      <c r="A188" s="111"/>
      <c r="B188" s="112"/>
      <c r="C188" s="112"/>
      <c r="D188" s="112"/>
      <c r="E188" s="113"/>
      <c r="F188" s="114" t="str">
        <f>IF(ISBLANK($A188),"",SUM(IF(ISNA(IF(VLOOKUP($A188,'Round 1'!$A$7:$J$206,COLUMN('Round 1'!$H$7),0),1,NA())),0,1),IF(ISNA(IF(VLOOKUP($A188,'Round 2'!$A$7:$J$206,COLUMN('Round 1'!$H$7),0),1,NA())),0,1),IF(ISNA(IF(VLOOKUP($A188,'Round 3'!$A$7:$J$206,COLUMN('Round 1'!$H$7),0),1,NA())),0,1),IF(ISNA(IF(VLOOKUP($A188,'Final Round'!$A$14:$K$18,1,0),1,NA())),0,1)))</f>
        <v/>
      </c>
      <c r="G188" s="115"/>
      <c r="H188" s="116" t="str">
        <f>IF(ISBLANK($A188),"",IF(ISERROR(VLOOKUP($A188,'Round 1'!$A$7:$I$206,COLUMN('Round 1'!$G$7),0)),0,VLOOKUP($A188,'Round 1'!$A$7:$I$206,COLUMN('Round 1'!$G$7),0))+IF(ISERROR(VLOOKUP($A188,'Round 2'!$A$7:$I$206,COLUMN('Round 2'!$G$7),0)),0,VLOOKUP($A188,'Round 2'!$A$7:$I$206,COLUMN('Round 2'!$G$7),0))+IF(ISERROR(VLOOKUP($A188,'Round 3'!$A$7:$I$206,COLUMN('Round 3'!$G$7),0)),0,VLOOKUP($A188,'Round 3'!$A$7:$I$206,COLUMN('Round 3'!$G$7),0)))</f>
        <v/>
      </c>
      <c r="I188" s="116" t="str">
        <f>IF(ISBLANK($A188),"",IF(ISERROR(VLOOKUP($A188,'Round 1'!$A$7:$I$206,COLUMN('Round 1'!$F$7),0)),0,VLOOKUP($A188,'Round 1'!$A$7:$I$206,COLUMN('Round 1'!$F$7),0))+IF(ISERROR(VLOOKUP($A188,'Round 2'!$A$7:$I$206,COLUMN('Round 2'!$F$7),0)),0,VLOOKUP($A188,'Round 2'!$A$7:$I$206,COLUMN('Round 2'!$F$7),0))+IF(ISERROR(VLOOKUP($A188,'Round 3'!$A$7:$I$206,COLUMN('Round 3'!$F$7),0)),0,VLOOKUP($A188,'Round 3'!$A$7:$I$206,COLUMN('Round 3'!$F$7),0)))</f>
        <v/>
      </c>
      <c r="J188" s="117" t="str">
        <f>IF(ISBLANK($A188),"",IF(ISERROR(VLOOKUP($A188,'Round 1'!$A$7:$I$206,COLUMN('Round 1'!$H$7),0)),0,VLOOKUP($A188,'Round 1'!$A$7:$I$206,COLUMN('Round 1'!$H$7),0))+IF(ISERROR(VLOOKUP($A188,'Round 2'!$A$7:$I$206,COLUMN('Round 2'!$H$7),0)),0,VLOOKUP($A188,'Round 2'!$A$7:$I$206,COLUMN('Round 2'!$H$7),0))+IF(ISERROR(VLOOKUP($A188,'Round 3'!$A$7:$I$206,COLUMN('Round 3'!$H$7),0)),0,VLOOKUP($A188,'Round 3'!$A$7:$I$206,COLUMN('Round 3'!$H$7),0)))</f>
        <v/>
      </c>
      <c r="K188" s="116" t="str">
        <f t="shared" si="75"/>
        <v/>
      </c>
      <c r="L188" s="118" t="str">
        <f t="shared" si="76"/>
        <v/>
      </c>
      <c r="M188" s="119"/>
      <c r="N188" s="120" t="str">
        <f t="shared" si="77"/>
        <v/>
      </c>
      <c r="O188" s="36" t="str">
        <f t="shared" si="78"/>
        <v/>
      </c>
      <c r="P188" s="36" t="str">
        <f t="shared" si="79"/>
        <v/>
      </c>
      <c r="Q188" s="36">
        <f t="shared" si="80"/>
        <v>-10</v>
      </c>
      <c r="R188" s="36" t="str">
        <f t="shared" si="81"/>
        <v/>
      </c>
      <c r="S188" s="36" t="str">
        <f t="shared" si="82"/>
        <v/>
      </c>
      <c r="T188" s="36">
        <f t="shared" si="83"/>
        <v>0</v>
      </c>
      <c r="U188" s="120" t="str">
        <f ca="1">IF(N('Final Round'!$J$14)&gt;0,IF(ISBLANK($A188),"",IF($N188&gt;5,$N188,VLOOKUP($A188,'Final Round'!$A$14:$K$18,COLUMN('Final Round'!$J$1),0))),"")</f>
        <v/>
      </c>
      <c r="V188" s="36" t="str">
        <f t="shared" ca="1" si="84"/>
        <v/>
      </c>
      <c r="W188" s="36" t="str">
        <f t="shared" si="85"/>
        <v/>
      </c>
      <c r="X188" s="36" t="str">
        <f t="shared" si="86"/>
        <v/>
      </c>
      <c r="Y188" s="36">
        <f t="shared" si="87"/>
        <v>0</v>
      </c>
      <c r="Z188" s="36" t="str">
        <f t="shared" ca="1" si="88"/>
        <v/>
      </c>
      <c r="AA188" s="36">
        <f t="shared" ca="1" si="89"/>
        <v>0</v>
      </c>
      <c r="AB188" s="121" t="str">
        <f>IF(ISBLANK($A188),"",5+4*(I188+IF(AA188=0,0,VLOOKUP($A188,'Final Round'!$A$14:$K$18,COLUMN('Final Round'!$G$1),0)))+8*(H188+IF(AA188=0,0,IF(VLOOKUP($A188,'Final Round'!$A$14:$K$18,COLUMN('Final Round'!$J$1),0)=1,1,0)))+$AA188)</f>
        <v/>
      </c>
    </row>
    <row r="189" spans="1:28" x14ac:dyDescent="0.2">
      <c r="A189" s="137"/>
      <c r="B189" s="138"/>
      <c r="C189" s="138"/>
      <c r="D189" s="138"/>
      <c r="E189" s="139"/>
      <c r="F189" s="140" t="str">
        <f>IF(ISBLANK($A189),"",SUM(IF(ISNA(IF(VLOOKUP($A189,'Round 1'!$A$7:$J$206,COLUMN('Round 1'!$H$7),0),1,NA())),0,1),IF(ISNA(IF(VLOOKUP($A189,'Round 2'!$A$7:$J$206,COLUMN('Round 1'!$H$7),0),1,NA())),0,1),IF(ISNA(IF(VLOOKUP($A189,'Round 3'!$A$7:$J$206,COLUMN('Round 1'!$H$7),0),1,NA())),0,1),IF(ISNA(IF(VLOOKUP($A189,'Final Round'!$A$14:$K$18,1,0),1,NA())),0,1)))</f>
        <v/>
      </c>
      <c r="G189" s="141"/>
      <c r="H189" s="142" t="str">
        <f>IF(ISBLANK($A189),"",IF(ISERROR(VLOOKUP($A189,'Round 1'!$A$7:$I$206,COLUMN('Round 1'!$G$7),0)),0,VLOOKUP($A189,'Round 1'!$A$7:$I$206,COLUMN('Round 1'!$G$7),0))+IF(ISERROR(VLOOKUP($A189,'Round 2'!$A$7:$I$206,COLUMN('Round 2'!$G$7),0)),0,VLOOKUP($A189,'Round 2'!$A$7:$I$206,COLUMN('Round 2'!$G$7),0))+IF(ISERROR(VLOOKUP($A189,'Round 3'!$A$7:$I$206,COLUMN('Round 3'!$G$7),0)),0,VLOOKUP($A189,'Round 3'!$A$7:$I$206,COLUMN('Round 3'!$G$7),0)))</f>
        <v/>
      </c>
      <c r="I189" s="142" t="str">
        <f>IF(ISBLANK($A189),"",IF(ISERROR(VLOOKUP($A189,'Round 1'!$A$7:$I$206,COLUMN('Round 1'!$F$7),0)),0,VLOOKUP($A189,'Round 1'!$A$7:$I$206,COLUMN('Round 1'!$F$7),0))+IF(ISERROR(VLOOKUP($A189,'Round 2'!$A$7:$I$206,COLUMN('Round 2'!$F$7),0)),0,VLOOKUP($A189,'Round 2'!$A$7:$I$206,COLUMN('Round 2'!$F$7),0))+IF(ISERROR(VLOOKUP($A189,'Round 3'!$A$7:$I$206,COLUMN('Round 3'!$F$7),0)),0,VLOOKUP($A189,'Round 3'!$A$7:$I$206,COLUMN('Round 3'!$F$7),0)))</f>
        <v/>
      </c>
      <c r="J189" s="143" t="str">
        <f>IF(ISBLANK($A189),"",IF(ISERROR(VLOOKUP($A189,'Round 1'!$A$7:$I$206,COLUMN('Round 1'!$H$7),0)),0,VLOOKUP($A189,'Round 1'!$A$7:$I$206,COLUMN('Round 1'!$H$7),0))+IF(ISERROR(VLOOKUP($A189,'Round 2'!$A$7:$I$206,COLUMN('Round 2'!$H$7),0)),0,VLOOKUP($A189,'Round 2'!$A$7:$I$206,COLUMN('Round 2'!$H$7),0))+IF(ISERROR(VLOOKUP($A189,'Round 3'!$A$7:$I$206,COLUMN('Round 3'!$H$7),0)),0,VLOOKUP($A189,'Round 3'!$A$7:$I$206,COLUMN('Round 3'!$H$7),0)))</f>
        <v/>
      </c>
      <c r="K189" s="142" t="str">
        <f t="shared" si="75"/>
        <v/>
      </c>
      <c r="L189" s="144" t="str">
        <f t="shared" si="76"/>
        <v/>
      </c>
      <c r="M189" s="145"/>
      <c r="N189" s="146" t="str">
        <f t="shared" si="77"/>
        <v/>
      </c>
      <c r="O189" s="36" t="str">
        <f t="shared" si="78"/>
        <v/>
      </c>
      <c r="P189" s="36" t="str">
        <f t="shared" si="79"/>
        <v/>
      </c>
      <c r="Q189" s="36">
        <f t="shared" si="80"/>
        <v>-10</v>
      </c>
      <c r="R189" s="36" t="str">
        <f t="shared" si="81"/>
        <v/>
      </c>
      <c r="S189" s="36" t="str">
        <f t="shared" si="82"/>
        <v/>
      </c>
      <c r="T189" s="36">
        <f t="shared" si="83"/>
        <v>0</v>
      </c>
      <c r="U189" s="146" t="str">
        <f ca="1">IF(N('Final Round'!$J$14)&gt;0,IF(ISBLANK($A189),"",IF($N189&gt;5,$N189,VLOOKUP($A189,'Final Round'!$A$14:$K$18,COLUMN('Final Round'!$J$1),0))),"")</f>
        <v/>
      </c>
      <c r="V189" s="36" t="str">
        <f t="shared" ca="1" si="84"/>
        <v/>
      </c>
      <c r="W189" s="36" t="str">
        <f t="shared" si="85"/>
        <v/>
      </c>
      <c r="X189" s="36" t="str">
        <f t="shared" si="86"/>
        <v/>
      </c>
      <c r="Y189" s="36">
        <f t="shared" si="87"/>
        <v>0</v>
      </c>
      <c r="Z189" s="36" t="str">
        <f t="shared" ca="1" si="88"/>
        <v/>
      </c>
      <c r="AA189" s="36">
        <f t="shared" ca="1" si="89"/>
        <v>0</v>
      </c>
      <c r="AB189" s="147" t="str">
        <f>IF(ISBLANK($A189),"",5+4*(I189+IF(AA189=0,0,VLOOKUP($A189,'Final Round'!$A$14:$K$18,COLUMN('Final Round'!$G$1),0)))+8*(H189+IF(AA189=0,0,IF(VLOOKUP($A189,'Final Round'!$A$14:$K$18,COLUMN('Final Round'!$J$1),0)=1,1,0)))+$AA189)</f>
        <v/>
      </c>
    </row>
    <row r="190" spans="1:28" x14ac:dyDescent="0.2">
      <c r="A190" s="111"/>
      <c r="B190" s="112"/>
      <c r="C190" s="112"/>
      <c r="D190" s="112"/>
      <c r="E190" s="113"/>
      <c r="F190" s="114" t="str">
        <f>IF(ISBLANK($A190),"",SUM(IF(ISNA(IF(VLOOKUP($A190,'Round 1'!$A$7:$J$206,COLUMN('Round 1'!$H$7),0),1,NA())),0,1),IF(ISNA(IF(VLOOKUP($A190,'Round 2'!$A$7:$J$206,COLUMN('Round 1'!$H$7),0),1,NA())),0,1),IF(ISNA(IF(VLOOKUP($A190,'Round 3'!$A$7:$J$206,COLUMN('Round 1'!$H$7),0),1,NA())),0,1),IF(ISNA(IF(VLOOKUP($A190,'Final Round'!$A$14:$K$18,1,0),1,NA())),0,1)))</f>
        <v/>
      </c>
      <c r="G190" s="115"/>
      <c r="H190" s="116" t="str">
        <f>IF(ISBLANK($A190),"",IF(ISERROR(VLOOKUP($A190,'Round 1'!$A$7:$I$206,COLUMN('Round 1'!$G$7),0)),0,VLOOKUP($A190,'Round 1'!$A$7:$I$206,COLUMN('Round 1'!$G$7),0))+IF(ISERROR(VLOOKUP($A190,'Round 2'!$A$7:$I$206,COLUMN('Round 2'!$G$7),0)),0,VLOOKUP($A190,'Round 2'!$A$7:$I$206,COLUMN('Round 2'!$G$7),0))+IF(ISERROR(VLOOKUP($A190,'Round 3'!$A$7:$I$206,COLUMN('Round 3'!$G$7),0)),0,VLOOKUP($A190,'Round 3'!$A$7:$I$206,COLUMN('Round 3'!$G$7),0)))</f>
        <v/>
      </c>
      <c r="I190" s="116" t="str">
        <f>IF(ISBLANK($A190),"",IF(ISERROR(VLOOKUP($A190,'Round 1'!$A$7:$I$206,COLUMN('Round 1'!$F$7),0)),0,VLOOKUP($A190,'Round 1'!$A$7:$I$206,COLUMN('Round 1'!$F$7),0))+IF(ISERROR(VLOOKUP($A190,'Round 2'!$A$7:$I$206,COLUMN('Round 2'!$F$7),0)),0,VLOOKUP($A190,'Round 2'!$A$7:$I$206,COLUMN('Round 2'!$F$7),0))+IF(ISERROR(VLOOKUP($A190,'Round 3'!$A$7:$I$206,COLUMN('Round 3'!$F$7),0)),0,VLOOKUP($A190,'Round 3'!$A$7:$I$206,COLUMN('Round 3'!$F$7),0)))</f>
        <v/>
      </c>
      <c r="J190" s="117" t="str">
        <f>IF(ISBLANK($A190),"",IF(ISERROR(VLOOKUP($A190,'Round 1'!$A$7:$I$206,COLUMN('Round 1'!$H$7),0)),0,VLOOKUP($A190,'Round 1'!$A$7:$I$206,COLUMN('Round 1'!$H$7),0))+IF(ISERROR(VLOOKUP($A190,'Round 2'!$A$7:$I$206,COLUMN('Round 2'!$H$7),0)),0,VLOOKUP($A190,'Round 2'!$A$7:$I$206,COLUMN('Round 2'!$H$7),0))+IF(ISERROR(VLOOKUP($A190,'Round 3'!$A$7:$I$206,COLUMN('Round 3'!$H$7),0)),0,VLOOKUP($A190,'Round 3'!$A$7:$I$206,COLUMN('Round 3'!$H$7),0)))</f>
        <v/>
      </c>
      <c r="K190" s="116" t="str">
        <f t="shared" si="75"/>
        <v/>
      </c>
      <c r="L190" s="118" t="str">
        <f t="shared" si="76"/>
        <v/>
      </c>
      <c r="M190" s="119"/>
      <c r="N190" s="120" t="str">
        <f t="shared" si="77"/>
        <v/>
      </c>
      <c r="O190" s="36" t="str">
        <f t="shared" si="78"/>
        <v/>
      </c>
      <c r="P190" s="36" t="str">
        <f t="shared" si="79"/>
        <v/>
      </c>
      <c r="Q190" s="36">
        <f t="shared" si="80"/>
        <v>-10</v>
      </c>
      <c r="R190" s="36" t="str">
        <f t="shared" si="81"/>
        <v/>
      </c>
      <c r="S190" s="36" t="str">
        <f t="shared" si="82"/>
        <v/>
      </c>
      <c r="T190" s="36">
        <f t="shared" si="83"/>
        <v>0</v>
      </c>
      <c r="U190" s="120" t="str">
        <f ca="1">IF(N('Final Round'!$J$14)&gt;0,IF(ISBLANK($A190),"",IF($N190&gt;5,$N190,VLOOKUP($A190,'Final Round'!$A$14:$K$18,COLUMN('Final Round'!$J$1),0))),"")</f>
        <v/>
      </c>
      <c r="V190" s="36" t="str">
        <f t="shared" ca="1" si="84"/>
        <v/>
      </c>
      <c r="W190" s="36" t="str">
        <f t="shared" si="85"/>
        <v/>
      </c>
      <c r="X190" s="36" t="str">
        <f t="shared" si="86"/>
        <v/>
      </c>
      <c r="Y190" s="36">
        <f t="shared" si="87"/>
        <v>0</v>
      </c>
      <c r="Z190" s="36" t="str">
        <f t="shared" ca="1" si="88"/>
        <v/>
      </c>
      <c r="AA190" s="36">
        <f t="shared" ca="1" si="89"/>
        <v>0</v>
      </c>
      <c r="AB190" s="121" t="str">
        <f>IF(ISBLANK($A190),"",5+4*(I190+IF(AA190=0,0,VLOOKUP($A190,'Final Round'!$A$14:$K$18,COLUMN('Final Round'!$G$1),0)))+8*(H190+IF(AA190=0,0,IF(VLOOKUP($A190,'Final Round'!$A$14:$K$18,COLUMN('Final Round'!$J$1),0)=1,1,0)))+$AA190)</f>
        <v/>
      </c>
    </row>
    <row r="191" spans="1:28" x14ac:dyDescent="0.2">
      <c r="A191" s="137"/>
      <c r="B191" s="138"/>
      <c r="C191" s="138"/>
      <c r="D191" s="138"/>
      <c r="E191" s="139"/>
      <c r="F191" s="140" t="str">
        <f>IF(ISBLANK($A191),"",SUM(IF(ISNA(IF(VLOOKUP($A191,'Round 1'!$A$7:$J$206,COLUMN('Round 1'!$H$7),0),1,NA())),0,1),IF(ISNA(IF(VLOOKUP($A191,'Round 2'!$A$7:$J$206,COLUMN('Round 1'!$H$7),0),1,NA())),0,1),IF(ISNA(IF(VLOOKUP($A191,'Round 3'!$A$7:$J$206,COLUMN('Round 1'!$H$7),0),1,NA())),0,1),IF(ISNA(IF(VLOOKUP($A191,'Final Round'!$A$14:$K$18,1,0),1,NA())),0,1)))</f>
        <v/>
      </c>
      <c r="G191" s="141"/>
      <c r="H191" s="142" t="str">
        <f>IF(ISBLANK($A191),"",IF(ISERROR(VLOOKUP($A191,'Round 1'!$A$7:$I$206,COLUMN('Round 1'!$G$7),0)),0,VLOOKUP($A191,'Round 1'!$A$7:$I$206,COLUMN('Round 1'!$G$7),0))+IF(ISERROR(VLOOKUP($A191,'Round 2'!$A$7:$I$206,COLUMN('Round 2'!$G$7),0)),0,VLOOKUP($A191,'Round 2'!$A$7:$I$206,COLUMN('Round 2'!$G$7),0))+IF(ISERROR(VLOOKUP($A191,'Round 3'!$A$7:$I$206,COLUMN('Round 3'!$G$7),0)),0,VLOOKUP($A191,'Round 3'!$A$7:$I$206,COLUMN('Round 3'!$G$7),0)))</f>
        <v/>
      </c>
      <c r="I191" s="142" t="str">
        <f>IF(ISBLANK($A191),"",IF(ISERROR(VLOOKUP($A191,'Round 1'!$A$7:$I$206,COLUMN('Round 1'!$F$7),0)),0,VLOOKUP($A191,'Round 1'!$A$7:$I$206,COLUMN('Round 1'!$F$7),0))+IF(ISERROR(VLOOKUP($A191,'Round 2'!$A$7:$I$206,COLUMN('Round 2'!$F$7),0)),0,VLOOKUP($A191,'Round 2'!$A$7:$I$206,COLUMN('Round 2'!$F$7),0))+IF(ISERROR(VLOOKUP($A191,'Round 3'!$A$7:$I$206,COLUMN('Round 3'!$F$7),0)),0,VLOOKUP($A191,'Round 3'!$A$7:$I$206,COLUMN('Round 3'!$F$7),0)))</f>
        <v/>
      </c>
      <c r="J191" s="143" t="str">
        <f>IF(ISBLANK($A191),"",IF(ISERROR(VLOOKUP($A191,'Round 1'!$A$7:$I$206,COLUMN('Round 1'!$H$7),0)),0,VLOOKUP($A191,'Round 1'!$A$7:$I$206,COLUMN('Round 1'!$H$7),0))+IF(ISERROR(VLOOKUP($A191,'Round 2'!$A$7:$I$206,COLUMN('Round 2'!$H$7),0)),0,VLOOKUP($A191,'Round 2'!$A$7:$I$206,COLUMN('Round 2'!$H$7),0))+IF(ISERROR(VLOOKUP($A191,'Round 3'!$A$7:$I$206,COLUMN('Round 3'!$H$7),0)),0,VLOOKUP($A191,'Round 3'!$A$7:$I$206,COLUMN('Round 3'!$H$7),0)))</f>
        <v/>
      </c>
      <c r="K191" s="142" t="str">
        <f t="shared" si="75"/>
        <v/>
      </c>
      <c r="L191" s="144" t="str">
        <f t="shared" si="76"/>
        <v/>
      </c>
      <c r="M191" s="145"/>
      <c r="N191" s="146" t="str">
        <f t="shared" si="77"/>
        <v/>
      </c>
      <c r="O191" s="36" t="str">
        <f t="shared" si="78"/>
        <v/>
      </c>
      <c r="P191" s="36" t="str">
        <f t="shared" si="79"/>
        <v/>
      </c>
      <c r="Q191" s="36">
        <f t="shared" si="80"/>
        <v>-10</v>
      </c>
      <c r="R191" s="36" t="str">
        <f t="shared" si="81"/>
        <v/>
      </c>
      <c r="S191" s="36" t="str">
        <f t="shared" si="82"/>
        <v/>
      </c>
      <c r="T191" s="36">
        <f t="shared" si="83"/>
        <v>0</v>
      </c>
      <c r="U191" s="146" t="str">
        <f ca="1">IF(N('Final Round'!$J$14)&gt;0,IF(ISBLANK($A191),"",IF($N191&gt;5,$N191,VLOOKUP($A191,'Final Round'!$A$14:$K$18,COLUMN('Final Round'!$J$1),0))),"")</f>
        <v/>
      </c>
      <c r="V191" s="36" t="str">
        <f t="shared" ca="1" si="84"/>
        <v/>
      </c>
      <c r="W191" s="36" t="str">
        <f t="shared" si="85"/>
        <v/>
      </c>
      <c r="X191" s="36" t="str">
        <f t="shared" si="86"/>
        <v/>
      </c>
      <c r="Y191" s="36">
        <f t="shared" si="87"/>
        <v>0</v>
      </c>
      <c r="Z191" s="36" t="str">
        <f t="shared" ca="1" si="88"/>
        <v/>
      </c>
      <c r="AA191" s="36">
        <f t="shared" ca="1" si="89"/>
        <v>0</v>
      </c>
      <c r="AB191" s="147" t="str">
        <f>IF(ISBLANK($A191),"",5+4*(I191+IF(AA191=0,0,VLOOKUP($A191,'Final Round'!$A$14:$K$18,COLUMN('Final Round'!$G$1),0)))+8*(H191+IF(AA191=0,0,IF(VLOOKUP($A191,'Final Round'!$A$14:$K$18,COLUMN('Final Round'!$J$1),0)=1,1,0)))+$AA191)</f>
        <v/>
      </c>
    </row>
    <row r="192" spans="1:28" x14ac:dyDescent="0.2">
      <c r="A192" s="111"/>
      <c r="B192" s="112"/>
      <c r="C192" s="112"/>
      <c r="D192" s="112"/>
      <c r="E192" s="113"/>
      <c r="F192" s="114" t="str">
        <f>IF(ISBLANK($A192),"",SUM(IF(ISNA(IF(VLOOKUP($A192,'Round 1'!$A$7:$J$206,COLUMN('Round 1'!$H$7),0),1,NA())),0,1),IF(ISNA(IF(VLOOKUP($A192,'Round 2'!$A$7:$J$206,COLUMN('Round 1'!$H$7),0),1,NA())),0,1),IF(ISNA(IF(VLOOKUP($A192,'Round 3'!$A$7:$J$206,COLUMN('Round 1'!$H$7),0),1,NA())),0,1),IF(ISNA(IF(VLOOKUP($A192,'Final Round'!$A$14:$K$18,1,0),1,NA())),0,1)))</f>
        <v/>
      </c>
      <c r="G192" s="115"/>
      <c r="H192" s="116" t="str">
        <f>IF(ISBLANK($A192),"",IF(ISERROR(VLOOKUP($A192,'Round 1'!$A$7:$I$206,COLUMN('Round 1'!$G$7),0)),0,VLOOKUP($A192,'Round 1'!$A$7:$I$206,COLUMN('Round 1'!$G$7),0))+IF(ISERROR(VLOOKUP($A192,'Round 2'!$A$7:$I$206,COLUMN('Round 2'!$G$7),0)),0,VLOOKUP($A192,'Round 2'!$A$7:$I$206,COLUMN('Round 2'!$G$7),0))+IF(ISERROR(VLOOKUP($A192,'Round 3'!$A$7:$I$206,COLUMN('Round 3'!$G$7),0)),0,VLOOKUP($A192,'Round 3'!$A$7:$I$206,COLUMN('Round 3'!$G$7),0)))</f>
        <v/>
      </c>
      <c r="I192" s="116" t="str">
        <f>IF(ISBLANK($A192),"",IF(ISERROR(VLOOKUP($A192,'Round 1'!$A$7:$I$206,COLUMN('Round 1'!$F$7),0)),0,VLOOKUP($A192,'Round 1'!$A$7:$I$206,COLUMN('Round 1'!$F$7),0))+IF(ISERROR(VLOOKUP($A192,'Round 2'!$A$7:$I$206,COLUMN('Round 2'!$F$7),0)),0,VLOOKUP($A192,'Round 2'!$A$7:$I$206,COLUMN('Round 2'!$F$7),0))+IF(ISERROR(VLOOKUP($A192,'Round 3'!$A$7:$I$206,COLUMN('Round 3'!$F$7),0)),0,VLOOKUP($A192,'Round 3'!$A$7:$I$206,COLUMN('Round 3'!$F$7),0)))</f>
        <v/>
      </c>
      <c r="J192" s="117" t="str">
        <f>IF(ISBLANK($A192),"",IF(ISERROR(VLOOKUP($A192,'Round 1'!$A$7:$I$206,COLUMN('Round 1'!$H$7),0)),0,VLOOKUP($A192,'Round 1'!$A$7:$I$206,COLUMN('Round 1'!$H$7),0))+IF(ISERROR(VLOOKUP($A192,'Round 2'!$A$7:$I$206,COLUMN('Round 2'!$H$7),0)),0,VLOOKUP($A192,'Round 2'!$A$7:$I$206,COLUMN('Round 2'!$H$7),0))+IF(ISERROR(VLOOKUP($A192,'Round 3'!$A$7:$I$206,COLUMN('Round 3'!$H$7),0)),0,VLOOKUP($A192,'Round 3'!$A$7:$I$206,COLUMN('Round 3'!$H$7),0)))</f>
        <v/>
      </c>
      <c r="K192" s="116" t="str">
        <f t="shared" si="75"/>
        <v/>
      </c>
      <c r="L192" s="118" t="str">
        <f t="shared" si="76"/>
        <v/>
      </c>
      <c r="M192" s="119"/>
      <c r="N192" s="120" t="str">
        <f t="shared" si="77"/>
        <v/>
      </c>
      <c r="O192" s="36" t="str">
        <f t="shared" si="78"/>
        <v/>
      </c>
      <c r="P192" s="36" t="str">
        <f t="shared" si="79"/>
        <v/>
      </c>
      <c r="Q192" s="36">
        <f t="shared" si="80"/>
        <v>-10</v>
      </c>
      <c r="R192" s="36" t="str">
        <f t="shared" si="81"/>
        <v/>
      </c>
      <c r="S192" s="36" t="str">
        <f t="shared" si="82"/>
        <v/>
      </c>
      <c r="T192" s="36">
        <f t="shared" si="83"/>
        <v>0</v>
      </c>
      <c r="U192" s="120" t="str">
        <f ca="1">IF(N('Final Round'!$J$14)&gt;0,IF(ISBLANK($A192),"",IF($N192&gt;5,$N192,VLOOKUP($A192,'Final Round'!$A$14:$K$18,COLUMN('Final Round'!$J$1),0))),"")</f>
        <v/>
      </c>
      <c r="V192" s="36" t="str">
        <f t="shared" ca="1" si="84"/>
        <v/>
      </c>
      <c r="W192" s="36" t="str">
        <f t="shared" si="85"/>
        <v/>
      </c>
      <c r="X192" s="36" t="str">
        <f t="shared" si="86"/>
        <v/>
      </c>
      <c r="Y192" s="36">
        <f t="shared" si="87"/>
        <v>0</v>
      </c>
      <c r="Z192" s="36" t="str">
        <f t="shared" ca="1" si="88"/>
        <v/>
      </c>
      <c r="AA192" s="36">
        <f t="shared" ca="1" si="89"/>
        <v>0</v>
      </c>
      <c r="AB192" s="121" t="str">
        <f>IF(ISBLANK($A192),"",5+4*(I192+IF(AA192=0,0,VLOOKUP($A192,'Final Round'!$A$14:$K$18,COLUMN('Final Round'!$G$1),0)))+8*(H192+IF(AA192=0,0,IF(VLOOKUP($A192,'Final Round'!$A$14:$K$18,COLUMN('Final Round'!$J$1),0)=1,1,0)))+$AA192)</f>
        <v/>
      </c>
    </row>
    <row r="193" spans="1:28" x14ac:dyDescent="0.2">
      <c r="A193" s="137"/>
      <c r="B193" s="138"/>
      <c r="C193" s="138"/>
      <c r="D193" s="138"/>
      <c r="E193" s="139"/>
      <c r="F193" s="140" t="str">
        <f>IF(ISBLANK($A193),"",SUM(IF(ISNA(IF(VLOOKUP($A193,'Round 1'!$A$7:$J$206,COLUMN('Round 1'!$H$7),0),1,NA())),0,1),IF(ISNA(IF(VLOOKUP($A193,'Round 2'!$A$7:$J$206,COLUMN('Round 1'!$H$7),0),1,NA())),0,1),IF(ISNA(IF(VLOOKUP($A193,'Round 3'!$A$7:$J$206,COLUMN('Round 1'!$H$7),0),1,NA())),0,1),IF(ISNA(IF(VLOOKUP($A193,'Final Round'!$A$14:$K$18,1,0),1,NA())),0,1)))</f>
        <v/>
      </c>
      <c r="G193" s="141"/>
      <c r="H193" s="142" t="str">
        <f>IF(ISBLANK($A193),"",IF(ISERROR(VLOOKUP($A193,'Round 1'!$A$7:$I$206,COLUMN('Round 1'!$G$7),0)),0,VLOOKUP($A193,'Round 1'!$A$7:$I$206,COLUMN('Round 1'!$G$7),0))+IF(ISERROR(VLOOKUP($A193,'Round 2'!$A$7:$I$206,COLUMN('Round 2'!$G$7),0)),0,VLOOKUP($A193,'Round 2'!$A$7:$I$206,COLUMN('Round 2'!$G$7),0))+IF(ISERROR(VLOOKUP($A193,'Round 3'!$A$7:$I$206,COLUMN('Round 3'!$G$7),0)),0,VLOOKUP($A193,'Round 3'!$A$7:$I$206,COLUMN('Round 3'!$G$7),0)))</f>
        <v/>
      </c>
      <c r="I193" s="142" t="str">
        <f>IF(ISBLANK($A193),"",IF(ISERROR(VLOOKUP($A193,'Round 1'!$A$7:$I$206,COLUMN('Round 1'!$F$7),0)),0,VLOOKUP($A193,'Round 1'!$A$7:$I$206,COLUMN('Round 1'!$F$7),0))+IF(ISERROR(VLOOKUP($A193,'Round 2'!$A$7:$I$206,COLUMN('Round 2'!$F$7),0)),0,VLOOKUP($A193,'Round 2'!$A$7:$I$206,COLUMN('Round 2'!$F$7),0))+IF(ISERROR(VLOOKUP($A193,'Round 3'!$A$7:$I$206,COLUMN('Round 3'!$F$7),0)),0,VLOOKUP($A193,'Round 3'!$A$7:$I$206,COLUMN('Round 3'!$F$7),0)))</f>
        <v/>
      </c>
      <c r="J193" s="143" t="str">
        <f>IF(ISBLANK($A193),"",IF(ISERROR(VLOOKUP($A193,'Round 1'!$A$7:$I$206,COLUMN('Round 1'!$H$7),0)),0,VLOOKUP($A193,'Round 1'!$A$7:$I$206,COLUMN('Round 1'!$H$7),0))+IF(ISERROR(VLOOKUP($A193,'Round 2'!$A$7:$I$206,COLUMN('Round 2'!$H$7),0)),0,VLOOKUP($A193,'Round 2'!$A$7:$I$206,COLUMN('Round 2'!$H$7),0))+IF(ISERROR(VLOOKUP($A193,'Round 3'!$A$7:$I$206,COLUMN('Round 3'!$H$7),0)),0,VLOOKUP($A193,'Round 3'!$A$7:$I$206,COLUMN('Round 3'!$H$7),0)))</f>
        <v/>
      </c>
      <c r="K193" s="142" t="str">
        <f t="shared" si="75"/>
        <v/>
      </c>
      <c r="L193" s="144" t="str">
        <f t="shared" si="76"/>
        <v/>
      </c>
      <c r="M193" s="145"/>
      <c r="N193" s="146" t="str">
        <f t="shared" si="77"/>
        <v/>
      </c>
      <c r="O193" s="36" t="str">
        <f t="shared" si="78"/>
        <v/>
      </c>
      <c r="P193" s="36" t="str">
        <f t="shared" si="79"/>
        <v/>
      </c>
      <c r="Q193" s="36">
        <f t="shared" si="80"/>
        <v>-10</v>
      </c>
      <c r="R193" s="36" t="str">
        <f t="shared" si="81"/>
        <v/>
      </c>
      <c r="S193" s="36" t="str">
        <f t="shared" si="82"/>
        <v/>
      </c>
      <c r="T193" s="36">
        <f t="shared" si="83"/>
        <v>0</v>
      </c>
      <c r="U193" s="146" t="str">
        <f ca="1">IF(N('Final Round'!$J$14)&gt;0,IF(ISBLANK($A193),"",IF($N193&gt;5,$N193,VLOOKUP($A193,'Final Round'!$A$14:$K$18,COLUMN('Final Round'!$J$1),0))),"")</f>
        <v/>
      </c>
      <c r="V193" s="36" t="str">
        <f t="shared" ca="1" si="84"/>
        <v/>
      </c>
      <c r="W193" s="36" t="str">
        <f t="shared" si="85"/>
        <v/>
      </c>
      <c r="X193" s="36" t="str">
        <f t="shared" si="86"/>
        <v/>
      </c>
      <c r="Y193" s="36">
        <f t="shared" si="87"/>
        <v>0</v>
      </c>
      <c r="Z193" s="36" t="str">
        <f t="shared" ca="1" si="88"/>
        <v/>
      </c>
      <c r="AA193" s="36">
        <f t="shared" ca="1" si="89"/>
        <v>0</v>
      </c>
      <c r="AB193" s="147" t="str">
        <f>IF(ISBLANK($A193),"",5+4*(I193+IF(AA193=0,0,VLOOKUP($A193,'Final Round'!$A$14:$K$18,COLUMN('Final Round'!$G$1),0)))+8*(H193+IF(AA193=0,0,IF(VLOOKUP($A193,'Final Round'!$A$14:$K$18,COLUMN('Final Round'!$J$1),0)=1,1,0)))+$AA193)</f>
        <v/>
      </c>
    </row>
    <row r="194" spans="1:28" x14ac:dyDescent="0.2">
      <c r="A194" s="111"/>
      <c r="B194" s="112"/>
      <c r="C194" s="112"/>
      <c r="D194" s="112"/>
      <c r="E194" s="113"/>
      <c r="F194" s="114" t="str">
        <f>IF(ISBLANK($A194),"",SUM(IF(ISNA(IF(VLOOKUP($A194,'Round 1'!$A$7:$J$206,COLUMN('Round 1'!$H$7),0),1,NA())),0,1),IF(ISNA(IF(VLOOKUP($A194,'Round 2'!$A$7:$J$206,COLUMN('Round 1'!$H$7),0),1,NA())),0,1),IF(ISNA(IF(VLOOKUP($A194,'Round 3'!$A$7:$J$206,COLUMN('Round 1'!$H$7),0),1,NA())),0,1),IF(ISNA(IF(VLOOKUP($A194,'Final Round'!$A$14:$K$18,1,0),1,NA())),0,1)))</f>
        <v/>
      </c>
      <c r="G194" s="115"/>
      <c r="H194" s="116" t="str">
        <f>IF(ISBLANK($A194),"",IF(ISERROR(VLOOKUP($A194,'Round 1'!$A$7:$I$206,COLUMN('Round 1'!$G$7),0)),0,VLOOKUP($A194,'Round 1'!$A$7:$I$206,COLUMN('Round 1'!$G$7),0))+IF(ISERROR(VLOOKUP($A194,'Round 2'!$A$7:$I$206,COLUMN('Round 2'!$G$7),0)),0,VLOOKUP($A194,'Round 2'!$A$7:$I$206,COLUMN('Round 2'!$G$7),0))+IF(ISERROR(VLOOKUP($A194,'Round 3'!$A$7:$I$206,COLUMN('Round 3'!$G$7),0)),0,VLOOKUP($A194,'Round 3'!$A$7:$I$206,COLUMN('Round 3'!$G$7),0)))</f>
        <v/>
      </c>
      <c r="I194" s="116" t="str">
        <f>IF(ISBLANK($A194),"",IF(ISERROR(VLOOKUP($A194,'Round 1'!$A$7:$I$206,COLUMN('Round 1'!$F$7),0)),0,VLOOKUP($A194,'Round 1'!$A$7:$I$206,COLUMN('Round 1'!$F$7),0))+IF(ISERROR(VLOOKUP($A194,'Round 2'!$A$7:$I$206,COLUMN('Round 2'!$F$7),0)),0,VLOOKUP($A194,'Round 2'!$A$7:$I$206,COLUMN('Round 2'!$F$7),0))+IF(ISERROR(VLOOKUP($A194,'Round 3'!$A$7:$I$206,COLUMN('Round 3'!$F$7),0)),0,VLOOKUP($A194,'Round 3'!$A$7:$I$206,COLUMN('Round 3'!$F$7),0)))</f>
        <v/>
      </c>
      <c r="J194" s="117" t="str">
        <f>IF(ISBLANK($A194),"",IF(ISERROR(VLOOKUP($A194,'Round 1'!$A$7:$I$206,COLUMN('Round 1'!$H$7),0)),0,VLOOKUP($A194,'Round 1'!$A$7:$I$206,COLUMN('Round 1'!$H$7),0))+IF(ISERROR(VLOOKUP($A194,'Round 2'!$A$7:$I$206,COLUMN('Round 2'!$H$7),0)),0,VLOOKUP($A194,'Round 2'!$A$7:$I$206,COLUMN('Round 2'!$H$7),0))+IF(ISERROR(VLOOKUP($A194,'Round 3'!$A$7:$I$206,COLUMN('Round 3'!$H$7),0)),0,VLOOKUP($A194,'Round 3'!$A$7:$I$206,COLUMN('Round 3'!$H$7),0)))</f>
        <v/>
      </c>
      <c r="K194" s="116" t="str">
        <f t="shared" si="75"/>
        <v/>
      </c>
      <c r="L194" s="118" t="str">
        <f t="shared" si="76"/>
        <v/>
      </c>
      <c r="M194" s="119"/>
      <c r="N194" s="120" t="str">
        <f t="shared" si="77"/>
        <v/>
      </c>
      <c r="O194" s="36" t="str">
        <f t="shared" si="78"/>
        <v/>
      </c>
      <c r="P194" s="36" t="str">
        <f t="shared" si="79"/>
        <v/>
      </c>
      <c r="Q194" s="36">
        <f t="shared" si="80"/>
        <v>-10</v>
      </c>
      <c r="R194" s="36" t="str">
        <f t="shared" si="81"/>
        <v/>
      </c>
      <c r="S194" s="36" t="str">
        <f t="shared" si="82"/>
        <v/>
      </c>
      <c r="T194" s="36">
        <f t="shared" si="83"/>
        <v>0</v>
      </c>
      <c r="U194" s="120" t="str">
        <f ca="1">IF(N('Final Round'!$J$14)&gt;0,IF(ISBLANK($A194),"",IF($N194&gt;5,$N194,VLOOKUP($A194,'Final Round'!$A$14:$K$18,COLUMN('Final Round'!$J$1),0))),"")</f>
        <v/>
      </c>
      <c r="V194" s="36" t="str">
        <f t="shared" ca="1" si="84"/>
        <v/>
      </c>
      <c r="W194" s="36" t="str">
        <f t="shared" si="85"/>
        <v/>
      </c>
      <c r="X194" s="36" t="str">
        <f t="shared" si="86"/>
        <v/>
      </c>
      <c r="Y194" s="36">
        <f t="shared" si="87"/>
        <v>0</v>
      </c>
      <c r="Z194" s="36" t="str">
        <f t="shared" ca="1" si="88"/>
        <v/>
      </c>
      <c r="AA194" s="36">
        <f t="shared" ca="1" si="89"/>
        <v>0</v>
      </c>
      <c r="AB194" s="121" t="str">
        <f>IF(ISBLANK($A194),"",5+4*(I194+IF(AA194=0,0,VLOOKUP($A194,'Final Round'!$A$14:$K$18,COLUMN('Final Round'!$G$1),0)))+8*(H194+IF(AA194=0,0,IF(VLOOKUP($A194,'Final Round'!$A$14:$K$18,COLUMN('Final Round'!$J$1),0)=1,1,0)))+$AA194)</f>
        <v/>
      </c>
    </row>
    <row r="195" spans="1:28" x14ac:dyDescent="0.2">
      <c r="A195" s="137"/>
      <c r="B195" s="138"/>
      <c r="C195" s="138"/>
      <c r="D195" s="138"/>
      <c r="E195" s="139"/>
      <c r="F195" s="140" t="str">
        <f>IF(ISBLANK($A195),"",SUM(IF(ISNA(IF(VLOOKUP($A195,'Round 1'!$A$7:$J$206,COLUMN('Round 1'!$H$7),0),1,NA())),0,1),IF(ISNA(IF(VLOOKUP($A195,'Round 2'!$A$7:$J$206,COLUMN('Round 1'!$H$7),0),1,NA())),0,1),IF(ISNA(IF(VLOOKUP($A195,'Round 3'!$A$7:$J$206,COLUMN('Round 1'!$H$7),0),1,NA())),0,1),IF(ISNA(IF(VLOOKUP($A195,'Final Round'!$A$14:$K$18,1,0),1,NA())),0,1)))</f>
        <v/>
      </c>
      <c r="G195" s="141"/>
      <c r="H195" s="142" t="str">
        <f>IF(ISBLANK($A195),"",IF(ISERROR(VLOOKUP($A195,'Round 1'!$A$7:$I$206,COLUMN('Round 1'!$G$7),0)),0,VLOOKUP($A195,'Round 1'!$A$7:$I$206,COLUMN('Round 1'!$G$7),0))+IF(ISERROR(VLOOKUP($A195,'Round 2'!$A$7:$I$206,COLUMN('Round 2'!$G$7),0)),0,VLOOKUP($A195,'Round 2'!$A$7:$I$206,COLUMN('Round 2'!$G$7),0))+IF(ISERROR(VLOOKUP($A195,'Round 3'!$A$7:$I$206,COLUMN('Round 3'!$G$7),0)),0,VLOOKUP($A195,'Round 3'!$A$7:$I$206,COLUMN('Round 3'!$G$7),0)))</f>
        <v/>
      </c>
      <c r="I195" s="142" t="str">
        <f>IF(ISBLANK($A195),"",IF(ISERROR(VLOOKUP($A195,'Round 1'!$A$7:$I$206,COLUMN('Round 1'!$F$7),0)),0,VLOOKUP($A195,'Round 1'!$A$7:$I$206,COLUMN('Round 1'!$F$7),0))+IF(ISERROR(VLOOKUP($A195,'Round 2'!$A$7:$I$206,COLUMN('Round 2'!$F$7),0)),0,VLOOKUP($A195,'Round 2'!$A$7:$I$206,COLUMN('Round 2'!$F$7),0))+IF(ISERROR(VLOOKUP($A195,'Round 3'!$A$7:$I$206,COLUMN('Round 3'!$F$7),0)),0,VLOOKUP($A195,'Round 3'!$A$7:$I$206,COLUMN('Round 3'!$F$7),0)))</f>
        <v/>
      </c>
      <c r="J195" s="143" t="str">
        <f>IF(ISBLANK($A195),"",IF(ISERROR(VLOOKUP($A195,'Round 1'!$A$7:$I$206,COLUMN('Round 1'!$H$7),0)),0,VLOOKUP($A195,'Round 1'!$A$7:$I$206,COLUMN('Round 1'!$H$7),0))+IF(ISERROR(VLOOKUP($A195,'Round 2'!$A$7:$I$206,COLUMN('Round 2'!$H$7),0)),0,VLOOKUP($A195,'Round 2'!$A$7:$I$206,COLUMN('Round 2'!$H$7),0))+IF(ISERROR(VLOOKUP($A195,'Round 3'!$A$7:$I$206,COLUMN('Round 3'!$H$7),0)),0,VLOOKUP($A195,'Round 3'!$A$7:$I$206,COLUMN('Round 3'!$H$7),0)))</f>
        <v/>
      </c>
      <c r="K195" s="142" t="str">
        <f t="shared" si="75"/>
        <v/>
      </c>
      <c r="L195" s="144" t="str">
        <f t="shared" si="76"/>
        <v/>
      </c>
      <c r="M195" s="145"/>
      <c r="N195" s="146" t="str">
        <f t="shared" si="77"/>
        <v/>
      </c>
      <c r="O195" s="36" t="str">
        <f t="shared" si="78"/>
        <v/>
      </c>
      <c r="P195" s="36" t="str">
        <f t="shared" si="79"/>
        <v/>
      </c>
      <c r="Q195" s="36">
        <f t="shared" si="80"/>
        <v>-10</v>
      </c>
      <c r="R195" s="36" t="str">
        <f t="shared" si="81"/>
        <v/>
      </c>
      <c r="S195" s="36" t="str">
        <f t="shared" si="82"/>
        <v/>
      </c>
      <c r="T195" s="36">
        <f t="shared" si="83"/>
        <v>0</v>
      </c>
      <c r="U195" s="146" t="str">
        <f ca="1">IF(N('Final Round'!$J$14)&gt;0,IF(ISBLANK($A195),"",IF($N195&gt;5,$N195,VLOOKUP($A195,'Final Round'!$A$14:$K$18,COLUMN('Final Round'!$J$1),0))),"")</f>
        <v/>
      </c>
      <c r="V195" s="36" t="str">
        <f t="shared" ca="1" si="84"/>
        <v/>
      </c>
      <c r="W195" s="36" t="str">
        <f t="shared" si="85"/>
        <v/>
      </c>
      <c r="X195" s="36" t="str">
        <f t="shared" si="86"/>
        <v/>
      </c>
      <c r="Y195" s="36">
        <f t="shared" si="87"/>
        <v>0</v>
      </c>
      <c r="Z195" s="36" t="str">
        <f t="shared" ca="1" si="88"/>
        <v/>
      </c>
      <c r="AA195" s="36">
        <f t="shared" ca="1" si="89"/>
        <v>0</v>
      </c>
      <c r="AB195" s="147" t="str">
        <f>IF(ISBLANK($A195),"",5+4*(I195+IF(AA195=0,0,VLOOKUP($A195,'Final Round'!$A$14:$K$18,COLUMN('Final Round'!$G$1),0)))+8*(H195+IF(AA195=0,0,IF(VLOOKUP($A195,'Final Round'!$A$14:$K$18,COLUMN('Final Round'!$J$1),0)=1,1,0)))+$AA195)</f>
        <v/>
      </c>
    </row>
    <row r="196" spans="1:28" x14ac:dyDescent="0.2">
      <c r="A196" s="111"/>
      <c r="B196" s="112"/>
      <c r="C196" s="112"/>
      <c r="D196" s="112"/>
      <c r="E196" s="113"/>
      <c r="F196" s="114" t="str">
        <f>IF(ISBLANK($A196),"",SUM(IF(ISNA(IF(VLOOKUP($A196,'Round 1'!$A$7:$J$206,COLUMN('Round 1'!$H$7),0),1,NA())),0,1),IF(ISNA(IF(VLOOKUP($A196,'Round 2'!$A$7:$J$206,COLUMN('Round 1'!$H$7),0),1,NA())),0,1),IF(ISNA(IF(VLOOKUP($A196,'Round 3'!$A$7:$J$206,COLUMN('Round 1'!$H$7),0),1,NA())),0,1),IF(ISNA(IF(VLOOKUP($A196,'Final Round'!$A$14:$K$18,1,0),1,NA())),0,1)))</f>
        <v/>
      </c>
      <c r="G196" s="115"/>
      <c r="H196" s="116" t="str">
        <f>IF(ISBLANK($A196),"",IF(ISERROR(VLOOKUP($A196,'Round 1'!$A$7:$I$206,COLUMN('Round 1'!$G$7),0)),0,VLOOKUP($A196,'Round 1'!$A$7:$I$206,COLUMN('Round 1'!$G$7),0))+IF(ISERROR(VLOOKUP($A196,'Round 2'!$A$7:$I$206,COLUMN('Round 2'!$G$7),0)),0,VLOOKUP($A196,'Round 2'!$A$7:$I$206,COLUMN('Round 2'!$G$7),0))+IF(ISERROR(VLOOKUP($A196,'Round 3'!$A$7:$I$206,COLUMN('Round 3'!$G$7),0)),0,VLOOKUP($A196,'Round 3'!$A$7:$I$206,COLUMN('Round 3'!$G$7),0)))</f>
        <v/>
      </c>
      <c r="I196" s="116" t="str">
        <f>IF(ISBLANK($A196),"",IF(ISERROR(VLOOKUP($A196,'Round 1'!$A$7:$I$206,COLUMN('Round 1'!$F$7),0)),0,VLOOKUP($A196,'Round 1'!$A$7:$I$206,COLUMN('Round 1'!$F$7),0))+IF(ISERROR(VLOOKUP($A196,'Round 2'!$A$7:$I$206,COLUMN('Round 2'!$F$7),0)),0,VLOOKUP($A196,'Round 2'!$A$7:$I$206,COLUMN('Round 2'!$F$7),0))+IF(ISERROR(VLOOKUP($A196,'Round 3'!$A$7:$I$206,COLUMN('Round 3'!$F$7),0)),0,VLOOKUP($A196,'Round 3'!$A$7:$I$206,COLUMN('Round 3'!$F$7),0)))</f>
        <v/>
      </c>
      <c r="J196" s="117" t="str">
        <f>IF(ISBLANK($A196),"",IF(ISERROR(VLOOKUP($A196,'Round 1'!$A$7:$I$206,COLUMN('Round 1'!$H$7),0)),0,VLOOKUP($A196,'Round 1'!$A$7:$I$206,COLUMN('Round 1'!$H$7),0))+IF(ISERROR(VLOOKUP($A196,'Round 2'!$A$7:$I$206,COLUMN('Round 2'!$H$7),0)),0,VLOOKUP($A196,'Round 2'!$A$7:$I$206,COLUMN('Round 2'!$H$7),0))+IF(ISERROR(VLOOKUP($A196,'Round 3'!$A$7:$I$206,COLUMN('Round 3'!$H$7),0)),0,VLOOKUP($A196,'Round 3'!$A$7:$I$206,COLUMN('Round 3'!$H$7),0)))</f>
        <v/>
      </c>
      <c r="K196" s="116" t="str">
        <f t="shared" si="75"/>
        <v/>
      </c>
      <c r="L196" s="118" t="str">
        <f t="shared" si="76"/>
        <v/>
      </c>
      <c r="M196" s="119"/>
      <c r="N196" s="120" t="str">
        <f t="shared" si="77"/>
        <v/>
      </c>
      <c r="O196" s="36" t="str">
        <f t="shared" si="78"/>
        <v/>
      </c>
      <c r="P196" s="36" t="str">
        <f t="shared" si="79"/>
        <v/>
      </c>
      <c r="Q196" s="36">
        <f t="shared" si="80"/>
        <v>-10</v>
      </c>
      <c r="R196" s="36" t="str">
        <f t="shared" si="81"/>
        <v/>
      </c>
      <c r="S196" s="36" t="str">
        <f t="shared" si="82"/>
        <v/>
      </c>
      <c r="T196" s="36">
        <f t="shared" si="83"/>
        <v>0</v>
      </c>
      <c r="U196" s="120" t="str">
        <f ca="1">IF(N('Final Round'!$J$14)&gt;0,IF(ISBLANK($A196),"",IF($N196&gt;5,$N196,VLOOKUP($A196,'Final Round'!$A$14:$K$18,COLUMN('Final Round'!$J$1),0))),"")</f>
        <v/>
      </c>
      <c r="V196" s="36" t="str">
        <f t="shared" ca="1" si="84"/>
        <v/>
      </c>
      <c r="W196" s="36" t="str">
        <f t="shared" si="85"/>
        <v/>
      </c>
      <c r="X196" s="36" t="str">
        <f t="shared" si="86"/>
        <v/>
      </c>
      <c r="Y196" s="36">
        <f t="shared" si="87"/>
        <v>0</v>
      </c>
      <c r="Z196" s="36" t="str">
        <f t="shared" ca="1" si="88"/>
        <v/>
      </c>
      <c r="AA196" s="36">
        <f t="shared" ca="1" si="89"/>
        <v>0</v>
      </c>
      <c r="AB196" s="121" t="str">
        <f>IF(ISBLANK($A196),"",5+4*(I196+IF(AA196=0,0,VLOOKUP($A196,'Final Round'!$A$14:$K$18,COLUMN('Final Round'!$G$1),0)))+8*(H196+IF(AA196=0,0,IF(VLOOKUP($A196,'Final Round'!$A$14:$K$18,COLUMN('Final Round'!$J$1),0)=1,1,0)))+$AA196)</f>
        <v/>
      </c>
    </row>
    <row r="197" spans="1:28" x14ac:dyDescent="0.2">
      <c r="A197" s="137"/>
      <c r="B197" s="138"/>
      <c r="C197" s="138"/>
      <c r="D197" s="138"/>
      <c r="E197" s="139"/>
      <c r="F197" s="140" t="str">
        <f>IF(ISBLANK($A197),"",SUM(IF(ISNA(IF(VLOOKUP($A197,'Round 1'!$A$7:$J$206,COLUMN('Round 1'!$H$7),0),1,NA())),0,1),IF(ISNA(IF(VLOOKUP($A197,'Round 2'!$A$7:$J$206,COLUMN('Round 1'!$H$7),0),1,NA())),0,1),IF(ISNA(IF(VLOOKUP($A197,'Round 3'!$A$7:$J$206,COLUMN('Round 1'!$H$7),0),1,NA())),0,1),IF(ISNA(IF(VLOOKUP($A197,'Final Round'!$A$14:$K$18,1,0),1,NA())),0,1)))</f>
        <v/>
      </c>
      <c r="G197" s="141"/>
      <c r="H197" s="142" t="str">
        <f>IF(ISBLANK($A197),"",IF(ISERROR(VLOOKUP($A197,'Round 1'!$A$7:$I$206,COLUMN('Round 1'!$G$7),0)),0,VLOOKUP($A197,'Round 1'!$A$7:$I$206,COLUMN('Round 1'!$G$7),0))+IF(ISERROR(VLOOKUP($A197,'Round 2'!$A$7:$I$206,COLUMN('Round 2'!$G$7),0)),0,VLOOKUP($A197,'Round 2'!$A$7:$I$206,COLUMN('Round 2'!$G$7),0))+IF(ISERROR(VLOOKUP($A197,'Round 3'!$A$7:$I$206,COLUMN('Round 3'!$G$7),0)),0,VLOOKUP($A197,'Round 3'!$A$7:$I$206,COLUMN('Round 3'!$G$7),0)))</f>
        <v/>
      </c>
      <c r="I197" s="142" t="str">
        <f>IF(ISBLANK($A197),"",IF(ISERROR(VLOOKUP($A197,'Round 1'!$A$7:$I$206,COLUMN('Round 1'!$F$7),0)),0,VLOOKUP($A197,'Round 1'!$A$7:$I$206,COLUMN('Round 1'!$F$7),0))+IF(ISERROR(VLOOKUP($A197,'Round 2'!$A$7:$I$206,COLUMN('Round 2'!$F$7),0)),0,VLOOKUP($A197,'Round 2'!$A$7:$I$206,COLUMN('Round 2'!$F$7),0))+IF(ISERROR(VLOOKUP($A197,'Round 3'!$A$7:$I$206,COLUMN('Round 3'!$F$7),0)),0,VLOOKUP($A197,'Round 3'!$A$7:$I$206,COLUMN('Round 3'!$F$7),0)))</f>
        <v/>
      </c>
      <c r="J197" s="143" t="str">
        <f>IF(ISBLANK($A197),"",IF(ISERROR(VLOOKUP($A197,'Round 1'!$A$7:$I$206,COLUMN('Round 1'!$H$7),0)),0,VLOOKUP($A197,'Round 1'!$A$7:$I$206,COLUMN('Round 1'!$H$7),0))+IF(ISERROR(VLOOKUP($A197,'Round 2'!$A$7:$I$206,COLUMN('Round 2'!$H$7),0)),0,VLOOKUP($A197,'Round 2'!$A$7:$I$206,COLUMN('Round 2'!$H$7),0))+IF(ISERROR(VLOOKUP($A197,'Round 3'!$A$7:$I$206,COLUMN('Round 3'!$H$7),0)),0,VLOOKUP($A197,'Round 3'!$A$7:$I$206,COLUMN('Round 3'!$H$7),0)))</f>
        <v/>
      </c>
      <c r="K197" s="142" t="str">
        <f t="shared" si="75"/>
        <v/>
      </c>
      <c r="L197" s="144" t="str">
        <f t="shared" si="76"/>
        <v/>
      </c>
      <c r="M197" s="145"/>
      <c r="N197" s="146" t="str">
        <f t="shared" si="77"/>
        <v/>
      </c>
      <c r="O197" s="36" t="str">
        <f t="shared" si="78"/>
        <v/>
      </c>
      <c r="P197" s="36" t="str">
        <f t="shared" si="79"/>
        <v/>
      </c>
      <c r="Q197" s="36">
        <f t="shared" si="80"/>
        <v>-10</v>
      </c>
      <c r="R197" s="36" t="str">
        <f t="shared" si="81"/>
        <v/>
      </c>
      <c r="S197" s="36" t="str">
        <f t="shared" si="82"/>
        <v/>
      </c>
      <c r="T197" s="36">
        <f t="shared" si="83"/>
        <v>0</v>
      </c>
      <c r="U197" s="146" t="str">
        <f ca="1">IF(N('Final Round'!$J$14)&gt;0,IF(ISBLANK($A197),"",IF($N197&gt;5,$N197,VLOOKUP($A197,'Final Round'!$A$14:$K$18,COLUMN('Final Round'!$J$1),0))),"")</f>
        <v/>
      </c>
      <c r="V197" s="36" t="str">
        <f t="shared" ca="1" si="84"/>
        <v/>
      </c>
      <c r="W197" s="36" t="str">
        <f t="shared" si="85"/>
        <v/>
      </c>
      <c r="X197" s="36" t="str">
        <f t="shared" si="86"/>
        <v/>
      </c>
      <c r="Y197" s="36">
        <f t="shared" si="87"/>
        <v>0</v>
      </c>
      <c r="Z197" s="36" t="str">
        <f t="shared" ca="1" si="88"/>
        <v/>
      </c>
      <c r="AA197" s="36">
        <f t="shared" ca="1" si="89"/>
        <v>0</v>
      </c>
      <c r="AB197" s="147" t="str">
        <f>IF(ISBLANK($A197),"",5+4*(I197+IF(AA197=0,0,VLOOKUP($A197,'Final Round'!$A$14:$K$18,COLUMN('Final Round'!$G$1),0)))+8*(H197+IF(AA197=0,0,IF(VLOOKUP($A197,'Final Round'!$A$14:$K$18,COLUMN('Final Round'!$J$1),0)=1,1,0)))+$AA197)</f>
        <v/>
      </c>
    </row>
    <row r="198" spans="1:28" x14ac:dyDescent="0.2">
      <c r="A198" s="111"/>
      <c r="B198" s="112"/>
      <c r="C198" s="112"/>
      <c r="D198" s="112"/>
      <c r="E198" s="113"/>
      <c r="F198" s="114" t="str">
        <f>IF(ISBLANK($A198),"",SUM(IF(ISNA(IF(VLOOKUP($A198,'Round 1'!$A$7:$J$206,COLUMN('Round 1'!$H$7),0),1,NA())),0,1),IF(ISNA(IF(VLOOKUP($A198,'Round 2'!$A$7:$J$206,COLUMN('Round 1'!$H$7),0),1,NA())),0,1),IF(ISNA(IF(VLOOKUP($A198,'Round 3'!$A$7:$J$206,COLUMN('Round 1'!$H$7),0),1,NA())),0,1),IF(ISNA(IF(VLOOKUP($A198,'Final Round'!$A$14:$K$18,1,0),1,NA())),0,1)))</f>
        <v/>
      </c>
      <c r="G198" s="115"/>
      <c r="H198" s="116" t="str">
        <f>IF(ISBLANK($A198),"",IF(ISERROR(VLOOKUP($A198,'Round 1'!$A$7:$I$206,COLUMN('Round 1'!$G$7),0)),0,VLOOKUP($A198,'Round 1'!$A$7:$I$206,COLUMN('Round 1'!$G$7),0))+IF(ISERROR(VLOOKUP($A198,'Round 2'!$A$7:$I$206,COLUMN('Round 2'!$G$7),0)),0,VLOOKUP($A198,'Round 2'!$A$7:$I$206,COLUMN('Round 2'!$G$7),0))+IF(ISERROR(VLOOKUP($A198,'Round 3'!$A$7:$I$206,COLUMN('Round 3'!$G$7),0)),0,VLOOKUP($A198,'Round 3'!$A$7:$I$206,COLUMN('Round 3'!$G$7),0)))</f>
        <v/>
      </c>
      <c r="I198" s="116" t="str">
        <f>IF(ISBLANK($A198),"",IF(ISERROR(VLOOKUP($A198,'Round 1'!$A$7:$I$206,COLUMN('Round 1'!$F$7),0)),0,VLOOKUP($A198,'Round 1'!$A$7:$I$206,COLUMN('Round 1'!$F$7),0))+IF(ISERROR(VLOOKUP($A198,'Round 2'!$A$7:$I$206,COLUMN('Round 2'!$F$7),0)),0,VLOOKUP($A198,'Round 2'!$A$7:$I$206,COLUMN('Round 2'!$F$7),0))+IF(ISERROR(VLOOKUP($A198,'Round 3'!$A$7:$I$206,COLUMN('Round 3'!$F$7),0)),0,VLOOKUP($A198,'Round 3'!$A$7:$I$206,COLUMN('Round 3'!$F$7),0)))</f>
        <v/>
      </c>
      <c r="J198" s="117" t="str">
        <f>IF(ISBLANK($A198),"",IF(ISERROR(VLOOKUP($A198,'Round 1'!$A$7:$I$206,COLUMN('Round 1'!$H$7),0)),0,VLOOKUP($A198,'Round 1'!$A$7:$I$206,COLUMN('Round 1'!$H$7),0))+IF(ISERROR(VLOOKUP($A198,'Round 2'!$A$7:$I$206,COLUMN('Round 2'!$H$7),0)),0,VLOOKUP($A198,'Round 2'!$A$7:$I$206,COLUMN('Round 2'!$H$7),0))+IF(ISERROR(VLOOKUP($A198,'Round 3'!$A$7:$I$206,COLUMN('Round 3'!$H$7),0)),0,VLOOKUP($A198,'Round 3'!$A$7:$I$206,COLUMN('Round 3'!$H$7),0)))</f>
        <v/>
      </c>
      <c r="K198" s="116" t="str">
        <f t="shared" si="75"/>
        <v/>
      </c>
      <c r="L198" s="118" t="str">
        <f t="shared" si="76"/>
        <v/>
      </c>
      <c r="M198" s="119"/>
      <c r="N198" s="120" t="str">
        <f t="shared" si="77"/>
        <v/>
      </c>
      <c r="O198" s="36" t="str">
        <f t="shared" si="78"/>
        <v/>
      </c>
      <c r="P198" s="36" t="str">
        <f t="shared" si="79"/>
        <v/>
      </c>
      <c r="Q198" s="36">
        <f t="shared" si="80"/>
        <v>-10</v>
      </c>
      <c r="R198" s="36" t="str">
        <f t="shared" si="81"/>
        <v/>
      </c>
      <c r="S198" s="36" t="str">
        <f t="shared" si="82"/>
        <v/>
      </c>
      <c r="T198" s="36">
        <f t="shared" si="83"/>
        <v>0</v>
      </c>
      <c r="U198" s="120" t="str">
        <f ca="1">IF(N('Final Round'!$J$14)&gt;0,IF(ISBLANK($A198),"",IF($N198&gt;5,$N198,VLOOKUP($A198,'Final Round'!$A$14:$K$18,COLUMN('Final Round'!$J$1),0))),"")</f>
        <v/>
      </c>
      <c r="V198" s="36" t="str">
        <f t="shared" ca="1" si="84"/>
        <v/>
      </c>
      <c r="W198" s="36" t="str">
        <f t="shared" si="85"/>
        <v/>
      </c>
      <c r="X198" s="36" t="str">
        <f t="shared" si="86"/>
        <v/>
      </c>
      <c r="Y198" s="36">
        <f t="shared" si="87"/>
        <v>0</v>
      </c>
      <c r="Z198" s="36" t="str">
        <f t="shared" ca="1" si="88"/>
        <v/>
      </c>
      <c r="AA198" s="36">
        <f t="shared" ca="1" si="89"/>
        <v>0</v>
      </c>
      <c r="AB198" s="121" t="str">
        <f>IF(ISBLANK($A198),"",5+4*(I198+IF(AA198=0,0,VLOOKUP($A198,'Final Round'!$A$14:$K$18,COLUMN('Final Round'!$G$1),0)))+8*(H198+IF(AA198=0,0,IF(VLOOKUP($A198,'Final Round'!$A$14:$K$18,COLUMN('Final Round'!$J$1),0)=1,1,0)))+$AA198)</f>
        <v/>
      </c>
    </row>
    <row r="199" spans="1:28" x14ac:dyDescent="0.2">
      <c r="A199" s="137"/>
      <c r="B199" s="138"/>
      <c r="C199" s="138"/>
      <c r="D199" s="138"/>
      <c r="E199" s="139"/>
      <c r="F199" s="140" t="str">
        <f>IF(ISBLANK($A199),"",SUM(IF(ISNA(IF(VLOOKUP($A199,'Round 1'!$A$7:$J$206,COLUMN('Round 1'!$H$7),0),1,NA())),0,1),IF(ISNA(IF(VLOOKUP($A199,'Round 2'!$A$7:$J$206,COLUMN('Round 1'!$H$7),0),1,NA())),0,1),IF(ISNA(IF(VLOOKUP($A199,'Round 3'!$A$7:$J$206,COLUMN('Round 1'!$H$7),0),1,NA())),0,1),IF(ISNA(IF(VLOOKUP($A199,'Final Round'!$A$14:$K$18,1,0),1,NA())),0,1)))</f>
        <v/>
      </c>
      <c r="G199" s="141"/>
      <c r="H199" s="142" t="str">
        <f>IF(ISBLANK($A199),"",IF(ISERROR(VLOOKUP($A199,'Round 1'!$A$7:$I$206,COLUMN('Round 1'!$G$7),0)),0,VLOOKUP($A199,'Round 1'!$A$7:$I$206,COLUMN('Round 1'!$G$7),0))+IF(ISERROR(VLOOKUP($A199,'Round 2'!$A$7:$I$206,COLUMN('Round 2'!$G$7),0)),0,VLOOKUP($A199,'Round 2'!$A$7:$I$206,COLUMN('Round 2'!$G$7),0))+IF(ISERROR(VLOOKUP($A199,'Round 3'!$A$7:$I$206,COLUMN('Round 3'!$G$7),0)),0,VLOOKUP($A199,'Round 3'!$A$7:$I$206,COLUMN('Round 3'!$G$7),0)))</f>
        <v/>
      </c>
      <c r="I199" s="142" t="str">
        <f>IF(ISBLANK($A199),"",IF(ISERROR(VLOOKUP($A199,'Round 1'!$A$7:$I$206,COLUMN('Round 1'!$F$7),0)),0,VLOOKUP($A199,'Round 1'!$A$7:$I$206,COLUMN('Round 1'!$F$7),0))+IF(ISERROR(VLOOKUP($A199,'Round 2'!$A$7:$I$206,COLUMN('Round 2'!$F$7),0)),0,VLOOKUP($A199,'Round 2'!$A$7:$I$206,COLUMN('Round 2'!$F$7),0))+IF(ISERROR(VLOOKUP($A199,'Round 3'!$A$7:$I$206,COLUMN('Round 3'!$F$7),0)),0,VLOOKUP($A199,'Round 3'!$A$7:$I$206,COLUMN('Round 3'!$F$7),0)))</f>
        <v/>
      </c>
      <c r="J199" s="143" t="str">
        <f>IF(ISBLANK($A199),"",IF(ISERROR(VLOOKUP($A199,'Round 1'!$A$7:$I$206,COLUMN('Round 1'!$H$7),0)),0,VLOOKUP($A199,'Round 1'!$A$7:$I$206,COLUMN('Round 1'!$H$7),0))+IF(ISERROR(VLOOKUP($A199,'Round 2'!$A$7:$I$206,COLUMN('Round 2'!$H$7),0)),0,VLOOKUP($A199,'Round 2'!$A$7:$I$206,COLUMN('Round 2'!$H$7),0))+IF(ISERROR(VLOOKUP($A199,'Round 3'!$A$7:$I$206,COLUMN('Round 3'!$H$7),0)),0,VLOOKUP($A199,'Round 3'!$A$7:$I$206,COLUMN('Round 3'!$H$7),0)))</f>
        <v/>
      </c>
      <c r="K199" s="142" t="str">
        <f t="shared" ref="K199:K206" si="90">IF(ISBLANK(A199),"",RANK(P199,$P$7:$P$206))</f>
        <v/>
      </c>
      <c r="L199" s="144" t="str">
        <f t="shared" ref="L199:L206" si="91">IF(ISBLANK($G199),IF($K199&gt;5,"",IF(AND(ISNA(MATCH(K199+1,$K$7:$K$206,0)),$K199&lt;$A$4),"TIE","")),"DQ")</f>
        <v/>
      </c>
      <c r="M199" s="145"/>
      <c r="N199" s="146" t="str">
        <f t="shared" ref="N199:N206" si="92">IF(ISBLANK($G199),$R199,"DQ")</f>
        <v/>
      </c>
      <c r="O199" s="36" t="str">
        <f t="shared" ref="O199:O206" si="93">IF(ISBLANK(A199),"",$H199*$O$6+$I199)</f>
        <v/>
      </c>
      <c r="P199" s="36" t="str">
        <f t="shared" ref="P199:P206" si="94">IF(ISBLANK(A199),"",$O199*10*$P$6+$J199)</f>
        <v/>
      </c>
      <c r="Q199" s="36">
        <f t="shared" ref="Q199:Q206" si="95">IF(ISBLANK($G199),IF(ISBLANK($A199),-10,$P199*$Q$6+IF($M199&gt;0,$Q$6-1-$M199,0)),-1)</f>
        <v>-10</v>
      </c>
      <c r="R199" s="36" t="str">
        <f t="shared" ref="R199:R206" si="96">IF(ISBLANK($A199),"",RANK($Q199,$Q$7:$Q$206))</f>
        <v/>
      </c>
      <c r="S199" s="36" t="str">
        <f t="shared" ref="S199:S206" si="97">IF(ISNA(MATCH($R199+1,$R$7:$R$206,0)),IF($R199=MAX($A$7:$A$206),$R199,-1),$R199)</f>
        <v/>
      </c>
      <c r="T199" s="36">
        <f t="shared" ref="T199:T206" si="98">$A199</f>
        <v>0</v>
      </c>
      <c r="U199" s="146" t="str">
        <f ca="1">IF(N('Final Round'!$J$14)&gt;0,IF(ISBLANK($A199),"",IF($N199&gt;5,$N199,VLOOKUP($A199,'Final Round'!$A$14:$K$18,COLUMN('Final Round'!$J$1),0))),"")</f>
        <v/>
      </c>
      <c r="V199" s="36" t="str">
        <f t="shared" ref="V199:V206" ca="1" si="99">IF(ISNUMBER($U199),$U199,$R199)</f>
        <v/>
      </c>
      <c r="W199" s="36" t="str">
        <f t="shared" ref="W199:W206" si="100">IF(ISBLANK($A199),"",($V$6-$V199)*$W$6+$W$6-$A199)</f>
        <v/>
      </c>
      <c r="X199" s="36" t="str">
        <f t="shared" ref="X199:X206" si="101">IF(ISBLANK($A199),"",RANK($W199,$W$7:$W$206))</f>
        <v/>
      </c>
      <c r="Y199" s="36">
        <f t="shared" ref="Y199:Y206" si="102">$A199</f>
        <v>0</v>
      </c>
      <c r="Z199" s="36" t="str">
        <f t="shared" ref="Z199:Z206" ca="1" si="103">IF($U199="",$N199,$U199)</f>
        <v/>
      </c>
      <c r="AA199" s="36">
        <f t="shared" ref="AA199:AA206" ca="1" si="104">IF($U199&lt;6,INDEX($AA$1:$AA$5,$Z199)*$Z$2,0)</f>
        <v>0</v>
      </c>
      <c r="AB199" s="147" t="str">
        <f>IF(ISBLANK($A199),"",5+4*(I199+IF(AA199=0,0,VLOOKUP($A199,'Final Round'!$A$14:$K$18,COLUMN('Final Round'!$G$1),0)))+8*(H199+IF(AA199=0,0,IF(VLOOKUP($A199,'Final Round'!$A$14:$K$18,COLUMN('Final Round'!$J$1),0)=1,1,0)))+$AA199)</f>
        <v/>
      </c>
    </row>
    <row r="200" spans="1:28" x14ac:dyDescent="0.2">
      <c r="A200" s="111"/>
      <c r="B200" s="112"/>
      <c r="C200" s="112"/>
      <c r="D200" s="112"/>
      <c r="E200" s="113"/>
      <c r="F200" s="114" t="str">
        <f>IF(ISBLANK($A200),"",SUM(IF(ISNA(IF(VLOOKUP($A200,'Round 1'!$A$7:$J$206,COLUMN('Round 1'!$H$7),0),1,NA())),0,1),IF(ISNA(IF(VLOOKUP($A200,'Round 2'!$A$7:$J$206,COLUMN('Round 1'!$H$7),0),1,NA())),0,1),IF(ISNA(IF(VLOOKUP($A200,'Round 3'!$A$7:$J$206,COLUMN('Round 1'!$H$7),0),1,NA())),0,1),IF(ISNA(IF(VLOOKUP($A200,'Final Round'!$A$14:$K$18,1,0),1,NA())),0,1)))</f>
        <v/>
      </c>
      <c r="G200" s="115"/>
      <c r="H200" s="116" t="str">
        <f>IF(ISBLANK($A200),"",IF(ISERROR(VLOOKUP($A200,'Round 1'!$A$7:$I$206,COLUMN('Round 1'!$G$7),0)),0,VLOOKUP($A200,'Round 1'!$A$7:$I$206,COLUMN('Round 1'!$G$7),0))+IF(ISERROR(VLOOKUP($A200,'Round 2'!$A$7:$I$206,COLUMN('Round 2'!$G$7),0)),0,VLOOKUP($A200,'Round 2'!$A$7:$I$206,COLUMN('Round 2'!$G$7),0))+IF(ISERROR(VLOOKUP($A200,'Round 3'!$A$7:$I$206,COLUMN('Round 3'!$G$7),0)),0,VLOOKUP($A200,'Round 3'!$A$7:$I$206,COLUMN('Round 3'!$G$7),0)))</f>
        <v/>
      </c>
      <c r="I200" s="116" t="str">
        <f>IF(ISBLANK($A200),"",IF(ISERROR(VLOOKUP($A200,'Round 1'!$A$7:$I$206,COLUMN('Round 1'!$F$7),0)),0,VLOOKUP($A200,'Round 1'!$A$7:$I$206,COLUMN('Round 1'!$F$7),0))+IF(ISERROR(VLOOKUP($A200,'Round 2'!$A$7:$I$206,COLUMN('Round 2'!$F$7),0)),0,VLOOKUP($A200,'Round 2'!$A$7:$I$206,COLUMN('Round 2'!$F$7),0))+IF(ISERROR(VLOOKUP($A200,'Round 3'!$A$7:$I$206,COLUMN('Round 3'!$F$7),0)),0,VLOOKUP($A200,'Round 3'!$A$7:$I$206,COLUMN('Round 3'!$F$7),0)))</f>
        <v/>
      </c>
      <c r="J200" s="117" t="str">
        <f>IF(ISBLANK($A200),"",IF(ISERROR(VLOOKUP($A200,'Round 1'!$A$7:$I$206,COLUMN('Round 1'!$H$7),0)),0,VLOOKUP($A200,'Round 1'!$A$7:$I$206,COLUMN('Round 1'!$H$7),0))+IF(ISERROR(VLOOKUP($A200,'Round 2'!$A$7:$I$206,COLUMN('Round 2'!$H$7),0)),0,VLOOKUP($A200,'Round 2'!$A$7:$I$206,COLUMN('Round 2'!$H$7),0))+IF(ISERROR(VLOOKUP($A200,'Round 3'!$A$7:$I$206,COLUMN('Round 3'!$H$7),0)),0,VLOOKUP($A200,'Round 3'!$A$7:$I$206,COLUMN('Round 3'!$H$7),0)))</f>
        <v/>
      </c>
      <c r="K200" s="116" t="str">
        <f t="shared" si="90"/>
        <v/>
      </c>
      <c r="L200" s="118" t="str">
        <f t="shared" si="91"/>
        <v/>
      </c>
      <c r="M200" s="119"/>
      <c r="N200" s="120" t="str">
        <f t="shared" si="92"/>
        <v/>
      </c>
      <c r="O200" s="36" t="str">
        <f t="shared" si="93"/>
        <v/>
      </c>
      <c r="P200" s="36" t="str">
        <f t="shared" si="94"/>
        <v/>
      </c>
      <c r="Q200" s="36">
        <f t="shared" si="95"/>
        <v>-10</v>
      </c>
      <c r="R200" s="36" t="str">
        <f t="shared" si="96"/>
        <v/>
      </c>
      <c r="S200" s="36" t="str">
        <f t="shared" si="97"/>
        <v/>
      </c>
      <c r="T200" s="36">
        <f t="shared" si="98"/>
        <v>0</v>
      </c>
      <c r="U200" s="120" t="str">
        <f ca="1">IF(N('Final Round'!$J$14)&gt;0,IF(ISBLANK($A200),"",IF($N200&gt;5,$N200,VLOOKUP($A200,'Final Round'!$A$14:$K$18,COLUMN('Final Round'!$J$1),0))),"")</f>
        <v/>
      </c>
      <c r="V200" s="36" t="str">
        <f t="shared" ca="1" si="99"/>
        <v/>
      </c>
      <c r="W200" s="36" t="str">
        <f t="shared" si="100"/>
        <v/>
      </c>
      <c r="X200" s="36" t="str">
        <f t="shared" si="101"/>
        <v/>
      </c>
      <c r="Y200" s="36">
        <f t="shared" si="102"/>
        <v>0</v>
      </c>
      <c r="Z200" s="36" t="str">
        <f t="shared" ca="1" si="103"/>
        <v/>
      </c>
      <c r="AA200" s="36">
        <f t="shared" ca="1" si="104"/>
        <v>0</v>
      </c>
      <c r="AB200" s="121" t="str">
        <f>IF(ISBLANK($A200),"",5+4*(I200+IF(AA200=0,0,VLOOKUP($A200,'Final Round'!$A$14:$K$18,COLUMN('Final Round'!$G$1),0)))+8*(H200+IF(AA200=0,0,IF(VLOOKUP($A200,'Final Round'!$A$14:$K$18,COLUMN('Final Round'!$J$1),0)=1,1,0)))+$AA200)</f>
        <v/>
      </c>
    </row>
    <row r="201" spans="1:28" x14ac:dyDescent="0.2">
      <c r="A201" s="137"/>
      <c r="B201" s="138"/>
      <c r="C201" s="138"/>
      <c r="D201" s="138"/>
      <c r="E201" s="139"/>
      <c r="F201" s="140" t="str">
        <f>IF(ISBLANK($A201),"",SUM(IF(ISNA(IF(VLOOKUP($A201,'Round 1'!$A$7:$J$206,COLUMN('Round 1'!$H$7),0),1,NA())),0,1),IF(ISNA(IF(VLOOKUP($A201,'Round 2'!$A$7:$J$206,COLUMN('Round 1'!$H$7),0),1,NA())),0,1),IF(ISNA(IF(VLOOKUP($A201,'Round 3'!$A$7:$J$206,COLUMN('Round 1'!$H$7),0),1,NA())),0,1),IF(ISNA(IF(VLOOKUP($A201,'Final Round'!$A$14:$K$18,1,0),1,NA())),0,1)))</f>
        <v/>
      </c>
      <c r="G201" s="141"/>
      <c r="H201" s="142" t="str">
        <f>IF(ISBLANK($A201),"",IF(ISERROR(VLOOKUP($A201,'Round 1'!$A$7:$I$206,COLUMN('Round 1'!$G$7),0)),0,VLOOKUP($A201,'Round 1'!$A$7:$I$206,COLUMN('Round 1'!$G$7),0))+IF(ISERROR(VLOOKUP($A201,'Round 2'!$A$7:$I$206,COLUMN('Round 2'!$G$7),0)),0,VLOOKUP($A201,'Round 2'!$A$7:$I$206,COLUMN('Round 2'!$G$7),0))+IF(ISERROR(VLOOKUP($A201,'Round 3'!$A$7:$I$206,COLUMN('Round 3'!$G$7),0)),0,VLOOKUP($A201,'Round 3'!$A$7:$I$206,COLUMN('Round 3'!$G$7),0)))</f>
        <v/>
      </c>
      <c r="I201" s="142" t="str">
        <f>IF(ISBLANK($A201),"",IF(ISERROR(VLOOKUP($A201,'Round 1'!$A$7:$I$206,COLUMN('Round 1'!$F$7),0)),0,VLOOKUP($A201,'Round 1'!$A$7:$I$206,COLUMN('Round 1'!$F$7),0))+IF(ISERROR(VLOOKUP($A201,'Round 2'!$A$7:$I$206,COLUMN('Round 2'!$F$7),0)),0,VLOOKUP($A201,'Round 2'!$A$7:$I$206,COLUMN('Round 2'!$F$7),0))+IF(ISERROR(VLOOKUP($A201,'Round 3'!$A$7:$I$206,COLUMN('Round 3'!$F$7),0)),0,VLOOKUP($A201,'Round 3'!$A$7:$I$206,COLUMN('Round 3'!$F$7),0)))</f>
        <v/>
      </c>
      <c r="J201" s="143" t="str">
        <f>IF(ISBLANK($A201),"",IF(ISERROR(VLOOKUP($A201,'Round 1'!$A$7:$I$206,COLUMN('Round 1'!$H$7),0)),0,VLOOKUP($A201,'Round 1'!$A$7:$I$206,COLUMN('Round 1'!$H$7),0))+IF(ISERROR(VLOOKUP($A201,'Round 2'!$A$7:$I$206,COLUMN('Round 2'!$H$7),0)),0,VLOOKUP($A201,'Round 2'!$A$7:$I$206,COLUMN('Round 2'!$H$7),0))+IF(ISERROR(VLOOKUP($A201,'Round 3'!$A$7:$I$206,COLUMN('Round 3'!$H$7),0)),0,VLOOKUP($A201,'Round 3'!$A$7:$I$206,COLUMN('Round 3'!$H$7),0)))</f>
        <v/>
      </c>
      <c r="K201" s="142" t="str">
        <f t="shared" si="90"/>
        <v/>
      </c>
      <c r="L201" s="144" t="str">
        <f t="shared" si="91"/>
        <v/>
      </c>
      <c r="M201" s="145"/>
      <c r="N201" s="146" t="str">
        <f t="shared" si="92"/>
        <v/>
      </c>
      <c r="O201" s="36" t="str">
        <f t="shared" si="93"/>
        <v/>
      </c>
      <c r="P201" s="36" t="str">
        <f t="shared" si="94"/>
        <v/>
      </c>
      <c r="Q201" s="36">
        <f t="shared" si="95"/>
        <v>-10</v>
      </c>
      <c r="R201" s="36" t="str">
        <f t="shared" si="96"/>
        <v/>
      </c>
      <c r="S201" s="36" t="str">
        <f t="shared" si="97"/>
        <v/>
      </c>
      <c r="T201" s="36">
        <f t="shared" si="98"/>
        <v>0</v>
      </c>
      <c r="U201" s="146" t="str">
        <f ca="1">IF(N('Final Round'!$J$14)&gt;0,IF(ISBLANK($A201),"",IF($N201&gt;5,$N201,VLOOKUP($A201,'Final Round'!$A$14:$K$18,COLUMN('Final Round'!$J$1),0))),"")</f>
        <v/>
      </c>
      <c r="V201" s="36" t="str">
        <f t="shared" ca="1" si="99"/>
        <v/>
      </c>
      <c r="W201" s="36" t="str">
        <f t="shared" si="100"/>
        <v/>
      </c>
      <c r="X201" s="36" t="str">
        <f t="shared" si="101"/>
        <v/>
      </c>
      <c r="Y201" s="36">
        <f t="shared" si="102"/>
        <v>0</v>
      </c>
      <c r="Z201" s="36" t="str">
        <f t="shared" ca="1" si="103"/>
        <v/>
      </c>
      <c r="AA201" s="36">
        <f t="shared" ca="1" si="104"/>
        <v>0</v>
      </c>
      <c r="AB201" s="147" t="str">
        <f>IF(ISBLANK($A201),"",5+4*(I201+IF(AA201=0,0,VLOOKUP($A201,'Final Round'!$A$14:$K$18,COLUMN('Final Round'!$G$1),0)))+8*(H201+IF(AA201=0,0,IF(VLOOKUP($A201,'Final Round'!$A$14:$K$18,COLUMN('Final Round'!$J$1),0)=1,1,0)))+$AA201)</f>
        <v/>
      </c>
    </row>
    <row r="202" spans="1:28" x14ac:dyDescent="0.2">
      <c r="A202" s="111"/>
      <c r="B202" s="112"/>
      <c r="C202" s="112"/>
      <c r="D202" s="112"/>
      <c r="E202" s="113"/>
      <c r="F202" s="114" t="str">
        <f>IF(ISBLANK($A202),"",SUM(IF(ISNA(IF(VLOOKUP($A202,'Round 1'!$A$7:$J$206,COLUMN('Round 1'!$H$7),0),1,NA())),0,1),IF(ISNA(IF(VLOOKUP($A202,'Round 2'!$A$7:$J$206,COLUMN('Round 1'!$H$7),0),1,NA())),0,1),IF(ISNA(IF(VLOOKUP($A202,'Round 3'!$A$7:$J$206,COLUMN('Round 1'!$H$7),0),1,NA())),0,1),IF(ISNA(IF(VLOOKUP($A202,'Final Round'!$A$14:$K$18,1,0),1,NA())),0,1)))</f>
        <v/>
      </c>
      <c r="G202" s="115"/>
      <c r="H202" s="116" t="str">
        <f>IF(ISBLANK($A202),"",IF(ISERROR(VLOOKUP($A202,'Round 1'!$A$7:$I$206,COLUMN('Round 1'!$G$7),0)),0,VLOOKUP($A202,'Round 1'!$A$7:$I$206,COLUMN('Round 1'!$G$7),0))+IF(ISERROR(VLOOKUP($A202,'Round 2'!$A$7:$I$206,COLUMN('Round 2'!$G$7),0)),0,VLOOKUP($A202,'Round 2'!$A$7:$I$206,COLUMN('Round 2'!$G$7),0))+IF(ISERROR(VLOOKUP($A202,'Round 3'!$A$7:$I$206,COLUMN('Round 3'!$G$7),0)),0,VLOOKUP($A202,'Round 3'!$A$7:$I$206,COLUMN('Round 3'!$G$7),0)))</f>
        <v/>
      </c>
      <c r="I202" s="116" t="str">
        <f>IF(ISBLANK($A202),"",IF(ISERROR(VLOOKUP($A202,'Round 1'!$A$7:$I$206,COLUMN('Round 1'!$F$7),0)),0,VLOOKUP($A202,'Round 1'!$A$7:$I$206,COLUMN('Round 1'!$F$7),0))+IF(ISERROR(VLOOKUP($A202,'Round 2'!$A$7:$I$206,COLUMN('Round 2'!$F$7),0)),0,VLOOKUP($A202,'Round 2'!$A$7:$I$206,COLUMN('Round 2'!$F$7),0))+IF(ISERROR(VLOOKUP($A202,'Round 3'!$A$7:$I$206,COLUMN('Round 3'!$F$7),0)),0,VLOOKUP($A202,'Round 3'!$A$7:$I$206,COLUMN('Round 3'!$F$7),0)))</f>
        <v/>
      </c>
      <c r="J202" s="117" t="str">
        <f>IF(ISBLANK($A202),"",IF(ISERROR(VLOOKUP($A202,'Round 1'!$A$7:$I$206,COLUMN('Round 1'!$H$7),0)),0,VLOOKUP($A202,'Round 1'!$A$7:$I$206,COLUMN('Round 1'!$H$7),0))+IF(ISERROR(VLOOKUP($A202,'Round 2'!$A$7:$I$206,COLUMN('Round 2'!$H$7),0)),0,VLOOKUP($A202,'Round 2'!$A$7:$I$206,COLUMN('Round 2'!$H$7),0))+IF(ISERROR(VLOOKUP($A202,'Round 3'!$A$7:$I$206,COLUMN('Round 3'!$H$7),0)),0,VLOOKUP($A202,'Round 3'!$A$7:$I$206,COLUMN('Round 3'!$H$7),0)))</f>
        <v/>
      </c>
      <c r="K202" s="116" t="str">
        <f t="shared" si="90"/>
        <v/>
      </c>
      <c r="L202" s="118" t="str">
        <f t="shared" si="91"/>
        <v/>
      </c>
      <c r="M202" s="119"/>
      <c r="N202" s="120" t="str">
        <f t="shared" si="92"/>
        <v/>
      </c>
      <c r="O202" s="36" t="str">
        <f t="shared" si="93"/>
        <v/>
      </c>
      <c r="P202" s="36" t="str">
        <f t="shared" si="94"/>
        <v/>
      </c>
      <c r="Q202" s="36">
        <f t="shared" si="95"/>
        <v>-10</v>
      </c>
      <c r="R202" s="36" t="str">
        <f t="shared" si="96"/>
        <v/>
      </c>
      <c r="S202" s="36" t="str">
        <f t="shared" si="97"/>
        <v/>
      </c>
      <c r="T202" s="36">
        <f t="shared" si="98"/>
        <v>0</v>
      </c>
      <c r="U202" s="120" t="str">
        <f ca="1">IF(N('Final Round'!$J$14)&gt;0,IF(ISBLANK($A202),"",IF($N202&gt;5,$N202,VLOOKUP($A202,'Final Round'!$A$14:$K$18,COLUMN('Final Round'!$J$1),0))),"")</f>
        <v/>
      </c>
      <c r="V202" s="36" t="str">
        <f t="shared" ca="1" si="99"/>
        <v/>
      </c>
      <c r="W202" s="36" t="str">
        <f t="shared" si="100"/>
        <v/>
      </c>
      <c r="X202" s="36" t="str">
        <f t="shared" si="101"/>
        <v/>
      </c>
      <c r="Y202" s="36">
        <f t="shared" si="102"/>
        <v>0</v>
      </c>
      <c r="Z202" s="36" t="str">
        <f t="shared" ca="1" si="103"/>
        <v/>
      </c>
      <c r="AA202" s="36">
        <f t="shared" ca="1" si="104"/>
        <v>0</v>
      </c>
      <c r="AB202" s="121" t="str">
        <f>IF(ISBLANK($A202),"",5+4*(I202+IF(AA202=0,0,VLOOKUP($A202,'Final Round'!$A$14:$K$18,COLUMN('Final Round'!$G$1),0)))+8*(H202+IF(AA202=0,0,IF(VLOOKUP($A202,'Final Round'!$A$14:$K$18,COLUMN('Final Round'!$J$1),0)=1,1,0)))+$AA202)</f>
        <v/>
      </c>
    </row>
    <row r="203" spans="1:28" x14ac:dyDescent="0.2">
      <c r="A203" s="137"/>
      <c r="B203" s="138"/>
      <c r="C203" s="138"/>
      <c r="D203" s="138"/>
      <c r="E203" s="139"/>
      <c r="F203" s="140" t="str">
        <f>IF(ISBLANK($A203),"",SUM(IF(ISNA(IF(VLOOKUP($A203,'Round 1'!$A$7:$J$206,COLUMN('Round 1'!$H$7),0),1,NA())),0,1),IF(ISNA(IF(VLOOKUP($A203,'Round 2'!$A$7:$J$206,COLUMN('Round 1'!$H$7),0),1,NA())),0,1),IF(ISNA(IF(VLOOKUP($A203,'Round 3'!$A$7:$J$206,COLUMN('Round 1'!$H$7),0),1,NA())),0,1),IF(ISNA(IF(VLOOKUP($A203,'Final Round'!$A$14:$K$18,1,0),1,NA())),0,1)))</f>
        <v/>
      </c>
      <c r="G203" s="141"/>
      <c r="H203" s="142" t="str">
        <f>IF(ISBLANK($A203),"",IF(ISERROR(VLOOKUP($A203,'Round 1'!$A$7:$I$206,COLUMN('Round 1'!$G$7),0)),0,VLOOKUP($A203,'Round 1'!$A$7:$I$206,COLUMN('Round 1'!$G$7),0))+IF(ISERROR(VLOOKUP($A203,'Round 2'!$A$7:$I$206,COLUMN('Round 2'!$G$7),0)),0,VLOOKUP($A203,'Round 2'!$A$7:$I$206,COLUMN('Round 2'!$G$7),0))+IF(ISERROR(VLOOKUP($A203,'Round 3'!$A$7:$I$206,COLUMN('Round 3'!$G$7),0)),0,VLOOKUP($A203,'Round 3'!$A$7:$I$206,COLUMN('Round 3'!$G$7),0)))</f>
        <v/>
      </c>
      <c r="I203" s="142" t="str">
        <f>IF(ISBLANK($A203),"",IF(ISERROR(VLOOKUP($A203,'Round 1'!$A$7:$I$206,COLUMN('Round 1'!$F$7),0)),0,VLOOKUP($A203,'Round 1'!$A$7:$I$206,COLUMN('Round 1'!$F$7),0))+IF(ISERROR(VLOOKUP($A203,'Round 2'!$A$7:$I$206,COLUMN('Round 2'!$F$7),0)),0,VLOOKUP($A203,'Round 2'!$A$7:$I$206,COLUMN('Round 2'!$F$7),0))+IF(ISERROR(VLOOKUP($A203,'Round 3'!$A$7:$I$206,COLUMN('Round 3'!$F$7),0)),0,VLOOKUP($A203,'Round 3'!$A$7:$I$206,COLUMN('Round 3'!$F$7),0)))</f>
        <v/>
      </c>
      <c r="J203" s="143" t="str">
        <f>IF(ISBLANK($A203),"",IF(ISERROR(VLOOKUP($A203,'Round 1'!$A$7:$I$206,COLUMN('Round 1'!$H$7),0)),0,VLOOKUP($A203,'Round 1'!$A$7:$I$206,COLUMN('Round 1'!$H$7),0))+IF(ISERROR(VLOOKUP($A203,'Round 2'!$A$7:$I$206,COLUMN('Round 2'!$H$7),0)),0,VLOOKUP($A203,'Round 2'!$A$7:$I$206,COLUMN('Round 2'!$H$7),0))+IF(ISERROR(VLOOKUP($A203,'Round 3'!$A$7:$I$206,COLUMN('Round 3'!$H$7),0)),0,VLOOKUP($A203,'Round 3'!$A$7:$I$206,COLUMN('Round 3'!$H$7),0)))</f>
        <v/>
      </c>
      <c r="K203" s="142" t="str">
        <f t="shared" si="90"/>
        <v/>
      </c>
      <c r="L203" s="144" t="str">
        <f t="shared" si="91"/>
        <v/>
      </c>
      <c r="M203" s="145"/>
      <c r="N203" s="146" t="str">
        <f t="shared" si="92"/>
        <v/>
      </c>
      <c r="O203" s="36" t="str">
        <f t="shared" si="93"/>
        <v/>
      </c>
      <c r="P203" s="36" t="str">
        <f t="shared" si="94"/>
        <v/>
      </c>
      <c r="Q203" s="36">
        <f t="shared" si="95"/>
        <v>-10</v>
      </c>
      <c r="R203" s="36" t="str">
        <f t="shared" si="96"/>
        <v/>
      </c>
      <c r="S203" s="36" t="str">
        <f t="shared" si="97"/>
        <v/>
      </c>
      <c r="T203" s="36">
        <f t="shared" si="98"/>
        <v>0</v>
      </c>
      <c r="U203" s="146" t="str">
        <f ca="1">IF(N('Final Round'!$J$14)&gt;0,IF(ISBLANK($A203),"",IF($N203&gt;5,$N203,VLOOKUP($A203,'Final Round'!$A$14:$K$18,COLUMN('Final Round'!$J$1),0))),"")</f>
        <v/>
      </c>
      <c r="V203" s="36" t="str">
        <f t="shared" ca="1" si="99"/>
        <v/>
      </c>
      <c r="W203" s="36" t="str">
        <f t="shared" si="100"/>
        <v/>
      </c>
      <c r="X203" s="36" t="str">
        <f t="shared" si="101"/>
        <v/>
      </c>
      <c r="Y203" s="36">
        <f t="shared" si="102"/>
        <v>0</v>
      </c>
      <c r="Z203" s="36" t="str">
        <f t="shared" ca="1" si="103"/>
        <v/>
      </c>
      <c r="AA203" s="36">
        <f t="shared" ca="1" si="104"/>
        <v>0</v>
      </c>
      <c r="AB203" s="147" t="str">
        <f>IF(ISBLANK($A203),"",5+4*(I203+IF(AA203=0,0,VLOOKUP($A203,'Final Round'!$A$14:$K$18,COLUMN('Final Round'!$G$1),0)))+8*(H203+IF(AA203=0,0,IF(VLOOKUP($A203,'Final Round'!$A$14:$K$18,COLUMN('Final Round'!$J$1),0)=1,1,0)))+$AA203)</f>
        <v/>
      </c>
    </row>
    <row r="204" spans="1:28" x14ac:dyDescent="0.2">
      <c r="A204" s="111"/>
      <c r="B204" s="112"/>
      <c r="C204" s="112"/>
      <c r="D204" s="112"/>
      <c r="E204" s="113"/>
      <c r="F204" s="114" t="str">
        <f>IF(ISBLANK($A204),"",SUM(IF(ISNA(IF(VLOOKUP($A204,'Round 1'!$A$7:$J$206,COLUMN('Round 1'!$H$7),0),1,NA())),0,1),IF(ISNA(IF(VLOOKUP($A204,'Round 2'!$A$7:$J$206,COLUMN('Round 1'!$H$7),0),1,NA())),0,1),IF(ISNA(IF(VLOOKUP($A204,'Round 3'!$A$7:$J$206,COLUMN('Round 1'!$H$7),0),1,NA())),0,1),IF(ISNA(IF(VLOOKUP($A204,'Final Round'!$A$14:$K$18,1,0),1,NA())),0,1)))</f>
        <v/>
      </c>
      <c r="G204" s="115"/>
      <c r="H204" s="116" t="str">
        <f>IF(ISBLANK($A204),"",IF(ISERROR(VLOOKUP($A204,'Round 1'!$A$7:$I$206,COLUMN('Round 1'!$G$7),0)),0,VLOOKUP($A204,'Round 1'!$A$7:$I$206,COLUMN('Round 1'!$G$7),0))+IF(ISERROR(VLOOKUP($A204,'Round 2'!$A$7:$I$206,COLUMN('Round 2'!$G$7),0)),0,VLOOKUP($A204,'Round 2'!$A$7:$I$206,COLUMN('Round 2'!$G$7),0))+IF(ISERROR(VLOOKUP($A204,'Round 3'!$A$7:$I$206,COLUMN('Round 3'!$G$7),0)),0,VLOOKUP($A204,'Round 3'!$A$7:$I$206,COLUMN('Round 3'!$G$7),0)))</f>
        <v/>
      </c>
      <c r="I204" s="116" t="str">
        <f>IF(ISBLANK($A204),"",IF(ISERROR(VLOOKUP($A204,'Round 1'!$A$7:$I$206,COLUMN('Round 1'!$F$7),0)),0,VLOOKUP($A204,'Round 1'!$A$7:$I$206,COLUMN('Round 1'!$F$7),0))+IF(ISERROR(VLOOKUP($A204,'Round 2'!$A$7:$I$206,COLUMN('Round 2'!$F$7),0)),0,VLOOKUP($A204,'Round 2'!$A$7:$I$206,COLUMN('Round 2'!$F$7),0))+IF(ISERROR(VLOOKUP($A204,'Round 3'!$A$7:$I$206,COLUMN('Round 3'!$F$7),0)),0,VLOOKUP($A204,'Round 3'!$A$7:$I$206,COLUMN('Round 3'!$F$7),0)))</f>
        <v/>
      </c>
      <c r="J204" s="117" t="str">
        <f>IF(ISBLANK($A204),"",IF(ISERROR(VLOOKUP($A204,'Round 1'!$A$7:$I$206,COLUMN('Round 1'!$H$7),0)),0,VLOOKUP($A204,'Round 1'!$A$7:$I$206,COLUMN('Round 1'!$H$7),0))+IF(ISERROR(VLOOKUP($A204,'Round 2'!$A$7:$I$206,COLUMN('Round 2'!$H$7),0)),0,VLOOKUP($A204,'Round 2'!$A$7:$I$206,COLUMN('Round 2'!$H$7),0))+IF(ISERROR(VLOOKUP($A204,'Round 3'!$A$7:$I$206,COLUMN('Round 3'!$H$7),0)),0,VLOOKUP($A204,'Round 3'!$A$7:$I$206,COLUMN('Round 3'!$H$7),0)))</f>
        <v/>
      </c>
      <c r="K204" s="116" t="str">
        <f t="shared" si="90"/>
        <v/>
      </c>
      <c r="L204" s="118" t="str">
        <f t="shared" si="91"/>
        <v/>
      </c>
      <c r="M204" s="119"/>
      <c r="N204" s="120" t="str">
        <f t="shared" si="92"/>
        <v/>
      </c>
      <c r="O204" s="36" t="str">
        <f t="shared" si="93"/>
        <v/>
      </c>
      <c r="P204" s="36" t="str">
        <f t="shared" si="94"/>
        <v/>
      </c>
      <c r="Q204" s="36">
        <f t="shared" si="95"/>
        <v>-10</v>
      </c>
      <c r="R204" s="36" t="str">
        <f t="shared" si="96"/>
        <v/>
      </c>
      <c r="S204" s="36" t="str">
        <f t="shared" si="97"/>
        <v/>
      </c>
      <c r="T204" s="36">
        <f t="shared" si="98"/>
        <v>0</v>
      </c>
      <c r="U204" s="120" t="str">
        <f ca="1">IF(N('Final Round'!$J$14)&gt;0,IF(ISBLANK($A204),"",IF($N204&gt;5,$N204,VLOOKUP($A204,'Final Round'!$A$14:$K$18,COLUMN('Final Round'!$J$1),0))),"")</f>
        <v/>
      </c>
      <c r="V204" s="36" t="str">
        <f t="shared" ca="1" si="99"/>
        <v/>
      </c>
      <c r="W204" s="36" t="str">
        <f t="shared" si="100"/>
        <v/>
      </c>
      <c r="X204" s="36" t="str">
        <f t="shared" si="101"/>
        <v/>
      </c>
      <c r="Y204" s="36">
        <f t="shared" si="102"/>
        <v>0</v>
      </c>
      <c r="Z204" s="36" t="str">
        <f t="shared" ca="1" si="103"/>
        <v/>
      </c>
      <c r="AA204" s="36">
        <f t="shared" ca="1" si="104"/>
        <v>0</v>
      </c>
      <c r="AB204" s="121" t="str">
        <f>IF(ISBLANK($A204),"",5+4*(I204+IF(AA204=0,0,VLOOKUP($A204,'Final Round'!$A$14:$K$18,COLUMN('Final Round'!$G$1),0)))+8*(H204+IF(AA204=0,0,IF(VLOOKUP($A204,'Final Round'!$A$14:$K$18,COLUMN('Final Round'!$J$1),0)=1,1,0)))+$AA204)</f>
        <v/>
      </c>
    </row>
    <row r="205" spans="1:28" x14ac:dyDescent="0.2">
      <c r="A205" s="137"/>
      <c r="B205" s="138"/>
      <c r="C205" s="138"/>
      <c r="D205" s="138"/>
      <c r="E205" s="139"/>
      <c r="F205" s="140" t="str">
        <f>IF(ISBLANK($A205),"",SUM(IF(ISNA(IF(VLOOKUP($A205,'Round 1'!$A$7:$J$206,COLUMN('Round 1'!$H$7),0),1,NA())),0,1),IF(ISNA(IF(VLOOKUP($A205,'Round 2'!$A$7:$J$206,COLUMN('Round 1'!$H$7),0),1,NA())),0,1),IF(ISNA(IF(VLOOKUP($A205,'Round 3'!$A$7:$J$206,COLUMN('Round 1'!$H$7),0),1,NA())),0,1),IF(ISNA(IF(VLOOKUP($A205,'Final Round'!$A$14:$K$18,1,0),1,NA())),0,1)))</f>
        <v/>
      </c>
      <c r="G205" s="141"/>
      <c r="H205" s="142" t="str">
        <f>IF(ISBLANK($A205),"",IF(ISERROR(VLOOKUP($A205,'Round 1'!$A$7:$I$206,COLUMN('Round 1'!$G$7),0)),0,VLOOKUP($A205,'Round 1'!$A$7:$I$206,COLUMN('Round 1'!$G$7),0))+IF(ISERROR(VLOOKUP($A205,'Round 2'!$A$7:$I$206,COLUMN('Round 2'!$G$7),0)),0,VLOOKUP($A205,'Round 2'!$A$7:$I$206,COLUMN('Round 2'!$G$7),0))+IF(ISERROR(VLOOKUP($A205,'Round 3'!$A$7:$I$206,COLUMN('Round 3'!$G$7),0)),0,VLOOKUP($A205,'Round 3'!$A$7:$I$206,COLUMN('Round 3'!$G$7),0)))</f>
        <v/>
      </c>
      <c r="I205" s="142" t="str">
        <f>IF(ISBLANK($A205),"",IF(ISERROR(VLOOKUP($A205,'Round 1'!$A$7:$I$206,COLUMN('Round 1'!$F$7),0)),0,VLOOKUP($A205,'Round 1'!$A$7:$I$206,COLUMN('Round 1'!$F$7),0))+IF(ISERROR(VLOOKUP($A205,'Round 2'!$A$7:$I$206,COLUMN('Round 2'!$F$7),0)),0,VLOOKUP($A205,'Round 2'!$A$7:$I$206,COLUMN('Round 2'!$F$7),0))+IF(ISERROR(VLOOKUP($A205,'Round 3'!$A$7:$I$206,COLUMN('Round 3'!$F$7),0)),0,VLOOKUP($A205,'Round 3'!$A$7:$I$206,COLUMN('Round 3'!$F$7),0)))</f>
        <v/>
      </c>
      <c r="J205" s="143" t="str">
        <f>IF(ISBLANK($A205),"",IF(ISERROR(VLOOKUP($A205,'Round 1'!$A$7:$I$206,COLUMN('Round 1'!$H$7),0)),0,VLOOKUP($A205,'Round 1'!$A$7:$I$206,COLUMN('Round 1'!$H$7),0))+IF(ISERROR(VLOOKUP($A205,'Round 2'!$A$7:$I$206,COLUMN('Round 2'!$H$7),0)),0,VLOOKUP($A205,'Round 2'!$A$7:$I$206,COLUMN('Round 2'!$H$7),0))+IF(ISERROR(VLOOKUP($A205,'Round 3'!$A$7:$I$206,COLUMN('Round 3'!$H$7),0)),0,VLOOKUP($A205,'Round 3'!$A$7:$I$206,COLUMN('Round 3'!$H$7),0)))</f>
        <v/>
      </c>
      <c r="K205" s="142" t="str">
        <f t="shared" si="90"/>
        <v/>
      </c>
      <c r="L205" s="144" t="str">
        <f t="shared" si="91"/>
        <v/>
      </c>
      <c r="M205" s="145"/>
      <c r="N205" s="146" t="str">
        <f t="shared" si="92"/>
        <v/>
      </c>
      <c r="O205" s="36" t="str">
        <f t="shared" si="93"/>
        <v/>
      </c>
      <c r="P205" s="36" t="str">
        <f t="shared" si="94"/>
        <v/>
      </c>
      <c r="Q205" s="36">
        <f t="shared" si="95"/>
        <v>-10</v>
      </c>
      <c r="R205" s="36" t="str">
        <f t="shared" si="96"/>
        <v/>
      </c>
      <c r="S205" s="36" t="str">
        <f t="shared" si="97"/>
        <v/>
      </c>
      <c r="T205" s="36">
        <f t="shared" si="98"/>
        <v>0</v>
      </c>
      <c r="U205" s="146" t="str">
        <f ca="1">IF(N('Final Round'!$J$14)&gt;0,IF(ISBLANK($A205),"",IF($N205&gt;5,$N205,VLOOKUP($A205,'Final Round'!$A$14:$K$18,COLUMN('Final Round'!$J$1),0))),"")</f>
        <v/>
      </c>
      <c r="V205" s="36" t="str">
        <f t="shared" ca="1" si="99"/>
        <v/>
      </c>
      <c r="W205" s="36" t="str">
        <f t="shared" si="100"/>
        <v/>
      </c>
      <c r="X205" s="36" t="str">
        <f t="shared" si="101"/>
        <v/>
      </c>
      <c r="Y205" s="36">
        <f t="shared" si="102"/>
        <v>0</v>
      </c>
      <c r="Z205" s="36" t="str">
        <f t="shared" ca="1" si="103"/>
        <v/>
      </c>
      <c r="AA205" s="36">
        <f t="shared" ca="1" si="104"/>
        <v>0</v>
      </c>
      <c r="AB205" s="147" t="str">
        <f>IF(ISBLANK($A205),"",5+4*(I205+IF(AA205=0,0,VLOOKUP($A205,'Final Round'!$A$14:$K$18,COLUMN('Final Round'!$G$1),0)))+8*(H205+IF(AA205=0,0,IF(VLOOKUP($A205,'Final Round'!$A$14:$K$18,COLUMN('Final Round'!$J$1),0)=1,1,0)))+$AA205)</f>
        <v/>
      </c>
    </row>
    <row r="206" spans="1:28" x14ac:dyDescent="0.2">
      <c r="A206" s="148"/>
      <c r="B206" s="149"/>
      <c r="C206" s="149"/>
      <c r="D206" s="149"/>
      <c r="E206" s="150"/>
      <c r="F206" s="151" t="str">
        <f>IF(ISBLANK($A206),"",SUM(IF(ISNA(IF(VLOOKUP($A206,'Round 1'!$A$7:$J$206,COLUMN('Round 1'!$H$7),0),1,NA())),0,1),IF(ISNA(IF(VLOOKUP($A206,'Round 2'!$A$7:$J$206,COLUMN('Round 1'!$H$7),0),1,NA())),0,1),IF(ISNA(IF(VLOOKUP($A206,'Round 3'!$A$7:$J$206,COLUMN('Round 1'!$H$7),0),1,NA())),0,1),IF(ISNA(IF(VLOOKUP($A206,'Final Round'!$A$14:$K$18,1,0),1,NA())),0,1)))</f>
        <v/>
      </c>
      <c r="G206" s="152"/>
      <c r="H206" s="153" t="str">
        <f>IF(ISBLANK($A206),"",IF(ISERROR(VLOOKUP($A206,'Round 1'!$A$7:$I$206,COLUMN('Round 1'!$G$7),0)),0,VLOOKUP($A206,'Round 1'!$A$7:$I$206,COLUMN('Round 1'!$G$7),0))+IF(ISERROR(VLOOKUP($A206,'Round 2'!$A$7:$I$206,COLUMN('Round 2'!$G$7),0)),0,VLOOKUP($A206,'Round 2'!$A$7:$I$206,COLUMN('Round 2'!$G$7),0))+IF(ISERROR(VLOOKUP($A206,'Round 3'!$A$7:$I$206,COLUMN('Round 3'!$G$7),0)),0,VLOOKUP($A206,'Round 3'!$A$7:$I$206,COLUMN('Round 3'!$G$7),0)))</f>
        <v/>
      </c>
      <c r="I206" s="153" t="str">
        <f>IF(ISBLANK($A206),"",IF(ISERROR(VLOOKUP($A206,'Round 1'!$A$7:$I$206,COLUMN('Round 1'!$F$7),0)),0,VLOOKUP($A206,'Round 1'!$A$7:$I$206,COLUMN('Round 1'!$F$7),0))+IF(ISERROR(VLOOKUP($A206,'Round 2'!$A$7:$I$206,COLUMN('Round 2'!$F$7),0)),0,VLOOKUP($A206,'Round 2'!$A$7:$I$206,COLUMN('Round 2'!$F$7),0))+IF(ISERROR(VLOOKUP($A206,'Round 3'!$A$7:$I$206,COLUMN('Round 3'!$F$7),0)),0,VLOOKUP($A206,'Round 3'!$A$7:$I$206,COLUMN('Round 3'!$F$7),0)))</f>
        <v/>
      </c>
      <c r="J206" s="154" t="str">
        <f>IF(ISBLANK($A206),"",IF(ISERROR(VLOOKUP($A206,'Round 1'!$A$7:$I$206,COLUMN('Round 1'!$H$7),0)),0,VLOOKUP($A206,'Round 1'!$A$7:$I$206,COLUMN('Round 1'!$H$7),0))+IF(ISERROR(VLOOKUP($A206,'Round 2'!$A$7:$I$206,COLUMN('Round 2'!$H$7),0)),0,VLOOKUP($A206,'Round 2'!$A$7:$I$206,COLUMN('Round 2'!$H$7),0))+IF(ISERROR(VLOOKUP($A206,'Round 3'!$A$7:$I$206,COLUMN('Round 3'!$H$7),0)),0,VLOOKUP($A206,'Round 3'!$A$7:$I$206,COLUMN('Round 3'!$H$7),0)))</f>
        <v/>
      </c>
      <c r="K206" s="153" t="str">
        <f t="shared" si="90"/>
        <v/>
      </c>
      <c r="L206" s="155" t="str">
        <f t="shared" si="91"/>
        <v/>
      </c>
      <c r="M206" s="156"/>
      <c r="N206" s="157" t="str">
        <f t="shared" si="92"/>
        <v/>
      </c>
      <c r="O206" s="36" t="str">
        <f t="shared" si="93"/>
        <v/>
      </c>
      <c r="P206" s="36" t="str">
        <f t="shared" si="94"/>
        <v/>
      </c>
      <c r="Q206" s="36">
        <f t="shared" si="95"/>
        <v>-10</v>
      </c>
      <c r="R206" s="36" t="str">
        <f t="shared" si="96"/>
        <v/>
      </c>
      <c r="S206" s="36" t="str">
        <f t="shared" si="97"/>
        <v/>
      </c>
      <c r="T206" s="36">
        <f t="shared" si="98"/>
        <v>0</v>
      </c>
      <c r="U206" s="157" t="str">
        <f ca="1">IF(N('Final Round'!$J$14)&gt;0,IF(ISBLANK($A206),"",IF($N206&gt;5,$N206,VLOOKUP($A206,'Final Round'!$A$14:$K$18,COLUMN('Final Round'!$J$1),0))),"")</f>
        <v/>
      </c>
      <c r="V206" s="36" t="str">
        <f t="shared" ca="1" si="99"/>
        <v/>
      </c>
      <c r="W206" s="36" t="str">
        <f t="shared" si="100"/>
        <v/>
      </c>
      <c r="X206" s="36" t="str">
        <f t="shared" si="101"/>
        <v/>
      </c>
      <c r="Y206" s="36">
        <f t="shared" si="102"/>
        <v>0</v>
      </c>
      <c r="Z206" s="36" t="str">
        <f t="shared" ca="1" si="103"/>
        <v/>
      </c>
      <c r="AA206" s="36">
        <f t="shared" ca="1" si="104"/>
        <v>0</v>
      </c>
      <c r="AB206" s="158" t="str">
        <f>IF(ISBLANK($A206),"",5+4*(I206+IF(AA206=0,0,VLOOKUP($A206,'Final Round'!$A$14:$K$18,COLUMN('Final Round'!$G$1),0)))+8*(H206+IF(AA206=0,0,IF(VLOOKUP($A206,'Final Round'!$A$14:$K$18,COLUMN('Final Round'!$J$1),0)=1,1,0)))+$AA206)</f>
        <v/>
      </c>
    </row>
    <row r="207" spans="1:28" ht="15.75" x14ac:dyDescent="0.25">
      <c r="H207" s="85"/>
      <c r="I207" s="85"/>
      <c r="J207" s="85"/>
      <c r="K207" s="85"/>
      <c r="L207" s="159"/>
      <c r="M207" s="85"/>
      <c r="N207" s="159"/>
      <c r="U207" s="159"/>
      <c r="AB207" s="160"/>
    </row>
    <row r="208" spans="1:28" ht="15.75" x14ac:dyDescent="0.25">
      <c r="H208" s="99"/>
      <c r="I208" s="99"/>
      <c r="J208" s="99"/>
      <c r="K208" s="99"/>
      <c r="L208" s="161"/>
      <c r="M208" s="99"/>
      <c r="N208" s="161"/>
      <c r="U208" s="161"/>
      <c r="AB208" s="162"/>
    </row>
  </sheetData>
  <conditionalFormatting sqref="K7:K206">
    <cfRule type="cellIs" dxfId="2" priority="2" operator="lessThanOrEqual">
      <formula>5</formula>
    </cfRule>
    <cfRule type="cellIs" dxfId="1" priority="3" operator="between">
      <formula>6</formula>
      <formula>10</formula>
    </cfRule>
  </conditionalFormatting>
  <conditionalFormatting sqref="N7:N206 U7:U206">
    <cfRule type="cellIs" dxfId="0" priority="4" operator="between">
      <formula>1</formula>
      <formula>5</formula>
    </cfRule>
  </conditionalFormatting>
  <pageMargins left="0.74791666666666701" right="0.74791666666666701" top="0.98402777777777795" bottom="0.98402777777777795" header="0.51180555555555496" footer="0.51180555555555496"/>
  <pageSetup firstPageNumber="0" orientation="landscape"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05"/>
  <sheetViews>
    <sheetView zoomScaleNormal="100" workbookViewId="0">
      <pane ySplit="5" topLeftCell="A6" activePane="bottomLeft" state="frozen"/>
      <selection pane="bottomLeft" activeCell="K11" sqref="K11"/>
    </sheetView>
  </sheetViews>
  <sheetFormatPr defaultColWidth="11.42578125" defaultRowHeight="12.75" x14ac:dyDescent="0.2"/>
  <cols>
    <col min="1" max="1" width="9.28515625" style="60" customWidth="1"/>
    <col min="2" max="3" width="10.85546875" style="60" hidden="1" customWidth="1"/>
    <col min="4" max="4" width="35.85546875" style="60" customWidth="1"/>
    <col min="5" max="5" width="11.7109375" style="60" customWidth="1"/>
    <col min="6" max="6" width="10.28515625" style="60" customWidth="1"/>
    <col min="7" max="7" width="9.42578125" style="60" customWidth="1"/>
    <col min="8" max="8" width="8.85546875" style="60" customWidth="1"/>
    <col min="9" max="1024" width="11.42578125" style="60"/>
  </cols>
  <sheetData>
    <row r="1" spans="1:8" ht="25.5" x14ac:dyDescent="0.35">
      <c r="A1" s="493" t="str">
        <f>IF(ISBLANK('Tournament Info'!B3),"Vampire: The Eternal Struggle Tournament",'Tournament Info'!B3)</f>
        <v>German Nationals 2024</v>
      </c>
      <c r="B1" s="493"/>
      <c r="C1" s="493"/>
      <c r="D1" s="493"/>
      <c r="E1" s="493"/>
      <c r="F1" s="493"/>
      <c r="G1" s="493"/>
      <c r="H1" s="493"/>
    </row>
    <row r="2" spans="1:8" ht="15" x14ac:dyDescent="0.2">
      <c r="A2" s="38"/>
      <c r="B2" s="38"/>
      <c r="C2" s="163"/>
      <c r="D2" s="38"/>
      <c r="E2" s="65"/>
      <c r="F2" s="39"/>
      <c r="G2" s="39"/>
      <c r="H2" s="38"/>
    </row>
    <row r="3" spans="1:8" ht="21" customHeight="1" x14ac:dyDescent="0.3">
      <c r="A3" s="494" t="str">
        <f ca="1">IF($B$4,"Final Standings","Current Standings")</f>
        <v>Final Standings</v>
      </c>
      <c r="B3" s="494"/>
      <c r="C3" s="494"/>
      <c r="D3" s="494"/>
      <c r="E3" s="494"/>
      <c r="F3" s="494"/>
      <c r="G3" s="494"/>
      <c r="H3" s="494"/>
    </row>
    <row r="4" spans="1:8" ht="15" x14ac:dyDescent="0.2">
      <c r="A4" s="38"/>
      <c r="B4" s="38" t="b">
        <f ca="1">N('Final Round'!$J$14)&gt;0</f>
        <v>1</v>
      </c>
      <c r="C4" s="38"/>
      <c r="D4" s="39"/>
      <c r="E4" s="65"/>
      <c r="F4" s="39"/>
      <c r="G4" s="39"/>
      <c r="H4" s="38"/>
    </row>
    <row r="5" spans="1:8" ht="31.7" customHeight="1" x14ac:dyDescent="0.25">
      <c r="A5" s="164" t="str">
        <f ca="1">IF($B$4,"Final Rank","Current Rank")</f>
        <v>Final Rank</v>
      </c>
      <c r="B5" s="165" t="s">
        <v>189</v>
      </c>
      <c r="C5" s="165" t="s">
        <v>190</v>
      </c>
      <c r="D5" s="165" t="s">
        <v>191</v>
      </c>
      <c r="E5" s="165" t="s">
        <v>192</v>
      </c>
      <c r="F5" s="165" t="s">
        <v>193</v>
      </c>
      <c r="G5" s="165" t="s">
        <v>194</v>
      </c>
      <c r="H5" s="166" t="s">
        <v>181</v>
      </c>
    </row>
    <row r="6" spans="1:8" ht="15" x14ac:dyDescent="0.2">
      <c r="A6" s="167">
        <f ca="1">IF(ISNUMBER($C6),VLOOKUP($C6,Methuselahs!$Y$7:$Z$206,2,0),"")</f>
        <v>1</v>
      </c>
      <c r="B6" s="168">
        <f>IF(ROW()-ROW($A$6)&lt;Methuselahs!$A$4,ROW()-ROW($A$5),"")</f>
        <v>1</v>
      </c>
      <c r="C6" s="169">
        <f ca="1">IF(ISNUMBER($B6),VLOOKUP($B6,Methuselahs!$X$7:$Y$206,2,0),"")</f>
        <v>28</v>
      </c>
      <c r="D6" s="170" t="str">
        <f ca="1">IF(ISNUMBER($C6),T(VLOOKUP($C6,Methuselahs!$A$7:$E$206,2,0))&amp;" "&amp;T(VLOOKUP($C6,Methuselahs!$A$7:$E$206,3,0)),"")</f>
        <v xml:space="preserve"> </v>
      </c>
      <c r="E6" s="171">
        <f ca="1">IF(ISNUMBER($C6),VLOOKUP($C6,Methuselahs!$A$7:$I$206,COLUMN(Methuselahs!$H$6),0),"")</f>
        <v>3</v>
      </c>
      <c r="F6" s="171">
        <f ca="1">IF(ISNUMBER($C6),VLOOKUP($C6,Methuselahs!$A$7:$I$206,COLUMN(Methuselahs!$I$6),0),"")</f>
        <v>9</v>
      </c>
      <c r="G6" s="171">
        <f ca="1">IF(AND(ISNUMBER($C6),$B$4),VLOOKUP($C6,'Final Round'!$A$14:$G$18,6,0),"")</f>
        <v>2</v>
      </c>
      <c r="H6" s="172">
        <f ca="1">IF(ISNUMBER($C6),VLOOKUP($C6,Methuselahs!$A$7:$J$206,COLUMN(Methuselahs!$J$6),0),"")</f>
        <v>180</v>
      </c>
    </row>
    <row r="7" spans="1:8" ht="15" x14ac:dyDescent="0.2">
      <c r="A7" s="173">
        <f ca="1">IF(ISNUMBER($C7),VLOOKUP($C7,Methuselahs!$Y$7:$Z$206,2,0),"")</f>
        <v>2</v>
      </c>
      <c r="B7" s="174">
        <f>IF(ROW()-ROW($A$6)&lt;Methuselahs!$A$4,ROW()-ROW($A$5),"")</f>
        <v>2</v>
      </c>
      <c r="C7" s="169">
        <f ca="1">IF(ISNUMBER($B7),VLOOKUP($B7,Methuselahs!$X$7:$Y$206,2,0),"")</f>
        <v>10</v>
      </c>
      <c r="D7" s="170" t="str">
        <f ca="1">IF(ISNUMBER($C7),T(VLOOKUP($C7,Methuselahs!$A$7:$E$206,2,0))&amp;" "&amp;T(VLOOKUP($C7,Methuselahs!$A$7:$E$206,3,0)),"")</f>
        <v xml:space="preserve"> </v>
      </c>
      <c r="E7" s="175">
        <f ca="1">IF(ISNUMBER($C7),VLOOKUP($C7,Methuselahs!$A$7:$I$206,COLUMN(Methuselahs!$H$6),0),"")</f>
        <v>2</v>
      </c>
      <c r="F7" s="171">
        <f ca="1">IF(ISNUMBER($C7),VLOOKUP($C7,Methuselahs!$A$7:$I$206,COLUMN(Methuselahs!$I$6),0),"")</f>
        <v>8</v>
      </c>
      <c r="G7" s="171">
        <f ca="1">IF(AND(ISNUMBER($C7),$B$4),VLOOKUP($C7,'Final Round'!$A$14:$G$18,6,0),"")</f>
        <v>0</v>
      </c>
      <c r="H7" s="176">
        <f ca="1">IF(ISNUMBER($C7),VLOOKUP($C7,Methuselahs!$A$7:$J$206,COLUMN(Methuselahs!$J$6),0),"")</f>
        <v>144</v>
      </c>
    </row>
    <row r="8" spans="1:8" ht="15" x14ac:dyDescent="0.2">
      <c r="A8" s="173">
        <f ca="1">IF(ISNUMBER($C8),VLOOKUP($C8,Methuselahs!$Y$7:$Z$206,2,0),"")</f>
        <v>2</v>
      </c>
      <c r="B8" s="174">
        <f>IF(ROW()-ROW($A$6)&lt;Methuselahs!$A$4,ROW()-ROW($A$5),"")</f>
        <v>3</v>
      </c>
      <c r="C8" s="169">
        <f ca="1">IF(ISNUMBER($B8),VLOOKUP($B8,Methuselahs!$X$7:$Y$206,2,0),"")</f>
        <v>15</v>
      </c>
      <c r="D8" s="170" t="str">
        <f ca="1">IF(ISNUMBER($C8),T(VLOOKUP($C8,Methuselahs!$A$7:$E$206,2,0))&amp;" "&amp;T(VLOOKUP($C8,Methuselahs!$A$7:$E$206,3,0)),"")</f>
        <v xml:space="preserve"> </v>
      </c>
      <c r="E8" s="175">
        <f ca="1">IF(ISNUMBER($C8),VLOOKUP($C8,Methuselahs!$A$7:$I$206,COLUMN(Methuselahs!$H$6),0),"")</f>
        <v>2</v>
      </c>
      <c r="F8" s="171">
        <f ca="1">IF(ISNUMBER($C8),VLOOKUP($C8,Methuselahs!$A$7:$I$206,COLUMN(Methuselahs!$I$6),0),"")</f>
        <v>10</v>
      </c>
      <c r="G8" s="171">
        <f ca="1">IF(AND(ISNUMBER($C8),$B$4),VLOOKUP($C8,'Final Round'!$A$14:$G$18,6,0),"")</f>
        <v>0</v>
      </c>
      <c r="H8" s="176">
        <f ca="1">IF(ISNUMBER($C8),VLOOKUP($C8,Methuselahs!$A$7:$J$206,COLUMN(Methuselahs!$J$6),0),"")</f>
        <v>174</v>
      </c>
    </row>
    <row r="9" spans="1:8" ht="15" x14ac:dyDescent="0.2">
      <c r="A9" s="173">
        <f ca="1">IF(ISNUMBER($C9),VLOOKUP($C9,Methuselahs!$Y$7:$Z$206,2,0),"")</f>
        <v>2</v>
      </c>
      <c r="B9" s="174">
        <f>IF(ROW()-ROW($A$6)&lt;Methuselahs!$A$4,ROW()-ROW($A$5),"")</f>
        <v>4</v>
      </c>
      <c r="C9" s="169">
        <f ca="1">IF(ISNUMBER($B9),VLOOKUP($B9,Methuselahs!$X$7:$Y$206,2,0),"")</f>
        <v>19</v>
      </c>
      <c r="D9" s="170" t="str">
        <f ca="1">IF(ISNUMBER($C9),T(VLOOKUP($C9,Methuselahs!$A$7:$E$206,2,0))&amp;" "&amp;T(VLOOKUP($C9,Methuselahs!$A$7:$E$206,3,0)),"")</f>
        <v xml:space="preserve"> </v>
      </c>
      <c r="E9" s="175">
        <f ca="1">IF(ISNUMBER($C9),VLOOKUP($C9,Methuselahs!$A$7:$I$206,COLUMN(Methuselahs!$H$6),0),"")</f>
        <v>2</v>
      </c>
      <c r="F9" s="171">
        <f ca="1">IF(ISNUMBER($C9),VLOOKUP($C9,Methuselahs!$A$7:$I$206,COLUMN(Methuselahs!$I$6),0),"")</f>
        <v>6</v>
      </c>
      <c r="G9" s="171">
        <f ca="1">IF(AND(ISNUMBER($C9),$B$4),VLOOKUP($C9,'Final Round'!$A$14:$G$18,6,0),"")</f>
        <v>1</v>
      </c>
      <c r="H9" s="176">
        <f ca="1">IF(ISNUMBER($C9),VLOOKUP($C9,Methuselahs!$A$7:$J$206,COLUMN(Methuselahs!$J$6),0),"")</f>
        <v>144</v>
      </c>
    </row>
    <row r="10" spans="1:8" ht="15" x14ac:dyDescent="0.2">
      <c r="A10" s="173">
        <f ca="1">IF(ISNUMBER($C10),VLOOKUP($C10,Methuselahs!$Y$7:$Z$206,2,0),"")</f>
        <v>2</v>
      </c>
      <c r="B10" s="174">
        <f>IF(ROW()-ROW($A$6)&lt;Methuselahs!$A$4,ROW()-ROW($A$5),"")</f>
        <v>5</v>
      </c>
      <c r="C10" s="169">
        <f ca="1">IF(ISNUMBER($B10),VLOOKUP($B10,Methuselahs!$X$7:$Y$206,2,0),"")</f>
        <v>32</v>
      </c>
      <c r="D10" s="170" t="str">
        <f ca="1">IF(ISNUMBER($C10),T(VLOOKUP($C10,Methuselahs!$A$7:$E$206,2,0))&amp;" "&amp;T(VLOOKUP($C10,Methuselahs!$A$7:$E$206,3,0)),"")</f>
        <v xml:space="preserve"> </v>
      </c>
      <c r="E10" s="175">
        <f ca="1">IF(ISNUMBER($C10),VLOOKUP($C10,Methuselahs!$A$7:$I$206,COLUMN(Methuselahs!$H$6),0),"")</f>
        <v>2</v>
      </c>
      <c r="F10" s="171">
        <f ca="1">IF(ISNUMBER($C10),VLOOKUP($C10,Methuselahs!$A$7:$I$206,COLUMN(Methuselahs!$I$6),0),"")</f>
        <v>7</v>
      </c>
      <c r="G10" s="171">
        <f ca="1">IF(AND(ISNUMBER($C10),$B$4),VLOOKUP($C10,'Final Round'!$A$14:$G$18,6,0),"")</f>
        <v>2</v>
      </c>
      <c r="H10" s="176">
        <f ca="1">IF(ISNUMBER($C10),VLOOKUP($C10,Methuselahs!$A$7:$J$206,COLUMN(Methuselahs!$J$6),0),"")</f>
        <v>162</v>
      </c>
    </row>
    <row r="11" spans="1:8" ht="15" x14ac:dyDescent="0.2">
      <c r="A11" s="173">
        <f ca="1">IF(ISNUMBER($C11),VLOOKUP($C11,Methuselahs!$Y$7:$Z$206,2,0),"")</f>
        <v>6</v>
      </c>
      <c r="B11" s="174">
        <f>IF(ROW()-ROW($A$6)&lt;Methuselahs!$A$4,ROW()-ROW($A$5),"")</f>
        <v>6</v>
      </c>
      <c r="C11" s="169">
        <f ca="1">IF(ISNUMBER($B11),VLOOKUP($B11,Methuselahs!$X$7:$Y$206,2,0),"")</f>
        <v>7</v>
      </c>
      <c r="D11" s="170" t="str">
        <f ca="1">IF(ISNUMBER($C11),T(VLOOKUP($C11,Methuselahs!$A$7:$E$206,2,0))&amp;" "&amp;T(VLOOKUP($C11,Methuselahs!$A$7:$E$206,3,0)),"")</f>
        <v xml:space="preserve"> </v>
      </c>
      <c r="E11" s="175">
        <f ca="1">IF(ISNUMBER($C11),VLOOKUP($C11,Methuselahs!$A$7:$I$206,COLUMN(Methuselahs!$H$6),0),"")</f>
        <v>1</v>
      </c>
      <c r="F11" s="171">
        <f ca="1">IF(ISNUMBER($C11),VLOOKUP($C11,Methuselahs!$A$7:$I$206,COLUMN(Methuselahs!$I$6),0),"")</f>
        <v>6</v>
      </c>
      <c r="G11" s="175"/>
      <c r="H11" s="176">
        <f ca="1">IF(ISNUMBER($C11),VLOOKUP($C11,Methuselahs!$A$7:$J$206,COLUMN(Methuselahs!$J$6),0),"")</f>
        <v>156</v>
      </c>
    </row>
    <row r="12" spans="1:8" ht="15" x14ac:dyDescent="0.2">
      <c r="A12" s="173">
        <f ca="1">IF(ISNUMBER($C12),VLOOKUP($C12,Methuselahs!$Y$7:$Z$206,2,0),"")</f>
        <v>7</v>
      </c>
      <c r="B12" s="174">
        <f>IF(ROW()-ROW($A$6)&lt;Methuselahs!$A$4,ROW()-ROW($A$5),"")</f>
        <v>7</v>
      </c>
      <c r="C12" s="169">
        <f ca="1">IF(ISNUMBER($B12),VLOOKUP($B12,Methuselahs!$X$7:$Y$206,2,0),"")</f>
        <v>18</v>
      </c>
      <c r="D12" s="170" t="str">
        <f ca="1">IF(ISNUMBER($C12),T(VLOOKUP($C12,Methuselahs!$A$7:$E$206,2,0))&amp;" "&amp;T(VLOOKUP($C12,Methuselahs!$A$7:$E$206,3,0)),"")</f>
        <v xml:space="preserve"> </v>
      </c>
      <c r="E12" s="175">
        <f ca="1">IF(ISNUMBER($C12),VLOOKUP($C12,Methuselahs!$A$7:$I$206,COLUMN(Methuselahs!$H$6),0),"")</f>
        <v>1</v>
      </c>
      <c r="F12" s="171">
        <f ca="1">IF(ISNUMBER($C12),VLOOKUP($C12,Methuselahs!$A$7:$I$206,COLUMN(Methuselahs!$I$6),0),"")</f>
        <v>5</v>
      </c>
      <c r="G12" s="175"/>
      <c r="H12" s="176">
        <f ca="1">IF(ISNUMBER($C12),VLOOKUP($C12,Methuselahs!$A$7:$J$206,COLUMN(Methuselahs!$J$6),0),"")</f>
        <v>106</v>
      </c>
    </row>
    <row r="13" spans="1:8" ht="15" x14ac:dyDescent="0.2">
      <c r="A13" s="173">
        <f ca="1">IF(ISNUMBER($C13),VLOOKUP($C13,Methuselahs!$Y$7:$Z$206,2,0),"")</f>
        <v>8</v>
      </c>
      <c r="B13" s="174">
        <f>IF(ROW()-ROW($A$6)&lt;Methuselahs!$A$4,ROW()-ROW($A$5),"")</f>
        <v>8</v>
      </c>
      <c r="C13" s="169">
        <f ca="1">IF(ISNUMBER($B13),VLOOKUP($B13,Methuselahs!$X$7:$Y$206,2,0),"")</f>
        <v>3</v>
      </c>
      <c r="D13" s="170" t="str">
        <f ca="1">IF(ISNUMBER($C13),T(VLOOKUP($C13,Methuselahs!$A$7:$E$206,2,0))&amp;" "&amp;T(VLOOKUP($C13,Methuselahs!$A$7:$E$206,3,0)),"")</f>
        <v xml:space="preserve"> </v>
      </c>
      <c r="E13" s="175">
        <f ca="1">IF(ISNUMBER($C13),VLOOKUP($C13,Methuselahs!$A$7:$I$206,COLUMN(Methuselahs!$H$6),0),"")</f>
        <v>1</v>
      </c>
      <c r="F13" s="171">
        <f ca="1">IF(ISNUMBER($C13),VLOOKUP($C13,Methuselahs!$A$7:$I$206,COLUMN(Methuselahs!$I$6),0),"")</f>
        <v>4.5</v>
      </c>
      <c r="G13" s="175"/>
      <c r="H13" s="176">
        <f ca="1">IF(ISNUMBER($C13),VLOOKUP($C13,Methuselahs!$A$7:$J$206,COLUMN(Methuselahs!$J$6),0),"")</f>
        <v>144</v>
      </c>
    </row>
    <row r="14" spans="1:8" ht="15" x14ac:dyDescent="0.2">
      <c r="A14" s="173">
        <f ca="1">IF(ISNUMBER($C14),VLOOKUP($C14,Methuselahs!$Y$7:$Z$206,2,0),"")</f>
        <v>9</v>
      </c>
      <c r="B14" s="174">
        <f>IF(ROW()-ROW($A$6)&lt;Methuselahs!$A$4,ROW()-ROW($A$5),"")</f>
        <v>9</v>
      </c>
      <c r="C14" s="169">
        <f ca="1">IF(ISNUMBER($B14),VLOOKUP($B14,Methuselahs!$X$7:$Y$206,2,0),"")</f>
        <v>24</v>
      </c>
      <c r="D14" s="170" t="str">
        <f ca="1">IF(ISNUMBER($C14),T(VLOOKUP($C14,Methuselahs!$A$7:$E$206,2,0))&amp;" "&amp;T(VLOOKUP($C14,Methuselahs!$A$7:$E$206,3,0)),"")</f>
        <v xml:space="preserve"> </v>
      </c>
      <c r="E14" s="175">
        <f ca="1">IF(ISNUMBER($C14),VLOOKUP($C14,Methuselahs!$A$7:$I$206,COLUMN(Methuselahs!$H$6),0),"")</f>
        <v>1</v>
      </c>
      <c r="F14" s="171">
        <f ca="1">IF(ISNUMBER($C14),VLOOKUP($C14,Methuselahs!$A$7:$I$206,COLUMN(Methuselahs!$I$6),0),"")</f>
        <v>4</v>
      </c>
      <c r="G14" s="175"/>
      <c r="H14" s="176">
        <f ca="1">IF(ISNUMBER($C14),VLOOKUP($C14,Methuselahs!$A$7:$J$206,COLUMN(Methuselahs!$J$6),0),"")</f>
        <v>96</v>
      </c>
    </row>
    <row r="15" spans="1:8" ht="15" x14ac:dyDescent="0.2">
      <c r="A15" s="173">
        <f ca="1">IF(ISNUMBER($C15),VLOOKUP($C15,Methuselahs!$Y$7:$Z$206,2,0),"")</f>
        <v>10</v>
      </c>
      <c r="B15" s="174">
        <f>IF(ROW()-ROW($A$6)&lt;Methuselahs!$A$4,ROW()-ROW($A$5),"")</f>
        <v>10</v>
      </c>
      <c r="C15" s="169">
        <f ca="1">IF(ISNUMBER($B15),VLOOKUP($B15,Methuselahs!$X$7:$Y$206,2,0),"")</f>
        <v>21</v>
      </c>
      <c r="D15" s="170" t="str">
        <f ca="1">IF(ISNUMBER($C15),T(VLOOKUP($C15,Methuselahs!$A$7:$E$206,2,0))&amp;" "&amp;T(VLOOKUP($C15,Methuselahs!$A$7:$E$206,3,0)),"")</f>
        <v xml:space="preserve"> </v>
      </c>
      <c r="E15" s="175">
        <f ca="1">IF(ISNUMBER($C15),VLOOKUP($C15,Methuselahs!$A$7:$I$206,COLUMN(Methuselahs!$H$6),0),"")</f>
        <v>1</v>
      </c>
      <c r="F15" s="171">
        <f ca="1">IF(ISNUMBER($C15),VLOOKUP($C15,Methuselahs!$A$7:$I$206,COLUMN(Methuselahs!$I$6),0),"")</f>
        <v>3.5</v>
      </c>
      <c r="G15" s="175"/>
      <c r="H15" s="176">
        <f ca="1">IF(ISNUMBER($C15),VLOOKUP($C15,Methuselahs!$A$7:$J$206,COLUMN(Methuselahs!$J$6),0),"")</f>
        <v>118</v>
      </c>
    </row>
    <row r="16" spans="1:8" ht="15" x14ac:dyDescent="0.2">
      <c r="A16" s="173">
        <f ca="1">IF(ISNUMBER($C16),VLOOKUP($C16,Methuselahs!$Y$7:$Z$206,2,0),"")</f>
        <v>11</v>
      </c>
      <c r="B16" s="174">
        <f>IF(ROW()-ROW($A$6)&lt;Methuselahs!$A$4,ROW()-ROW($A$5),"")</f>
        <v>11</v>
      </c>
      <c r="C16" s="169">
        <f ca="1">IF(ISNUMBER($B16),VLOOKUP($B16,Methuselahs!$X$7:$Y$206,2,0),"")</f>
        <v>11</v>
      </c>
      <c r="D16" s="170" t="str">
        <f ca="1">IF(ISNUMBER($C16),T(VLOOKUP($C16,Methuselahs!$A$7:$E$206,2,0))&amp;" "&amp;T(VLOOKUP($C16,Methuselahs!$A$7:$E$206,3,0)),"")</f>
        <v xml:space="preserve"> </v>
      </c>
      <c r="E16" s="175">
        <f ca="1">IF(ISNUMBER($C16),VLOOKUP($C16,Methuselahs!$A$7:$I$206,COLUMN(Methuselahs!$H$6),0),"")</f>
        <v>1</v>
      </c>
      <c r="F16" s="171">
        <f ca="1">IF(ISNUMBER($C16),VLOOKUP($C16,Methuselahs!$A$7:$I$206,COLUMN(Methuselahs!$I$6),0),"")</f>
        <v>3</v>
      </c>
      <c r="G16" s="175"/>
      <c r="H16" s="176">
        <f ca="1">IF(ISNUMBER($C16),VLOOKUP($C16,Methuselahs!$A$7:$J$206,COLUMN(Methuselahs!$J$6),0),"")</f>
        <v>114</v>
      </c>
    </row>
    <row r="17" spans="1:8" ht="15" x14ac:dyDescent="0.2">
      <c r="A17" s="173">
        <f ca="1">IF(ISNUMBER($C17),VLOOKUP($C17,Methuselahs!$Y$7:$Z$206,2,0),"")</f>
        <v>12</v>
      </c>
      <c r="B17" s="174">
        <f>IF(ROW()-ROW($A$6)&lt;Methuselahs!$A$4,ROW()-ROW($A$5),"")</f>
        <v>12</v>
      </c>
      <c r="C17" s="169">
        <f ca="1">IF(ISNUMBER($B17),VLOOKUP($B17,Methuselahs!$X$7:$Y$206,2,0),"")</f>
        <v>31</v>
      </c>
      <c r="D17" s="177" t="str">
        <f ca="1">IF(ISNUMBER($C17),T(VLOOKUP($C17,Methuselahs!$A$7:$E$206,2,0))&amp;" "&amp;T(VLOOKUP($C17,Methuselahs!$A$7:$E$206,3,0)),"")</f>
        <v xml:space="preserve"> </v>
      </c>
      <c r="E17" s="175">
        <f ca="1">IF(ISNUMBER($C17),VLOOKUP($C17,Methuselahs!$A$7:$I$206,COLUMN(Methuselahs!$H$6),0),"")</f>
        <v>1</v>
      </c>
      <c r="F17" s="171">
        <f ca="1">IF(ISNUMBER($C17),VLOOKUP($C17,Methuselahs!$A$7:$I$206,COLUMN(Methuselahs!$I$6),0),"")</f>
        <v>3</v>
      </c>
      <c r="G17" s="175"/>
      <c r="H17" s="176">
        <f ca="1">IF(ISNUMBER($C17),VLOOKUP($C17,Methuselahs!$A$7:$J$206,COLUMN(Methuselahs!$J$6),0),"")</f>
        <v>102</v>
      </c>
    </row>
    <row r="18" spans="1:8" ht="15" x14ac:dyDescent="0.2">
      <c r="A18" s="173">
        <f ca="1">IF(ISNUMBER($C18),VLOOKUP($C18,Methuselahs!$Y$7:$Z$206,2,0),"")</f>
        <v>13</v>
      </c>
      <c r="B18" s="174">
        <f>IF(ROW()-ROW($A$6)&lt;Methuselahs!$A$4,ROW()-ROW($A$5),"")</f>
        <v>13</v>
      </c>
      <c r="C18" s="169">
        <f ca="1">IF(ISNUMBER($B18),VLOOKUP($B18,Methuselahs!$X$7:$Y$206,2,0),"")</f>
        <v>20</v>
      </c>
      <c r="D18" s="177" t="str">
        <f ca="1">IF(ISNUMBER($C18),T(VLOOKUP($C18,Methuselahs!$A$7:$E$206,2,0))&amp;" "&amp;T(VLOOKUP($C18,Methuselahs!$A$7:$E$206,3,0)),"")</f>
        <v xml:space="preserve"> </v>
      </c>
      <c r="E18" s="175">
        <f ca="1">IF(ISNUMBER($C18),VLOOKUP($C18,Methuselahs!$A$7:$I$206,COLUMN(Methuselahs!$H$6),0),"")</f>
        <v>0</v>
      </c>
      <c r="F18" s="171">
        <f ca="1">IF(ISNUMBER($C18),VLOOKUP($C18,Methuselahs!$A$7:$I$206,COLUMN(Methuselahs!$I$6),0),"")</f>
        <v>3</v>
      </c>
      <c r="G18" s="175"/>
      <c r="H18" s="176">
        <f ca="1">IF(ISNUMBER($C18),VLOOKUP($C18,Methuselahs!$A$7:$J$206,COLUMN(Methuselahs!$J$6),0),"")</f>
        <v>132</v>
      </c>
    </row>
    <row r="19" spans="1:8" ht="15" x14ac:dyDescent="0.2">
      <c r="A19" s="173">
        <f ca="1">IF(ISNUMBER($C19),VLOOKUP($C19,Methuselahs!$Y$7:$Z$206,2,0),"")</f>
        <v>14</v>
      </c>
      <c r="B19" s="174">
        <f>IF(ROW()-ROW($A$6)&lt;Methuselahs!$A$4,ROW()-ROW($A$5),"")</f>
        <v>14</v>
      </c>
      <c r="C19" s="169">
        <f ca="1">IF(ISNUMBER($B19),VLOOKUP($B19,Methuselahs!$X$7:$Y$206,2,0),"")</f>
        <v>17</v>
      </c>
      <c r="D19" s="178" t="str">
        <f ca="1">IF(ISNUMBER($C19),T(VLOOKUP($C19,Methuselahs!$A$7:$E$206,2,0))&amp;" "&amp;T(VLOOKUP($C19,Methuselahs!$A$7:$E$206,3,0)),"")</f>
        <v xml:space="preserve"> </v>
      </c>
      <c r="E19" s="175">
        <f ca="1">IF(ISNUMBER($C19),VLOOKUP($C19,Methuselahs!$A$7:$I$206,COLUMN(Methuselahs!$H$6),0),"")</f>
        <v>0</v>
      </c>
      <c r="F19" s="171">
        <f ca="1">IF(ISNUMBER($C19),VLOOKUP($C19,Methuselahs!$A$7:$I$206,COLUMN(Methuselahs!$I$6),0),"")</f>
        <v>3</v>
      </c>
      <c r="G19" s="175"/>
      <c r="H19" s="176">
        <f ca="1">IF(ISNUMBER($C19),VLOOKUP($C19,Methuselahs!$A$7:$J$206,COLUMN(Methuselahs!$J$6),0),"")</f>
        <v>120</v>
      </c>
    </row>
    <row r="20" spans="1:8" ht="15" x14ac:dyDescent="0.2">
      <c r="A20" s="173">
        <f ca="1">IF(ISNUMBER($C20),VLOOKUP($C20,Methuselahs!$Y$7:$Z$206,2,0),"")</f>
        <v>15</v>
      </c>
      <c r="B20" s="174">
        <f>IF(ROW()-ROW($A$6)&lt;Methuselahs!$A$4,ROW()-ROW($A$5),"")</f>
        <v>15</v>
      </c>
      <c r="C20" s="169">
        <f ca="1">IF(ISNUMBER($B20),VLOOKUP($B20,Methuselahs!$X$7:$Y$206,2,0),"")</f>
        <v>12</v>
      </c>
      <c r="D20" s="177" t="str">
        <f ca="1">IF(ISNUMBER($C20),T(VLOOKUP($C20,Methuselahs!$A$7:$E$206,2,0))&amp;" "&amp;T(VLOOKUP($C20,Methuselahs!$A$7:$E$206,3,0)),"")</f>
        <v xml:space="preserve"> </v>
      </c>
      <c r="E20" s="175">
        <f ca="1">IF(ISNUMBER($C20),VLOOKUP($C20,Methuselahs!$A$7:$I$206,COLUMN(Methuselahs!$H$6),0),"")</f>
        <v>0</v>
      </c>
      <c r="F20" s="171">
        <f ca="1">IF(ISNUMBER($C20),VLOOKUP($C20,Methuselahs!$A$7:$I$206,COLUMN(Methuselahs!$I$6),0),"")</f>
        <v>3</v>
      </c>
      <c r="G20" s="175"/>
      <c r="H20" s="176">
        <f ca="1">IF(ISNUMBER($C20),VLOOKUP($C20,Methuselahs!$A$7:$J$206,COLUMN(Methuselahs!$J$6),0),"")</f>
        <v>114</v>
      </c>
    </row>
    <row r="21" spans="1:8" ht="15" x14ac:dyDescent="0.2">
      <c r="A21" s="173">
        <f ca="1">IF(ISNUMBER($C21),VLOOKUP($C21,Methuselahs!$Y$7:$Z$206,2,0),"")</f>
        <v>15</v>
      </c>
      <c r="B21" s="174">
        <f>IF(ROW()-ROW($A$6)&lt;Methuselahs!$A$4,ROW()-ROW($A$5),"")</f>
        <v>16</v>
      </c>
      <c r="C21" s="169">
        <f ca="1">IF(ISNUMBER($B21),VLOOKUP($B21,Methuselahs!$X$7:$Y$206,2,0),"")</f>
        <v>26</v>
      </c>
      <c r="D21" s="177" t="str">
        <f ca="1">IF(ISNUMBER($C21),T(VLOOKUP($C21,Methuselahs!$A$7:$E$206,2,0))&amp;" "&amp;T(VLOOKUP($C21,Methuselahs!$A$7:$E$206,3,0)),"")</f>
        <v xml:space="preserve"> </v>
      </c>
      <c r="E21" s="175">
        <f ca="1">IF(ISNUMBER($C21),VLOOKUP($C21,Methuselahs!$A$7:$I$206,COLUMN(Methuselahs!$H$6),0),"")</f>
        <v>0</v>
      </c>
      <c r="F21" s="171">
        <f ca="1">IF(ISNUMBER($C21),VLOOKUP($C21,Methuselahs!$A$7:$I$206,COLUMN(Methuselahs!$I$6),0),"")</f>
        <v>3</v>
      </c>
      <c r="G21" s="175"/>
      <c r="H21" s="176">
        <f ca="1">IF(ISNUMBER($C21),VLOOKUP($C21,Methuselahs!$A$7:$J$206,COLUMN(Methuselahs!$J$6),0),"")</f>
        <v>114</v>
      </c>
    </row>
    <row r="22" spans="1:8" ht="15" x14ac:dyDescent="0.2">
      <c r="A22" s="173">
        <f ca="1">IF(ISNUMBER($C22),VLOOKUP($C22,Methuselahs!$Y$7:$Z$206,2,0),"")</f>
        <v>17</v>
      </c>
      <c r="B22" s="174">
        <f>IF(ROW()-ROW($A$6)&lt;Methuselahs!$A$4,ROW()-ROW($A$5),"")</f>
        <v>17</v>
      </c>
      <c r="C22" s="169">
        <f ca="1">IF(ISNUMBER($B22),VLOOKUP($B22,Methuselahs!$X$7:$Y$206,2,0),"")</f>
        <v>5</v>
      </c>
      <c r="D22" s="177" t="str">
        <f ca="1">IF(ISNUMBER($C22),T(VLOOKUP($C22,Methuselahs!$A$7:$E$206,2,0))&amp;" "&amp;T(VLOOKUP($C22,Methuselahs!$A$7:$E$206,3,0)),"")</f>
        <v xml:space="preserve"> </v>
      </c>
      <c r="E22" s="175">
        <f ca="1">IF(ISNUMBER($C22),VLOOKUP($C22,Methuselahs!$A$7:$I$206,COLUMN(Methuselahs!$H$6),0),"")</f>
        <v>0</v>
      </c>
      <c r="F22" s="171">
        <f ca="1">IF(ISNUMBER($C22),VLOOKUP($C22,Methuselahs!$A$7:$I$206,COLUMN(Methuselahs!$I$6),0),"")</f>
        <v>2.5</v>
      </c>
      <c r="G22" s="175"/>
      <c r="H22" s="176">
        <f ca="1">IF(ISNUMBER($C22),VLOOKUP($C22,Methuselahs!$A$7:$J$206,COLUMN(Methuselahs!$J$6),0),"")</f>
        <v>102</v>
      </c>
    </row>
    <row r="23" spans="1:8" ht="15" x14ac:dyDescent="0.2">
      <c r="A23" s="173">
        <f ca="1">IF(ISNUMBER($C23),VLOOKUP($C23,Methuselahs!$Y$7:$Z$206,2,0),"")</f>
        <v>18</v>
      </c>
      <c r="B23" s="174">
        <f>IF(ROW()-ROW($A$6)&lt;Methuselahs!$A$4,ROW()-ROW($A$5),"")</f>
        <v>18</v>
      </c>
      <c r="C23" s="169">
        <f ca="1">IF(ISNUMBER($B23),VLOOKUP($B23,Methuselahs!$X$7:$Y$206,2,0),"")</f>
        <v>9</v>
      </c>
      <c r="D23" s="177" t="str">
        <f ca="1">IF(ISNUMBER($C23),T(VLOOKUP($C23,Methuselahs!$A$7:$E$206,2,0))&amp;" "&amp;T(VLOOKUP($C23,Methuselahs!$A$7:$E$206,3,0)),"")</f>
        <v xml:space="preserve"> </v>
      </c>
      <c r="E23" s="175">
        <f ca="1">IF(ISNUMBER($C23),VLOOKUP($C23,Methuselahs!$A$7:$I$206,COLUMN(Methuselahs!$H$6),0),"")</f>
        <v>0</v>
      </c>
      <c r="F23" s="171">
        <f ca="1">IF(ISNUMBER($C23),VLOOKUP($C23,Methuselahs!$A$7:$I$206,COLUMN(Methuselahs!$I$6),0),"")</f>
        <v>2</v>
      </c>
      <c r="G23" s="175"/>
      <c r="H23" s="176">
        <f ca="1">IF(ISNUMBER($C23),VLOOKUP($C23,Methuselahs!$A$7:$J$206,COLUMN(Methuselahs!$J$6),0),"")</f>
        <v>100</v>
      </c>
    </row>
    <row r="24" spans="1:8" ht="15" x14ac:dyDescent="0.2">
      <c r="A24" s="173">
        <f ca="1">IF(ISNUMBER($C24),VLOOKUP($C24,Methuselahs!$Y$7:$Z$206,2,0),"")</f>
        <v>19</v>
      </c>
      <c r="B24" s="174">
        <f>IF(ROW()-ROW($A$6)&lt;Methuselahs!$A$4,ROW()-ROW($A$5),"")</f>
        <v>19</v>
      </c>
      <c r="C24" s="169">
        <f ca="1">IF(ISNUMBER($B24),VLOOKUP($B24,Methuselahs!$X$7:$Y$206,2,0),"")</f>
        <v>23</v>
      </c>
      <c r="D24" s="177" t="str">
        <f ca="1">IF(ISNUMBER($C24),T(VLOOKUP($C24,Methuselahs!$A$7:$E$206,2,0))&amp;" "&amp;T(VLOOKUP($C24,Methuselahs!$A$7:$E$206,3,0)),"")</f>
        <v xml:space="preserve"> </v>
      </c>
      <c r="E24" s="175">
        <f ca="1">IF(ISNUMBER($C24),VLOOKUP($C24,Methuselahs!$A$7:$I$206,COLUMN(Methuselahs!$H$6),0),"")</f>
        <v>0</v>
      </c>
      <c r="F24" s="171">
        <f ca="1">IF(ISNUMBER($C24),VLOOKUP($C24,Methuselahs!$A$7:$I$206,COLUMN(Methuselahs!$I$6),0),"")</f>
        <v>1.5</v>
      </c>
      <c r="G24" s="175"/>
      <c r="H24" s="176">
        <f ca="1">IF(ISNUMBER($C24),VLOOKUP($C24,Methuselahs!$A$7:$J$206,COLUMN(Methuselahs!$J$6),0),"")</f>
        <v>100</v>
      </c>
    </row>
    <row r="25" spans="1:8" ht="15" x14ac:dyDescent="0.2">
      <c r="A25" s="173">
        <f ca="1">IF(ISNUMBER($C25),VLOOKUP($C25,Methuselahs!$Y$7:$Z$206,2,0),"")</f>
        <v>20</v>
      </c>
      <c r="B25" s="174">
        <f>IF(ROW()-ROW($A$6)&lt;Methuselahs!$A$4,ROW()-ROW($A$5),"")</f>
        <v>20</v>
      </c>
      <c r="C25" s="169">
        <f ca="1">IF(ISNUMBER($B25),VLOOKUP($B25,Methuselahs!$X$7:$Y$206,2,0),"")</f>
        <v>30</v>
      </c>
      <c r="D25" s="177" t="str">
        <f ca="1">IF(ISNUMBER($C25),T(VLOOKUP($C25,Methuselahs!$A$7:$E$206,2,0))&amp;" "&amp;T(VLOOKUP($C25,Methuselahs!$A$7:$E$206,3,0)),"")</f>
        <v xml:space="preserve"> </v>
      </c>
      <c r="E25" s="175">
        <f ca="1">IF(ISNUMBER($C25),VLOOKUP($C25,Methuselahs!$A$7:$I$206,COLUMN(Methuselahs!$H$6),0),"")</f>
        <v>0</v>
      </c>
      <c r="F25" s="171">
        <f ca="1">IF(ISNUMBER($C25),VLOOKUP($C25,Methuselahs!$A$7:$I$206,COLUMN(Methuselahs!$I$6),0),"")</f>
        <v>1</v>
      </c>
      <c r="G25" s="175"/>
      <c r="H25" s="176">
        <f ca="1">IF(ISNUMBER($C25),VLOOKUP($C25,Methuselahs!$A$7:$J$206,COLUMN(Methuselahs!$J$6),0),"")</f>
        <v>102</v>
      </c>
    </row>
    <row r="26" spans="1:8" ht="15" x14ac:dyDescent="0.2">
      <c r="A26" s="173">
        <f ca="1">IF(ISNUMBER($C26),VLOOKUP($C26,Methuselahs!$Y$7:$Z$206,2,0),"")</f>
        <v>21</v>
      </c>
      <c r="B26" s="174">
        <f>IF(ROW()-ROW($A$6)&lt;Methuselahs!$A$4,ROW()-ROW($A$5),"")</f>
        <v>21</v>
      </c>
      <c r="C26" s="169">
        <f ca="1">IF(ISNUMBER($B26),VLOOKUP($B26,Methuselahs!$X$7:$Y$206,2,0),"")</f>
        <v>27</v>
      </c>
      <c r="D26" s="177" t="str">
        <f ca="1">IF(ISNUMBER($C26),T(VLOOKUP($C26,Methuselahs!$A$7:$E$206,2,0))&amp;" "&amp;T(VLOOKUP($C26,Methuselahs!$A$7:$E$206,3,0)),"")</f>
        <v xml:space="preserve"> </v>
      </c>
      <c r="E26" s="175">
        <f ca="1">IF(ISNUMBER($C26),VLOOKUP($C26,Methuselahs!$A$7:$I$206,COLUMN(Methuselahs!$H$6),0),"")</f>
        <v>0</v>
      </c>
      <c r="F26" s="171">
        <f ca="1">IF(ISNUMBER($C26),VLOOKUP($C26,Methuselahs!$A$7:$I$206,COLUMN(Methuselahs!$I$6),0),"")</f>
        <v>1</v>
      </c>
      <c r="G26" s="175"/>
      <c r="H26" s="176">
        <f ca="1">IF(ISNUMBER($C26),VLOOKUP($C26,Methuselahs!$A$7:$J$206,COLUMN(Methuselahs!$J$6),0),"")</f>
        <v>96</v>
      </c>
    </row>
    <row r="27" spans="1:8" ht="15" x14ac:dyDescent="0.2">
      <c r="A27" s="173">
        <f ca="1">IF(ISNUMBER($C27),VLOOKUP($C27,Methuselahs!$Y$7:$Z$206,2,0),"")</f>
        <v>22</v>
      </c>
      <c r="B27" s="174">
        <f>IF(ROW()-ROW($A$6)&lt;Methuselahs!$A$4,ROW()-ROW($A$5),"")</f>
        <v>22</v>
      </c>
      <c r="C27" s="169">
        <f ca="1">IF(ISNUMBER($B27),VLOOKUP($B27,Methuselahs!$X$7:$Y$206,2,0),"")</f>
        <v>16</v>
      </c>
      <c r="D27" s="177" t="str">
        <f ca="1">IF(ISNUMBER($C27),T(VLOOKUP($C27,Methuselahs!$A$7:$E$206,2,0))&amp;" "&amp;T(VLOOKUP($C27,Methuselahs!$A$7:$E$206,3,0)),"")</f>
        <v xml:space="preserve"> </v>
      </c>
      <c r="E27" s="175">
        <f ca="1">IF(ISNUMBER($C27),VLOOKUP($C27,Methuselahs!$A$7:$I$206,COLUMN(Methuselahs!$H$6),0),"")</f>
        <v>0</v>
      </c>
      <c r="F27" s="171">
        <f ca="1">IF(ISNUMBER($C27),VLOOKUP($C27,Methuselahs!$A$7:$I$206,COLUMN(Methuselahs!$I$6),0),"")</f>
        <v>1</v>
      </c>
      <c r="G27" s="175"/>
      <c r="H27" s="176">
        <f ca="1">IF(ISNUMBER($C27),VLOOKUP($C27,Methuselahs!$A$7:$J$206,COLUMN(Methuselahs!$J$6),0),"")</f>
        <v>90</v>
      </c>
    </row>
    <row r="28" spans="1:8" ht="15" x14ac:dyDescent="0.2">
      <c r="A28" s="173">
        <f ca="1">IF(ISNUMBER($C28),VLOOKUP($C28,Methuselahs!$Y$7:$Z$206,2,0),"")</f>
        <v>23</v>
      </c>
      <c r="B28" s="174">
        <f>IF(ROW()-ROW($A$6)&lt;Methuselahs!$A$4,ROW()-ROW($A$5),"")</f>
        <v>23</v>
      </c>
      <c r="C28" s="169">
        <f ca="1">IF(ISNUMBER($B28),VLOOKUP($B28,Methuselahs!$X$7:$Y$206,2,0),"")</f>
        <v>13</v>
      </c>
      <c r="D28" s="177" t="str">
        <f ca="1">IF(ISNUMBER($C28),T(VLOOKUP($C28,Methuselahs!$A$7:$E$206,2,0))&amp;" "&amp;T(VLOOKUP($C28,Methuselahs!$A$7:$E$206,3,0)),"")</f>
        <v xml:space="preserve"> </v>
      </c>
      <c r="E28" s="175">
        <f ca="1">IF(ISNUMBER($C28),VLOOKUP($C28,Methuselahs!$A$7:$I$206,COLUMN(Methuselahs!$H$6),0),"")</f>
        <v>0</v>
      </c>
      <c r="F28" s="171">
        <f ca="1">IF(ISNUMBER($C28),VLOOKUP($C28,Methuselahs!$A$7:$I$206,COLUMN(Methuselahs!$I$6),0),"")</f>
        <v>1</v>
      </c>
      <c r="G28" s="175"/>
      <c r="H28" s="176">
        <f ca="1">IF(ISNUMBER($C28),VLOOKUP($C28,Methuselahs!$A$7:$J$206,COLUMN(Methuselahs!$J$6),0),"")</f>
        <v>84</v>
      </c>
    </row>
    <row r="29" spans="1:8" ht="15" x14ac:dyDescent="0.2">
      <c r="A29" s="173">
        <f ca="1">IF(ISNUMBER($C29),VLOOKUP($C29,Methuselahs!$Y$7:$Z$206,2,0),"")</f>
        <v>24</v>
      </c>
      <c r="B29" s="174">
        <f>IF(ROW()-ROW($A$6)&lt;Methuselahs!$A$4,ROW()-ROW($A$5),"")</f>
        <v>24</v>
      </c>
      <c r="C29" s="169">
        <f ca="1">IF(ISNUMBER($B29),VLOOKUP($B29,Methuselahs!$X$7:$Y$206,2,0),"")</f>
        <v>25</v>
      </c>
      <c r="D29" s="177" t="str">
        <f ca="1">IF(ISNUMBER($C29),T(VLOOKUP($C29,Methuselahs!$A$7:$E$206,2,0))&amp;" "&amp;T(VLOOKUP($C29,Methuselahs!$A$7:$E$206,3,0)),"")</f>
        <v xml:space="preserve"> </v>
      </c>
      <c r="E29" s="175">
        <f ca="1">IF(ISNUMBER($C29),VLOOKUP($C29,Methuselahs!$A$7:$I$206,COLUMN(Methuselahs!$H$6),0),"")</f>
        <v>0</v>
      </c>
      <c r="F29" s="171">
        <f ca="1">IF(ISNUMBER($C29),VLOOKUP($C29,Methuselahs!$A$7:$I$206,COLUMN(Methuselahs!$I$6),0),"")</f>
        <v>0.5</v>
      </c>
      <c r="G29" s="175"/>
      <c r="H29" s="176">
        <f ca="1">IF(ISNUMBER($C29),VLOOKUP($C29,Methuselahs!$A$7:$J$206,COLUMN(Methuselahs!$J$6),0),"")</f>
        <v>96</v>
      </c>
    </row>
    <row r="30" spans="1:8" ht="15" x14ac:dyDescent="0.2">
      <c r="A30" s="173">
        <f ca="1">IF(ISNUMBER($C30),VLOOKUP($C30,Methuselahs!$Y$7:$Z$206,2,0),"")</f>
        <v>25</v>
      </c>
      <c r="B30" s="174">
        <f>IF(ROW()-ROW($A$6)&lt;Methuselahs!$A$4,ROW()-ROW($A$5),"")</f>
        <v>25</v>
      </c>
      <c r="C30" s="169">
        <f ca="1">IF(ISNUMBER($B30),VLOOKUP($B30,Methuselahs!$X$7:$Y$206,2,0),"")</f>
        <v>8</v>
      </c>
      <c r="D30" s="177" t="str">
        <f ca="1">IF(ISNUMBER($C30),T(VLOOKUP($C30,Methuselahs!$A$7:$E$206,2,0))&amp;" "&amp;T(VLOOKUP($C30,Methuselahs!$A$7:$E$206,3,0)),"")</f>
        <v xml:space="preserve"> </v>
      </c>
      <c r="E30" s="175">
        <f ca="1">IF(ISNUMBER($C30),VLOOKUP($C30,Methuselahs!$A$7:$I$206,COLUMN(Methuselahs!$H$6),0),"")</f>
        <v>0</v>
      </c>
      <c r="F30" s="171">
        <f ca="1">IF(ISNUMBER($C30),VLOOKUP($C30,Methuselahs!$A$7:$I$206,COLUMN(Methuselahs!$I$6),0),"")</f>
        <v>0.5</v>
      </c>
      <c r="G30" s="175"/>
      <c r="H30" s="176">
        <f ca="1">IF(ISNUMBER($C30),VLOOKUP($C30,Methuselahs!$A$7:$J$206,COLUMN(Methuselahs!$J$6),0),"")</f>
        <v>84</v>
      </c>
    </row>
    <row r="31" spans="1:8" ht="15" x14ac:dyDescent="0.2">
      <c r="A31" s="173">
        <f ca="1">IF(ISNUMBER($C31),VLOOKUP($C31,Methuselahs!$Y$7:$Z$206,2,0),"")</f>
        <v>26</v>
      </c>
      <c r="B31" s="174">
        <f>IF(ROW()-ROW($A$6)&lt;Methuselahs!$A$4,ROW()-ROW($A$5),"")</f>
        <v>26</v>
      </c>
      <c r="C31" s="169">
        <f ca="1">IF(ISNUMBER($B31),VLOOKUP($B31,Methuselahs!$X$7:$Y$206,2,0),"")</f>
        <v>22</v>
      </c>
      <c r="D31" s="177" t="str">
        <f ca="1">IF(ISNUMBER($C31),T(VLOOKUP($C31,Methuselahs!$A$7:$E$206,2,0))&amp;" "&amp;T(VLOOKUP($C31,Methuselahs!$A$7:$E$206,3,0)),"")</f>
        <v xml:space="preserve"> </v>
      </c>
      <c r="E31" s="175">
        <f ca="1">IF(ISNUMBER($C31),VLOOKUP($C31,Methuselahs!$A$7:$I$206,COLUMN(Methuselahs!$H$6),0),"")</f>
        <v>0</v>
      </c>
      <c r="F31" s="171">
        <f ca="1">IF(ISNUMBER($C31),VLOOKUP($C31,Methuselahs!$A$7:$I$206,COLUMN(Methuselahs!$I$6),0),"")</f>
        <v>0</v>
      </c>
      <c r="G31" s="175"/>
      <c r="H31" s="176">
        <f ca="1">IF(ISNUMBER($C31),VLOOKUP($C31,Methuselahs!$A$7:$J$206,COLUMN(Methuselahs!$J$6),0),"")</f>
        <v>82</v>
      </c>
    </row>
    <row r="32" spans="1:8" ht="15" x14ac:dyDescent="0.2">
      <c r="A32" s="173">
        <f ca="1">IF(ISNUMBER($C32),VLOOKUP($C32,Methuselahs!$Y$7:$Z$206,2,0),"")</f>
        <v>27</v>
      </c>
      <c r="B32" s="174">
        <f>IF(ROW()-ROW($A$6)&lt;Methuselahs!$A$4,ROW()-ROW($A$5),"")</f>
        <v>27</v>
      </c>
      <c r="C32" s="169">
        <f ca="1">IF(ISNUMBER($B32),VLOOKUP($B32,Methuselahs!$X$7:$Y$206,2,0),"")</f>
        <v>6</v>
      </c>
      <c r="D32" s="177" t="str">
        <f ca="1">IF(ISNUMBER($C32),T(VLOOKUP($C32,Methuselahs!$A$7:$E$206,2,0))&amp;" "&amp;T(VLOOKUP($C32,Methuselahs!$A$7:$E$206,3,0)),"")</f>
        <v xml:space="preserve"> </v>
      </c>
      <c r="E32" s="175">
        <f ca="1">IF(ISNUMBER($C32),VLOOKUP($C32,Methuselahs!$A$7:$I$206,COLUMN(Methuselahs!$H$6),0),"")</f>
        <v>0</v>
      </c>
      <c r="F32" s="171">
        <f ca="1">IF(ISNUMBER($C32),VLOOKUP($C32,Methuselahs!$A$7:$I$206,COLUMN(Methuselahs!$I$6),0),"")</f>
        <v>0</v>
      </c>
      <c r="G32" s="175"/>
      <c r="H32" s="176">
        <f ca="1">IF(ISNUMBER($C32),VLOOKUP($C32,Methuselahs!$A$7:$J$206,COLUMN(Methuselahs!$J$6),0),"")</f>
        <v>72</v>
      </c>
    </row>
    <row r="33" spans="1:8" ht="15" x14ac:dyDescent="0.2">
      <c r="A33" s="173">
        <f ca="1">IF(ISNUMBER($C33),VLOOKUP($C33,Methuselahs!$Y$7:$Z$206,2,0),"")</f>
        <v>28</v>
      </c>
      <c r="B33" s="174">
        <f>IF(ROW()-ROW($A$6)&lt;Methuselahs!$A$4,ROW()-ROW($A$5),"")</f>
        <v>28</v>
      </c>
      <c r="C33" s="169">
        <f ca="1">IF(ISNUMBER($B33),VLOOKUP($B33,Methuselahs!$X$7:$Y$206,2,0),"")</f>
        <v>4</v>
      </c>
      <c r="D33" s="177" t="str">
        <f ca="1">IF(ISNUMBER($C33),T(VLOOKUP($C33,Methuselahs!$A$7:$E$206,2,0))&amp;" "&amp;T(VLOOKUP($C33,Methuselahs!$A$7:$E$206,3,0)),"")</f>
        <v xml:space="preserve"> </v>
      </c>
      <c r="E33" s="175">
        <f ca="1">IF(ISNUMBER($C33),VLOOKUP($C33,Methuselahs!$A$7:$I$206,COLUMN(Methuselahs!$H$6),0),"")</f>
        <v>0</v>
      </c>
      <c r="F33" s="171">
        <f ca="1">IF(ISNUMBER($C33),VLOOKUP($C33,Methuselahs!$A$7:$I$206,COLUMN(Methuselahs!$I$6),0),"")</f>
        <v>0</v>
      </c>
      <c r="G33" s="175"/>
      <c r="H33" s="176">
        <f ca="1">IF(ISNUMBER($C33),VLOOKUP($C33,Methuselahs!$A$7:$J$206,COLUMN(Methuselahs!$J$6),0),"")</f>
        <v>70</v>
      </c>
    </row>
    <row r="34" spans="1:8" ht="15" x14ac:dyDescent="0.2">
      <c r="A34" s="173">
        <f ca="1">IF(ISNUMBER($C34),VLOOKUP($C34,Methuselahs!$Y$7:$Z$206,2,0),"")</f>
        <v>29</v>
      </c>
      <c r="B34" s="174">
        <f>IF(ROW()-ROW($A$6)&lt;Methuselahs!$A$4,ROW()-ROW($A$5),"")</f>
        <v>29</v>
      </c>
      <c r="C34" s="169">
        <f ca="1">IF(ISNUMBER($B34),VLOOKUP($B34,Methuselahs!$X$7:$Y$206,2,0),"")</f>
        <v>1</v>
      </c>
      <c r="D34" s="177" t="str">
        <f ca="1">IF(ISNUMBER($C34),T(VLOOKUP($C34,Methuselahs!$A$7:$E$206,2,0))&amp;" "&amp;T(VLOOKUP($C34,Methuselahs!$A$7:$E$206,3,0)),"")</f>
        <v xml:space="preserve"> </v>
      </c>
      <c r="E34" s="175">
        <f ca="1">IF(ISNUMBER($C34),VLOOKUP($C34,Methuselahs!$A$7:$I$206,COLUMN(Methuselahs!$H$6),0),"")</f>
        <v>0</v>
      </c>
      <c r="F34" s="171">
        <f ca="1">IF(ISNUMBER($C34),VLOOKUP($C34,Methuselahs!$A$7:$I$206,COLUMN(Methuselahs!$I$6),0),"")</f>
        <v>0</v>
      </c>
      <c r="G34" s="175"/>
      <c r="H34" s="176">
        <f ca="1">IF(ISNUMBER($C34),VLOOKUP($C34,Methuselahs!$A$7:$J$206,COLUMN(Methuselahs!$J$6),0),"")</f>
        <v>66</v>
      </c>
    </row>
    <row r="35" spans="1:8" ht="15" x14ac:dyDescent="0.2">
      <c r="A35" s="173">
        <f ca="1">IF(ISNUMBER($C35),VLOOKUP($C35,Methuselahs!$Y$7:$Z$206,2,0),"")</f>
        <v>29</v>
      </c>
      <c r="B35" s="174">
        <f>IF(ROW()-ROW($A$6)&lt;Methuselahs!$A$4,ROW()-ROW($A$5),"")</f>
        <v>30</v>
      </c>
      <c r="C35" s="169">
        <f ca="1">IF(ISNUMBER($B35),VLOOKUP($B35,Methuselahs!$X$7:$Y$206,2,0),"")</f>
        <v>2</v>
      </c>
      <c r="D35" s="177" t="str">
        <f ca="1">IF(ISNUMBER($C35),T(VLOOKUP($C35,Methuselahs!$A$7:$E$206,2,0))&amp;" "&amp;T(VLOOKUP($C35,Methuselahs!$A$7:$E$206,3,0)),"")</f>
        <v xml:space="preserve"> </v>
      </c>
      <c r="E35" s="175">
        <f ca="1">IF(ISNUMBER($C35),VLOOKUP($C35,Methuselahs!$A$7:$I$206,COLUMN(Methuselahs!$H$6),0),"")</f>
        <v>0</v>
      </c>
      <c r="F35" s="171">
        <f ca="1">IF(ISNUMBER($C35),VLOOKUP($C35,Methuselahs!$A$7:$I$206,COLUMN(Methuselahs!$I$6),0),"")</f>
        <v>0</v>
      </c>
      <c r="G35" s="175"/>
      <c r="H35" s="176">
        <f ca="1">IF(ISNUMBER($C35),VLOOKUP($C35,Methuselahs!$A$7:$J$206,COLUMN(Methuselahs!$J$6),0),"")</f>
        <v>66</v>
      </c>
    </row>
    <row r="36" spans="1:8" ht="15" x14ac:dyDescent="0.2">
      <c r="A36" s="173">
        <f ca="1">IF(ISNUMBER($C36),VLOOKUP($C36,Methuselahs!$Y$7:$Z$206,2,0),"")</f>
        <v>29</v>
      </c>
      <c r="B36" s="174">
        <f>IF(ROW()-ROW($A$6)&lt;Methuselahs!$A$4,ROW()-ROW($A$5),"")</f>
        <v>31</v>
      </c>
      <c r="C36" s="169">
        <f ca="1">IF(ISNUMBER($B36),VLOOKUP($B36,Methuselahs!$X$7:$Y$206,2,0),"")</f>
        <v>29</v>
      </c>
      <c r="D36" s="177" t="str">
        <f ca="1">IF(ISNUMBER($C36),T(VLOOKUP($C36,Methuselahs!$A$7:$E$206,2,0))&amp;" "&amp;T(VLOOKUP($C36,Methuselahs!$A$7:$E$206,3,0)),"")</f>
        <v xml:space="preserve"> </v>
      </c>
      <c r="E36" s="175">
        <f ca="1">IF(ISNUMBER($C36),VLOOKUP($C36,Methuselahs!$A$7:$I$206,COLUMN(Methuselahs!$H$6),0),"")</f>
        <v>0</v>
      </c>
      <c r="F36" s="171">
        <f ca="1">IF(ISNUMBER($C36),VLOOKUP($C36,Methuselahs!$A$7:$I$206,COLUMN(Methuselahs!$I$6),0),"")</f>
        <v>0</v>
      </c>
      <c r="G36" s="175"/>
      <c r="H36" s="176">
        <f ca="1">IF(ISNUMBER($C36),VLOOKUP($C36,Methuselahs!$A$7:$J$206,COLUMN(Methuselahs!$J$6),0),"")</f>
        <v>66</v>
      </c>
    </row>
    <row r="37" spans="1:8" ht="15" x14ac:dyDescent="0.2">
      <c r="A37" s="173">
        <f ca="1">IF(ISNUMBER($C37),VLOOKUP($C37,Methuselahs!$Y$7:$Z$206,2,0),"")</f>
        <v>32</v>
      </c>
      <c r="B37" s="174">
        <f>IF(ROW()-ROW($A$6)&lt;Methuselahs!$A$4,ROW()-ROW($A$5),"")</f>
        <v>32</v>
      </c>
      <c r="C37" s="169">
        <f ca="1">IF(ISNUMBER($B37),VLOOKUP($B37,Methuselahs!$X$7:$Y$206,2,0),"")</f>
        <v>14</v>
      </c>
      <c r="D37" s="177" t="str">
        <f ca="1">IF(ISNUMBER($C37),T(VLOOKUP($C37,Methuselahs!$A$7:$E$206,2,0))&amp;" "&amp;T(VLOOKUP($C37,Methuselahs!$A$7:$E$206,3,0)),"")</f>
        <v xml:space="preserve"> </v>
      </c>
      <c r="E37" s="175">
        <f ca="1">IF(ISNUMBER($C37),VLOOKUP($C37,Methuselahs!$A$7:$I$206,COLUMN(Methuselahs!$H$6),0),"")</f>
        <v>0</v>
      </c>
      <c r="F37" s="171">
        <f ca="1">IF(ISNUMBER($C37),VLOOKUP($C37,Methuselahs!$A$7:$I$206,COLUMN(Methuselahs!$I$6),0),"")</f>
        <v>0</v>
      </c>
      <c r="G37" s="175"/>
      <c r="H37" s="176">
        <f ca="1">IF(ISNUMBER($C37),VLOOKUP($C37,Methuselahs!$A$7:$J$206,COLUMN(Methuselahs!$J$6),0),"")</f>
        <v>60</v>
      </c>
    </row>
    <row r="38" spans="1:8" ht="15" x14ac:dyDescent="0.2">
      <c r="A38" s="173" t="str">
        <f>IF(ISNUMBER($C38),VLOOKUP($C38,Methuselahs!$Y$7:$Z$206,2,0),"")</f>
        <v/>
      </c>
      <c r="B38" s="174" t="str">
        <f>IF(ROW()-ROW($A$6)&lt;Methuselahs!$A$4,ROW()-ROW($A$5),"")</f>
        <v/>
      </c>
      <c r="C38" s="169" t="str">
        <f>IF(ISNUMBER($B38),VLOOKUP($B38,Methuselahs!$X$7:$Y$206,2,0),"")</f>
        <v/>
      </c>
      <c r="D38" s="177" t="str">
        <f>IF(ISNUMBER($C38),T(VLOOKUP($C38,Methuselahs!$A$7:$E$206,2,0))&amp;" "&amp;T(VLOOKUP($C38,Methuselahs!$A$7:$E$206,3,0)),"")</f>
        <v/>
      </c>
      <c r="E38" s="175" t="str">
        <f>IF(ISNUMBER($C38),VLOOKUP($C38,Methuselahs!$A$7:$I$206,COLUMN(Methuselahs!$H$6),0),"")</f>
        <v/>
      </c>
      <c r="F38" s="171" t="str">
        <f>IF(ISNUMBER($C38),VLOOKUP($C38,Methuselahs!$A$7:$I$206,COLUMN(Methuselahs!$I$6),0),"")</f>
        <v/>
      </c>
      <c r="G38" s="175"/>
      <c r="H38" s="176" t="str">
        <f>IF(ISNUMBER($C38),VLOOKUP($C38,Methuselahs!$A$7:$J$206,COLUMN(Methuselahs!$J$6),0),"")</f>
        <v/>
      </c>
    </row>
    <row r="39" spans="1:8" ht="15" x14ac:dyDescent="0.2">
      <c r="A39" s="173" t="str">
        <f>IF(ISNUMBER($C39),VLOOKUP($C39,Methuselahs!$Y$7:$Z$206,2,0),"")</f>
        <v/>
      </c>
      <c r="B39" s="174" t="str">
        <f>IF(ROW()-ROW($A$6)&lt;Methuselahs!$A$4,ROW()-ROW($A$5),"")</f>
        <v/>
      </c>
      <c r="C39" s="169" t="str">
        <f>IF(ISNUMBER($B39),VLOOKUP($B39,Methuselahs!$X$7:$Y$206,2,0),"")</f>
        <v/>
      </c>
      <c r="D39" s="177" t="str">
        <f>IF(ISNUMBER($C39),T(VLOOKUP($C39,Methuselahs!$A$7:$E$206,2,0))&amp;" "&amp;T(VLOOKUP($C39,Methuselahs!$A$7:$E$206,3,0)),"")</f>
        <v/>
      </c>
      <c r="E39" s="175" t="str">
        <f>IF(ISNUMBER($C39),VLOOKUP($C39,Methuselahs!$A$7:$I$206,COLUMN(Methuselahs!$H$6),0),"")</f>
        <v/>
      </c>
      <c r="F39" s="171" t="str">
        <f>IF(ISNUMBER($C39),VLOOKUP($C39,Methuselahs!$A$7:$I$206,COLUMN(Methuselahs!$I$6),0),"")</f>
        <v/>
      </c>
      <c r="G39" s="175"/>
      <c r="H39" s="176" t="str">
        <f>IF(ISNUMBER($C39),VLOOKUP($C39,Methuselahs!$A$7:$J$206,COLUMN(Methuselahs!$J$6),0),"")</f>
        <v/>
      </c>
    </row>
    <row r="40" spans="1:8" ht="15" x14ac:dyDescent="0.2">
      <c r="A40" s="173" t="str">
        <f>IF(ISNUMBER($C40),VLOOKUP($C40,Methuselahs!$Y$7:$Z$206,2,0),"")</f>
        <v/>
      </c>
      <c r="B40" s="174" t="str">
        <f>IF(ROW()-ROW($A$6)&lt;Methuselahs!$A$4,ROW()-ROW($A$5),"")</f>
        <v/>
      </c>
      <c r="C40" s="169" t="str">
        <f>IF(ISNUMBER($B40),VLOOKUP($B40,Methuselahs!$X$7:$Y$206,2,0),"")</f>
        <v/>
      </c>
      <c r="D40" s="177" t="str">
        <f>IF(ISNUMBER($C40),T(VLOOKUP($C40,Methuselahs!$A$7:$E$206,2,0))&amp;" "&amp;T(VLOOKUP($C40,Methuselahs!$A$7:$E$206,3,0)),"")</f>
        <v/>
      </c>
      <c r="E40" s="175" t="str">
        <f>IF(ISNUMBER($C40),VLOOKUP($C40,Methuselahs!$A$7:$I$206,COLUMN(Methuselahs!$H$6),0),"")</f>
        <v/>
      </c>
      <c r="F40" s="171" t="str">
        <f>IF(ISNUMBER($C40),VLOOKUP($C40,Methuselahs!$A$7:$I$206,COLUMN(Methuselahs!$I$6),0),"")</f>
        <v/>
      </c>
      <c r="G40" s="175"/>
      <c r="H40" s="176" t="str">
        <f>IF(ISNUMBER($C40),VLOOKUP($C40,Methuselahs!$A$7:$J$206,COLUMN(Methuselahs!$J$6),0),"")</f>
        <v/>
      </c>
    </row>
    <row r="41" spans="1:8" ht="15" x14ac:dyDescent="0.2">
      <c r="A41" s="173" t="str">
        <f>IF(ISNUMBER($C41),VLOOKUP($C41,Methuselahs!$Y$7:$Z$206,2,0),"")</f>
        <v/>
      </c>
      <c r="B41" s="174" t="str">
        <f>IF(ROW()-ROW($A$6)&lt;Methuselahs!$A$4,ROW()-ROW($A$5),"")</f>
        <v/>
      </c>
      <c r="C41" s="169" t="str">
        <f>IF(ISNUMBER($B41),VLOOKUP($B41,Methuselahs!$X$7:$Y$206,2,0),"")</f>
        <v/>
      </c>
      <c r="D41" s="177" t="str">
        <f>IF(ISNUMBER($C41),T(VLOOKUP($C41,Methuselahs!$A$7:$E$206,2,0))&amp;" "&amp;T(VLOOKUP($C41,Methuselahs!$A$7:$E$206,3,0)),"")</f>
        <v/>
      </c>
      <c r="E41" s="175" t="str">
        <f>IF(ISNUMBER($C41),VLOOKUP($C41,Methuselahs!$A$7:$I$206,COLUMN(Methuselahs!$H$6),0),"")</f>
        <v/>
      </c>
      <c r="F41" s="171" t="str">
        <f>IF(ISNUMBER($C41),VLOOKUP($C41,Methuselahs!$A$7:$I$206,COLUMN(Methuselahs!$I$6),0),"")</f>
        <v/>
      </c>
      <c r="G41" s="175"/>
      <c r="H41" s="176" t="str">
        <f>IF(ISNUMBER($C41),VLOOKUP($C41,Methuselahs!$A$7:$J$206,COLUMN(Methuselahs!$J$6),0),"")</f>
        <v/>
      </c>
    </row>
    <row r="42" spans="1:8" ht="15" x14ac:dyDescent="0.2">
      <c r="A42" s="173" t="str">
        <f>IF(ISNUMBER($C42),VLOOKUP($C42,Methuselahs!$Y$7:$Z$206,2,0),"")</f>
        <v/>
      </c>
      <c r="B42" s="174" t="str">
        <f>IF(ROW()-ROW($A$6)&lt;Methuselahs!$A$4,ROW()-ROW($A$5),"")</f>
        <v/>
      </c>
      <c r="C42" s="169" t="str">
        <f>IF(ISNUMBER($B42),VLOOKUP($B42,Methuselahs!$X$7:$Y$206,2,0),"")</f>
        <v/>
      </c>
      <c r="D42" s="177" t="str">
        <f>IF(ISNUMBER($C42),T(VLOOKUP($C42,Methuselahs!$A$7:$E$206,2,0))&amp;" "&amp;T(VLOOKUP($C42,Methuselahs!$A$7:$E$206,3,0)),"")</f>
        <v/>
      </c>
      <c r="E42" s="175" t="str">
        <f>IF(ISNUMBER($C42),VLOOKUP($C42,Methuselahs!$A$7:$I$206,COLUMN(Methuselahs!$H$6),0),"")</f>
        <v/>
      </c>
      <c r="F42" s="171" t="str">
        <f>IF(ISNUMBER($C42),VLOOKUP($C42,Methuselahs!$A$7:$I$206,COLUMN(Methuselahs!$I$6),0),"")</f>
        <v/>
      </c>
      <c r="G42" s="175"/>
      <c r="H42" s="176" t="str">
        <f>IF(ISNUMBER($C42),VLOOKUP($C42,Methuselahs!$A$7:$J$206,COLUMN(Methuselahs!$J$6),0),"")</f>
        <v/>
      </c>
    </row>
    <row r="43" spans="1:8" ht="15" x14ac:dyDescent="0.2">
      <c r="A43" s="173" t="str">
        <f>IF(ISNUMBER($C43),VLOOKUP($C43,Methuselahs!$Y$7:$Z$206,2,0),"")</f>
        <v/>
      </c>
      <c r="B43" s="174" t="str">
        <f>IF(ROW()-ROW($A$6)&lt;Methuselahs!$A$4,ROW()-ROW($A$5),"")</f>
        <v/>
      </c>
      <c r="C43" s="169" t="str">
        <f>IF(ISNUMBER($B43),VLOOKUP($B43,Methuselahs!$X$7:$Y$206,2,0),"")</f>
        <v/>
      </c>
      <c r="D43" s="177" t="str">
        <f>IF(ISNUMBER($C43),T(VLOOKUP($C43,Methuselahs!$A$7:$E$206,2,0))&amp;" "&amp;T(VLOOKUP($C43,Methuselahs!$A$7:$E$206,3,0)),"")</f>
        <v/>
      </c>
      <c r="E43" s="175" t="str">
        <f>IF(ISNUMBER($C43),VLOOKUP($C43,Methuselahs!$A$7:$I$206,COLUMN(Methuselahs!$H$6),0),"")</f>
        <v/>
      </c>
      <c r="F43" s="171" t="str">
        <f>IF(ISNUMBER($C43),VLOOKUP($C43,Methuselahs!$A$7:$I$206,COLUMN(Methuselahs!$I$6),0),"")</f>
        <v/>
      </c>
      <c r="G43" s="175"/>
      <c r="H43" s="176" t="str">
        <f>IF(ISNUMBER($C43),VLOOKUP($C43,Methuselahs!$A$7:$J$206,COLUMN(Methuselahs!$J$6),0),"")</f>
        <v/>
      </c>
    </row>
    <row r="44" spans="1:8" ht="15" x14ac:dyDescent="0.2">
      <c r="A44" s="173" t="str">
        <f>IF(ISNUMBER($C44),VLOOKUP($C44,Methuselahs!$Y$7:$Z$206,2,0),"")</f>
        <v/>
      </c>
      <c r="B44" s="174" t="str">
        <f>IF(ROW()-ROW($A$6)&lt;Methuselahs!$A$4,ROW()-ROW($A$5),"")</f>
        <v/>
      </c>
      <c r="C44" s="169" t="str">
        <f>IF(ISNUMBER($B44),VLOOKUP($B44,Methuselahs!$X$7:$Y$206,2,0),"")</f>
        <v/>
      </c>
      <c r="D44" s="177" t="str">
        <f>IF(ISNUMBER($C44),T(VLOOKUP($C44,Methuselahs!$A$7:$E$206,2,0))&amp;" "&amp;T(VLOOKUP($C44,Methuselahs!$A$7:$E$206,3,0)),"")</f>
        <v/>
      </c>
      <c r="E44" s="175" t="str">
        <f>IF(ISNUMBER($C44),VLOOKUP($C44,Methuselahs!$A$7:$I$206,COLUMN(Methuselahs!$H$6),0),"")</f>
        <v/>
      </c>
      <c r="F44" s="171" t="str">
        <f>IF(ISNUMBER($C44),VLOOKUP($C44,Methuselahs!$A$7:$I$206,COLUMN(Methuselahs!$I$6),0),"")</f>
        <v/>
      </c>
      <c r="G44" s="175"/>
      <c r="H44" s="176" t="str">
        <f>IF(ISNUMBER($C44),VLOOKUP($C44,Methuselahs!$A$7:$J$206,COLUMN(Methuselahs!$J$6),0),"")</f>
        <v/>
      </c>
    </row>
    <row r="45" spans="1:8" ht="15" x14ac:dyDescent="0.2">
      <c r="A45" s="173" t="str">
        <f>IF(ISNUMBER($C45),VLOOKUP($C45,Methuselahs!$Y$7:$Z$206,2,0),"")</f>
        <v/>
      </c>
      <c r="B45" s="174" t="str">
        <f>IF(ROW()-ROW($A$6)&lt;Methuselahs!$A$4,ROW()-ROW($A$5),"")</f>
        <v/>
      </c>
      <c r="C45" s="169" t="str">
        <f>IF(ISNUMBER($B45),VLOOKUP($B45,Methuselahs!$X$7:$Y$206,2,0),"")</f>
        <v/>
      </c>
      <c r="D45" s="177" t="str">
        <f>IF(ISNUMBER($C45),T(VLOOKUP($C45,Methuselahs!$A$7:$E$206,2,0))&amp;" "&amp;T(VLOOKUP($C45,Methuselahs!$A$7:$E$206,3,0)),"")</f>
        <v/>
      </c>
      <c r="E45" s="175" t="str">
        <f>IF(ISNUMBER($C45),VLOOKUP($C45,Methuselahs!$A$7:$I$206,COLUMN(Methuselahs!$H$6),0),"")</f>
        <v/>
      </c>
      <c r="F45" s="171" t="str">
        <f>IF(ISNUMBER($C45),VLOOKUP($C45,Methuselahs!$A$7:$I$206,COLUMN(Methuselahs!$I$6),0),"")</f>
        <v/>
      </c>
      <c r="G45" s="175"/>
      <c r="H45" s="176" t="str">
        <f>IF(ISNUMBER($C45),VLOOKUP($C45,Methuselahs!$A$7:$J$206,COLUMN(Methuselahs!$J$6),0),"")</f>
        <v/>
      </c>
    </row>
    <row r="46" spans="1:8" ht="15" x14ac:dyDescent="0.2">
      <c r="A46" s="173" t="str">
        <f>IF(ISNUMBER($C46),VLOOKUP($C46,Methuselahs!$Y$7:$Z$206,2,0),"")</f>
        <v/>
      </c>
      <c r="B46" s="174" t="str">
        <f>IF(ROW()-ROW($A$6)&lt;Methuselahs!$A$4,ROW()-ROW($A$5),"")</f>
        <v/>
      </c>
      <c r="C46" s="169" t="str">
        <f>IF(ISNUMBER($B46),VLOOKUP($B46,Methuselahs!$X$7:$Y$206,2,0),"")</f>
        <v/>
      </c>
      <c r="D46" s="177" t="str">
        <f>IF(ISNUMBER($C46),T(VLOOKUP($C46,Methuselahs!$A$7:$E$206,2,0))&amp;" "&amp;T(VLOOKUP($C46,Methuselahs!$A$7:$E$206,3,0)),"")</f>
        <v/>
      </c>
      <c r="E46" s="175" t="str">
        <f>IF(ISNUMBER($C46),VLOOKUP($C46,Methuselahs!$A$7:$I$206,COLUMN(Methuselahs!$H$6),0),"")</f>
        <v/>
      </c>
      <c r="F46" s="171" t="str">
        <f>IF(ISNUMBER($C46),VLOOKUP($C46,Methuselahs!$A$7:$I$206,COLUMN(Methuselahs!$I$6),0),"")</f>
        <v/>
      </c>
      <c r="G46" s="175"/>
      <c r="H46" s="176" t="str">
        <f>IF(ISNUMBER($C46),VLOOKUP($C46,Methuselahs!$A$7:$J$206,COLUMN(Methuselahs!$J$6),0),"")</f>
        <v/>
      </c>
    </row>
    <row r="47" spans="1:8" ht="15" x14ac:dyDescent="0.2">
      <c r="A47" s="173" t="str">
        <f>IF(ISNUMBER($C47),VLOOKUP($C47,Methuselahs!$Y$7:$Z$206,2,0),"")</f>
        <v/>
      </c>
      <c r="B47" s="174" t="str">
        <f>IF(ROW()-ROW($A$6)&lt;Methuselahs!$A$4,ROW()-ROW($A$5),"")</f>
        <v/>
      </c>
      <c r="C47" s="169" t="str">
        <f>IF(ISNUMBER($B47),VLOOKUP($B47,Methuselahs!$X$7:$Y$206,2,0),"")</f>
        <v/>
      </c>
      <c r="D47" s="177" t="str">
        <f>IF(ISNUMBER($C47),T(VLOOKUP($C47,Methuselahs!$A$7:$E$206,2,0))&amp;" "&amp;T(VLOOKUP($C47,Methuselahs!$A$7:$E$206,3,0)),"")</f>
        <v/>
      </c>
      <c r="E47" s="175" t="str">
        <f>IF(ISNUMBER($C47),VLOOKUP($C47,Methuselahs!$A$7:$I$206,COLUMN(Methuselahs!$H$6),0),"")</f>
        <v/>
      </c>
      <c r="F47" s="171" t="str">
        <f>IF(ISNUMBER($C47),VLOOKUP($C47,Methuselahs!$A$7:$I$206,COLUMN(Methuselahs!$I$6),0),"")</f>
        <v/>
      </c>
      <c r="G47" s="175"/>
      <c r="H47" s="176" t="str">
        <f>IF(ISNUMBER($C47),VLOOKUP($C47,Methuselahs!$A$7:$J$206,COLUMN(Methuselahs!$J$6),0),"")</f>
        <v/>
      </c>
    </row>
    <row r="48" spans="1:8" ht="15" x14ac:dyDescent="0.2">
      <c r="A48" s="173" t="str">
        <f>IF(ISNUMBER($C48),VLOOKUP($C48,Methuselahs!$Y$7:$Z$206,2,0),"")</f>
        <v/>
      </c>
      <c r="B48" s="174" t="str">
        <f>IF(ROW()-ROW($A$6)&lt;Methuselahs!$A$4,ROW()-ROW($A$5),"")</f>
        <v/>
      </c>
      <c r="C48" s="169" t="str">
        <f>IF(ISNUMBER($B48),VLOOKUP($B48,Methuselahs!$X$7:$Y$206,2,0),"")</f>
        <v/>
      </c>
      <c r="D48" s="177" t="str">
        <f>IF(ISNUMBER($C48),T(VLOOKUP($C48,Methuselahs!$A$7:$E$206,2,0))&amp;" "&amp;T(VLOOKUP($C48,Methuselahs!$A$7:$E$206,3,0)),"")</f>
        <v/>
      </c>
      <c r="E48" s="175" t="str">
        <f>IF(ISNUMBER($C48),VLOOKUP($C48,Methuselahs!$A$7:$I$206,COLUMN(Methuselahs!$H$6),0),"")</f>
        <v/>
      </c>
      <c r="F48" s="171" t="str">
        <f>IF(ISNUMBER($C48),VLOOKUP($C48,Methuselahs!$A$7:$I$206,COLUMN(Methuselahs!$I$6),0),"")</f>
        <v/>
      </c>
      <c r="G48" s="175"/>
      <c r="H48" s="176" t="str">
        <f>IF(ISNUMBER($C48),VLOOKUP($C48,Methuselahs!$A$7:$J$206,COLUMN(Methuselahs!$J$6),0),"")</f>
        <v/>
      </c>
    </row>
    <row r="49" spans="1:8" ht="15" x14ac:dyDescent="0.2">
      <c r="A49" s="173" t="str">
        <f>IF(ISNUMBER($C49),VLOOKUP($C49,Methuselahs!$Y$7:$Z$206,2,0),"")</f>
        <v/>
      </c>
      <c r="B49" s="174" t="str">
        <f>IF(ROW()-ROW($A$6)&lt;Methuselahs!$A$4,ROW()-ROW($A$5),"")</f>
        <v/>
      </c>
      <c r="C49" s="169" t="str">
        <f>IF(ISNUMBER($B49),VLOOKUP($B49,Methuselahs!$X$7:$Y$206,2,0),"")</f>
        <v/>
      </c>
      <c r="D49" s="177" t="str">
        <f>IF(ISNUMBER($C49),T(VLOOKUP($C49,Methuselahs!$A$7:$E$206,2,0))&amp;" "&amp;T(VLOOKUP($C49,Methuselahs!$A$7:$E$206,3,0)),"")</f>
        <v/>
      </c>
      <c r="E49" s="175" t="str">
        <f>IF(ISNUMBER($C49),VLOOKUP($C49,Methuselahs!$A$7:$I$206,COLUMN(Methuselahs!$H$6),0),"")</f>
        <v/>
      </c>
      <c r="F49" s="171" t="str">
        <f>IF(ISNUMBER($C49),VLOOKUP($C49,Methuselahs!$A$7:$I$206,COLUMN(Methuselahs!$I$6),0),"")</f>
        <v/>
      </c>
      <c r="G49" s="175"/>
      <c r="H49" s="176" t="str">
        <f>IF(ISNUMBER($C49),VLOOKUP($C49,Methuselahs!$A$7:$J$206,COLUMN(Methuselahs!$J$6),0),"")</f>
        <v/>
      </c>
    </row>
    <row r="50" spans="1:8" ht="15" x14ac:dyDescent="0.2">
      <c r="A50" s="173" t="str">
        <f>IF(ISNUMBER($C50),VLOOKUP($C50,Methuselahs!$Y$7:$Z$206,2,0),"")</f>
        <v/>
      </c>
      <c r="B50" s="174" t="str">
        <f>IF(ROW()-ROW($A$6)&lt;Methuselahs!$A$4,ROW()-ROW($A$5),"")</f>
        <v/>
      </c>
      <c r="C50" s="169" t="str">
        <f>IF(ISNUMBER($B50),VLOOKUP($B50,Methuselahs!$X$7:$Y$206,2,0),"")</f>
        <v/>
      </c>
      <c r="D50" s="177" t="str">
        <f>IF(ISNUMBER($C50),T(VLOOKUP($C50,Methuselahs!$A$7:$E$206,2,0))&amp;" "&amp;T(VLOOKUP($C50,Methuselahs!$A$7:$E$206,3,0)),"")</f>
        <v/>
      </c>
      <c r="E50" s="175" t="str">
        <f>IF(ISNUMBER($C50),VLOOKUP($C50,Methuselahs!$A$7:$I$206,COLUMN(Methuselahs!$H$6),0),"")</f>
        <v/>
      </c>
      <c r="F50" s="171" t="str">
        <f>IF(ISNUMBER($C50),VLOOKUP($C50,Methuselahs!$A$7:$I$206,COLUMN(Methuselahs!$I$6),0),"")</f>
        <v/>
      </c>
      <c r="G50" s="175"/>
      <c r="H50" s="176" t="str">
        <f>IF(ISNUMBER($C50),VLOOKUP($C50,Methuselahs!$A$7:$J$206,COLUMN(Methuselahs!$J$6),0),"")</f>
        <v/>
      </c>
    </row>
    <row r="51" spans="1:8" ht="15" x14ac:dyDescent="0.2">
      <c r="A51" s="173" t="str">
        <f>IF(ISNUMBER($C51),VLOOKUP($C51,Methuselahs!$Y$7:$Z$206,2,0),"")</f>
        <v/>
      </c>
      <c r="B51" s="174" t="str">
        <f>IF(ROW()-ROW($A$6)&lt;Methuselahs!$A$4,ROW()-ROW($A$5),"")</f>
        <v/>
      </c>
      <c r="C51" s="169" t="str">
        <f>IF(ISNUMBER($B51),VLOOKUP($B51,Methuselahs!$X$7:$Y$206,2,0),"")</f>
        <v/>
      </c>
      <c r="D51" s="177" t="str">
        <f>IF(ISNUMBER($C51),T(VLOOKUP($C51,Methuselahs!$A$7:$E$206,2,0))&amp;" "&amp;T(VLOOKUP($C51,Methuselahs!$A$7:$E$206,3,0)),"")</f>
        <v/>
      </c>
      <c r="E51" s="175" t="str">
        <f>IF(ISNUMBER($C51),VLOOKUP($C51,Methuselahs!$A$7:$I$206,COLUMN(Methuselahs!$H$6),0),"")</f>
        <v/>
      </c>
      <c r="F51" s="171" t="str">
        <f>IF(ISNUMBER($C51),VLOOKUP($C51,Methuselahs!$A$7:$I$206,COLUMN(Methuselahs!$I$6),0),"")</f>
        <v/>
      </c>
      <c r="G51" s="175"/>
      <c r="H51" s="176" t="str">
        <f>IF(ISNUMBER($C51),VLOOKUP($C51,Methuselahs!$A$7:$J$206,COLUMN(Methuselahs!$J$6),0),"")</f>
        <v/>
      </c>
    </row>
    <row r="52" spans="1:8" ht="15" x14ac:dyDescent="0.2">
      <c r="A52" s="173" t="str">
        <f>IF(ISNUMBER($C52),VLOOKUP($C52,Methuselahs!$Y$7:$Z$206,2,0),"")</f>
        <v/>
      </c>
      <c r="B52" s="174" t="str">
        <f>IF(ROW()-ROW($A$6)&lt;Methuselahs!$A$4,ROW()-ROW($A$5),"")</f>
        <v/>
      </c>
      <c r="C52" s="169" t="str">
        <f>IF(ISNUMBER($B52),VLOOKUP($B52,Methuselahs!$X$7:$Y$206,2,0),"")</f>
        <v/>
      </c>
      <c r="D52" s="177" t="str">
        <f>IF(ISNUMBER($C52),T(VLOOKUP($C52,Methuselahs!$A$7:$E$206,2,0))&amp;" "&amp;T(VLOOKUP($C52,Methuselahs!$A$7:$E$206,3,0)),"")</f>
        <v/>
      </c>
      <c r="E52" s="175" t="str">
        <f>IF(ISNUMBER($C52),VLOOKUP($C52,Methuselahs!$A$7:$I$206,COLUMN(Methuselahs!$H$6),0),"")</f>
        <v/>
      </c>
      <c r="F52" s="171" t="str">
        <f>IF(ISNUMBER($C52),VLOOKUP($C52,Methuselahs!$A$7:$I$206,COLUMN(Methuselahs!$I$6),0),"")</f>
        <v/>
      </c>
      <c r="G52" s="175"/>
      <c r="H52" s="176" t="str">
        <f>IF(ISNUMBER($C52),VLOOKUP($C52,Methuselahs!$A$7:$J$206,COLUMN(Methuselahs!$J$6),0),"")</f>
        <v/>
      </c>
    </row>
    <row r="53" spans="1:8" ht="15" x14ac:dyDescent="0.2">
      <c r="A53" s="173" t="str">
        <f>IF(ISNUMBER($C53),VLOOKUP($C53,Methuselahs!$Y$7:$Z$206,2,0),"")</f>
        <v/>
      </c>
      <c r="B53" s="174" t="str">
        <f>IF(ROW()-ROW($A$6)&lt;Methuselahs!$A$4,ROW()-ROW($A$5),"")</f>
        <v/>
      </c>
      <c r="C53" s="169" t="str">
        <f>IF(ISNUMBER($B53),VLOOKUP($B53,Methuselahs!$X$7:$Y$206,2,0),"")</f>
        <v/>
      </c>
      <c r="D53" s="177" t="str">
        <f>IF(ISNUMBER($C53),T(VLOOKUP($C53,Methuselahs!$A$7:$E$206,2,0))&amp;" "&amp;T(VLOOKUP($C53,Methuselahs!$A$7:$E$206,3,0)),"")</f>
        <v/>
      </c>
      <c r="E53" s="175" t="str">
        <f>IF(ISNUMBER($C53),VLOOKUP($C53,Methuselahs!$A$7:$I$206,COLUMN(Methuselahs!$H$6),0),"")</f>
        <v/>
      </c>
      <c r="F53" s="171" t="str">
        <f>IF(ISNUMBER($C53),VLOOKUP($C53,Methuselahs!$A$7:$I$206,COLUMN(Methuselahs!$I$6),0),"")</f>
        <v/>
      </c>
      <c r="G53" s="175"/>
      <c r="H53" s="176" t="str">
        <f>IF(ISNUMBER($C53),VLOOKUP($C53,Methuselahs!$A$7:$J$206,COLUMN(Methuselahs!$J$6),0),"")</f>
        <v/>
      </c>
    </row>
    <row r="54" spans="1:8" ht="15" x14ac:dyDescent="0.2">
      <c r="A54" s="173" t="str">
        <f>IF(ISNUMBER($C54),VLOOKUP($C54,Methuselahs!$Y$7:$Z$206,2,0),"")</f>
        <v/>
      </c>
      <c r="B54" s="174" t="str">
        <f>IF(ROW()-ROW($A$6)&lt;Methuselahs!$A$4,ROW()-ROW($A$5),"")</f>
        <v/>
      </c>
      <c r="C54" s="169" t="str">
        <f>IF(ISNUMBER($B54),VLOOKUP($B54,Methuselahs!$X$7:$Y$206,2,0),"")</f>
        <v/>
      </c>
      <c r="D54" s="177" t="str">
        <f>IF(ISNUMBER($C54),T(VLOOKUP($C54,Methuselahs!$A$7:$E$206,2,0))&amp;" "&amp;T(VLOOKUP($C54,Methuselahs!$A$7:$E$206,3,0)),"")</f>
        <v/>
      </c>
      <c r="E54" s="175" t="str">
        <f>IF(ISNUMBER($C54),VLOOKUP($C54,Methuselahs!$A$7:$I$206,COLUMN(Methuselahs!$H$6),0),"")</f>
        <v/>
      </c>
      <c r="F54" s="171" t="str">
        <f>IF(ISNUMBER($C54),VLOOKUP($C54,Methuselahs!$A$7:$I$206,COLUMN(Methuselahs!$I$6),0),"")</f>
        <v/>
      </c>
      <c r="G54" s="175"/>
      <c r="H54" s="176" t="str">
        <f>IF(ISNUMBER($C54),VLOOKUP($C54,Methuselahs!$A$7:$J$206,COLUMN(Methuselahs!$J$6),0),"")</f>
        <v/>
      </c>
    </row>
    <row r="55" spans="1:8" ht="15" x14ac:dyDescent="0.2">
      <c r="A55" s="173" t="str">
        <f>IF(ISNUMBER($C55),VLOOKUP($C55,Methuselahs!$Y$7:$Z$206,2,0),"")</f>
        <v/>
      </c>
      <c r="B55" s="174" t="str">
        <f>IF(ROW()-ROW($A$6)&lt;Methuselahs!$A$4,ROW()-ROW($A$5),"")</f>
        <v/>
      </c>
      <c r="C55" s="169" t="str">
        <f>IF(ISNUMBER($B55),VLOOKUP($B55,Methuselahs!$X$7:$Y$206,2,0),"")</f>
        <v/>
      </c>
      <c r="D55" s="177" t="str">
        <f>IF(ISNUMBER($C55),T(VLOOKUP($C55,Methuselahs!$A$7:$E$206,2,0))&amp;" "&amp;T(VLOOKUP($C55,Methuselahs!$A$7:$E$206,3,0)),"")</f>
        <v/>
      </c>
      <c r="E55" s="175" t="str">
        <f>IF(ISNUMBER($C55),VLOOKUP($C55,Methuselahs!$A$7:$I$206,COLUMN(Methuselahs!$H$6),0),"")</f>
        <v/>
      </c>
      <c r="F55" s="171" t="str">
        <f>IF(ISNUMBER($C55),VLOOKUP($C55,Methuselahs!$A$7:$I$206,COLUMN(Methuselahs!$I$6),0),"")</f>
        <v/>
      </c>
      <c r="G55" s="175"/>
      <c r="H55" s="176" t="str">
        <f>IF(ISNUMBER($C55),VLOOKUP($C55,Methuselahs!$A$7:$J$206,COLUMN(Methuselahs!$J$6),0),"")</f>
        <v/>
      </c>
    </row>
    <row r="56" spans="1:8" ht="15" x14ac:dyDescent="0.2">
      <c r="A56" s="173" t="str">
        <f>IF(ISNUMBER($C56),VLOOKUP($C56,Methuselahs!$Y$7:$Z$206,2,0),"")</f>
        <v/>
      </c>
      <c r="B56" s="174" t="str">
        <f>IF(ROW()-ROW($A$6)&lt;Methuselahs!$A$4,ROW()-ROW($A$5),"")</f>
        <v/>
      </c>
      <c r="C56" s="169" t="str">
        <f>IF(ISNUMBER($B56),VLOOKUP($B56,Methuselahs!$X$7:$Y$206,2,0),"")</f>
        <v/>
      </c>
      <c r="D56" s="177" t="str">
        <f>IF(ISNUMBER($C56),T(VLOOKUP($C56,Methuselahs!$A$7:$E$206,2,0))&amp;" "&amp;T(VLOOKUP($C56,Methuselahs!$A$7:$E$206,3,0)),"")</f>
        <v/>
      </c>
      <c r="E56" s="175" t="str">
        <f>IF(ISNUMBER($C56),VLOOKUP($C56,Methuselahs!$A$7:$I$206,COLUMN(Methuselahs!$H$6),0),"")</f>
        <v/>
      </c>
      <c r="F56" s="171" t="str">
        <f>IF(ISNUMBER($C56),VLOOKUP($C56,Methuselahs!$A$7:$I$206,COLUMN(Methuselahs!$I$6),0),"")</f>
        <v/>
      </c>
      <c r="G56" s="175"/>
      <c r="H56" s="176" t="str">
        <f>IF(ISNUMBER($C56),VLOOKUP($C56,Methuselahs!$A$7:$J$206,COLUMN(Methuselahs!$J$6),0),"")</f>
        <v/>
      </c>
    </row>
    <row r="57" spans="1:8" ht="15" x14ac:dyDescent="0.2">
      <c r="A57" s="173" t="str">
        <f>IF(ISNUMBER($C57),VLOOKUP($C57,Methuselahs!$Y$7:$Z$206,2,0),"")</f>
        <v/>
      </c>
      <c r="B57" s="174" t="str">
        <f>IF(ROW()-ROW($A$6)&lt;Methuselahs!$A$4,ROW()-ROW($A$5),"")</f>
        <v/>
      </c>
      <c r="C57" s="169" t="str">
        <f>IF(ISNUMBER($B57),VLOOKUP($B57,Methuselahs!$X$7:$Y$206,2,0),"")</f>
        <v/>
      </c>
      <c r="D57" s="177" t="str">
        <f>IF(ISNUMBER($C57),T(VLOOKUP($C57,Methuselahs!$A$7:$E$206,2,0))&amp;" "&amp;T(VLOOKUP($C57,Methuselahs!$A$7:$E$206,3,0)),"")</f>
        <v/>
      </c>
      <c r="E57" s="175" t="str">
        <f>IF(ISNUMBER($C57),VLOOKUP($C57,Methuselahs!$A$7:$I$206,COLUMN(Methuselahs!$H$6),0),"")</f>
        <v/>
      </c>
      <c r="F57" s="171" t="str">
        <f>IF(ISNUMBER($C57),VLOOKUP($C57,Methuselahs!$A$7:$I$206,COLUMN(Methuselahs!$I$6),0),"")</f>
        <v/>
      </c>
      <c r="G57" s="175"/>
      <c r="H57" s="176" t="str">
        <f>IF(ISNUMBER($C57),VLOOKUP($C57,Methuselahs!$A$7:$J$206,COLUMN(Methuselahs!$J$6),0),"")</f>
        <v/>
      </c>
    </row>
    <row r="58" spans="1:8" ht="15" x14ac:dyDescent="0.2">
      <c r="A58" s="173" t="str">
        <f>IF(ISNUMBER($C58),VLOOKUP($C58,Methuselahs!$Y$7:$Z$206,2,0),"")</f>
        <v/>
      </c>
      <c r="B58" s="174" t="str">
        <f>IF(ROW()-ROW($A$6)&lt;Methuselahs!$A$4,ROW()-ROW($A$5),"")</f>
        <v/>
      </c>
      <c r="C58" s="169" t="str">
        <f>IF(ISNUMBER($B58),VLOOKUP($B58,Methuselahs!$X$7:$Y$206,2,0),"")</f>
        <v/>
      </c>
      <c r="D58" s="177" t="str">
        <f>IF(ISNUMBER($C58),T(VLOOKUP($C58,Methuselahs!$A$7:$E$206,2,0))&amp;" "&amp;T(VLOOKUP($C58,Methuselahs!$A$7:$E$206,3,0)),"")</f>
        <v/>
      </c>
      <c r="E58" s="175" t="str">
        <f>IF(ISNUMBER($C58),VLOOKUP($C58,Methuselahs!$A$7:$I$206,COLUMN(Methuselahs!$H$6),0),"")</f>
        <v/>
      </c>
      <c r="F58" s="171" t="str">
        <f>IF(ISNUMBER($C58),VLOOKUP($C58,Methuselahs!$A$7:$I$206,COLUMN(Methuselahs!$I$6),0),"")</f>
        <v/>
      </c>
      <c r="G58" s="175"/>
      <c r="H58" s="176" t="str">
        <f>IF(ISNUMBER($C58),VLOOKUP($C58,Methuselahs!$A$7:$J$206,COLUMN(Methuselahs!$J$6),0),"")</f>
        <v/>
      </c>
    </row>
    <row r="59" spans="1:8" ht="15" x14ac:dyDescent="0.2">
      <c r="A59" s="173" t="str">
        <f>IF(ISNUMBER($C59),VLOOKUP($C59,Methuselahs!$Y$7:$Z$206,2,0),"")</f>
        <v/>
      </c>
      <c r="B59" s="174" t="str">
        <f>IF(ROW()-ROW($A$6)&lt;Methuselahs!$A$4,ROW()-ROW($A$5),"")</f>
        <v/>
      </c>
      <c r="C59" s="169" t="str">
        <f>IF(ISNUMBER($B59),VLOOKUP($B59,Methuselahs!$X$7:$Y$206,2,0),"")</f>
        <v/>
      </c>
      <c r="D59" s="177" t="str">
        <f>IF(ISNUMBER($C59),T(VLOOKUP($C59,Methuselahs!$A$7:$E$206,2,0))&amp;" "&amp;T(VLOOKUP($C59,Methuselahs!$A$7:$E$206,3,0)),"")</f>
        <v/>
      </c>
      <c r="E59" s="175" t="str">
        <f>IF(ISNUMBER($C59),VLOOKUP($C59,Methuselahs!$A$7:$I$206,COLUMN(Methuselahs!$H$6),0),"")</f>
        <v/>
      </c>
      <c r="F59" s="171" t="str">
        <f>IF(ISNUMBER($C59),VLOOKUP($C59,Methuselahs!$A$7:$I$206,COLUMN(Methuselahs!$I$6),0),"")</f>
        <v/>
      </c>
      <c r="G59" s="175"/>
      <c r="H59" s="176" t="str">
        <f>IF(ISNUMBER($C59),VLOOKUP($C59,Methuselahs!$A$7:$J$206,COLUMN(Methuselahs!$J$6),0),"")</f>
        <v/>
      </c>
    </row>
    <row r="60" spans="1:8" ht="15" x14ac:dyDescent="0.2">
      <c r="A60" s="173" t="str">
        <f>IF(ISNUMBER($C60),VLOOKUP($C60,Methuselahs!$Y$7:$Z$206,2,0),"")</f>
        <v/>
      </c>
      <c r="B60" s="174" t="str">
        <f>IF(ROW()-ROW($A$6)&lt;Methuselahs!$A$4,ROW()-ROW($A$5),"")</f>
        <v/>
      </c>
      <c r="C60" s="169" t="str">
        <f>IF(ISNUMBER($B60),VLOOKUP($B60,Methuselahs!$X$7:$Y$206,2,0),"")</f>
        <v/>
      </c>
      <c r="D60" s="177" t="str">
        <f>IF(ISNUMBER($C60),T(VLOOKUP($C60,Methuselahs!$A$7:$E$206,2,0))&amp;" "&amp;T(VLOOKUP($C60,Methuselahs!$A$7:$E$206,3,0)),"")</f>
        <v/>
      </c>
      <c r="E60" s="175" t="str">
        <f>IF(ISNUMBER($C60),VLOOKUP($C60,Methuselahs!$A$7:$I$206,COLUMN(Methuselahs!$H$6),0),"")</f>
        <v/>
      </c>
      <c r="F60" s="171" t="str">
        <f>IF(ISNUMBER($C60),VLOOKUP($C60,Methuselahs!$A$7:$I$206,COLUMN(Methuselahs!$I$6),0),"")</f>
        <v/>
      </c>
      <c r="G60" s="175"/>
      <c r="H60" s="176" t="str">
        <f>IF(ISNUMBER($C60),VLOOKUP($C60,Methuselahs!$A$7:$J$206,COLUMN(Methuselahs!$J$6),0),"")</f>
        <v/>
      </c>
    </row>
    <row r="61" spans="1:8" ht="15" x14ac:dyDescent="0.2">
      <c r="A61" s="173" t="str">
        <f>IF(ISNUMBER($C61),VLOOKUP($C61,Methuselahs!$Y$7:$Z$206,2,0),"")</f>
        <v/>
      </c>
      <c r="B61" s="174" t="str">
        <f>IF(ROW()-ROW($A$6)&lt;Methuselahs!$A$4,ROW()-ROW($A$5),"")</f>
        <v/>
      </c>
      <c r="C61" s="169" t="str">
        <f>IF(ISNUMBER($B61),VLOOKUP($B61,Methuselahs!$X$7:$Y$206,2,0),"")</f>
        <v/>
      </c>
      <c r="D61" s="177" t="str">
        <f>IF(ISNUMBER($C61),T(VLOOKUP($C61,Methuselahs!$A$7:$E$206,2,0))&amp;" "&amp;T(VLOOKUP($C61,Methuselahs!$A$7:$E$206,3,0)),"")</f>
        <v/>
      </c>
      <c r="E61" s="175" t="str">
        <f>IF(ISNUMBER($C61),VLOOKUP($C61,Methuselahs!$A$7:$I$206,COLUMN(Methuselahs!$H$6),0),"")</f>
        <v/>
      </c>
      <c r="F61" s="171" t="str">
        <f>IF(ISNUMBER($C61),VLOOKUP($C61,Methuselahs!$A$7:$I$206,COLUMN(Methuselahs!$I$6),0),"")</f>
        <v/>
      </c>
      <c r="G61" s="175"/>
      <c r="H61" s="176" t="str">
        <f>IF(ISNUMBER($C61),VLOOKUP($C61,Methuselahs!$A$7:$J$206,COLUMN(Methuselahs!$J$6),0),"")</f>
        <v/>
      </c>
    </row>
    <row r="62" spans="1:8" ht="15" x14ac:dyDescent="0.2">
      <c r="A62" s="173" t="str">
        <f>IF(ISNUMBER($C62),VLOOKUP($C62,Methuselahs!$Y$7:$Z$206,2,0),"")</f>
        <v/>
      </c>
      <c r="B62" s="174" t="str">
        <f>IF(ROW()-ROW($A$6)&lt;Methuselahs!$A$4,ROW()-ROW($A$5),"")</f>
        <v/>
      </c>
      <c r="C62" s="169" t="str">
        <f>IF(ISNUMBER($B62),VLOOKUP($B62,Methuselahs!$X$7:$Y$206,2,0),"")</f>
        <v/>
      </c>
      <c r="D62" s="177" t="str">
        <f>IF(ISNUMBER($C62),T(VLOOKUP($C62,Methuselahs!$A$7:$E$206,2,0))&amp;" "&amp;T(VLOOKUP($C62,Methuselahs!$A$7:$E$206,3,0)),"")</f>
        <v/>
      </c>
      <c r="E62" s="175" t="str">
        <f>IF(ISNUMBER($C62),VLOOKUP($C62,Methuselahs!$A$7:$I$206,COLUMN(Methuselahs!$H$6),0),"")</f>
        <v/>
      </c>
      <c r="F62" s="171" t="str">
        <f>IF(ISNUMBER($C62),VLOOKUP($C62,Methuselahs!$A$7:$I$206,COLUMN(Methuselahs!$I$6),0),"")</f>
        <v/>
      </c>
      <c r="G62" s="175"/>
      <c r="H62" s="176" t="str">
        <f>IF(ISNUMBER($C62),VLOOKUP($C62,Methuselahs!$A$7:$J$206,COLUMN(Methuselahs!$J$6),0),"")</f>
        <v/>
      </c>
    </row>
    <row r="63" spans="1:8" ht="15" x14ac:dyDescent="0.2">
      <c r="A63" s="173" t="str">
        <f>IF(ISNUMBER($C63),VLOOKUP($C63,Methuselahs!$Y$7:$Z$206,2,0),"")</f>
        <v/>
      </c>
      <c r="B63" s="174" t="str">
        <f>IF(ROW()-ROW($A$6)&lt;Methuselahs!$A$4,ROW()-ROW($A$5),"")</f>
        <v/>
      </c>
      <c r="C63" s="169" t="str">
        <f>IF(ISNUMBER($B63),VLOOKUP($B63,Methuselahs!$X$7:$Y$206,2,0),"")</f>
        <v/>
      </c>
      <c r="D63" s="177" t="str">
        <f>IF(ISNUMBER($C63),T(VLOOKUP($C63,Methuselahs!$A$7:$E$206,2,0))&amp;" "&amp;T(VLOOKUP($C63,Methuselahs!$A$7:$E$206,3,0)),"")</f>
        <v/>
      </c>
      <c r="E63" s="175" t="str">
        <f>IF(ISNUMBER($C63),VLOOKUP($C63,Methuselahs!$A$7:$I$206,COLUMN(Methuselahs!$H$6),0),"")</f>
        <v/>
      </c>
      <c r="F63" s="171" t="str">
        <f>IF(ISNUMBER($C63),VLOOKUP($C63,Methuselahs!$A$7:$I$206,COLUMN(Methuselahs!$I$6),0),"")</f>
        <v/>
      </c>
      <c r="G63" s="175"/>
      <c r="H63" s="176" t="str">
        <f>IF(ISNUMBER($C63),VLOOKUP($C63,Methuselahs!$A$7:$J$206,COLUMN(Methuselahs!$J$6),0),"")</f>
        <v/>
      </c>
    </row>
    <row r="64" spans="1:8" ht="15" x14ac:dyDescent="0.2">
      <c r="A64" s="173" t="str">
        <f>IF(ISNUMBER($C64),VLOOKUP($C64,Methuselahs!$Y$7:$Z$206,2,0),"")</f>
        <v/>
      </c>
      <c r="B64" s="174" t="str">
        <f>IF(ROW()-ROW($A$6)&lt;Methuselahs!$A$4,ROW()-ROW($A$5),"")</f>
        <v/>
      </c>
      <c r="C64" s="169" t="str">
        <f>IF(ISNUMBER($B64),VLOOKUP($B64,Methuselahs!$X$7:$Y$206,2,0),"")</f>
        <v/>
      </c>
      <c r="D64" s="177" t="str">
        <f>IF(ISNUMBER($C64),T(VLOOKUP($C64,Methuselahs!$A$7:$E$206,2,0))&amp;" "&amp;T(VLOOKUP($C64,Methuselahs!$A$7:$E$206,3,0)),"")</f>
        <v/>
      </c>
      <c r="E64" s="175" t="str">
        <f>IF(ISNUMBER($C64),VLOOKUP($C64,Methuselahs!$A$7:$I$206,COLUMN(Methuselahs!$H$6),0),"")</f>
        <v/>
      </c>
      <c r="F64" s="171" t="str">
        <f>IF(ISNUMBER($C64),VLOOKUP($C64,Methuselahs!$A$7:$I$206,COLUMN(Methuselahs!$I$6),0),"")</f>
        <v/>
      </c>
      <c r="G64" s="175"/>
      <c r="H64" s="176" t="str">
        <f>IF(ISNUMBER($C64),VLOOKUP($C64,Methuselahs!$A$7:$J$206,COLUMN(Methuselahs!$J$6),0),"")</f>
        <v/>
      </c>
    </row>
    <row r="65" spans="1:8" ht="15" x14ac:dyDescent="0.2">
      <c r="A65" s="173" t="str">
        <f>IF(ISNUMBER($C65),VLOOKUP($C65,Methuselahs!$Y$7:$Z$206,2,0),"")</f>
        <v/>
      </c>
      <c r="B65" s="174" t="str">
        <f>IF(ROW()-ROW($A$6)&lt;Methuselahs!$A$4,ROW()-ROW($A$5),"")</f>
        <v/>
      </c>
      <c r="C65" s="169" t="str">
        <f>IF(ISNUMBER($B65),VLOOKUP($B65,Methuselahs!$X$7:$Y$206,2,0),"")</f>
        <v/>
      </c>
      <c r="D65" s="177" t="str">
        <f>IF(ISNUMBER($C65),T(VLOOKUP($C65,Methuselahs!$A$7:$E$206,2,0))&amp;" "&amp;T(VLOOKUP($C65,Methuselahs!$A$7:$E$206,3,0)),"")</f>
        <v/>
      </c>
      <c r="E65" s="175" t="str">
        <f>IF(ISNUMBER($C65),VLOOKUP($C65,Methuselahs!$A$7:$I$206,COLUMN(Methuselahs!$H$6),0),"")</f>
        <v/>
      </c>
      <c r="F65" s="171" t="str">
        <f>IF(ISNUMBER($C65),VLOOKUP($C65,Methuselahs!$A$7:$I$206,COLUMN(Methuselahs!$I$6),0),"")</f>
        <v/>
      </c>
      <c r="G65" s="175"/>
      <c r="H65" s="176" t="str">
        <f>IF(ISNUMBER($C65),VLOOKUP($C65,Methuselahs!$A$7:$J$206,COLUMN(Methuselahs!$J$6),0),"")</f>
        <v/>
      </c>
    </row>
    <row r="66" spans="1:8" ht="15" x14ac:dyDescent="0.2">
      <c r="A66" s="173" t="str">
        <f>IF(ISNUMBER($C66),VLOOKUP($C66,Methuselahs!$Y$7:$Z$206,2,0),"")</f>
        <v/>
      </c>
      <c r="B66" s="174" t="str">
        <f>IF(ROW()-ROW($A$6)&lt;Methuselahs!$A$4,ROW()-ROW($A$5),"")</f>
        <v/>
      </c>
      <c r="C66" s="169" t="str">
        <f>IF(ISNUMBER($B66),VLOOKUP($B66,Methuselahs!$X$7:$Y$206,2,0),"")</f>
        <v/>
      </c>
      <c r="D66" s="177" t="str">
        <f>IF(ISNUMBER($C66),T(VLOOKUP($C66,Methuselahs!$A$7:$E$206,2,0))&amp;" "&amp;T(VLOOKUP($C66,Methuselahs!$A$7:$E$206,3,0)),"")</f>
        <v/>
      </c>
      <c r="E66" s="175" t="str">
        <f>IF(ISNUMBER($C66),VLOOKUP($C66,Methuselahs!$A$7:$I$206,COLUMN(Methuselahs!$H$6),0),"")</f>
        <v/>
      </c>
      <c r="F66" s="171" t="str">
        <f>IF(ISNUMBER($C66),VLOOKUP($C66,Methuselahs!$A$7:$I$206,COLUMN(Methuselahs!$I$6),0),"")</f>
        <v/>
      </c>
      <c r="G66" s="175"/>
      <c r="H66" s="176" t="str">
        <f>IF(ISNUMBER($C66),VLOOKUP($C66,Methuselahs!$A$7:$J$206,COLUMN(Methuselahs!$J$6),0),"")</f>
        <v/>
      </c>
    </row>
    <row r="67" spans="1:8" ht="15" x14ac:dyDescent="0.2">
      <c r="A67" s="173" t="str">
        <f>IF(ISNUMBER($C67),VLOOKUP($C67,Methuselahs!$Y$7:$Z$206,2,0),"")</f>
        <v/>
      </c>
      <c r="B67" s="174" t="str">
        <f>IF(ROW()-ROW($A$6)&lt;Methuselahs!$A$4,ROW()-ROW($A$5),"")</f>
        <v/>
      </c>
      <c r="C67" s="169" t="str">
        <f>IF(ISNUMBER($B67),VLOOKUP($B67,Methuselahs!$X$7:$Y$206,2,0),"")</f>
        <v/>
      </c>
      <c r="D67" s="177" t="str">
        <f>IF(ISNUMBER($C67),T(VLOOKUP($C67,Methuselahs!$A$7:$E$206,2,0))&amp;" "&amp;T(VLOOKUP($C67,Methuselahs!$A$7:$E$206,3,0)),"")</f>
        <v/>
      </c>
      <c r="E67" s="175" t="str">
        <f>IF(ISNUMBER($C67),VLOOKUP($C67,Methuselahs!$A$7:$I$206,COLUMN(Methuselahs!$H$6),0),"")</f>
        <v/>
      </c>
      <c r="F67" s="171" t="str">
        <f>IF(ISNUMBER($C67),VLOOKUP($C67,Methuselahs!$A$7:$I$206,COLUMN(Methuselahs!$I$6),0),"")</f>
        <v/>
      </c>
      <c r="G67" s="175"/>
      <c r="H67" s="176" t="str">
        <f>IF(ISNUMBER($C67),VLOOKUP($C67,Methuselahs!$A$7:$J$206,COLUMN(Methuselahs!$J$6),0),"")</f>
        <v/>
      </c>
    </row>
    <row r="68" spans="1:8" ht="15" x14ac:dyDescent="0.2">
      <c r="A68" s="173" t="str">
        <f>IF(ISNUMBER($C68),VLOOKUP($C68,Methuselahs!$Y$7:$Z$206,2,0),"")</f>
        <v/>
      </c>
      <c r="B68" s="174" t="str">
        <f>IF(ROW()-ROW($A$6)&lt;Methuselahs!$A$4,ROW()-ROW($A$5),"")</f>
        <v/>
      </c>
      <c r="C68" s="169" t="str">
        <f>IF(ISNUMBER($B68),VLOOKUP($B68,Methuselahs!$X$7:$Y$206,2,0),"")</f>
        <v/>
      </c>
      <c r="D68" s="177" t="str">
        <f>IF(ISNUMBER($C68),T(VLOOKUP($C68,Methuselahs!$A$7:$E$206,2,0))&amp;" "&amp;T(VLOOKUP($C68,Methuselahs!$A$7:$E$206,3,0)),"")</f>
        <v/>
      </c>
      <c r="E68" s="175" t="str">
        <f>IF(ISNUMBER($C68),VLOOKUP($C68,Methuselahs!$A$7:$I$206,COLUMN(Methuselahs!$H$6),0),"")</f>
        <v/>
      </c>
      <c r="F68" s="171" t="str">
        <f>IF(ISNUMBER($C68),VLOOKUP($C68,Methuselahs!$A$7:$I$206,COLUMN(Methuselahs!$I$6),0),"")</f>
        <v/>
      </c>
      <c r="G68" s="175"/>
      <c r="H68" s="176" t="str">
        <f>IF(ISNUMBER($C68),VLOOKUP($C68,Methuselahs!$A$7:$J$206,COLUMN(Methuselahs!$J$6),0),"")</f>
        <v/>
      </c>
    </row>
    <row r="69" spans="1:8" ht="15" x14ac:dyDescent="0.2">
      <c r="A69" s="173" t="str">
        <f>IF(ISNUMBER($C69),VLOOKUP($C69,Methuselahs!$Y$7:$Z$206,2,0),"")</f>
        <v/>
      </c>
      <c r="B69" s="174" t="str">
        <f>IF(ROW()-ROW($A$6)&lt;Methuselahs!$A$4,ROW()-ROW($A$5),"")</f>
        <v/>
      </c>
      <c r="C69" s="169" t="str">
        <f>IF(ISNUMBER($B69),VLOOKUP($B69,Methuselahs!$X$7:$Y$206,2,0),"")</f>
        <v/>
      </c>
      <c r="D69" s="177" t="str">
        <f>IF(ISNUMBER($C69),T(VLOOKUP($C69,Methuselahs!$A$7:$E$206,2,0))&amp;" "&amp;T(VLOOKUP($C69,Methuselahs!$A$7:$E$206,3,0)),"")</f>
        <v/>
      </c>
      <c r="E69" s="175" t="str">
        <f>IF(ISNUMBER($C69),VLOOKUP($C69,Methuselahs!$A$7:$I$206,COLUMN(Methuselahs!$H$6),0),"")</f>
        <v/>
      </c>
      <c r="F69" s="171" t="str">
        <f>IF(ISNUMBER($C69),VLOOKUP($C69,Methuselahs!$A$7:$I$206,COLUMN(Methuselahs!$I$6),0),"")</f>
        <v/>
      </c>
      <c r="G69" s="175"/>
      <c r="H69" s="176" t="str">
        <f>IF(ISNUMBER($C69),VLOOKUP($C69,Methuselahs!$A$7:$J$206,COLUMN(Methuselahs!$J$6),0),"")</f>
        <v/>
      </c>
    </row>
    <row r="70" spans="1:8" ht="15" x14ac:dyDescent="0.2">
      <c r="A70" s="173" t="str">
        <f>IF(ISNUMBER($C70),VLOOKUP($C70,Methuselahs!$Y$7:$Z$206,2,0),"")</f>
        <v/>
      </c>
      <c r="B70" s="174" t="str">
        <f>IF(ROW()-ROW($A$6)&lt;Methuselahs!$A$4,ROW()-ROW($A$5),"")</f>
        <v/>
      </c>
      <c r="C70" s="169" t="str">
        <f>IF(ISNUMBER($B70),VLOOKUP($B70,Methuselahs!$X$7:$Y$206,2,0),"")</f>
        <v/>
      </c>
      <c r="D70" s="177" t="str">
        <f>IF(ISNUMBER($C70),T(VLOOKUP($C70,Methuselahs!$A$7:$E$206,2,0))&amp;" "&amp;T(VLOOKUP($C70,Methuselahs!$A$7:$E$206,3,0)),"")</f>
        <v/>
      </c>
      <c r="E70" s="175" t="str">
        <f>IF(ISNUMBER($C70),VLOOKUP($C70,Methuselahs!$A$7:$I$206,COLUMN(Methuselahs!$H$6),0),"")</f>
        <v/>
      </c>
      <c r="F70" s="171" t="str">
        <f>IF(ISNUMBER($C70),VLOOKUP($C70,Methuselahs!$A$7:$I$206,COLUMN(Methuselahs!$I$6),0),"")</f>
        <v/>
      </c>
      <c r="G70" s="175"/>
      <c r="H70" s="176" t="str">
        <f>IF(ISNUMBER($C70),VLOOKUP($C70,Methuselahs!$A$7:$J$206,COLUMN(Methuselahs!$J$6),0),"")</f>
        <v/>
      </c>
    </row>
    <row r="71" spans="1:8" ht="15" x14ac:dyDescent="0.2">
      <c r="A71" s="173" t="str">
        <f>IF(ISNUMBER($C71),VLOOKUP($C71,Methuselahs!$Y$7:$Z$206,2,0),"")</f>
        <v/>
      </c>
      <c r="B71" s="174" t="str">
        <f>IF(ROW()-ROW($A$6)&lt;Methuselahs!$A$4,ROW()-ROW($A$5),"")</f>
        <v/>
      </c>
      <c r="C71" s="169" t="str">
        <f>IF(ISNUMBER($B71),VLOOKUP($B71,Methuselahs!$X$7:$Y$206,2,0),"")</f>
        <v/>
      </c>
      <c r="D71" s="177" t="str">
        <f>IF(ISNUMBER($C71),T(VLOOKUP($C71,Methuselahs!$A$7:$E$206,2,0))&amp;" "&amp;T(VLOOKUP($C71,Methuselahs!$A$7:$E$206,3,0)),"")</f>
        <v/>
      </c>
      <c r="E71" s="175" t="str">
        <f>IF(ISNUMBER($C71),VLOOKUP($C71,Methuselahs!$A$7:$I$206,COLUMN(Methuselahs!$H$6),0),"")</f>
        <v/>
      </c>
      <c r="F71" s="171" t="str">
        <f>IF(ISNUMBER($C71),VLOOKUP($C71,Methuselahs!$A$7:$I$206,COLUMN(Methuselahs!$I$6),0),"")</f>
        <v/>
      </c>
      <c r="G71" s="175"/>
      <c r="H71" s="176" t="str">
        <f>IF(ISNUMBER($C71),VLOOKUP($C71,Methuselahs!$A$7:$J$206,COLUMN(Methuselahs!$J$6),0),"")</f>
        <v/>
      </c>
    </row>
    <row r="72" spans="1:8" ht="15" x14ac:dyDescent="0.2">
      <c r="A72" s="173" t="str">
        <f>IF(ISNUMBER($C72),VLOOKUP($C72,Methuselahs!$Y$7:$Z$206,2,0),"")</f>
        <v/>
      </c>
      <c r="B72" s="174" t="str">
        <f>IF(ROW()-ROW($A$6)&lt;Methuselahs!$A$4,ROW()-ROW($A$5),"")</f>
        <v/>
      </c>
      <c r="C72" s="169" t="str">
        <f>IF(ISNUMBER($B72),VLOOKUP($B72,Methuselahs!$X$7:$Y$206,2,0),"")</f>
        <v/>
      </c>
      <c r="D72" s="177" t="str">
        <f>IF(ISNUMBER($C72),T(VLOOKUP($C72,Methuselahs!$A$7:$E$206,2,0))&amp;" "&amp;T(VLOOKUP($C72,Methuselahs!$A$7:$E$206,3,0)),"")</f>
        <v/>
      </c>
      <c r="E72" s="175" t="str">
        <f>IF(ISNUMBER($C72),VLOOKUP($C72,Methuselahs!$A$7:$I$206,COLUMN(Methuselahs!$H$6),0),"")</f>
        <v/>
      </c>
      <c r="F72" s="171" t="str">
        <f>IF(ISNUMBER($C72),VLOOKUP($C72,Methuselahs!$A$7:$I$206,COLUMN(Methuselahs!$I$6),0),"")</f>
        <v/>
      </c>
      <c r="G72" s="175"/>
      <c r="H72" s="176" t="str">
        <f>IF(ISNUMBER($C72),VLOOKUP($C72,Methuselahs!$A$7:$J$206,COLUMN(Methuselahs!$J$6),0),"")</f>
        <v/>
      </c>
    </row>
    <row r="73" spans="1:8" ht="15" x14ac:dyDescent="0.2">
      <c r="A73" s="173" t="str">
        <f>IF(ISNUMBER($C73),VLOOKUP($C73,Methuselahs!$Y$7:$Z$206,2,0),"")</f>
        <v/>
      </c>
      <c r="B73" s="174" t="str">
        <f>IF(ROW()-ROW($A$6)&lt;Methuselahs!$A$4,ROW()-ROW($A$5),"")</f>
        <v/>
      </c>
      <c r="C73" s="169" t="str">
        <f>IF(ISNUMBER($B73),VLOOKUP($B73,Methuselahs!$X$7:$Y$206,2,0),"")</f>
        <v/>
      </c>
      <c r="D73" s="177" t="str">
        <f>IF(ISNUMBER($C73),T(VLOOKUP($C73,Methuselahs!$A$7:$E$206,2,0))&amp;" "&amp;T(VLOOKUP($C73,Methuselahs!$A$7:$E$206,3,0)),"")</f>
        <v/>
      </c>
      <c r="E73" s="175" t="str">
        <f>IF(ISNUMBER($C73),VLOOKUP($C73,Methuselahs!$A$7:$I$206,COLUMN(Methuselahs!$H$6),0),"")</f>
        <v/>
      </c>
      <c r="F73" s="171" t="str">
        <f>IF(ISNUMBER($C73),VLOOKUP($C73,Methuselahs!$A$7:$I$206,COLUMN(Methuselahs!$I$6),0),"")</f>
        <v/>
      </c>
      <c r="G73" s="175"/>
      <c r="H73" s="176" t="str">
        <f>IF(ISNUMBER($C73),VLOOKUP($C73,Methuselahs!$A$7:$J$206,COLUMN(Methuselahs!$J$6),0),"")</f>
        <v/>
      </c>
    </row>
    <row r="74" spans="1:8" ht="15" x14ac:dyDescent="0.2">
      <c r="A74" s="173" t="str">
        <f>IF(ISNUMBER($C74),VLOOKUP($C74,Methuselahs!$Y$7:$Z$206,2,0),"")</f>
        <v/>
      </c>
      <c r="B74" s="174" t="str">
        <f>IF(ROW()-ROW($A$6)&lt;Methuselahs!$A$4,ROW()-ROW($A$5),"")</f>
        <v/>
      </c>
      <c r="C74" s="169" t="str">
        <f>IF(ISNUMBER($B74),VLOOKUP($B74,Methuselahs!$X$7:$Y$206,2,0),"")</f>
        <v/>
      </c>
      <c r="D74" s="177" t="str">
        <f>IF(ISNUMBER($C74),T(VLOOKUP($C74,Methuselahs!$A$7:$E$206,2,0))&amp;" "&amp;T(VLOOKUP($C74,Methuselahs!$A$7:$E$206,3,0)),"")</f>
        <v/>
      </c>
      <c r="E74" s="175" t="str">
        <f>IF(ISNUMBER($C74),VLOOKUP($C74,Methuselahs!$A$7:$I$206,COLUMN(Methuselahs!$H$6),0),"")</f>
        <v/>
      </c>
      <c r="F74" s="171" t="str">
        <f>IF(ISNUMBER($C74),VLOOKUP($C74,Methuselahs!$A$7:$I$206,COLUMN(Methuselahs!$I$6),0),"")</f>
        <v/>
      </c>
      <c r="G74" s="175"/>
      <c r="H74" s="176" t="str">
        <f>IF(ISNUMBER($C74),VLOOKUP($C74,Methuselahs!$A$7:$J$206,COLUMN(Methuselahs!$J$6),0),"")</f>
        <v/>
      </c>
    </row>
    <row r="75" spans="1:8" ht="15" x14ac:dyDescent="0.2">
      <c r="A75" s="173" t="str">
        <f>IF(ISNUMBER($C75),VLOOKUP($C75,Methuselahs!$Y$7:$Z$206,2,0),"")</f>
        <v/>
      </c>
      <c r="B75" s="174" t="str">
        <f>IF(ROW()-ROW($A$6)&lt;Methuselahs!$A$4,ROW()-ROW($A$5),"")</f>
        <v/>
      </c>
      <c r="C75" s="169" t="str">
        <f>IF(ISNUMBER($B75),VLOOKUP($B75,Methuselahs!$X$7:$Y$206,2,0),"")</f>
        <v/>
      </c>
      <c r="D75" s="177" t="str">
        <f>IF(ISNUMBER($C75),T(VLOOKUP($C75,Methuselahs!$A$7:$E$206,2,0))&amp;" "&amp;T(VLOOKUP($C75,Methuselahs!$A$7:$E$206,3,0)),"")</f>
        <v/>
      </c>
      <c r="E75" s="175" t="str">
        <f>IF(ISNUMBER($C75),VLOOKUP($C75,Methuselahs!$A$7:$I$206,COLUMN(Methuselahs!$H$6),0),"")</f>
        <v/>
      </c>
      <c r="F75" s="171" t="str">
        <f>IF(ISNUMBER($C75),VLOOKUP($C75,Methuselahs!$A$7:$I$206,COLUMN(Methuselahs!$I$6),0),"")</f>
        <v/>
      </c>
      <c r="G75" s="175"/>
      <c r="H75" s="176" t="str">
        <f>IF(ISNUMBER($C75),VLOOKUP($C75,Methuselahs!$A$7:$J$206,COLUMN(Methuselahs!$J$6),0),"")</f>
        <v/>
      </c>
    </row>
    <row r="76" spans="1:8" ht="15" x14ac:dyDescent="0.2">
      <c r="A76" s="173" t="str">
        <f>IF(ISNUMBER($C76),VLOOKUP($C76,Methuselahs!$Y$7:$Z$206,2,0),"")</f>
        <v/>
      </c>
      <c r="B76" s="174" t="str">
        <f>IF(ROW()-ROW($A$6)&lt;Methuselahs!$A$4,ROW()-ROW($A$5),"")</f>
        <v/>
      </c>
      <c r="C76" s="169" t="str">
        <f>IF(ISNUMBER($B76),VLOOKUP($B76,Methuselahs!$X$7:$Y$206,2,0),"")</f>
        <v/>
      </c>
      <c r="D76" s="177" t="str">
        <f>IF(ISNUMBER($C76),T(VLOOKUP($C76,Methuselahs!$A$7:$E$206,2,0))&amp;" "&amp;T(VLOOKUP($C76,Methuselahs!$A$7:$E$206,3,0)),"")</f>
        <v/>
      </c>
      <c r="E76" s="175" t="str">
        <f>IF(ISNUMBER($C76),VLOOKUP($C76,Methuselahs!$A$7:$I$206,COLUMN(Methuselahs!$H$6),0),"")</f>
        <v/>
      </c>
      <c r="F76" s="171" t="str">
        <f>IF(ISNUMBER($C76),VLOOKUP($C76,Methuselahs!$A$7:$I$206,COLUMN(Methuselahs!$I$6),0),"")</f>
        <v/>
      </c>
      <c r="G76" s="175"/>
      <c r="H76" s="176" t="str">
        <f>IF(ISNUMBER($C76),VLOOKUP($C76,Methuselahs!$A$7:$J$206,COLUMN(Methuselahs!$J$6),0),"")</f>
        <v/>
      </c>
    </row>
    <row r="77" spans="1:8" ht="15" x14ac:dyDescent="0.2">
      <c r="A77" s="173" t="str">
        <f>IF(ISNUMBER($C77),VLOOKUP($C77,Methuselahs!$Y$7:$Z$206,2,0),"")</f>
        <v/>
      </c>
      <c r="B77" s="174" t="str">
        <f>IF(ROW()-ROW($A$6)&lt;Methuselahs!$A$4,ROW()-ROW($A$5),"")</f>
        <v/>
      </c>
      <c r="C77" s="169" t="str">
        <f>IF(ISNUMBER($B77),VLOOKUP($B77,Methuselahs!$X$7:$Y$206,2,0),"")</f>
        <v/>
      </c>
      <c r="D77" s="177" t="str">
        <f>IF(ISNUMBER($C77),T(VLOOKUP($C77,Methuselahs!$A$7:$E$206,2,0))&amp;" "&amp;T(VLOOKUP($C77,Methuselahs!$A$7:$E$206,3,0)),"")</f>
        <v/>
      </c>
      <c r="E77" s="175" t="str">
        <f>IF(ISNUMBER($C77),VLOOKUP($C77,Methuselahs!$A$7:$I$206,COLUMN(Methuselahs!$H$6),0),"")</f>
        <v/>
      </c>
      <c r="F77" s="171" t="str">
        <f>IF(ISNUMBER($C77),VLOOKUP($C77,Methuselahs!$A$7:$I$206,COLUMN(Methuselahs!$I$6),0),"")</f>
        <v/>
      </c>
      <c r="G77" s="175"/>
      <c r="H77" s="176" t="str">
        <f>IF(ISNUMBER($C77),VLOOKUP($C77,Methuselahs!$A$7:$J$206,COLUMN(Methuselahs!$J$6),0),"")</f>
        <v/>
      </c>
    </row>
    <row r="78" spans="1:8" ht="15" x14ac:dyDescent="0.2">
      <c r="A78" s="173" t="str">
        <f>IF(ISNUMBER($C78),VLOOKUP($C78,Methuselahs!$Y$7:$Z$206,2,0),"")</f>
        <v/>
      </c>
      <c r="B78" s="174" t="str">
        <f>IF(ROW()-ROW($A$6)&lt;Methuselahs!$A$4,ROW()-ROW($A$5),"")</f>
        <v/>
      </c>
      <c r="C78" s="169" t="str">
        <f>IF(ISNUMBER($B78),VLOOKUP($B78,Methuselahs!$X$7:$Y$206,2,0),"")</f>
        <v/>
      </c>
      <c r="D78" s="177" t="str">
        <f>IF(ISNUMBER($C78),T(VLOOKUP($C78,Methuselahs!$A$7:$E$206,2,0))&amp;" "&amp;T(VLOOKUP($C78,Methuselahs!$A$7:$E$206,3,0)),"")</f>
        <v/>
      </c>
      <c r="E78" s="175" t="str">
        <f>IF(ISNUMBER($C78),VLOOKUP($C78,Methuselahs!$A$7:$I$206,COLUMN(Methuselahs!$H$6),0),"")</f>
        <v/>
      </c>
      <c r="F78" s="171" t="str">
        <f>IF(ISNUMBER($C78),VLOOKUP($C78,Methuselahs!$A$7:$I$206,COLUMN(Methuselahs!$I$6),0),"")</f>
        <v/>
      </c>
      <c r="G78" s="175"/>
      <c r="H78" s="176" t="str">
        <f>IF(ISNUMBER($C78),VLOOKUP($C78,Methuselahs!$A$7:$J$206,COLUMN(Methuselahs!$J$6),0),"")</f>
        <v/>
      </c>
    </row>
    <row r="79" spans="1:8" ht="15" x14ac:dyDescent="0.2">
      <c r="A79" s="173" t="str">
        <f>IF(ISNUMBER($C79),VLOOKUP($C79,Methuselahs!$Y$7:$Z$206,2,0),"")</f>
        <v/>
      </c>
      <c r="B79" s="174" t="str">
        <f>IF(ROW()-ROW($A$6)&lt;Methuselahs!$A$4,ROW()-ROW($A$5),"")</f>
        <v/>
      </c>
      <c r="C79" s="169" t="str">
        <f>IF(ISNUMBER($B79),VLOOKUP($B79,Methuselahs!$X$7:$Y$206,2,0),"")</f>
        <v/>
      </c>
      <c r="D79" s="177" t="str">
        <f>IF(ISNUMBER($C79),T(VLOOKUP($C79,Methuselahs!$A$7:$E$206,2,0))&amp;" "&amp;T(VLOOKUP($C79,Methuselahs!$A$7:$E$206,3,0)),"")</f>
        <v/>
      </c>
      <c r="E79" s="175" t="str">
        <f>IF(ISNUMBER($C79),VLOOKUP($C79,Methuselahs!$A$7:$I$206,COLUMN(Methuselahs!$H$6),0),"")</f>
        <v/>
      </c>
      <c r="F79" s="171" t="str">
        <f>IF(ISNUMBER($C79),VLOOKUP($C79,Methuselahs!$A$7:$I$206,COLUMN(Methuselahs!$I$6),0),"")</f>
        <v/>
      </c>
      <c r="G79" s="175"/>
      <c r="H79" s="176" t="str">
        <f>IF(ISNUMBER($C79),VLOOKUP($C79,Methuselahs!$A$7:$J$206,COLUMN(Methuselahs!$J$6),0),"")</f>
        <v/>
      </c>
    </row>
    <row r="80" spans="1:8" ht="15" x14ac:dyDescent="0.2">
      <c r="A80" s="173" t="str">
        <f>IF(ISNUMBER($C80),VLOOKUP($C80,Methuselahs!$Y$7:$Z$206,2,0),"")</f>
        <v/>
      </c>
      <c r="B80" s="174" t="str">
        <f>IF(ROW()-ROW($A$6)&lt;Methuselahs!$A$4,ROW()-ROW($A$5),"")</f>
        <v/>
      </c>
      <c r="C80" s="169" t="str">
        <f>IF(ISNUMBER($B80),VLOOKUP($B80,Methuselahs!$X$7:$Y$206,2,0),"")</f>
        <v/>
      </c>
      <c r="D80" s="177" t="str">
        <f>IF(ISNUMBER($C80),T(VLOOKUP($C80,Methuselahs!$A$7:$E$206,2,0))&amp;" "&amp;T(VLOOKUP($C80,Methuselahs!$A$7:$E$206,3,0)),"")</f>
        <v/>
      </c>
      <c r="E80" s="175" t="str">
        <f>IF(ISNUMBER($C80),VLOOKUP($C80,Methuselahs!$A$7:$I$206,COLUMN(Methuselahs!$H$6),0),"")</f>
        <v/>
      </c>
      <c r="F80" s="171" t="str">
        <f>IF(ISNUMBER($C80),VLOOKUP($C80,Methuselahs!$A$7:$I$206,COLUMN(Methuselahs!$I$6),0),"")</f>
        <v/>
      </c>
      <c r="G80" s="175"/>
      <c r="H80" s="176" t="str">
        <f>IF(ISNUMBER($C80),VLOOKUP($C80,Methuselahs!$A$7:$J$206,COLUMN(Methuselahs!$J$6),0),"")</f>
        <v/>
      </c>
    </row>
    <row r="81" spans="1:8" ht="15" x14ac:dyDescent="0.2">
      <c r="A81" s="173" t="str">
        <f>IF(ISNUMBER($C81),VLOOKUP($C81,Methuselahs!$Y$7:$Z$206,2,0),"")</f>
        <v/>
      </c>
      <c r="B81" s="174" t="str">
        <f>IF(ROW()-ROW($A$6)&lt;Methuselahs!$A$4,ROW()-ROW($A$5),"")</f>
        <v/>
      </c>
      <c r="C81" s="169" t="str">
        <f>IF(ISNUMBER($B81),VLOOKUP($B81,Methuselahs!$X$7:$Y$206,2,0),"")</f>
        <v/>
      </c>
      <c r="D81" s="177" t="str">
        <f>IF(ISNUMBER($C81),T(VLOOKUP($C81,Methuselahs!$A$7:$E$206,2,0))&amp;" "&amp;T(VLOOKUP($C81,Methuselahs!$A$7:$E$206,3,0)),"")</f>
        <v/>
      </c>
      <c r="E81" s="175" t="str">
        <f>IF(ISNUMBER($C81),VLOOKUP($C81,Methuselahs!$A$7:$I$206,COLUMN(Methuselahs!$H$6),0),"")</f>
        <v/>
      </c>
      <c r="F81" s="171" t="str">
        <f>IF(ISNUMBER($C81),VLOOKUP($C81,Methuselahs!$A$7:$I$206,COLUMN(Methuselahs!$I$6),0),"")</f>
        <v/>
      </c>
      <c r="G81" s="175"/>
      <c r="H81" s="176" t="str">
        <f>IF(ISNUMBER($C81),VLOOKUP($C81,Methuselahs!$A$7:$J$206,COLUMN(Methuselahs!$J$6),0),"")</f>
        <v/>
      </c>
    </row>
    <row r="82" spans="1:8" ht="15" x14ac:dyDescent="0.2">
      <c r="A82" s="173" t="str">
        <f>IF(ISNUMBER($C82),VLOOKUP($C82,Methuselahs!$Y$7:$Z$206,2,0),"")</f>
        <v/>
      </c>
      <c r="B82" s="174" t="str">
        <f>IF(ROW()-ROW($A$6)&lt;Methuselahs!$A$4,ROW()-ROW($A$5),"")</f>
        <v/>
      </c>
      <c r="C82" s="169" t="str">
        <f>IF(ISNUMBER($B82),VLOOKUP($B82,Methuselahs!$X$7:$Y$206,2,0),"")</f>
        <v/>
      </c>
      <c r="D82" s="177" t="str">
        <f>IF(ISNUMBER($C82),T(VLOOKUP($C82,Methuselahs!$A$7:$E$206,2,0))&amp;" "&amp;T(VLOOKUP($C82,Methuselahs!$A$7:$E$206,3,0)),"")</f>
        <v/>
      </c>
      <c r="E82" s="175" t="str">
        <f>IF(ISNUMBER($C82),VLOOKUP($C82,Methuselahs!$A$7:$I$206,COLUMN(Methuselahs!$H$6),0),"")</f>
        <v/>
      </c>
      <c r="F82" s="171" t="str">
        <f>IF(ISNUMBER($C82),VLOOKUP($C82,Methuselahs!$A$7:$I$206,COLUMN(Methuselahs!$I$6),0),"")</f>
        <v/>
      </c>
      <c r="G82" s="175"/>
      <c r="H82" s="176" t="str">
        <f>IF(ISNUMBER($C82),VLOOKUP($C82,Methuselahs!$A$7:$J$206,COLUMN(Methuselahs!$J$6),0),"")</f>
        <v/>
      </c>
    </row>
    <row r="83" spans="1:8" ht="15" x14ac:dyDescent="0.2">
      <c r="A83" s="173" t="str">
        <f>IF(ISNUMBER($C83),VLOOKUP($C83,Methuselahs!$Y$7:$Z$206,2,0),"")</f>
        <v/>
      </c>
      <c r="B83" s="174" t="str">
        <f>IF(ROW()-ROW($A$6)&lt;Methuselahs!$A$4,ROW()-ROW($A$5),"")</f>
        <v/>
      </c>
      <c r="C83" s="169" t="str">
        <f>IF(ISNUMBER($B83),VLOOKUP($B83,Methuselahs!$X$7:$Y$206,2,0),"")</f>
        <v/>
      </c>
      <c r="D83" s="177" t="str">
        <f>IF(ISNUMBER($C83),T(VLOOKUP($C83,Methuselahs!$A$7:$E$206,2,0))&amp;" "&amp;T(VLOOKUP($C83,Methuselahs!$A$7:$E$206,3,0)),"")</f>
        <v/>
      </c>
      <c r="E83" s="175" t="str">
        <f>IF(ISNUMBER($C83),VLOOKUP($C83,Methuselahs!$A$7:$I$206,COLUMN(Methuselahs!$H$6),0),"")</f>
        <v/>
      </c>
      <c r="F83" s="171" t="str">
        <f>IF(ISNUMBER($C83),VLOOKUP($C83,Methuselahs!$A$7:$I$206,COLUMN(Methuselahs!$I$6),0),"")</f>
        <v/>
      </c>
      <c r="G83" s="175"/>
      <c r="H83" s="176" t="str">
        <f>IF(ISNUMBER($C83),VLOOKUP($C83,Methuselahs!$A$7:$J$206,COLUMN(Methuselahs!$J$6),0),"")</f>
        <v/>
      </c>
    </row>
    <row r="84" spans="1:8" ht="15" x14ac:dyDescent="0.2">
      <c r="A84" s="173" t="str">
        <f>IF(ISNUMBER($C84),VLOOKUP($C84,Methuselahs!$Y$7:$Z$206,2,0),"")</f>
        <v/>
      </c>
      <c r="B84" s="174" t="str">
        <f>IF(ROW()-ROW($A$6)&lt;Methuselahs!$A$4,ROW()-ROW($A$5),"")</f>
        <v/>
      </c>
      <c r="C84" s="169" t="str">
        <f>IF(ISNUMBER($B84),VLOOKUP($B84,Methuselahs!$X$7:$Y$206,2,0),"")</f>
        <v/>
      </c>
      <c r="D84" s="177" t="str">
        <f>IF(ISNUMBER($C84),T(VLOOKUP($C84,Methuselahs!$A$7:$E$206,2,0))&amp;" "&amp;T(VLOOKUP($C84,Methuselahs!$A$7:$E$206,3,0)),"")</f>
        <v/>
      </c>
      <c r="E84" s="175" t="str">
        <f>IF(ISNUMBER($C84),VLOOKUP($C84,Methuselahs!$A$7:$I$206,COLUMN(Methuselahs!$H$6),0),"")</f>
        <v/>
      </c>
      <c r="F84" s="171" t="str">
        <f>IF(ISNUMBER($C84),VLOOKUP($C84,Methuselahs!$A$7:$I$206,COLUMN(Methuselahs!$I$6),0),"")</f>
        <v/>
      </c>
      <c r="G84" s="175"/>
      <c r="H84" s="176" t="str">
        <f>IF(ISNUMBER($C84),VLOOKUP($C84,Methuselahs!$A$7:$J$206,COLUMN(Methuselahs!$J$6),0),"")</f>
        <v/>
      </c>
    </row>
    <row r="85" spans="1:8" ht="15" x14ac:dyDescent="0.2">
      <c r="A85" s="173" t="str">
        <f>IF(ISNUMBER($C85),VLOOKUP($C85,Methuselahs!$Y$7:$Z$206,2,0),"")</f>
        <v/>
      </c>
      <c r="B85" s="174" t="str">
        <f>IF(ROW()-ROW($A$6)&lt;Methuselahs!$A$4,ROW()-ROW($A$5),"")</f>
        <v/>
      </c>
      <c r="C85" s="169" t="str">
        <f>IF(ISNUMBER($B85),VLOOKUP($B85,Methuselahs!$X$7:$Y$206,2,0),"")</f>
        <v/>
      </c>
      <c r="D85" s="177" t="str">
        <f>IF(ISNUMBER($C85),T(VLOOKUP($C85,Methuselahs!$A$7:$E$206,2,0))&amp;" "&amp;T(VLOOKUP($C85,Methuselahs!$A$7:$E$206,3,0)),"")</f>
        <v/>
      </c>
      <c r="E85" s="175" t="str">
        <f>IF(ISNUMBER($C85),VLOOKUP($C85,Methuselahs!$A$7:$I$206,COLUMN(Methuselahs!$H$6),0),"")</f>
        <v/>
      </c>
      <c r="F85" s="171" t="str">
        <f>IF(ISNUMBER($C85),VLOOKUP($C85,Methuselahs!$A$7:$I$206,COLUMN(Methuselahs!$I$6),0),"")</f>
        <v/>
      </c>
      <c r="G85" s="175"/>
      <c r="H85" s="176" t="str">
        <f>IF(ISNUMBER($C85),VLOOKUP($C85,Methuselahs!$A$7:$J$206,COLUMN(Methuselahs!$J$6),0),"")</f>
        <v/>
      </c>
    </row>
    <row r="86" spans="1:8" ht="15" x14ac:dyDescent="0.2">
      <c r="A86" s="173" t="str">
        <f>IF(ISNUMBER($C86),VLOOKUP($C86,Methuselahs!$Y$7:$Z$206,2,0),"")</f>
        <v/>
      </c>
      <c r="B86" s="174" t="str">
        <f>IF(ROW()-ROW($A$6)&lt;Methuselahs!$A$4,ROW()-ROW($A$5),"")</f>
        <v/>
      </c>
      <c r="C86" s="169" t="str">
        <f>IF(ISNUMBER($B86),VLOOKUP($B86,Methuselahs!$X$7:$Y$206,2,0),"")</f>
        <v/>
      </c>
      <c r="D86" s="177" t="str">
        <f>IF(ISNUMBER($C86),T(VLOOKUP($C86,Methuselahs!$A$7:$E$206,2,0))&amp;" "&amp;T(VLOOKUP($C86,Methuselahs!$A$7:$E$206,3,0)),"")</f>
        <v/>
      </c>
      <c r="E86" s="175" t="str">
        <f>IF(ISNUMBER($C86),VLOOKUP($C86,Methuselahs!$A$7:$I$206,COLUMN(Methuselahs!$H$6),0),"")</f>
        <v/>
      </c>
      <c r="F86" s="171" t="str">
        <f>IF(ISNUMBER($C86),VLOOKUP($C86,Methuselahs!$A$7:$I$206,COLUMN(Methuselahs!$I$6),0),"")</f>
        <v/>
      </c>
      <c r="G86" s="175"/>
      <c r="H86" s="176" t="str">
        <f>IF(ISNUMBER($C86),VLOOKUP($C86,Methuselahs!$A$7:$J$206,COLUMN(Methuselahs!$J$6),0),"")</f>
        <v/>
      </c>
    </row>
    <row r="87" spans="1:8" ht="15" x14ac:dyDescent="0.2">
      <c r="A87" s="173" t="str">
        <f>IF(ISNUMBER($C87),VLOOKUP($C87,Methuselahs!$Y$7:$Z$206,2,0),"")</f>
        <v/>
      </c>
      <c r="B87" s="174" t="str">
        <f>IF(ROW()-ROW($A$6)&lt;Methuselahs!$A$4,ROW()-ROW($A$5),"")</f>
        <v/>
      </c>
      <c r="C87" s="169" t="str">
        <f>IF(ISNUMBER($B87),VLOOKUP($B87,Methuselahs!$X$7:$Y$206,2,0),"")</f>
        <v/>
      </c>
      <c r="D87" s="177" t="str">
        <f>IF(ISNUMBER($C87),T(VLOOKUP($C87,Methuselahs!$A$7:$E$206,2,0))&amp;" "&amp;T(VLOOKUP($C87,Methuselahs!$A$7:$E$206,3,0)),"")</f>
        <v/>
      </c>
      <c r="E87" s="175" t="str">
        <f>IF(ISNUMBER($C87),VLOOKUP($C87,Methuselahs!$A$7:$I$206,COLUMN(Methuselahs!$H$6),0),"")</f>
        <v/>
      </c>
      <c r="F87" s="171" t="str">
        <f>IF(ISNUMBER($C87),VLOOKUP($C87,Methuselahs!$A$7:$I$206,COLUMN(Methuselahs!$I$6),0),"")</f>
        <v/>
      </c>
      <c r="G87" s="175"/>
      <c r="H87" s="176" t="str">
        <f>IF(ISNUMBER($C87),VLOOKUP($C87,Methuselahs!$A$7:$J$206,COLUMN(Methuselahs!$J$6),0),"")</f>
        <v/>
      </c>
    </row>
    <row r="88" spans="1:8" ht="15" x14ac:dyDescent="0.2">
      <c r="A88" s="173" t="str">
        <f>IF(ISNUMBER($C88),VLOOKUP($C88,Methuselahs!$Y$7:$Z$206,2,0),"")</f>
        <v/>
      </c>
      <c r="B88" s="174" t="str">
        <f>IF(ROW()-ROW($A$6)&lt;Methuselahs!$A$4,ROW()-ROW($A$5),"")</f>
        <v/>
      </c>
      <c r="C88" s="169" t="str">
        <f>IF(ISNUMBER($B88),VLOOKUP($B88,Methuselahs!$X$7:$Y$206,2,0),"")</f>
        <v/>
      </c>
      <c r="D88" s="177" t="str">
        <f>IF(ISNUMBER($C88),T(VLOOKUP($C88,Methuselahs!$A$7:$E$206,2,0))&amp;" "&amp;T(VLOOKUP($C88,Methuselahs!$A$7:$E$206,3,0)),"")</f>
        <v/>
      </c>
      <c r="E88" s="175" t="str">
        <f>IF(ISNUMBER($C88),VLOOKUP($C88,Methuselahs!$A$7:$I$206,COLUMN(Methuselahs!$H$6),0),"")</f>
        <v/>
      </c>
      <c r="F88" s="171" t="str">
        <f>IF(ISNUMBER($C88),VLOOKUP($C88,Methuselahs!$A$7:$I$206,COLUMN(Methuselahs!$I$6),0),"")</f>
        <v/>
      </c>
      <c r="G88" s="175"/>
      <c r="H88" s="176" t="str">
        <f>IF(ISNUMBER($C88),VLOOKUP($C88,Methuselahs!$A$7:$J$206,COLUMN(Methuselahs!$J$6),0),"")</f>
        <v/>
      </c>
    </row>
    <row r="89" spans="1:8" ht="15" x14ac:dyDescent="0.2">
      <c r="A89" s="173" t="str">
        <f>IF(ISNUMBER($C89),VLOOKUP($C89,Methuselahs!$Y$7:$Z$206,2,0),"")</f>
        <v/>
      </c>
      <c r="B89" s="174" t="str">
        <f>IF(ROW()-ROW($A$6)&lt;Methuselahs!$A$4,ROW()-ROW($A$5),"")</f>
        <v/>
      </c>
      <c r="C89" s="169" t="str">
        <f>IF(ISNUMBER($B89),VLOOKUP($B89,Methuselahs!$X$7:$Y$206,2,0),"")</f>
        <v/>
      </c>
      <c r="D89" s="177" t="str">
        <f>IF(ISNUMBER($C89),T(VLOOKUP($C89,Methuselahs!$A$7:$E$206,2,0))&amp;" "&amp;T(VLOOKUP($C89,Methuselahs!$A$7:$E$206,3,0)),"")</f>
        <v/>
      </c>
      <c r="E89" s="175" t="str">
        <f>IF(ISNUMBER($C89),VLOOKUP($C89,Methuselahs!$A$7:$I$206,COLUMN(Methuselahs!$H$6),0),"")</f>
        <v/>
      </c>
      <c r="F89" s="171" t="str">
        <f>IF(ISNUMBER($C89),VLOOKUP($C89,Methuselahs!$A$7:$I$206,COLUMN(Methuselahs!$I$6),0),"")</f>
        <v/>
      </c>
      <c r="G89" s="175"/>
      <c r="H89" s="176" t="str">
        <f>IF(ISNUMBER($C89),VLOOKUP($C89,Methuselahs!$A$7:$J$206,COLUMN(Methuselahs!$J$6),0),"")</f>
        <v/>
      </c>
    </row>
    <row r="90" spans="1:8" ht="15" x14ac:dyDescent="0.2">
      <c r="A90" s="173" t="str">
        <f>IF(ISNUMBER($C90),VLOOKUP($C90,Methuselahs!$Y$7:$Z$206,2,0),"")</f>
        <v/>
      </c>
      <c r="B90" s="174" t="str">
        <f>IF(ROW()-ROW($A$6)&lt;Methuselahs!$A$4,ROW()-ROW($A$5),"")</f>
        <v/>
      </c>
      <c r="C90" s="169" t="str">
        <f>IF(ISNUMBER($B90),VLOOKUP($B90,Methuselahs!$X$7:$Y$206,2,0),"")</f>
        <v/>
      </c>
      <c r="D90" s="177" t="str">
        <f>IF(ISNUMBER($C90),T(VLOOKUP($C90,Methuselahs!$A$7:$E$206,2,0))&amp;" "&amp;T(VLOOKUP($C90,Methuselahs!$A$7:$E$206,3,0)),"")</f>
        <v/>
      </c>
      <c r="E90" s="175" t="str">
        <f>IF(ISNUMBER($C90),VLOOKUP($C90,Methuselahs!$A$7:$I$206,COLUMN(Methuselahs!$H$6),0),"")</f>
        <v/>
      </c>
      <c r="F90" s="171" t="str">
        <f>IF(ISNUMBER($C90),VLOOKUP($C90,Methuselahs!$A$7:$I$206,COLUMN(Methuselahs!$I$6),0),"")</f>
        <v/>
      </c>
      <c r="G90" s="175"/>
      <c r="H90" s="176" t="str">
        <f>IF(ISNUMBER($C90),VLOOKUP($C90,Methuselahs!$A$7:$J$206,COLUMN(Methuselahs!$J$6),0),"")</f>
        <v/>
      </c>
    </row>
    <row r="91" spans="1:8" ht="15" x14ac:dyDescent="0.2">
      <c r="A91" s="173" t="str">
        <f>IF(ISNUMBER($C91),VLOOKUP($C91,Methuselahs!$Y$7:$Z$206,2,0),"")</f>
        <v/>
      </c>
      <c r="B91" s="174" t="str">
        <f>IF(ROW()-ROW($A$6)&lt;Methuselahs!$A$4,ROW()-ROW($A$5),"")</f>
        <v/>
      </c>
      <c r="C91" s="169" t="str">
        <f>IF(ISNUMBER($B91),VLOOKUP($B91,Methuselahs!$X$7:$Y$206,2,0),"")</f>
        <v/>
      </c>
      <c r="D91" s="177" t="str">
        <f>IF(ISNUMBER($C91),T(VLOOKUP($C91,Methuselahs!$A$7:$E$206,2,0))&amp;" "&amp;T(VLOOKUP($C91,Methuselahs!$A$7:$E$206,3,0)),"")</f>
        <v/>
      </c>
      <c r="E91" s="175" t="str">
        <f>IF(ISNUMBER($C91),VLOOKUP($C91,Methuselahs!$A$7:$I$206,COLUMN(Methuselahs!$H$6),0),"")</f>
        <v/>
      </c>
      <c r="F91" s="171" t="str">
        <f>IF(ISNUMBER($C91),VLOOKUP($C91,Methuselahs!$A$7:$I$206,COLUMN(Methuselahs!$I$6),0),"")</f>
        <v/>
      </c>
      <c r="G91" s="175"/>
      <c r="H91" s="176" t="str">
        <f>IF(ISNUMBER($C91),VLOOKUP($C91,Methuselahs!$A$7:$J$206,COLUMN(Methuselahs!$J$6),0),"")</f>
        <v/>
      </c>
    </row>
    <row r="92" spans="1:8" ht="15" x14ac:dyDescent="0.2">
      <c r="A92" s="173" t="str">
        <f>IF(ISNUMBER($C92),VLOOKUP($C92,Methuselahs!$Y$7:$Z$206,2,0),"")</f>
        <v/>
      </c>
      <c r="B92" s="174" t="str">
        <f>IF(ROW()-ROW($A$6)&lt;Methuselahs!$A$4,ROW()-ROW($A$5),"")</f>
        <v/>
      </c>
      <c r="C92" s="169" t="str">
        <f>IF(ISNUMBER($B92),VLOOKUP($B92,Methuselahs!$X$7:$Y$206,2,0),"")</f>
        <v/>
      </c>
      <c r="D92" s="177" t="str">
        <f>IF(ISNUMBER($C92),T(VLOOKUP($C92,Methuselahs!$A$7:$E$206,2,0))&amp;" "&amp;T(VLOOKUP($C92,Methuselahs!$A$7:$E$206,3,0)),"")</f>
        <v/>
      </c>
      <c r="E92" s="175" t="str">
        <f>IF(ISNUMBER($C92),VLOOKUP($C92,Methuselahs!$A$7:$I$206,COLUMN(Methuselahs!$H$6),0),"")</f>
        <v/>
      </c>
      <c r="F92" s="171" t="str">
        <f>IF(ISNUMBER($C92),VLOOKUP($C92,Methuselahs!$A$7:$I$206,COLUMN(Methuselahs!$I$6),0),"")</f>
        <v/>
      </c>
      <c r="G92" s="175"/>
      <c r="H92" s="176" t="str">
        <f>IF(ISNUMBER($C92),VLOOKUP($C92,Methuselahs!$A$7:$J$206,COLUMN(Methuselahs!$J$6),0),"")</f>
        <v/>
      </c>
    </row>
    <row r="93" spans="1:8" ht="15" x14ac:dyDescent="0.2">
      <c r="A93" s="173" t="str">
        <f>IF(ISNUMBER($C93),VLOOKUP($C93,Methuselahs!$Y$7:$Z$206,2,0),"")</f>
        <v/>
      </c>
      <c r="B93" s="174" t="str">
        <f>IF(ROW()-ROW($A$6)&lt;Methuselahs!$A$4,ROW()-ROW($A$5),"")</f>
        <v/>
      </c>
      <c r="C93" s="169" t="str">
        <f>IF(ISNUMBER($B93),VLOOKUP($B93,Methuselahs!$X$7:$Y$206,2,0),"")</f>
        <v/>
      </c>
      <c r="D93" s="177" t="str">
        <f>IF(ISNUMBER($C93),T(VLOOKUP($C93,Methuselahs!$A$7:$E$206,2,0))&amp;" "&amp;T(VLOOKUP($C93,Methuselahs!$A$7:$E$206,3,0)),"")</f>
        <v/>
      </c>
      <c r="E93" s="175" t="str">
        <f>IF(ISNUMBER($C93),VLOOKUP($C93,Methuselahs!$A$7:$I$206,COLUMN(Methuselahs!$H$6),0),"")</f>
        <v/>
      </c>
      <c r="F93" s="171" t="str">
        <f>IF(ISNUMBER($C93),VLOOKUP($C93,Methuselahs!$A$7:$I$206,COLUMN(Methuselahs!$I$6),0),"")</f>
        <v/>
      </c>
      <c r="G93" s="175"/>
      <c r="H93" s="176" t="str">
        <f>IF(ISNUMBER($C93),VLOOKUP($C93,Methuselahs!$A$7:$J$206,COLUMN(Methuselahs!$J$6),0),"")</f>
        <v/>
      </c>
    </row>
    <row r="94" spans="1:8" ht="15" x14ac:dyDescent="0.2">
      <c r="A94" s="173" t="str">
        <f>IF(ISNUMBER($C94),VLOOKUP($C94,Methuselahs!$Y$7:$Z$206,2,0),"")</f>
        <v/>
      </c>
      <c r="B94" s="174" t="str">
        <f>IF(ROW()-ROW($A$6)&lt;Methuselahs!$A$4,ROW()-ROW($A$5),"")</f>
        <v/>
      </c>
      <c r="C94" s="169" t="str">
        <f>IF(ISNUMBER($B94),VLOOKUP($B94,Methuselahs!$X$7:$Y$206,2,0),"")</f>
        <v/>
      </c>
      <c r="D94" s="177" t="str">
        <f>IF(ISNUMBER($C94),T(VLOOKUP($C94,Methuselahs!$A$7:$E$206,2,0))&amp;" "&amp;T(VLOOKUP($C94,Methuselahs!$A$7:$E$206,3,0)),"")</f>
        <v/>
      </c>
      <c r="E94" s="175" t="str">
        <f>IF(ISNUMBER($C94),VLOOKUP($C94,Methuselahs!$A$7:$I$206,COLUMN(Methuselahs!$H$6),0),"")</f>
        <v/>
      </c>
      <c r="F94" s="171" t="str">
        <f>IF(ISNUMBER($C94),VLOOKUP($C94,Methuselahs!$A$7:$I$206,COLUMN(Methuselahs!$I$6),0),"")</f>
        <v/>
      </c>
      <c r="G94" s="175"/>
      <c r="H94" s="176" t="str">
        <f>IF(ISNUMBER($C94),VLOOKUP($C94,Methuselahs!$A$7:$J$206,COLUMN(Methuselahs!$J$6),0),"")</f>
        <v/>
      </c>
    </row>
    <row r="95" spans="1:8" ht="15" x14ac:dyDescent="0.2">
      <c r="A95" s="173" t="str">
        <f>IF(ISNUMBER($C95),VLOOKUP($C95,Methuselahs!$Y$7:$Z$206,2,0),"")</f>
        <v/>
      </c>
      <c r="B95" s="174" t="str">
        <f>IF(ROW()-ROW($A$6)&lt;Methuselahs!$A$4,ROW()-ROW($A$5),"")</f>
        <v/>
      </c>
      <c r="C95" s="169" t="str">
        <f>IF(ISNUMBER($B95),VLOOKUP($B95,Methuselahs!$X$7:$Y$206,2,0),"")</f>
        <v/>
      </c>
      <c r="D95" s="177" t="str">
        <f>IF(ISNUMBER($C95),T(VLOOKUP($C95,Methuselahs!$A$7:$E$206,2,0))&amp;" "&amp;T(VLOOKUP($C95,Methuselahs!$A$7:$E$206,3,0)),"")</f>
        <v/>
      </c>
      <c r="E95" s="175" t="str">
        <f>IF(ISNUMBER($C95),VLOOKUP($C95,Methuselahs!$A$7:$I$206,COLUMN(Methuselahs!$H$6),0),"")</f>
        <v/>
      </c>
      <c r="F95" s="171" t="str">
        <f>IF(ISNUMBER($C95),VLOOKUP($C95,Methuselahs!$A$7:$I$206,COLUMN(Methuselahs!$I$6),0),"")</f>
        <v/>
      </c>
      <c r="G95" s="175"/>
      <c r="H95" s="176" t="str">
        <f>IF(ISNUMBER($C95),VLOOKUP($C95,Methuselahs!$A$7:$J$206,COLUMN(Methuselahs!$J$6),0),"")</f>
        <v/>
      </c>
    </row>
    <row r="96" spans="1:8" ht="15" x14ac:dyDescent="0.2">
      <c r="A96" s="173" t="str">
        <f>IF(ISNUMBER($C96),VLOOKUP($C96,Methuselahs!$Y$7:$Z$206,2,0),"")</f>
        <v/>
      </c>
      <c r="B96" s="174" t="str">
        <f>IF(ROW()-ROW($A$6)&lt;Methuselahs!$A$4,ROW()-ROW($A$5),"")</f>
        <v/>
      </c>
      <c r="C96" s="169" t="str">
        <f>IF(ISNUMBER($B96),VLOOKUP($B96,Methuselahs!$X$7:$Y$206,2,0),"")</f>
        <v/>
      </c>
      <c r="D96" s="177" t="str">
        <f>IF(ISNUMBER($C96),T(VLOOKUP($C96,Methuselahs!$A$7:$E$206,2,0))&amp;" "&amp;T(VLOOKUP($C96,Methuselahs!$A$7:$E$206,3,0)),"")</f>
        <v/>
      </c>
      <c r="E96" s="175" t="str">
        <f>IF(ISNUMBER($C96),VLOOKUP($C96,Methuselahs!$A$7:$I$206,COLUMN(Methuselahs!$H$6),0),"")</f>
        <v/>
      </c>
      <c r="F96" s="171" t="str">
        <f>IF(ISNUMBER($C96),VLOOKUP($C96,Methuselahs!$A$7:$I$206,COLUMN(Methuselahs!$I$6),0),"")</f>
        <v/>
      </c>
      <c r="G96" s="175"/>
      <c r="H96" s="176" t="str">
        <f>IF(ISNUMBER($C96),VLOOKUP($C96,Methuselahs!$A$7:$J$206,COLUMN(Methuselahs!$J$6),0),"")</f>
        <v/>
      </c>
    </row>
    <row r="97" spans="1:8" ht="15" x14ac:dyDescent="0.2">
      <c r="A97" s="173" t="str">
        <f>IF(ISNUMBER($C97),VLOOKUP($C97,Methuselahs!$Y$7:$Z$206,2,0),"")</f>
        <v/>
      </c>
      <c r="B97" s="174" t="str">
        <f>IF(ROW()-ROW($A$6)&lt;Methuselahs!$A$4,ROW()-ROW($A$5),"")</f>
        <v/>
      </c>
      <c r="C97" s="169" t="str">
        <f>IF(ISNUMBER($B97),VLOOKUP($B97,Methuselahs!$X$7:$Y$206,2,0),"")</f>
        <v/>
      </c>
      <c r="D97" s="177" t="str">
        <f>IF(ISNUMBER($C97),T(VLOOKUP($C97,Methuselahs!$A$7:$E$206,2,0))&amp;" "&amp;T(VLOOKUP($C97,Methuselahs!$A$7:$E$206,3,0)),"")</f>
        <v/>
      </c>
      <c r="E97" s="175" t="str">
        <f>IF(ISNUMBER($C97),VLOOKUP($C97,Methuselahs!$A$7:$I$206,COLUMN(Methuselahs!$H$6),0),"")</f>
        <v/>
      </c>
      <c r="F97" s="171" t="str">
        <f>IF(ISNUMBER($C97),VLOOKUP($C97,Methuselahs!$A$7:$I$206,COLUMN(Methuselahs!$I$6),0),"")</f>
        <v/>
      </c>
      <c r="G97" s="175"/>
      <c r="H97" s="176" t="str">
        <f>IF(ISNUMBER($C97),VLOOKUP($C97,Methuselahs!$A$7:$J$206,COLUMN(Methuselahs!$J$6),0),"")</f>
        <v/>
      </c>
    </row>
    <row r="98" spans="1:8" ht="15" x14ac:dyDescent="0.2">
      <c r="A98" s="173" t="str">
        <f>IF(ISNUMBER($C98),VLOOKUP($C98,Methuselahs!$Y$7:$Z$206,2,0),"")</f>
        <v/>
      </c>
      <c r="B98" s="174" t="str">
        <f>IF(ROW()-ROW($A$6)&lt;Methuselahs!$A$4,ROW()-ROW($A$5),"")</f>
        <v/>
      </c>
      <c r="C98" s="169" t="str">
        <f>IF(ISNUMBER($B98),VLOOKUP($B98,Methuselahs!$X$7:$Y$206,2,0),"")</f>
        <v/>
      </c>
      <c r="D98" s="177" t="str">
        <f>IF(ISNUMBER($C98),T(VLOOKUP($C98,Methuselahs!$A$7:$E$206,2,0))&amp;" "&amp;T(VLOOKUP($C98,Methuselahs!$A$7:$E$206,3,0)),"")</f>
        <v/>
      </c>
      <c r="E98" s="175" t="str">
        <f>IF(ISNUMBER($C98),VLOOKUP($C98,Methuselahs!$A$7:$I$206,COLUMN(Methuselahs!$H$6),0),"")</f>
        <v/>
      </c>
      <c r="F98" s="171" t="str">
        <f>IF(ISNUMBER($C98),VLOOKUP($C98,Methuselahs!$A$7:$I$206,COLUMN(Methuselahs!$I$6),0),"")</f>
        <v/>
      </c>
      <c r="G98" s="175"/>
      <c r="H98" s="176" t="str">
        <f>IF(ISNUMBER($C98),VLOOKUP($C98,Methuselahs!$A$7:$J$206,COLUMN(Methuselahs!$J$6),0),"")</f>
        <v/>
      </c>
    </row>
    <row r="99" spans="1:8" ht="15" x14ac:dyDescent="0.2">
      <c r="A99" s="173" t="str">
        <f>IF(ISNUMBER($C99),VLOOKUP($C99,Methuselahs!$Y$7:$Z$206,2,0),"")</f>
        <v/>
      </c>
      <c r="B99" s="174" t="str">
        <f>IF(ROW()-ROW($A$6)&lt;Methuselahs!$A$4,ROW()-ROW($A$5),"")</f>
        <v/>
      </c>
      <c r="C99" s="169" t="str">
        <f>IF(ISNUMBER($B99),VLOOKUP($B99,Methuselahs!$X$7:$Y$206,2,0),"")</f>
        <v/>
      </c>
      <c r="D99" s="177" t="str">
        <f>IF(ISNUMBER($C99),T(VLOOKUP($C99,Methuselahs!$A$7:$E$206,2,0))&amp;" "&amp;T(VLOOKUP($C99,Methuselahs!$A$7:$E$206,3,0)),"")</f>
        <v/>
      </c>
      <c r="E99" s="175" t="str">
        <f>IF(ISNUMBER($C99),VLOOKUP($C99,Methuselahs!$A$7:$I$206,COLUMN(Methuselahs!$H$6),0),"")</f>
        <v/>
      </c>
      <c r="F99" s="171" t="str">
        <f>IF(ISNUMBER($C99),VLOOKUP($C99,Methuselahs!$A$7:$I$206,COLUMN(Methuselahs!$I$6),0),"")</f>
        <v/>
      </c>
      <c r="G99" s="175"/>
      <c r="H99" s="176" t="str">
        <f>IF(ISNUMBER($C99),VLOOKUP($C99,Methuselahs!$A$7:$J$206,COLUMN(Methuselahs!$J$6),0),"")</f>
        <v/>
      </c>
    </row>
    <row r="100" spans="1:8" ht="15" x14ac:dyDescent="0.2">
      <c r="A100" s="173" t="str">
        <f>IF(ISNUMBER($C100),VLOOKUP($C100,Methuselahs!$Y$7:$Z$206,2,0),"")</f>
        <v/>
      </c>
      <c r="B100" s="174" t="str">
        <f>IF(ROW()-ROW($A$6)&lt;Methuselahs!$A$4,ROW()-ROW($A$5),"")</f>
        <v/>
      </c>
      <c r="C100" s="169" t="str">
        <f>IF(ISNUMBER($B100),VLOOKUP($B100,Methuselahs!$X$7:$Y$206,2,0),"")</f>
        <v/>
      </c>
      <c r="D100" s="177" t="str">
        <f>IF(ISNUMBER($C100),T(VLOOKUP($C100,Methuselahs!$A$7:$E$206,2,0))&amp;" "&amp;T(VLOOKUP($C100,Methuselahs!$A$7:$E$206,3,0)),"")</f>
        <v/>
      </c>
      <c r="E100" s="175" t="str">
        <f>IF(ISNUMBER($C100),VLOOKUP($C100,Methuselahs!$A$7:$I$206,COLUMN(Methuselahs!$H$6),0),"")</f>
        <v/>
      </c>
      <c r="F100" s="171" t="str">
        <f>IF(ISNUMBER($C100),VLOOKUP($C100,Methuselahs!$A$7:$I$206,COLUMN(Methuselahs!$I$6),0),"")</f>
        <v/>
      </c>
      <c r="G100" s="175"/>
      <c r="H100" s="176" t="str">
        <f>IF(ISNUMBER($C100),VLOOKUP($C100,Methuselahs!$A$7:$J$206,COLUMN(Methuselahs!$J$6),0),"")</f>
        <v/>
      </c>
    </row>
    <row r="101" spans="1:8" ht="15" x14ac:dyDescent="0.2">
      <c r="A101" s="173" t="str">
        <f>IF(ISNUMBER($C101),VLOOKUP($C101,Methuselahs!$Y$7:$Z$206,2,0),"")</f>
        <v/>
      </c>
      <c r="B101" s="174" t="str">
        <f>IF(ROW()-ROW($A$6)&lt;Methuselahs!$A$4,ROW()-ROW($A$5),"")</f>
        <v/>
      </c>
      <c r="C101" s="169" t="str">
        <f>IF(ISNUMBER($B101),VLOOKUP($B101,Methuselahs!$X$7:$Y$206,2,0),"")</f>
        <v/>
      </c>
      <c r="D101" s="177" t="str">
        <f>IF(ISNUMBER($C101),T(VLOOKUP($C101,Methuselahs!$A$7:$E$206,2,0))&amp;" "&amp;T(VLOOKUP($C101,Methuselahs!$A$7:$E$206,3,0)),"")</f>
        <v/>
      </c>
      <c r="E101" s="175" t="str">
        <f>IF(ISNUMBER($C101),VLOOKUP($C101,Methuselahs!$A$7:$I$206,COLUMN(Methuselahs!$H$6),0),"")</f>
        <v/>
      </c>
      <c r="F101" s="171" t="str">
        <f>IF(ISNUMBER($C101),VLOOKUP($C101,Methuselahs!$A$7:$I$206,COLUMN(Methuselahs!$I$6),0),"")</f>
        <v/>
      </c>
      <c r="G101" s="175"/>
      <c r="H101" s="176" t="str">
        <f>IF(ISNUMBER($C101),VLOOKUP($C101,Methuselahs!$A$7:$J$206,COLUMN(Methuselahs!$J$6),0),"")</f>
        <v/>
      </c>
    </row>
    <row r="102" spans="1:8" ht="15" x14ac:dyDescent="0.2">
      <c r="A102" s="173" t="str">
        <f>IF(ISNUMBER($C102),VLOOKUP($C102,Methuselahs!$Y$7:$Z$206,2,0),"")</f>
        <v/>
      </c>
      <c r="B102" s="174" t="str">
        <f>IF(ROW()-ROW($A$6)&lt;Methuselahs!$A$4,ROW()-ROW($A$5),"")</f>
        <v/>
      </c>
      <c r="C102" s="169" t="str">
        <f>IF(ISNUMBER($B102),VLOOKUP($B102,Methuselahs!$X$7:$Y$206,2,0),"")</f>
        <v/>
      </c>
      <c r="D102" s="177" t="str">
        <f>IF(ISNUMBER($C102),T(VLOOKUP($C102,Methuselahs!$A$7:$E$206,2,0))&amp;" "&amp;T(VLOOKUP($C102,Methuselahs!$A$7:$E$206,3,0)),"")</f>
        <v/>
      </c>
      <c r="E102" s="175" t="str">
        <f>IF(ISNUMBER($C102),VLOOKUP($C102,Methuselahs!$A$7:$I$206,COLUMN(Methuselahs!$H$6),0),"")</f>
        <v/>
      </c>
      <c r="F102" s="171" t="str">
        <f>IF(ISNUMBER($C102),VLOOKUP($C102,Methuselahs!$A$7:$I$206,COLUMN(Methuselahs!$I$6),0),"")</f>
        <v/>
      </c>
      <c r="G102" s="175"/>
      <c r="H102" s="176" t="str">
        <f>IF(ISNUMBER($C102),VLOOKUP($C102,Methuselahs!$A$7:$J$206,COLUMN(Methuselahs!$J$6),0),"")</f>
        <v/>
      </c>
    </row>
    <row r="103" spans="1:8" ht="15" x14ac:dyDescent="0.2">
      <c r="A103" s="173" t="str">
        <f>IF(ISNUMBER($C103),VLOOKUP($C103,Methuselahs!$Y$7:$Z$206,2,0),"")</f>
        <v/>
      </c>
      <c r="B103" s="174" t="str">
        <f>IF(ROW()-ROW($A$6)&lt;Methuselahs!$A$4,ROW()-ROW($A$5),"")</f>
        <v/>
      </c>
      <c r="C103" s="169" t="str">
        <f>IF(ISNUMBER($B103),VLOOKUP($B103,Methuselahs!$X$7:$Y$206,2,0),"")</f>
        <v/>
      </c>
      <c r="D103" s="177" t="str">
        <f>IF(ISNUMBER($C103),T(VLOOKUP($C103,Methuselahs!$A$7:$E$206,2,0))&amp;" "&amp;T(VLOOKUP($C103,Methuselahs!$A$7:$E$206,3,0)),"")</f>
        <v/>
      </c>
      <c r="E103" s="175" t="str">
        <f>IF(ISNUMBER($C103),VLOOKUP($C103,Methuselahs!$A$7:$I$206,COLUMN(Methuselahs!$H$6),0),"")</f>
        <v/>
      </c>
      <c r="F103" s="171" t="str">
        <f>IF(ISNUMBER($C103),VLOOKUP($C103,Methuselahs!$A$7:$I$206,COLUMN(Methuselahs!$I$6),0),"")</f>
        <v/>
      </c>
      <c r="G103" s="175"/>
      <c r="H103" s="176" t="str">
        <f>IF(ISNUMBER($C103),VLOOKUP($C103,Methuselahs!$A$7:$J$206,COLUMN(Methuselahs!$J$6),0),"")</f>
        <v/>
      </c>
    </row>
    <row r="104" spans="1:8" ht="15" x14ac:dyDescent="0.2">
      <c r="A104" s="173" t="str">
        <f>IF(ISNUMBER($C104),VLOOKUP($C104,Methuselahs!$Y$7:$Z$206,2,0),"")</f>
        <v/>
      </c>
      <c r="B104" s="174" t="str">
        <f>IF(ROW()-ROW($A$6)&lt;Methuselahs!$A$4,ROW()-ROW($A$5),"")</f>
        <v/>
      </c>
      <c r="C104" s="169" t="str">
        <f>IF(ISNUMBER($B104),VLOOKUP($B104,Methuselahs!$X$7:$Y$206,2,0),"")</f>
        <v/>
      </c>
      <c r="D104" s="177" t="str">
        <f>IF(ISNUMBER($C104),T(VLOOKUP($C104,Methuselahs!$A$7:$E$206,2,0))&amp;" "&amp;T(VLOOKUP($C104,Methuselahs!$A$7:$E$206,3,0)),"")</f>
        <v/>
      </c>
      <c r="E104" s="175" t="str">
        <f>IF(ISNUMBER($C104),VLOOKUP($C104,Methuselahs!$A$7:$I$206,COLUMN(Methuselahs!$H$6),0),"")</f>
        <v/>
      </c>
      <c r="F104" s="171" t="str">
        <f>IF(ISNUMBER($C104),VLOOKUP($C104,Methuselahs!$A$7:$I$206,COLUMN(Methuselahs!$I$6),0),"")</f>
        <v/>
      </c>
      <c r="G104" s="175"/>
      <c r="H104" s="176" t="str">
        <f>IF(ISNUMBER($C104),VLOOKUP($C104,Methuselahs!$A$7:$J$206,COLUMN(Methuselahs!$J$6),0),"")</f>
        <v/>
      </c>
    </row>
    <row r="105" spans="1:8" ht="15" x14ac:dyDescent="0.2">
      <c r="A105" s="173" t="str">
        <f>IF(ISNUMBER($C105),VLOOKUP($C105,Methuselahs!$Y$7:$Z$206,2,0),"")</f>
        <v/>
      </c>
      <c r="B105" s="174" t="str">
        <f>IF(ROW()-ROW($A$6)&lt;Methuselahs!$A$4,ROW()-ROW($A$5),"")</f>
        <v/>
      </c>
      <c r="C105" s="169" t="str">
        <f>IF(ISNUMBER($B105),VLOOKUP($B105,Methuselahs!$X$7:$Y$206,2,0),"")</f>
        <v/>
      </c>
      <c r="D105" s="177" t="str">
        <f>IF(ISNUMBER($C105),T(VLOOKUP($C105,Methuselahs!$A$7:$E$206,2,0))&amp;" "&amp;T(VLOOKUP($C105,Methuselahs!$A$7:$E$206,3,0)),"")</f>
        <v/>
      </c>
      <c r="E105" s="175" t="str">
        <f>IF(ISNUMBER($C105),VLOOKUP($C105,Methuselahs!$A$7:$I$206,COLUMN(Methuselahs!$H$6),0),"")</f>
        <v/>
      </c>
      <c r="F105" s="171" t="str">
        <f>IF(ISNUMBER($C105),VLOOKUP($C105,Methuselahs!$A$7:$I$206,COLUMN(Methuselahs!$I$6),0),"")</f>
        <v/>
      </c>
      <c r="G105" s="175"/>
      <c r="H105" s="176" t="str">
        <f>IF(ISNUMBER($C105),VLOOKUP($C105,Methuselahs!$A$7:$J$206,COLUMN(Methuselahs!$J$6),0),"")</f>
        <v/>
      </c>
    </row>
    <row r="106" spans="1:8" ht="15" x14ac:dyDescent="0.2">
      <c r="A106" s="173" t="str">
        <f>IF(ISNUMBER($C106),VLOOKUP($C106,Methuselahs!$Y$7:$Z$206,2,0),"")</f>
        <v/>
      </c>
      <c r="B106" s="174" t="str">
        <f>IF(ROW()-ROW($A$6)&lt;Methuselahs!$A$4,ROW()-ROW($A$5),"")</f>
        <v/>
      </c>
      <c r="C106" s="169" t="str">
        <f>IF(ISNUMBER($B106),VLOOKUP($B106,Methuselahs!$X$7:$Y$206,2,0),"")</f>
        <v/>
      </c>
      <c r="D106" s="177" t="str">
        <f>IF(ISNUMBER($C106),T(VLOOKUP($C106,Methuselahs!$A$7:$E$206,2,0))&amp;" "&amp;T(VLOOKUP($C106,Methuselahs!$A$7:$E$206,3,0)),"")</f>
        <v/>
      </c>
      <c r="E106" s="175" t="str">
        <f>IF(ISNUMBER($C106),VLOOKUP($C106,Methuselahs!$A$7:$I$206,COLUMN(Methuselahs!$H$6),0),"")</f>
        <v/>
      </c>
      <c r="F106" s="171" t="str">
        <f>IF(ISNUMBER($C106),VLOOKUP($C106,Methuselahs!$A$7:$I$206,COLUMN(Methuselahs!$I$6),0),"")</f>
        <v/>
      </c>
      <c r="G106" s="175"/>
      <c r="H106" s="176" t="str">
        <f>IF(ISNUMBER($C106),VLOOKUP($C106,Methuselahs!$A$7:$J$206,COLUMN(Methuselahs!$J$6),0),"")</f>
        <v/>
      </c>
    </row>
    <row r="107" spans="1:8" ht="15" x14ac:dyDescent="0.2">
      <c r="A107" s="173" t="str">
        <f>IF(ISNUMBER($C107),VLOOKUP($C107,Methuselahs!$Y$7:$Z$206,2,0),"")</f>
        <v/>
      </c>
      <c r="B107" s="174" t="str">
        <f>IF(ROW()-ROW($A$6)&lt;Methuselahs!$A$4,ROW()-ROW($A$5),"")</f>
        <v/>
      </c>
      <c r="C107" s="169" t="str">
        <f>IF(ISNUMBER($B107),VLOOKUP($B107,Methuselahs!$X$7:$Y$206,2,0),"")</f>
        <v/>
      </c>
      <c r="D107" s="177" t="str">
        <f>IF(ISNUMBER($C107),T(VLOOKUP($C107,Methuselahs!$A$7:$E$206,2,0))&amp;" "&amp;T(VLOOKUP($C107,Methuselahs!$A$7:$E$206,3,0)),"")</f>
        <v/>
      </c>
      <c r="E107" s="175" t="str">
        <f>IF(ISNUMBER($C107),VLOOKUP($C107,Methuselahs!$A$7:$I$206,COLUMN(Methuselahs!$H$6),0),"")</f>
        <v/>
      </c>
      <c r="F107" s="171" t="str">
        <f>IF(ISNUMBER($C107),VLOOKUP($C107,Methuselahs!$A$7:$I$206,COLUMN(Methuselahs!$I$6),0),"")</f>
        <v/>
      </c>
      <c r="G107" s="175"/>
      <c r="H107" s="176" t="str">
        <f>IF(ISNUMBER($C107),VLOOKUP($C107,Methuselahs!$A$7:$J$206,COLUMN(Methuselahs!$J$6),0),"")</f>
        <v/>
      </c>
    </row>
    <row r="108" spans="1:8" ht="15" x14ac:dyDescent="0.2">
      <c r="A108" s="173" t="str">
        <f>IF(ISNUMBER($C108),VLOOKUP($C108,Methuselahs!$Y$7:$Z$206,2,0),"")</f>
        <v/>
      </c>
      <c r="B108" s="174" t="str">
        <f>IF(ROW()-ROW($A$6)&lt;Methuselahs!$A$4,ROW()-ROW($A$5),"")</f>
        <v/>
      </c>
      <c r="C108" s="169" t="str">
        <f>IF(ISNUMBER($B108),VLOOKUP($B108,Methuselahs!$X$7:$Y$206,2,0),"")</f>
        <v/>
      </c>
      <c r="D108" s="177" t="str">
        <f>IF(ISNUMBER($C108),T(VLOOKUP($C108,Methuselahs!$A$7:$E$206,2,0))&amp;" "&amp;T(VLOOKUP($C108,Methuselahs!$A$7:$E$206,3,0)),"")</f>
        <v/>
      </c>
      <c r="E108" s="175" t="str">
        <f>IF(ISNUMBER($C108),VLOOKUP($C108,Methuselahs!$A$7:$I$206,COLUMN(Methuselahs!$H$6),0),"")</f>
        <v/>
      </c>
      <c r="F108" s="171" t="str">
        <f>IF(ISNUMBER($C108),VLOOKUP($C108,Methuselahs!$A$7:$I$206,COLUMN(Methuselahs!$I$6),0),"")</f>
        <v/>
      </c>
      <c r="G108" s="175"/>
      <c r="H108" s="176" t="str">
        <f>IF(ISNUMBER($C108),VLOOKUP($C108,Methuselahs!$A$7:$J$206,COLUMN(Methuselahs!$J$6),0),"")</f>
        <v/>
      </c>
    </row>
    <row r="109" spans="1:8" ht="15" x14ac:dyDescent="0.2">
      <c r="A109" s="173" t="str">
        <f>IF(ISNUMBER($C109),VLOOKUP($C109,Methuselahs!$Y$7:$Z$206,2,0),"")</f>
        <v/>
      </c>
      <c r="B109" s="174" t="str">
        <f>IF(ROW()-ROW($A$6)&lt;Methuselahs!$A$4,ROW()-ROW($A$5),"")</f>
        <v/>
      </c>
      <c r="C109" s="169" t="str">
        <f>IF(ISNUMBER($B109),VLOOKUP($B109,Methuselahs!$X$7:$Y$206,2,0),"")</f>
        <v/>
      </c>
      <c r="D109" s="177" t="str">
        <f>IF(ISNUMBER($C109),T(VLOOKUP($C109,Methuselahs!$A$7:$E$206,2,0))&amp;" "&amp;T(VLOOKUP($C109,Methuselahs!$A$7:$E$206,3,0)),"")</f>
        <v/>
      </c>
      <c r="E109" s="175" t="str">
        <f>IF(ISNUMBER($C109),VLOOKUP($C109,Methuselahs!$A$7:$I$206,COLUMN(Methuselahs!$H$6),0),"")</f>
        <v/>
      </c>
      <c r="F109" s="171" t="str">
        <f>IF(ISNUMBER($C109),VLOOKUP($C109,Methuselahs!$A$7:$I$206,COLUMN(Methuselahs!$I$6),0),"")</f>
        <v/>
      </c>
      <c r="G109" s="175"/>
      <c r="H109" s="176" t="str">
        <f>IF(ISNUMBER($C109),VLOOKUP($C109,Methuselahs!$A$7:$J$206,COLUMN(Methuselahs!$J$6),0),"")</f>
        <v/>
      </c>
    </row>
    <row r="110" spans="1:8" ht="15" x14ac:dyDescent="0.2">
      <c r="A110" s="173" t="str">
        <f>IF(ISNUMBER($C110),VLOOKUP($C110,Methuselahs!$Y$7:$Z$206,2,0),"")</f>
        <v/>
      </c>
      <c r="B110" s="174" t="str">
        <f>IF(ROW()-ROW($A$6)&lt;Methuselahs!$A$4,ROW()-ROW($A$5),"")</f>
        <v/>
      </c>
      <c r="C110" s="169" t="str">
        <f>IF(ISNUMBER($B110),VLOOKUP($B110,Methuselahs!$X$7:$Y$206,2,0),"")</f>
        <v/>
      </c>
      <c r="D110" s="177" t="str">
        <f>IF(ISNUMBER($C110),T(VLOOKUP($C110,Methuselahs!$A$7:$E$206,2,0))&amp;" "&amp;T(VLOOKUP($C110,Methuselahs!$A$7:$E$206,3,0)),"")</f>
        <v/>
      </c>
      <c r="E110" s="175" t="str">
        <f>IF(ISNUMBER($C110),VLOOKUP($C110,Methuselahs!$A$7:$I$206,COLUMN(Methuselahs!$H$6),0),"")</f>
        <v/>
      </c>
      <c r="F110" s="171" t="str">
        <f>IF(ISNUMBER($C110),VLOOKUP($C110,Methuselahs!$A$7:$I$206,COLUMN(Methuselahs!$I$6),0),"")</f>
        <v/>
      </c>
      <c r="G110" s="175"/>
      <c r="H110" s="176" t="str">
        <f>IF(ISNUMBER($C110),VLOOKUP($C110,Methuselahs!$A$7:$J$206,COLUMN(Methuselahs!$J$6),0),"")</f>
        <v/>
      </c>
    </row>
    <row r="111" spans="1:8" ht="15" x14ac:dyDescent="0.2">
      <c r="A111" s="173" t="str">
        <f>IF(ISNUMBER($C111),VLOOKUP($C111,Methuselahs!$Y$7:$Z$206,2,0),"")</f>
        <v/>
      </c>
      <c r="B111" s="174" t="str">
        <f>IF(ROW()-ROW($A$6)&lt;Methuselahs!$A$4,ROW()-ROW($A$5),"")</f>
        <v/>
      </c>
      <c r="C111" s="169" t="str">
        <f>IF(ISNUMBER($B111),VLOOKUP($B111,Methuselahs!$X$7:$Y$206,2,0),"")</f>
        <v/>
      </c>
      <c r="D111" s="177" t="str">
        <f>IF(ISNUMBER($C111),T(VLOOKUP($C111,Methuselahs!$A$7:$E$206,2,0))&amp;" "&amp;T(VLOOKUP($C111,Methuselahs!$A$7:$E$206,3,0)),"")</f>
        <v/>
      </c>
      <c r="E111" s="175" t="str">
        <f>IF(ISNUMBER($C111),VLOOKUP($C111,Methuselahs!$A$7:$I$206,COLUMN(Methuselahs!$H$6),0),"")</f>
        <v/>
      </c>
      <c r="F111" s="171" t="str">
        <f>IF(ISNUMBER($C111),VLOOKUP($C111,Methuselahs!$A$7:$I$206,COLUMN(Methuselahs!$I$6),0),"")</f>
        <v/>
      </c>
      <c r="G111" s="175"/>
      <c r="H111" s="176" t="str">
        <f>IF(ISNUMBER($C111),VLOOKUP($C111,Methuselahs!$A$7:$J$206,COLUMN(Methuselahs!$J$6),0),"")</f>
        <v/>
      </c>
    </row>
    <row r="112" spans="1:8" ht="15" x14ac:dyDescent="0.2">
      <c r="A112" s="173" t="str">
        <f>IF(ISNUMBER($C112),VLOOKUP($C112,Methuselahs!$Y$7:$Z$206,2,0),"")</f>
        <v/>
      </c>
      <c r="B112" s="174" t="str">
        <f>IF(ROW()-ROW($A$6)&lt;Methuselahs!$A$4,ROW()-ROW($A$5),"")</f>
        <v/>
      </c>
      <c r="C112" s="169" t="str">
        <f>IF(ISNUMBER($B112),VLOOKUP($B112,Methuselahs!$X$7:$Y$206,2,0),"")</f>
        <v/>
      </c>
      <c r="D112" s="177" t="str">
        <f>IF(ISNUMBER($C112),T(VLOOKUP($C112,Methuselahs!$A$7:$E$206,2,0))&amp;" "&amp;T(VLOOKUP($C112,Methuselahs!$A$7:$E$206,3,0)),"")</f>
        <v/>
      </c>
      <c r="E112" s="175" t="str">
        <f>IF(ISNUMBER($C112),VLOOKUP($C112,Methuselahs!$A$7:$I$206,COLUMN(Methuselahs!$H$6),0),"")</f>
        <v/>
      </c>
      <c r="F112" s="171" t="str">
        <f>IF(ISNUMBER($C112),VLOOKUP($C112,Methuselahs!$A$7:$I$206,COLUMN(Methuselahs!$I$6),0),"")</f>
        <v/>
      </c>
      <c r="G112" s="175"/>
      <c r="H112" s="176" t="str">
        <f>IF(ISNUMBER($C112),VLOOKUP($C112,Methuselahs!$A$7:$J$206,COLUMN(Methuselahs!$J$6),0),"")</f>
        <v/>
      </c>
    </row>
    <row r="113" spans="1:8" ht="15" x14ac:dyDescent="0.2">
      <c r="A113" s="173" t="str">
        <f>IF(ISNUMBER($C113),VLOOKUP($C113,Methuselahs!$Y$7:$Z$206,2,0),"")</f>
        <v/>
      </c>
      <c r="B113" s="174" t="str">
        <f>IF(ROW()-ROW($A$6)&lt;Methuselahs!$A$4,ROW()-ROW($A$5),"")</f>
        <v/>
      </c>
      <c r="C113" s="169" t="str">
        <f>IF(ISNUMBER($B113),VLOOKUP($B113,Methuselahs!$X$7:$Y$206,2,0),"")</f>
        <v/>
      </c>
      <c r="D113" s="177" t="str">
        <f>IF(ISNUMBER($C113),T(VLOOKUP($C113,Methuselahs!$A$7:$E$206,2,0))&amp;" "&amp;T(VLOOKUP($C113,Methuselahs!$A$7:$E$206,3,0)),"")</f>
        <v/>
      </c>
      <c r="E113" s="175" t="str">
        <f>IF(ISNUMBER($C113),VLOOKUP($C113,Methuselahs!$A$7:$I$206,COLUMN(Methuselahs!$H$6),0),"")</f>
        <v/>
      </c>
      <c r="F113" s="171" t="str">
        <f>IF(ISNUMBER($C113),VLOOKUP($C113,Methuselahs!$A$7:$I$206,COLUMN(Methuselahs!$I$6),0),"")</f>
        <v/>
      </c>
      <c r="G113" s="175"/>
      <c r="H113" s="176" t="str">
        <f>IF(ISNUMBER($C113),VLOOKUP($C113,Methuselahs!$A$7:$J$206,COLUMN(Methuselahs!$J$6),0),"")</f>
        <v/>
      </c>
    </row>
    <row r="114" spans="1:8" ht="15" x14ac:dyDescent="0.2">
      <c r="A114" s="173" t="str">
        <f>IF(ISNUMBER($C114),VLOOKUP($C114,Methuselahs!$Y$7:$Z$206,2,0),"")</f>
        <v/>
      </c>
      <c r="B114" s="174" t="str">
        <f>IF(ROW()-ROW($A$6)&lt;Methuselahs!$A$4,ROW()-ROW($A$5),"")</f>
        <v/>
      </c>
      <c r="C114" s="169" t="str">
        <f>IF(ISNUMBER($B114),VLOOKUP($B114,Methuselahs!$X$7:$Y$206,2,0),"")</f>
        <v/>
      </c>
      <c r="D114" s="177" t="str">
        <f>IF(ISNUMBER($C114),T(VLOOKUP($C114,Methuselahs!$A$7:$E$206,2,0))&amp;" "&amp;T(VLOOKUP($C114,Methuselahs!$A$7:$E$206,3,0)),"")</f>
        <v/>
      </c>
      <c r="E114" s="175" t="str">
        <f>IF(ISNUMBER($C114),VLOOKUP($C114,Methuselahs!$A$7:$I$206,COLUMN(Methuselahs!$H$6),0),"")</f>
        <v/>
      </c>
      <c r="F114" s="171" t="str">
        <f>IF(ISNUMBER($C114),VLOOKUP($C114,Methuselahs!$A$7:$I$206,COLUMN(Methuselahs!$I$6),0),"")</f>
        <v/>
      </c>
      <c r="G114" s="175"/>
      <c r="H114" s="176" t="str">
        <f>IF(ISNUMBER($C114),VLOOKUP($C114,Methuselahs!$A$7:$J$206,COLUMN(Methuselahs!$J$6),0),"")</f>
        <v/>
      </c>
    </row>
    <row r="115" spans="1:8" ht="15" x14ac:dyDescent="0.2">
      <c r="A115" s="173" t="str">
        <f>IF(ISNUMBER($C115),VLOOKUP($C115,Methuselahs!$Y$7:$Z$206,2,0),"")</f>
        <v/>
      </c>
      <c r="B115" s="174" t="str">
        <f>IF(ROW()-ROW($A$6)&lt;Methuselahs!$A$4,ROW()-ROW($A$5),"")</f>
        <v/>
      </c>
      <c r="C115" s="169" t="str">
        <f>IF(ISNUMBER($B115),VLOOKUP($B115,Methuselahs!$X$7:$Y$206,2,0),"")</f>
        <v/>
      </c>
      <c r="D115" s="177" t="str">
        <f>IF(ISNUMBER($C115),T(VLOOKUP($C115,Methuselahs!$A$7:$E$206,2,0))&amp;" "&amp;T(VLOOKUP($C115,Methuselahs!$A$7:$E$206,3,0)),"")</f>
        <v/>
      </c>
      <c r="E115" s="175" t="str">
        <f>IF(ISNUMBER($C115),VLOOKUP($C115,Methuselahs!$A$7:$I$206,COLUMN(Methuselahs!$H$6),0),"")</f>
        <v/>
      </c>
      <c r="F115" s="171" t="str">
        <f>IF(ISNUMBER($C115),VLOOKUP($C115,Methuselahs!$A$7:$I$206,COLUMN(Methuselahs!$I$6),0),"")</f>
        <v/>
      </c>
      <c r="G115" s="175"/>
      <c r="H115" s="176" t="str">
        <f>IF(ISNUMBER($C115),VLOOKUP($C115,Methuselahs!$A$7:$J$206,COLUMN(Methuselahs!$J$6),0),"")</f>
        <v/>
      </c>
    </row>
    <row r="116" spans="1:8" ht="15" x14ac:dyDescent="0.2">
      <c r="A116" s="173" t="str">
        <f>IF(ISNUMBER($C116),VLOOKUP($C116,Methuselahs!$Y$7:$Z$206,2,0),"")</f>
        <v/>
      </c>
      <c r="B116" s="174" t="str">
        <f>IF(ROW()-ROW($A$6)&lt;Methuselahs!$A$4,ROW()-ROW($A$5),"")</f>
        <v/>
      </c>
      <c r="C116" s="169" t="str">
        <f>IF(ISNUMBER($B116),VLOOKUP($B116,Methuselahs!$X$7:$Y$206,2,0),"")</f>
        <v/>
      </c>
      <c r="D116" s="177" t="str">
        <f>IF(ISNUMBER($C116),T(VLOOKUP($C116,Methuselahs!$A$7:$E$206,2,0))&amp;" "&amp;T(VLOOKUP($C116,Methuselahs!$A$7:$E$206,3,0)),"")</f>
        <v/>
      </c>
      <c r="E116" s="175" t="str">
        <f>IF(ISNUMBER($C116),VLOOKUP($C116,Methuselahs!$A$7:$I$206,COLUMN(Methuselahs!$H$6),0),"")</f>
        <v/>
      </c>
      <c r="F116" s="171" t="str">
        <f>IF(ISNUMBER($C116),VLOOKUP($C116,Methuselahs!$A$7:$I$206,COLUMN(Methuselahs!$I$6),0),"")</f>
        <v/>
      </c>
      <c r="G116" s="175"/>
      <c r="H116" s="176" t="str">
        <f>IF(ISNUMBER($C116),VLOOKUP($C116,Methuselahs!$A$7:$J$206,COLUMN(Methuselahs!$J$6),0),"")</f>
        <v/>
      </c>
    </row>
    <row r="117" spans="1:8" ht="15" x14ac:dyDescent="0.2">
      <c r="A117" s="173" t="str">
        <f>IF(ISNUMBER($C117),VLOOKUP($C117,Methuselahs!$Y$7:$Z$206,2,0),"")</f>
        <v/>
      </c>
      <c r="B117" s="174" t="str">
        <f>IF(ROW()-ROW($A$6)&lt;Methuselahs!$A$4,ROW()-ROW($A$5),"")</f>
        <v/>
      </c>
      <c r="C117" s="169" t="str">
        <f>IF(ISNUMBER($B117),VLOOKUP($B117,Methuselahs!$X$7:$Y$206,2,0),"")</f>
        <v/>
      </c>
      <c r="D117" s="177" t="str">
        <f>IF(ISNUMBER($C117),T(VLOOKUP($C117,Methuselahs!$A$7:$E$206,2,0))&amp;" "&amp;T(VLOOKUP($C117,Methuselahs!$A$7:$E$206,3,0)),"")</f>
        <v/>
      </c>
      <c r="E117" s="175" t="str">
        <f>IF(ISNUMBER($C117),VLOOKUP($C117,Methuselahs!$A$7:$I$206,COLUMN(Methuselahs!$H$6),0),"")</f>
        <v/>
      </c>
      <c r="F117" s="171" t="str">
        <f>IF(ISNUMBER($C117),VLOOKUP($C117,Methuselahs!$A$7:$I$206,COLUMN(Methuselahs!$I$6),0),"")</f>
        <v/>
      </c>
      <c r="G117" s="175"/>
      <c r="H117" s="176" t="str">
        <f>IF(ISNUMBER($C117),VLOOKUP($C117,Methuselahs!$A$7:$J$206,COLUMN(Methuselahs!$J$6),0),"")</f>
        <v/>
      </c>
    </row>
    <row r="118" spans="1:8" ht="15" x14ac:dyDescent="0.2">
      <c r="A118" s="173" t="str">
        <f>IF(ISNUMBER($C118),VLOOKUP($C118,Methuselahs!$Y$7:$Z$206,2,0),"")</f>
        <v/>
      </c>
      <c r="B118" s="174" t="str">
        <f>IF(ROW()-ROW($A$6)&lt;Methuselahs!$A$4,ROW()-ROW($A$5),"")</f>
        <v/>
      </c>
      <c r="C118" s="169" t="str">
        <f>IF(ISNUMBER($B118),VLOOKUP($B118,Methuselahs!$X$7:$Y$206,2,0),"")</f>
        <v/>
      </c>
      <c r="D118" s="177" t="str">
        <f>IF(ISNUMBER($C118),T(VLOOKUP($C118,Methuselahs!$A$7:$E$206,2,0))&amp;" "&amp;T(VLOOKUP($C118,Methuselahs!$A$7:$E$206,3,0)),"")</f>
        <v/>
      </c>
      <c r="E118" s="175" t="str">
        <f>IF(ISNUMBER($C118),VLOOKUP($C118,Methuselahs!$A$7:$I$206,COLUMN(Methuselahs!$H$6),0),"")</f>
        <v/>
      </c>
      <c r="F118" s="171" t="str">
        <f>IF(ISNUMBER($C118),VLOOKUP($C118,Methuselahs!$A$7:$I$206,COLUMN(Methuselahs!$I$6),0),"")</f>
        <v/>
      </c>
      <c r="G118" s="175"/>
      <c r="H118" s="176" t="str">
        <f>IF(ISNUMBER($C118),VLOOKUP($C118,Methuselahs!$A$7:$J$206,COLUMN(Methuselahs!$J$6),0),"")</f>
        <v/>
      </c>
    </row>
    <row r="119" spans="1:8" ht="15" x14ac:dyDescent="0.2">
      <c r="A119" s="173" t="str">
        <f>IF(ISNUMBER($C119),VLOOKUP($C119,Methuselahs!$Y$7:$Z$206,2,0),"")</f>
        <v/>
      </c>
      <c r="B119" s="174" t="str">
        <f>IF(ROW()-ROW($A$6)&lt;Methuselahs!$A$4,ROW()-ROW($A$5),"")</f>
        <v/>
      </c>
      <c r="C119" s="169" t="str">
        <f>IF(ISNUMBER($B119),VLOOKUP($B119,Methuselahs!$X$7:$Y$206,2,0),"")</f>
        <v/>
      </c>
      <c r="D119" s="177" t="str">
        <f>IF(ISNUMBER($C119),T(VLOOKUP($C119,Methuselahs!$A$7:$E$206,2,0))&amp;" "&amp;T(VLOOKUP($C119,Methuselahs!$A$7:$E$206,3,0)),"")</f>
        <v/>
      </c>
      <c r="E119" s="175" t="str">
        <f>IF(ISNUMBER($C119),VLOOKUP($C119,Methuselahs!$A$7:$I$206,COLUMN(Methuselahs!$H$6),0),"")</f>
        <v/>
      </c>
      <c r="F119" s="171" t="str">
        <f>IF(ISNUMBER($C119),VLOOKUP($C119,Methuselahs!$A$7:$I$206,COLUMN(Methuselahs!$I$6),0),"")</f>
        <v/>
      </c>
      <c r="G119" s="175"/>
      <c r="H119" s="176" t="str">
        <f>IF(ISNUMBER($C119),VLOOKUP($C119,Methuselahs!$A$7:$J$206,COLUMN(Methuselahs!$J$6),0),"")</f>
        <v/>
      </c>
    </row>
    <row r="120" spans="1:8" ht="15" x14ac:dyDescent="0.2">
      <c r="A120" s="173" t="str">
        <f>IF(ISNUMBER($C120),VLOOKUP($C120,Methuselahs!$Y$7:$Z$206,2,0),"")</f>
        <v/>
      </c>
      <c r="B120" s="174" t="str">
        <f>IF(ROW()-ROW($A$6)&lt;Methuselahs!$A$4,ROW()-ROW($A$5),"")</f>
        <v/>
      </c>
      <c r="C120" s="169" t="str">
        <f>IF(ISNUMBER($B120),VLOOKUP($B120,Methuselahs!$X$7:$Y$206,2,0),"")</f>
        <v/>
      </c>
      <c r="D120" s="177" t="str">
        <f>IF(ISNUMBER($C120),T(VLOOKUP($C120,Methuselahs!$A$7:$E$206,2,0))&amp;" "&amp;T(VLOOKUP($C120,Methuselahs!$A$7:$E$206,3,0)),"")</f>
        <v/>
      </c>
      <c r="E120" s="175" t="str">
        <f>IF(ISNUMBER($C120),VLOOKUP($C120,Methuselahs!$A$7:$I$206,COLUMN(Methuselahs!$H$6),0),"")</f>
        <v/>
      </c>
      <c r="F120" s="171" t="str">
        <f>IF(ISNUMBER($C120),VLOOKUP($C120,Methuselahs!$A$7:$I$206,COLUMN(Methuselahs!$I$6),0),"")</f>
        <v/>
      </c>
      <c r="G120" s="175"/>
      <c r="H120" s="176" t="str">
        <f>IF(ISNUMBER($C120),VLOOKUP($C120,Methuselahs!$A$7:$J$206,COLUMN(Methuselahs!$J$6),0),"")</f>
        <v/>
      </c>
    </row>
    <row r="121" spans="1:8" ht="15" x14ac:dyDescent="0.2">
      <c r="A121" s="173" t="str">
        <f>IF(ISNUMBER($C121),VLOOKUP($C121,Methuselahs!$Y$7:$Z$206,2,0),"")</f>
        <v/>
      </c>
      <c r="B121" s="174" t="str">
        <f>IF(ROW()-ROW($A$6)&lt;Methuselahs!$A$4,ROW()-ROW($A$5),"")</f>
        <v/>
      </c>
      <c r="C121" s="169" t="str">
        <f>IF(ISNUMBER($B121),VLOOKUP($B121,Methuselahs!$X$7:$Y$206,2,0),"")</f>
        <v/>
      </c>
      <c r="D121" s="177" t="str">
        <f>IF(ISNUMBER($C121),T(VLOOKUP($C121,Methuselahs!$A$7:$E$206,2,0))&amp;" "&amp;T(VLOOKUP($C121,Methuselahs!$A$7:$E$206,3,0)),"")</f>
        <v/>
      </c>
      <c r="E121" s="175" t="str">
        <f>IF(ISNUMBER($C121),VLOOKUP($C121,Methuselahs!$A$7:$I$206,COLUMN(Methuselahs!$H$6),0),"")</f>
        <v/>
      </c>
      <c r="F121" s="171" t="str">
        <f>IF(ISNUMBER($C121),VLOOKUP($C121,Methuselahs!$A$7:$I$206,COLUMN(Methuselahs!$I$6),0),"")</f>
        <v/>
      </c>
      <c r="G121" s="175"/>
      <c r="H121" s="176" t="str">
        <f>IF(ISNUMBER($C121),VLOOKUP($C121,Methuselahs!$A$7:$J$206,COLUMN(Methuselahs!$J$6),0),"")</f>
        <v/>
      </c>
    </row>
    <row r="122" spans="1:8" ht="15" x14ac:dyDescent="0.2">
      <c r="A122" s="173" t="str">
        <f>IF(ISNUMBER($C122),VLOOKUP($C122,Methuselahs!$Y$7:$Z$206,2,0),"")</f>
        <v/>
      </c>
      <c r="B122" s="174" t="str">
        <f>IF(ROW()-ROW($A$6)&lt;Methuselahs!$A$4,ROW()-ROW($A$5),"")</f>
        <v/>
      </c>
      <c r="C122" s="169" t="str">
        <f>IF(ISNUMBER($B122),VLOOKUP($B122,Methuselahs!$X$7:$Y$206,2,0),"")</f>
        <v/>
      </c>
      <c r="D122" s="177" t="str">
        <f>IF(ISNUMBER($C122),T(VLOOKUP($C122,Methuselahs!$A$7:$E$206,2,0))&amp;" "&amp;T(VLOOKUP($C122,Methuselahs!$A$7:$E$206,3,0)),"")</f>
        <v/>
      </c>
      <c r="E122" s="175" t="str">
        <f>IF(ISNUMBER($C122),VLOOKUP($C122,Methuselahs!$A$7:$I$206,COLUMN(Methuselahs!$H$6),0),"")</f>
        <v/>
      </c>
      <c r="F122" s="171" t="str">
        <f>IF(ISNUMBER($C122),VLOOKUP($C122,Methuselahs!$A$7:$I$206,COLUMN(Methuselahs!$I$6),0),"")</f>
        <v/>
      </c>
      <c r="G122" s="175"/>
      <c r="H122" s="176" t="str">
        <f>IF(ISNUMBER($C122),VLOOKUP($C122,Methuselahs!$A$7:$J$206,COLUMN(Methuselahs!$J$6),0),"")</f>
        <v/>
      </c>
    </row>
    <row r="123" spans="1:8" ht="15" x14ac:dyDescent="0.2">
      <c r="A123" s="173" t="str">
        <f>IF(ISNUMBER($C123),VLOOKUP($C123,Methuselahs!$Y$7:$Z$206,2,0),"")</f>
        <v/>
      </c>
      <c r="B123" s="174" t="str">
        <f>IF(ROW()-ROW($A$6)&lt;Methuselahs!$A$4,ROW()-ROW($A$5),"")</f>
        <v/>
      </c>
      <c r="C123" s="169" t="str">
        <f>IF(ISNUMBER($B123),VLOOKUP($B123,Methuselahs!$X$7:$Y$206,2,0),"")</f>
        <v/>
      </c>
      <c r="D123" s="177" t="str">
        <f>IF(ISNUMBER($C123),T(VLOOKUP($C123,Methuselahs!$A$7:$E$206,2,0))&amp;" "&amp;T(VLOOKUP($C123,Methuselahs!$A$7:$E$206,3,0)),"")</f>
        <v/>
      </c>
      <c r="E123" s="175" t="str">
        <f>IF(ISNUMBER($C123),VLOOKUP($C123,Methuselahs!$A$7:$I$206,COLUMN(Methuselahs!$H$6),0),"")</f>
        <v/>
      </c>
      <c r="F123" s="171" t="str">
        <f>IF(ISNUMBER($C123),VLOOKUP($C123,Methuselahs!$A$7:$I$206,COLUMN(Methuselahs!$I$6),0),"")</f>
        <v/>
      </c>
      <c r="G123" s="175"/>
      <c r="H123" s="176" t="str">
        <f>IF(ISNUMBER($C123),VLOOKUP($C123,Methuselahs!$A$7:$J$206,COLUMN(Methuselahs!$J$6),0),"")</f>
        <v/>
      </c>
    </row>
    <row r="124" spans="1:8" ht="15" x14ac:dyDescent="0.2">
      <c r="A124" s="173" t="str">
        <f>IF(ISNUMBER($C124),VLOOKUP($C124,Methuselahs!$Y$7:$Z$206,2,0),"")</f>
        <v/>
      </c>
      <c r="B124" s="174" t="str">
        <f>IF(ROW()-ROW($A$6)&lt;Methuselahs!$A$4,ROW()-ROW($A$5),"")</f>
        <v/>
      </c>
      <c r="C124" s="169" t="str">
        <f>IF(ISNUMBER($B124),VLOOKUP($B124,Methuselahs!$X$7:$Y$206,2,0),"")</f>
        <v/>
      </c>
      <c r="D124" s="177" t="str">
        <f>IF(ISNUMBER($C124),T(VLOOKUP($C124,Methuselahs!$A$7:$E$206,2,0))&amp;" "&amp;T(VLOOKUP($C124,Methuselahs!$A$7:$E$206,3,0)),"")</f>
        <v/>
      </c>
      <c r="E124" s="175" t="str">
        <f>IF(ISNUMBER($C124),VLOOKUP($C124,Methuselahs!$A$7:$I$206,COLUMN(Methuselahs!$H$6),0),"")</f>
        <v/>
      </c>
      <c r="F124" s="171" t="str">
        <f>IF(ISNUMBER($C124),VLOOKUP($C124,Methuselahs!$A$7:$I$206,COLUMN(Methuselahs!$I$6),0),"")</f>
        <v/>
      </c>
      <c r="G124" s="175"/>
      <c r="H124" s="176" t="str">
        <f>IF(ISNUMBER($C124),VLOOKUP($C124,Methuselahs!$A$7:$J$206,COLUMN(Methuselahs!$J$6),0),"")</f>
        <v/>
      </c>
    </row>
    <row r="125" spans="1:8" ht="15" x14ac:dyDescent="0.2">
      <c r="A125" s="173" t="str">
        <f>IF(ISNUMBER($C125),VLOOKUP($C125,Methuselahs!$Y$7:$Z$206,2,0),"")</f>
        <v/>
      </c>
      <c r="B125" s="174" t="str">
        <f>IF(ROW()-ROW($A$6)&lt;Methuselahs!$A$4,ROW()-ROW($A$5),"")</f>
        <v/>
      </c>
      <c r="C125" s="169" t="str">
        <f>IF(ISNUMBER($B125),VLOOKUP($B125,Methuselahs!$X$7:$Y$206,2,0),"")</f>
        <v/>
      </c>
      <c r="D125" s="177" t="str">
        <f>IF(ISNUMBER($C125),T(VLOOKUP($C125,Methuselahs!$A$7:$E$206,2,0))&amp;" "&amp;T(VLOOKUP($C125,Methuselahs!$A$7:$E$206,3,0)),"")</f>
        <v/>
      </c>
      <c r="E125" s="175" t="str">
        <f>IF(ISNUMBER($C125),VLOOKUP($C125,Methuselahs!$A$7:$I$206,COLUMN(Methuselahs!$H$6),0),"")</f>
        <v/>
      </c>
      <c r="F125" s="171" t="str">
        <f>IF(ISNUMBER($C125),VLOOKUP($C125,Methuselahs!$A$7:$I$206,COLUMN(Methuselahs!$I$6),0),"")</f>
        <v/>
      </c>
      <c r="G125" s="175"/>
      <c r="H125" s="176" t="str">
        <f>IF(ISNUMBER($C125),VLOOKUP($C125,Methuselahs!$A$7:$J$206,COLUMN(Methuselahs!$J$6),0),"")</f>
        <v/>
      </c>
    </row>
    <row r="126" spans="1:8" ht="15" x14ac:dyDescent="0.2">
      <c r="A126" s="173" t="str">
        <f>IF(ISNUMBER($C126),VLOOKUP($C126,Methuselahs!$Y$7:$Z$206,2,0),"")</f>
        <v/>
      </c>
      <c r="B126" s="174" t="str">
        <f>IF(ROW()-ROW($A$6)&lt;Methuselahs!$A$4,ROW()-ROW($A$5),"")</f>
        <v/>
      </c>
      <c r="C126" s="169" t="str">
        <f>IF(ISNUMBER($B126),VLOOKUP($B126,Methuselahs!$X$7:$Y$206,2,0),"")</f>
        <v/>
      </c>
      <c r="D126" s="177" t="str">
        <f>IF(ISNUMBER($C126),T(VLOOKUP($C126,Methuselahs!$A$7:$E$206,2,0))&amp;" "&amp;T(VLOOKUP($C126,Methuselahs!$A$7:$E$206,3,0)),"")</f>
        <v/>
      </c>
      <c r="E126" s="175" t="str">
        <f>IF(ISNUMBER($C126),VLOOKUP($C126,Methuselahs!$A$7:$I$206,COLUMN(Methuselahs!$H$6),0),"")</f>
        <v/>
      </c>
      <c r="F126" s="171" t="str">
        <f>IF(ISNUMBER($C126),VLOOKUP($C126,Methuselahs!$A$7:$I$206,COLUMN(Methuselahs!$I$6),0),"")</f>
        <v/>
      </c>
      <c r="G126" s="175"/>
      <c r="H126" s="176" t="str">
        <f>IF(ISNUMBER($C126),VLOOKUP($C126,Methuselahs!$A$7:$J$206,COLUMN(Methuselahs!$J$6),0),"")</f>
        <v/>
      </c>
    </row>
    <row r="127" spans="1:8" ht="15" x14ac:dyDescent="0.2">
      <c r="A127" s="173" t="str">
        <f>IF(ISNUMBER($C127),VLOOKUP($C127,Methuselahs!$Y$7:$Z$206,2,0),"")</f>
        <v/>
      </c>
      <c r="B127" s="174" t="str">
        <f>IF(ROW()-ROW($A$6)&lt;Methuselahs!$A$4,ROW()-ROW($A$5),"")</f>
        <v/>
      </c>
      <c r="C127" s="169" t="str">
        <f>IF(ISNUMBER($B127),VLOOKUP($B127,Methuselahs!$X$7:$Y$206,2,0),"")</f>
        <v/>
      </c>
      <c r="D127" s="177" t="str">
        <f>IF(ISNUMBER($C127),T(VLOOKUP($C127,Methuselahs!$A$7:$E$206,2,0))&amp;" "&amp;T(VLOOKUP($C127,Methuselahs!$A$7:$E$206,3,0)),"")</f>
        <v/>
      </c>
      <c r="E127" s="175" t="str">
        <f>IF(ISNUMBER($C127),VLOOKUP($C127,Methuselahs!$A$7:$I$206,COLUMN(Methuselahs!$H$6),0),"")</f>
        <v/>
      </c>
      <c r="F127" s="171" t="str">
        <f>IF(ISNUMBER($C127),VLOOKUP($C127,Methuselahs!$A$7:$I$206,COLUMN(Methuselahs!$I$6),0),"")</f>
        <v/>
      </c>
      <c r="G127" s="175"/>
      <c r="H127" s="176" t="str">
        <f>IF(ISNUMBER($C127),VLOOKUP($C127,Methuselahs!$A$7:$J$206,COLUMN(Methuselahs!$J$6),0),"")</f>
        <v/>
      </c>
    </row>
    <row r="128" spans="1:8" ht="15" x14ac:dyDescent="0.2">
      <c r="A128" s="173" t="str">
        <f>IF(ISNUMBER($C128),VLOOKUP($C128,Methuselahs!$Y$7:$Z$206,2,0),"")</f>
        <v/>
      </c>
      <c r="B128" s="174" t="str">
        <f>IF(ROW()-ROW($A$6)&lt;Methuselahs!$A$4,ROW()-ROW($A$5),"")</f>
        <v/>
      </c>
      <c r="C128" s="169" t="str">
        <f>IF(ISNUMBER($B128),VLOOKUP($B128,Methuselahs!$X$7:$Y$206,2,0),"")</f>
        <v/>
      </c>
      <c r="D128" s="177" t="str">
        <f>IF(ISNUMBER($C128),T(VLOOKUP($C128,Methuselahs!$A$7:$E$206,2,0))&amp;" "&amp;T(VLOOKUP($C128,Methuselahs!$A$7:$E$206,3,0)),"")</f>
        <v/>
      </c>
      <c r="E128" s="175" t="str">
        <f>IF(ISNUMBER($C128),VLOOKUP($C128,Methuselahs!$A$7:$I$206,COLUMN(Methuselahs!$H$6),0),"")</f>
        <v/>
      </c>
      <c r="F128" s="171" t="str">
        <f>IF(ISNUMBER($C128),VLOOKUP($C128,Methuselahs!$A$7:$I$206,COLUMN(Methuselahs!$I$6),0),"")</f>
        <v/>
      </c>
      <c r="G128" s="175"/>
      <c r="H128" s="176" t="str">
        <f>IF(ISNUMBER($C128),VLOOKUP($C128,Methuselahs!$A$7:$J$206,COLUMN(Methuselahs!$J$6),0),"")</f>
        <v/>
      </c>
    </row>
    <row r="129" spans="1:8" ht="15" x14ac:dyDescent="0.2">
      <c r="A129" s="173" t="str">
        <f>IF(ISNUMBER($C129),VLOOKUP($C129,Methuselahs!$Y$7:$Z$206,2,0),"")</f>
        <v/>
      </c>
      <c r="B129" s="174" t="str">
        <f>IF(ROW()-ROW($A$6)&lt;Methuselahs!$A$4,ROW()-ROW($A$5),"")</f>
        <v/>
      </c>
      <c r="C129" s="169" t="str">
        <f>IF(ISNUMBER($B129),VLOOKUP($B129,Methuselahs!$X$7:$Y$206,2,0),"")</f>
        <v/>
      </c>
      <c r="D129" s="177" t="str">
        <f>IF(ISNUMBER($C129),T(VLOOKUP($C129,Methuselahs!$A$7:$E$206,2,0))&amp;" "&amp;T(VLOOKUP($C129,Methuselahs!$A$7:$E$206,3,0)),"")</f>
        <v/>
      </c>
      <c r="E129" s="175" t="str">
        <f>IF(ISNUMBER($C129),VLOOKUP($C129,Methuselahs!$A$7:$I$206,COLUMN(Methuselahs!$H$6),0),"")</f>
        <v/>
      </c>
      <c r="F129" s="171" t="str">
        <f>IF(ISNUMBER($C129),VLOOKUP($C129,Methuselahs!$A$7:$I$206,COLUMN(Methuselahs!$I$6),0),"")</f>
        <v/>
      </c>
      <c r="G129" s="175"/>
      <c r="H129" s="176" t="str">
        <f>IF(ISNUMBER($C129),VLOOKUP($C129,Methuselahs!$A$7:$J$206,COLUMN(Methuselahs!$J$6),0),"")</f>
        <v/>
      </c>
    </row>
    <row r="130" spans="1:8" ht="15" x14ac:dyDescent="0.2">
      <c r="A130" s="173" t="str">
        <f>IF(ISNUMBER($C130),VLOOKUP($C130,Methuselahs!$Y$7:$Z$206,2,0),"")</f>
        <v/>
      </c>
      <c r="B130" s="174" t="str">
        <f>IF(ROW()-ROW($A$6)&lt;Methuselahs!$A$4,ROW()-ROW($A$5),"")</f>
        <v/>
      </c>
      <c r="C130" s="169" t="str">
        <f>IF(ISNUMBER($B130),VLOOKUP($B130,Methuselahs!$X$7:$Y$206,2,0),"")</f>
        <v/>
      </c>
      <c r="D130" s="177" t="str">
        <f>IF(ISNUMBER($C130),T(VLOOKUP($C130,Methuselahs!$A$7:$E$206,2,0))&amp;" "&amp;T(VLOOKUP($C130,Methuselahs!$A$7:$E$206,3,0)),"")</f>
        <v/>
      </c>
      <c r="E130" s="175" t="str">
        <f>IF(ISNUMBER($C130),VLOOKUP($C130,Methuselahs!$A$7:$I$206,COLUMN(Methuselahs!$H$6),0),"")</f>
        <v/>
      </c>
      <c r="F130" s="171" t="str">
        <f>IF(ISNUMBER($C130),VLOOKUP($C130,Methuselahs!$A$7:$I$206,COLUMN(Methuselahs!$I$6),0),"")</f>
        <v/>
      </c>
      <c r="G130" s="175"/>
      <c r="H130" s="176" t="str">
        <f>IF(ISNUMBER($C130),VLOOKUP($C130,Methuselahs!$A$7:$J$206,COLUMN(Methuselahs!$J$6),0),"")</f>
        <v/>
      </c>
    </row>
    <row r="131" spans="1:8" ht="15" x14ac:dyDescent="0.2">
      <c r="A131" s="173" t="str">
        <f>IF(ISNUMBER($C131),VLOOKUP($C131,Methuselahs!$Y$7:$Z$206,2,0),"")</f>
        <v/>
      </c>
      <c r="B131" s="174" t="str">
        <f>IF(ROW()-ROW($A$6)&lt;Methuselahs!$A$4,ROW()-ROW($A$5),"")</f>
        <v/>
      </c>
      <c r="C131" s="169" t="str">
        <f>IF(ISNUMBER($B131),VLOOKUP($B131,Methuselahs!$X$7:$Y$206,2,0),"")</f>
        <v/>
      </c>
      <c r="D131" s="177" t="str">
        <f>IF(ISNUMBER($C131),T(VLOOKUP($C131,Methuselahs!$A$7:$E$206,2,0))&amp;" "&amp;T(VLOOKUP($C131,Methuselahs!$A$7:$E$206,3,0)),"")</f>
        <v/>
      </c>
      <c r="E131" s="175" t="str">
        <f>IF(ISNUMBER($C131),VLOOKUP($C131,Methuselahs!$A$7:$I$206,COLUMN(Methuselahs!$H$6),0),"")</f>
        <v/>
      </c>
      <c r="F131" s="171" t="str">
        <f>IF(ISNUMBER($C131),VLOOKUP($C131,Methuselahs!$A$7:$I$206,COLUMN(Methuselahs!$I$6),0),"")</f>
        <v/>
      </c>
      <c r="G131" s="175"/>
      <c r="H131" s="176" t="str">
        <f>IF(ISNUMBER($C131),VLOOKUP($C131,Methuselahs!$A$7:$J$206,COLUMN(Methuselahs!$J$6),0),"")</f>
        <v/>
      </c>
    </row>
    <row r="132" spans="1:8" ht="15" x14ac:dyDescent="0.2">
      <c r="A132" s="173" t="str">
        <f>IF(ISNUMBER($C132),VLOOKUP($C132,Methuselahs!$Y$7:$Z$206,2,0),"")</f>
        <v/>
      </c>
      <c r="B132" s="174" t="str">
        <f>IF(ROW()-ROW($A$6)&lt;Methuselahs!$A$4,ROW()-ROW($A$5),"")</f>
        <v/>
      </c>
      <c r="C132" s="169" t="str">
        <f>IF(ISNUMBER($B132),VLOOKUP($B132,Methuselahs!$X$7:$Y$206,2,0),"")</f>
        <v/>
      </c>
      <c r="D132" s="177" t="str">
        <f>IF(ISNUMBER($C132),T(VLOOKUP($C132,Methuselahs!$A$7:$E$206,2,0))&amp;" "&amp;T(VLOOKUP($C132,Methuselahs!$A$7:$E$206,3,0)),"")</f>
        <v/>
      </c>
      <c r="E132" s="175" t="str">
        <f>IF(ISNUMBER($C132),VLOOKUP($C132,Methuselahs!$A$7:$I$206,COLUMN(Methuselahs!$H$6),0),"")</f>
        <v/>
      </c>
      <c r="F132" s="171" t="str">
        <f>IF(ISNUMBER($C132),VLOOKUP($C132,Methuselahs!$A$7:$I$206,COLUMN(Methuselahs!$I$6),0),"")</f>
        <v/>
      </c>
      <c r="G132" s="175"/>
      <c r="H132" s="176" t="str">
        <f>IF(ISNUMBER($C132),VLOOKUP($C132,Methuselahs!$A$7:$J$206,COLUMN(Methuselahs!$J$6),0),"")</f>
        <v/>
      </c>
    </row>
    <row r="133" spans="1:8" ht="15" x14ac:dyDescent="0.2">
      <c r="A133" s="173" t="str">
        <f>IF(ISNUMBER($C133),VLOOKUP($C133,Methuselahs!$Y$7:$Z$206,2,0),"")</f>
        <v/>
      </c>
      <c r="B133" s="174" t="str">
        <f>IF(ROW()-ROW($A$6)&lt;Methuselahs!$A$4,ROW()-ROW($A$5),"")</f>
        <v/>
      </c>
      <c r="C133" s="169" t="str">
        <f>IF(ISNUMBER($B133),VLOOKUP($B133,Methuselahs!$X$7:$Y$206,2,0),"")</f>
        <v/>
      </c>
      <c r="D133" s="177" t="str">
        <f>IF(ISNUMBER($C133),T(VLOOKUP($C133,Methuselahs!$A$7:$E$206,2,0))&amp;" "&amp;T(VLOOKUP($C133,Methuselahs!$A$7:$E$206,3,0)),"")</f>
        <v/>
      </c>
      <c r="E133" s="175" t="str">
        <f>IF(ISNUMBER($C133),VLOOKUP($C133,Methuselahs!$A$7:$I$206,COLUMN(Methuselahs!$H$6),0),"")</f>
        <v/>
      </c>
      <c r="F133" s="171" t="str">
        <f>IF(ISNUMBER($C133),VLOOKUP($C133,Methuselahs!$A$7:$I$206,COLUMN(Methuselahs!$I$6),0),"")</f>
        <v/>
      </c>
      <c r="G133" s="175"/>
      <c r="H133" s="176" t="str">
        <f>IF(ISNUMBER($C133),VLOOKUP($C133,Methuselahs!$A$7:$J$206,COLUMN(Methuselahs!$J$6),0),"")</f>
        <v/>
      </c>
    </row>
    <row r="134" spans="1:8" ht="15" x14ac:dyDescent="0.2">
      <c r="A134" s="173" t="str">
        <f>IF(ISNUMBER($C134),VLOOKUP($C134,Methuselahs!$Y$7:$Z$206,2,0),"")</f>
        <v/>
      </c>
      <c r="B134" s="174" t="str">
        <f>IF(ROW()-ROW($A$6)&lt;Methuselahs!$A$4,ROW()-ROW($A$5),"")</f>
        <v/>
      </c>
      <c r="C134" s="169" t="str">
        <f>IF(ISNUMBER($B134),VLOOKUP($B134,Methuselahs!$X$7:$Y$206,2,0),"")</f>
        <v/>
      </c>
      <c r="D134" s="177" t="str">
        <f>IF(ISNUMBER($C134),T(VLOOKUP($C134,Methuselahs!$A$7:$E$206,2,0))&amp;" "&amp;T(VLOOKUP($C134,Methuselahs!$A$7:$E$206,3,0)),"")</f>
        <v/>
      </c>
      <c r="E134" s="175" t="str">
        <f>IF(ISNUMBER($C134),VLOOKUP($C134,Methuselahs!$A$7:$I$206,COLUMN(Methuselahs!$H$6),0),"")</f>
        <v/>
      </c>
      <c r="F134" s="171" t="str">
        <f>IF(ISNUMBER($C134),VLOOKUP($C134,Methuselahs!$A$7:$I$206,COLUMN(Methuselahs!$I$6),0),"")</f>
        <v/>
      </c>
      <c r="G134" s="175"/>
      <c r="H134" s="176" t="str">
        <f>IF(ISNUMBER($C134),VLOOKUP($C134,Methuselahs!$A$7:$J$206,COLUMN(Methuselahs!$J$6),0),"")</f>
        <v/>
      </c>
    </row>
    <row r="135" spans="1:8" ht="15" x14ac:dyDescent="0.2">
      <c r="A135" s="173" t="str">
        <f>IF(ISNUMBER($C135),VLOOKUP($C135,Methuselahs!$Y$7:$Z$206,2,0),"")</f>
        <v/>
      </c>
      <c r="B135" s="174" t="str">
        <f>IF(ROW()-ROW($A$6)&lt;Methuselahs!$A$4,ROW()-ROW($A$5),"")</f>
        <v/>
      </c>
      <c r="C135" s="169" t="str">
        <f>IF(ISNUMBER($B135),VLOOKUP($B135,Methuselahs!$X$7:$Y$206,2,0),"")</f>
        <v/>
      </c>
      <c r="D135" s="177" t="str">
        <f>IF(ISNUMBER($C135),T(VLOOKUP($C135,Methuselahs!$A$7:$E$206,2,0))&amp;" "&amp;T(VLOOKUP($C135,Methuselahs!$A$7:$E$206,3,0)),"")</f>
        <v/>
      </c>
      <c r="E135" s="175" t="str">
        <f>IF(ISNUMBER($C135),VLOOKUP($C135,Methuselahs!$A$7:$I$206,COLUMN(Methuselahs!$H$6),0),"")</f>
        <v/>
      </c>
      <c r="F135" s="171" t="str">
        <f>IF(ISNUMBER($C135),VLOOKUP($C135,Methuselahs!$A$7:$I$206,COLUMN(Methuselahs!$I$6),0),"")</f>
        <v/>
      </c>
      <c r="G135" s="175"/>
      <c r="H135" s="176" t="str">
        <f>IF(ISNUMBER($C135),VLOOKUP($C135,Methuselahs!$A$7:$J$206,COLUMN(Methuselahs!$J$6),0),"")</f>
        <v/>
      </c>
    </row>
    <row r="136" spans="1:8" ht="15" x14ac:dyDescent="0.2">
      <c r="A136" s="173" t="str">
        <f>IF(ISNUMBER($C136),VLOOKUP($C136,Methuselahs!$Y$7:$Z$206,2,0),"")</f>
        <v/>
      </c>
      <c r="B136" s="174" t="str">
        <f>IF(ROW()-ROW($A$6)&lt;Methuselahs!$A$4,ROW()-ROW($A$5),"")</f>
        <v/>
      </c>
      <c r="C136" s="169" t="str">
        <f>IF(ISNUMBER($B136),VLOOKUP($B136,Methuselahs!$X$7:$Y$206,2,0),"")</f>
        <v/>
      </c>
      <c r="D136" s="177" t="str">
        <f>IF(ISNUMBER($C136),T(VLOOKUP($C136,Methuselahs!$A$7:$E$206,2,0))&amp;" "&amp;T(VLOOKUP($C136,Methuselahs!$A$7:$E$206,3,0)),"")</f>
        <v/>
      </c>
      <c r="E136" s="175" t="str">
        <f>IF(ISNUMBER($C136),VLOOKUP($C136,Methuselahs!$A$7:$I$206,COLUMN(Methuselahs!$H$6),0),"")</f>
        <v/>
      </c>
      <c r="F136" s="171" t="str">
        <f>IF(ISNUMBER($C136),VLOOKUP($C136,Methuselahs!$A$7:$I$206,COLUMN(Methuselahs!$I$6),0),"")</f>
        <v/>
      </c>
      <c r="G136" s="175"/>
      <c r="H136" s="176" t="str">
        <f>IF(ISNUMBER($C136),VLOOKUP($C136,Methuselahs!$A$7:$J$206,COLUMN(Methuselahs!$J$6),0),"")</f>
        <v/>
      </c>
    </row>
    <row r="137" spans="1:8" ht="15" x14ac:dyDescent="0.2">
      <c r="A137" s="173" t="str">
        <f>IF(ISNUMBER($C137),VLOOKUP($C137,Methuselahs!$Y$7:$Z$206,2,0),"")</f>
        <v/>
      </c>
      <c r="B137" s="174" t="str">
        <f>IF(ROW()-ROW($A$6)&lt;Methuselahs!$A$4,ROW()-ROW($A$5),"")</f>
        <v/>
      </c>
      <c r="C137" s="169" t="str">
        <f>IF(ISNUMBER($B137),VLOOKUP($B137,Methuselahs!$X$7:$Y$206,2,0),"")</f>
        <v/>
      </c>
      <c r="D137" s="177" t="str">
        <f>IF(ISNUMBER($C137),T(VLOOKUP($C137,Methuselahs!$A$7:$E$206,2,0))&amp;" "&amp;T(VLOOKUP($C137,Methuselahs!$A$7:$E$206,3,0)),"")</f>
        <v/>
      </c>
      <c r="E137" s="175" t="str">
        <f>IF(ISNUMBER($C137),VLOOKUP($C137,Methuselahs!$A$7:$I$206,COLUMN(Methuselahs!$H$6),0),"")</f>
        <v/>
      </c>
      <c r="F137" s="171" t="str">
        <f>IF(ISNUMBER($C137),VLOOKUP($C137,Methuselahs!$A$7:$I$206,COLUMN(Methuselahs!$I$6),0),"")</f>
        <v/>
      </c>
      <c r="G137" s="175"/>
      <c r="H137" s="176" t="str">
        <f>IF(ISNUMBER($C137),VLOOKUP($C137,Methuselahs!$A$7:$J$206,COLUMN(Methuselahs!$J$6),0),"")</f>
        <v/>
      </c>
    </row>
    <row r="138" spans="1:8" ht="15" x14ac:dyDescent="0.2">
      <c r="A138" s="173" t="str">
        <f>IF(ISNUMBER($C138),VLOOKUP($C138,Methuselahs!$Y$7:$Z$206,2,0),"")</f>
        <v/>
      </c>
      <c r="B138" s="174" t="str">
        <f>IF(ROW()-ROW($A$6)&lt;Methuselahs!$A$4,ROW()-ROW($A$5),"")</f>
        <v/>
      </c>
      <c r="C138" s="169" t="str">
        <f>IF(ISNUMBER($B138),VLOOKUP($B138,Methuselahs!$X$7:$Y$206,2,0),"")</f>
        <v/>
      </c>
      <c r="D138" s="177" t="str">
        <f>IF(ISNUMBER($C138),T(VLOOKUP($C138,Methuselahs!$A$7:$E$206,2,0))&amp;" "&amp;T(VLOOKUP($C138,Methuselahs!$A$7:$E$206,3,0)),"")</f>
        <v/>
      </c>
      <c r="E138" s="175" t="str">
        <f>IF(ISNUMBER($C138),VLOOKUP($C138,Methuselahs!$A$7:$I$206,COLUMN(Methuselahs!$H$6),0),"")</f>
        <v/>
      </c>
      <c r="F138" s="171" t="str">
        <f>IF(ISNUMBER($C138),VLOOKUP($C138,Methuselahs!$A$7:$I$206,COLUMN(Methuselahs!$I$6),0),"")</f>
        <v/>
      </c>
      <c r="G138" s="175"/>
      <c r="H138" s="176" t="str">
        <f>IF(ISNUMBER($C138),VLOOKUP($C138,Methuselahs!$A$7:$J$206,COLUMN(Methuselahs!$J$6),0),"")</f>
        <v/>
      </c>
    </row>
    <row r="139" spans="1:8" ht="15" x14ac:dyDescent="0.2">
      <c r="A139" s="173" t="str">
        <f>IF(ISNUMBER($C139),VLOOKUP($C139,Methuselahs!$Y$7:$Z$206,2,0),"")</f>
        <v/>
      </c>
      <c r="B139" s="174" t="str">
        <f>IF(ROW()-ROW($A$6)&lt;Methuselahs!$A$4,ROW()-ROW($A$5),"")</f>
        <v/>
      </c>
      <c r="C139" s="169" t="str">
        <f>IF(ISNUMBER($B139),VLOOKUP($B139,Methuselahs!$X$7:$Y$206,2,0),"")</f>
        <v/>
      </c>
      <c r="D139" s="177" t="str">
        <f>IF(ISNUMBER($C139),T(VLOOKUP($C139,Methuselahs!$A$7:$E$206,2,0))&amp;" "&amp;T(VLOOKUP($C139,Methuselahs!$A$7:$E$206,3,0)),"")</f>
        <v/>
      </c>
      <c r="E139" s="175" t="str">
        <f>IF(ISNUMBER($C139),VLOOKUP($C139,Methuselahs!$A$7:$I$206,COLUMN(Methuselahs!$H$6),0),"")</f>
        <v/>
      </c>
      <c r="F139" s="171" t="str">
        <f>IF(ISNUMBER($C139),VLOOKUP($C139,Methuselahs!$A$7:$I$206,COLUMN(Methuselahs!$I$6),0),"")</f>
        <v/>
      </c>
      <c r="G139" s="175"/>
      <c r="H139" s="176" t="str">
        <f>IF(ISNUMBER($C139),VLOOKUP($C139,Methuselahs!$A$7:$J$206,COLUMN(Methuselahs!$J$6),0),"")</f>
        <v/>
      </c>
    </row>
    <row r="140" spans="1:8" ht="15" x14ac:dyDescent="0.2">
      <c r="A140" s="173" t="str">
        <f>IF(ISNUMBER($C140),VLOOKUP($C140,Methuselahs!$Y$7:$Z$206,2,0),"")</f>
        <v/>
      </c>
      <c r="B140" s="174" t="str">
        <f>IF(ROW()-ROW($A$6)&lt;Methuselahs!$A$4,ROW()-ROW($A$5),"")</f>
        <v/>
      </c>
      <c r="C140" s="169" t="str">
        <f>IF(ISNUMBER($B140),VLOOKUP($B140,Methuselahs!$X$7:$Y$206,2,0),"")</f>
        <v/>
      </c>
      <c r="D140" s="177" t="str">
        <f>IF(ISNUMBER($C140),T(VLOOKUP($C140,Methuselahs!$A$7:$E$206,2,0))&amp;" "&amp;T(VLOOKUP($C140,Methuselahs!$A$7:$E$206,3,0)),"")</f>
        <v/>
      </c>
      <c r="E140" s="175" t="str">
        <f>IF(ISNUMBER($C140),VLOOKUP($C140,Methuselahs!$A$7:$I$206,COLUMN(Methuselahs!$H$6),0),"")</f>
        <v/>
      </c>
      <c r="F140" s="171" t="str">
        <f>IF(ISNUMBER($C140),VLOOKUP($C140,Methuselahs!$A$7:$I$206,COLUMN(Methuselahs!$I$6),0),"")</f>
        <v/>
      </c>
      <c r="G140" s="175"/>
      <c r="H140" s="176" t="str">
        <f>IF(ISNUMBER($C140),VLOOKUP($C140,Methuselahs!$A$7:$J$206,COLUMN(Methuselahs!$J$6),0),"")</f>
        <v/>
      </c>
    </row>
    <row r="141" spans="1:8" ht="15" x14ac:dyDescent="0.2">
      <c r="A141" s="173" t="str">
        <f>IF(ISNUMBER($C141),VLOOKUP($C141,Methuselahs!$Y$7:$Z$206,2,0),"")</f>
        <v/>
      </c>
      <c r="B141" s="174" t="str">
        <f>IF(ROW()-ROW($A$6)&lt;Methuselahs!$A$4,ROW()-ROW($A$5),"")</f>
        <v/>
      </c>
      <c r="C141" s="169" t="str">
        <f>IF(ISNUMBER($B141),VLOOKUP($B141,Methuselahs!$X$7:$Y$206,2,0),"")</f>
        <v/>
      </c>
      <c r="D141" s="177" t="str">
        <f>IF(ISNUMBER($C141),T(VLOOKUP($C141,Methuselahs!$A$7:$E$206,2,0))&amp;" "&amp;T(VLOOKUP($C141,Methuselahs!$A$7:$E$206,3,0)),"")</f>
        <v/>
      </c>
      <c r="E141" s="175" t="str">
        <f>IF(ISNUMBER($C141),VLOOKUP($C141,Methuselahs!$A$7:$I$206,COLUMN(Methuselahs!$H$6),0),"")</f>
        <v/>
      </c>
      <c r="F141" s="171" t="str">
        <f>IF(ISNUMBER($C141),VLOOKUP($C141,Methuselahs!$A$7:$I$206,COLUMN(Methuselahs!$I$6),0),"")</f>
        <v/>
      </c>
      <c r="G141" s="175"/>
      <c r="H141" s="176" t="str">
        <f>IF(ISNUMBER($C141),VLOOKUP($C141,Methuselahs!$A$7:$J$206,COLUMN(Methuselahs!$J$6),0),"")</f>
        <v/>
      </c>
    </row>
    <row r="142" spans="1:8" ht="15" x14ac:dyDescent="0.2">
      <c r="A142" s="173" t="str">
        <f>IF(ISNUMBER($C142),VLOOKUP($C142,Methuselahs!$Y$7:$Z$206,2,0),"")</f>
        <v/>
      </c>
      <c r="B142" s="174" t="str">
        <f>IF(ROW()-ROW($A$6)&lt;Methuselahs!$A$4,ROW()-ROW($A$5),"")</f>
        <v/>
      </c>
      <c r="C142" s="169" t="str">
        <f>IF(ISNUMBER($B142),VLOOKUP($B142,Methuselahs!$X$7:$Y$206,2,0),"")</f>
        <v/>
      </c>
      <c r="D142" s="177" t="str">
        <f>IF(ISNUMBER($C142),T(VLOOKUP($C142,Methuselahs!$A$7:$E$206,2,0))&amp;" "&amp;T(VLOOKUP($C142,Methuselahs!$A$7:$E$206,3,0)),"")</f>
        <v/>
      </c>
      <c r="E142" s="175" t="str">
        <f>IF(ISNUMBER($C142),VLOOKUP($C142,Methuselahs!$A$7:$I$206,COLUMN(Methuselahs!$H$6),0),"")</f>
        <v/>
      </c>
      <c r="F142" s="171" t="str">
        <f>IF(ISNUMBER($C142),VLOOKUP($C142,Methuselahs!$A$7:$I$206,COLUMN(Methuselahs!$I$6),0),"")</f>
        <v/>
      </c>
      <c r="G142" s="175"/>
      <c r="H142" s="176" t="str">
        <f>IF(ISNUMBER($C142),VLOOKUP($C142,Methuselahs!$A$7:$J$206,COLUMN(Methuselahs!$J$6),0),"")</f>
        <v/>
      </c>
    </row>
    <row r="143" spans="1:8" ht="15" x14ac:dyDescent="0.2">
      <c r="A143" s="173" t="str">
        <f>IF(ISNUMBER($C143),VLOOKUP($C143,Methuselahs!$Y$7:$Z$206,2,0),"")</f>
        <v/>
      </c>
      <c r="B143" s="174" t="str">
        <f>IF(ROW()-ROW($A$6)&lt;Methuselahs!$A$4,ROW()-ROW($A$5),"")</f>
        <v/>
      </c>
      <c r="C143" s="169" t="str">
        <f>IF(ISNUMBER($B143),VLOOKUP($B143,Methuselahs!$X$7:$Y$206,2,0),"")</f>
        <v/>
      </c>
      <c r="D143" s="177" t="str">
        <f>IF(ISNUMBER($C143),T(VLOOKUP($C143,Methuselahs!$A$7:$E$206,2,0))&amp;" "&amp;T(VLOOKUP($C143,Methuselahs!$A$7:$E$206,3,0)),"")</f>
        <v/>
      </c>
      <c r="E143" s="175" t="str">
        <f>IF(ISNUMBER($C143),VLOOKUP($C143,Methuselahs!$A$7:$I$206,COLUMN(Methuselahs!$H$6),0),"")</f>
        <v/>
      </c>
      <c r="F143" s="171" t="str">
        <f>IF(ISNUMBER($C143),VLOOKUP($C143,Methuselahs!$A$7:$I$206,COLUMN(Methuselahs!$I$6),0),"")</f>
        <v/>
      </c>
      <c r="G143" s="175"/>
      <c r="H143" s="176" t="str">
        <f>IF(ISNUMBER($C143),VLOOKUP($C143,Methuselahs!$A$7:$J$206,COLUMN(Methuselahs!$J$6),0),"")</f>
        <v/>
      </c>
    </row>
    <row r="144" spans="1:8" ht="15" x14ac:dyDescent="0.2">
      <c r="A144" s="173" t="str">
        <f>IF(ISNUMBER($C144),VLOOKUP($C144,Methuselahs!$Y$7:$Z$206,2,0),"")</f>
        <v/>
      </c>
      <c r="B144" s="174" t="str">
        <f>IF(ROW()-ROW($A$6)&lt;Methuselahs!$A$4,ROW()-ROW($A$5),"")</f>
        <v/>
      </c>
      <c r="C144" s="169" t="str">
        <f>IF(ISNUMBER($B144),VLOOKUP($B144,Methuselahs!$X$7:$Y$206,2,0),"")</f>
        <v/>
      </c>
      <c r="D144" s="177" t="str">
        <f>IF(ISNUMBER($C144),T(VLOOKUP($C144,Methuselahs!$A$7:$E$206,2,0))&amp;" "&amp;T(VLOOKUP($C144,Methuselahs!$A$7:$E$206,3,0)),"")</f>
        <v/>
      </c>
      <c r="E144" s="175" t="str">
        <f>IF(ISNUMBER($C144),VLOOKUP($C144,Methuselahs!$A$7:$I$206,COLUMN(Methuselahs!$H$6),0),"")</f>
        <v/>
      </c>
      <c r="F144" s="171" t="str">
        <f>IF(ISNUMBER($C144),VLOOKUP($C144,Methuselahs!$A$7:$I$206,COLUMN(Methuselahs!$I$6),0),"")</f>
        <v/>
      </c>
      <c r="G144" s="175"/>
      <c r="H144" s="176" t="str">
        <f>IF(ISNUMBER($C144),VLOOKUP($C144,Methuselahs!$A$7:$J$206,COLUMN(Methuselahs!$J$6),0),"")</f>
        <v/>
      </c>
    </row>
    <row r="145" spans="1:8" ht="15" x14ac:dyDescent="0.2">
      <c r="A145" s="173" t="str">
        <f>IF(ISNUMBER($C145),VLOOKUP($C145,Methuselahs!$Y$7:$Z$206,2,0),"")</f>
        <v/>
      </c>
      <c r="B145" s="174" t="str">
        <f>IF(ROW()-ROW($A$6)&lt;Methuselahs!$A$4,ROW()-ROW($A$5),"")</f>
        <v/>
      </c>
      <c r="C145" s="169" t="str">
        <f>IF(ISNUMBER($B145),VLOOKUP($B145,Methuselahs!$X$7:$Y$206,2,0),"")</f>
        <v/>
      </c>
      <c r="D145" s="177" t="str">
        <f>IF(ISNUMBER($C145),T(VLOOKUP($C145,Methuselahs!$A$7:$E$206,2,0))&amp;" "&amp;T(VLOOKUP($C145,Methuselahs!$A$7:$E$206,3,0)),"")</f>
        <v/>
      </c>
      <c r="E145" s="175" t="str">
        <f>IF(ISNUMBER($C145),VLOOKUP($C145,Methuselahs!$A$7:$I$206,COLUMN(Methuselahs!$H$6),0),"")</f>
        <v/>
      </c>
      <c r="F145" s="171" t="str">
        <f>IF(ISNUMBER($C145),VLOOKUP($C145,Methuselahs!$A$7:$I$206,COLUMN(Methuselahs!$I$6),0),"")</f>
        <v/>
      </c>
      <c r="G145" s="175"/>
      <c r="H145" s="176" t="str">
        <f>IF(ISNUMBER($C145),VLOOKUP($C145,Methuselahs!$A$7:$J$206,COLUMN(Methuselahs!$J$6),0),"")</f>
        <v/>
      </c>
    </row>
    <row r="146" spans="1:8" ht="15" x14ac:dyDescent="0.2">
      <c r="A146" s="173" t="str">
        <f>IF(ISNUMBER($C146),VLOOKUP($C146,Methuselahs!$Y$7:$Z$206,2,0),"")</f>
        <v/>
      </c>
      <c r="B146" s="174" t="str">
        <f>IF(ROW()-ROW($A$6)&lt;Methuselahs!$A$4,ROW()-ROW($A$5),"")</f>
        <v/>
      </c>
      <c r="C146" s="169" t="str">
        <f>IF(ISNUMBER($B146),VLOOKUP($B146,Methuselahs!$X$7:$Y$206,2,0),"")</f>
        <v/>
      </c>
      <c r="D146" s="177" t="str">
        <f>IF(ISNUMBER($C146),T(VLOOKUP($C146,Methuselahs!$A$7:$E$206,2,0))&amp;" "&amp;T(VLOOKUP($C146,Methuselahs!$A$7:$E$206,3,0)),"")</f>
        <v/>
      </c>
      <c r="E146" s="175" t="str">
        <f>IF(ISNUMBER($C146),VLOOKUP($C146,Methuselahs!$A$7:$I$206,COLUMN(Methuselahs!$H$6),0),"")</f>
        <v/>
      </c>
      <c r="F146" s="171" t="str">
        <f>IF(ISNUMBER($C146),VLOOKUP($C146,Methuselahs!$A$7:$I$206,COLUMN(Methuselahs!$I$6),0),"")</f>
        <v/>
      </c>
      <c r="G146" s="175"/>
      <c r="H146" s="176" t="str">
        <f>IF(ISNUMBER($C146),VLOOKUP($C146,Methuselahs!$A$7:$J$206,COLUMN(Methuselahs!$J$6),0),"")</f>
        <v/>
      </c>
    </row>
    <row r="147" spans="1:8" ht="15" x14ac:dyDescent="0.2">
      <c r="A147" s="173" t="str">
        <f>IF(ISNUMBER($C147),VLOOKUP($C147,Methuselahs!$Y$7:$Z$206,2,0),"")</f>
        <v/>
      </c>
      <c r="B147" s="174" t="str">
        <f>IF(ROW()-ROW($A$6)&lt;Methuselahs!$A$4,ROW()-ROW($A$5),"")</f>
        <v/>
      </c>
      <c r="C147" s="169" t="str">
        <f>IF(ISNUMBER($B147),VLOOKUP($B147,Methuselahs!$X$7:$Y$206,2,0),"")</f>
        <v/>
      </c>
      <c r="D147" s="177" t="str">
        <f>IF(ISNUMBER($C147),T(VLOOKUP($C147,Methuselahs!$A$7:$E$206,2,0))&amp;" "&amp;T(VLOOKUP($C147,Methuselahs!$A$7:$E$206,3,0)),"")</f>
        <v/>
      </c>
      <c r="E147" s="175" t="str">
        <f>IF(ISNUMBER($C147),VLOOKUP($C147,Methuselahs!$A$7:$I$206,COLUMN(Methuselahs!$H$6),0),"")</f>
        <v/>
      </c>
      <c r="F147" s="171" t="str">
        <f>IF(ISNUMBER($C147),VLOOKUP($C147,Methuselahs!$A$7:$I$206,COLUMN(Methuselahs!$I$6),0),"")</f>
        <v/>
      </c>
      <c r="G147" s="175"/>
      <c r="H147" s="176" t="str">
        <f>IF(ISNUMBER($C147),VLOOKUP($C147,Methuselahs!$A$7:$J$206,COLUMN(Methuselahs!$J$6),0),"")</f>
        <v/>
      </c>
    </row>
    <row r="148" spans="1:8" ht="15" x14ac:dyDescent="0.2">
      <c r="A148" s="173" t="str">
        <f>IF(ISNUMBER($C148),VLOOKUP($C148,Methuselahs!$Y$7:$Z$206,2,0),"")</f>
        <v/>
      </c>
      <c r="B148" s="174" t="str">
        <f>IF(ROW()-ROW($A$6)&lt;Methuselahs!$A$4,ROW()-ROW($A$5),"")</f>
        <v/>
      </c>
      <c r="C148" s="169" t="str">
        <f>IF(ISNUMBER($B148),VLOOKUP($B148,Methuselahs!$X$7:$Y$206,2,0),"")</f>
        <v/>
      </c>
      <c r="D148" s="177" t="str">
        <f>IF(ISNUMBER($C148),T(VLOOKUP($C148,Methuselahs!$A$7:$E$206,2,0))&amp;" "&amp;T(VLOOKUP($C148,Methuselahs!$A$7:$E$206,3,0)),"")</f>
        <v/>
      </c>
      <c r="E148" s="175" t="str">
        <f>IF(ISNUMBER($C148),VLOOKUP($C148,Methuselahs!$A$7:$I$206,COLUMN(Methuselahs!$H$6),0),"")</f>
        <v/>
      </c>
      <c r="F148" s="171" t="str">
        <f>IF(ISNUMBER($C148),VLOOKUP($C148,Methuselahs!$A$7:$I$206,COLUMN(Methuselahs!$I$6),0),"")</f>
        <v/>
      </c>
      <c r="G148" s="175"/>
      <c r="H148" s="176" t="str">
        <f>IF(ISNUMBER($C148),VLOOKUP($C148,Methuselahs!$A$7:$J$206,COLUMN(Methuselahs!$J$6),0),"")</f>
        <v/>
      </c>
    </row>
    <row r="149" spans="1:8" ht="15" x14ac:dyDescent="0.2">
      <c r="A149" s="173" t="str">
        <f>IF(ISNUMBER($C149),VLOOKUP($C149,Methuselahs!$Y$7:$Z$206,2,0),"")</f>
        <v/>
      </c>
      <c r="B149" s="174" t="str">
        <f>IF(ROW()-ROW($A$6)&lt;Methuselahs!$A$4,ROW()-ROW($A$5),"")</f>
        <v/>
      </c>
      <c r="C149" s="169" t="str">
        <f>IF(ISNUMBER($B149),VLOOKUP($B149,Methuselahs!$X$7:$Y$206,2,0),"")</f>
        <v/>
      </c>
      <c r="D149" s="177" t="str">
        <f>IF(ISNUMBER($C149),T(VLOOKUP($C149,Methuselahs!$A$7:$E$206,2,0))&amp;" "&amp;T(VLOOKUP($C149,Methuselahs!$A$7:$E$206,3,0)),"")</f>
        <v/>
      </c>
      <c r="E149" s="175" t="str">
        <f>IF(ISNUMBER($C149),VLOOKUP($C149,Methuselahs!$A$7:$I$206,COLUMN(Methuselahs!$H$6),0),"")</f>
        <v/>
      </c>
      <c r="F149" s="171" t="str">
        <f>IF(ISNUMBER($C149),VLOOKUP($C149,Methuselahs!$A$7:$I$206,COLUMN(Methuselahs!$I$6),0),"")</f>
        <v/>
      </c>
      <c r="G149" s="175"/>
      <c r="H149" s="176" t="str">
        <f>IF(ISNUMBER($C149),VLOOKUP($C149,Methuselahs!$A$7:$J$206,COLUMN(Methuselahs!$J$6),0),"")</f>
        <v/>
      </c>
    </row>
    <row r="150" spans="1:8" ht="15" x14ac:dyDescent="0.2">
      <c r="A150" s="173" t="str">
        <f>IF(ISNUMBER($C150),VLOOKUP($C150,Methuselahs!$Y$7:$Z$206,2,0),"")</f>
        <v/>
      </c>
      <c r="B150" s="174" t="str">
        <f>IF(ROW()-ROW($A$6)&lt;Methuselahs!$A$4,ROW()-ROW($A$5),"")</f>
        <v/>
      </c>
      <c r="C150" s="169" t="str">
        <f>IF(ISNUMBER($B150),VLOOKUP($B150,Methuselahs!$X$7:$Y$206,2,0),"")</f>
        <v/>
      </c>
      <c r="D150" s="177" t="str">
        <f>IF(ISNUMBER($C150),T(VLOOKUP($C150,Methuselahs!$A$7:$E$206,2,0))&amp;" "&amp;T(VLOOKUP($C150,Methuselahs!$A$7:$E$206,3,0)),"")</f>
        <v/>
      </c>
      <c r="E150" s="175" t="str">
        <f>IF(ISNUMBER($C150),VLOOKUP($C150,Methuselahs!$A$7:$I$206,COLUMN(Methuselahs!$H$6),0),"")</f>
        <v/>
      </c>
      <c r="F150" s="171" t="str">
        <f>IF(ISNUMBER($C150),VLOOKUP($C150,Methuselahs!$A$7:$I$206,COLUMN(Methuselahs!$I$6),0),"")</f>
        <v/>
      </c>
      <c r="G150" s="175"/>
      <c r="H150" s="176" t="str">
        <f>IF(ISNUMBER($C150),VLOOKUP($C150,Methuselahs!$A$7:$J$206,COLUMN(Methuselahs!$J$6),0),"")</f>
        <v/>
      </c>
    </row>
    <row r="151" spans="1:8" ht="15" x14ac:dyDescent="0.2">
      <c r="A151" s="173" t="str">
        <f>IF(ISNUMBER($C151),VLOOKUP($C151,Methuselahs!$Y$7:$Z$206,2,0),"")</f>
        <v/>
      </c>
      <c r="B151" s="174" t="str">
        <f>IF(ROW()-ROW($A$6)&lt;Methuselahs!$A$4,ROW()-ROW($A$5),"")</f>
        <v/>
      </c>
      <c r="C151" s="169" t="str">
        <f>IF(ISNUMBER($B151),VLOOKUP($B151,Methuselahs!$X$7:$Y$206,2,0),"")</f>
        <v/>
      </c>
      <c r="D151" s="177" t="str">
        <f>IF(ISNUMBER($C151),T(VLOOKUP($C151,Methuselahs!$A$7:$E$206,2,0))&amp;" "&amp;T(VLOOKUP($C151,Methuselahs!$A$7:$E$206,3,0)),"")</f>
        <v/>
      </c>
      <c r="E151" s="175" t="str">
        <f>IF(ISNUMBER($C151),VLOOKUP($C151,Methuselahs!$A$7:$I$206,COLUMN(Methuselahs!$H$6),0),"")</f>
        <v/>
      </c>
      <c r="F151" s="171" t="str">
        <f>IF(ISNUMBER($C151),VLOOKUP($C151,Methuselahs!$A$7:$I$206,COLUMN(Methuselahs!$I$6),0),"")</f>
        <v/>
      </c>
      <c r="G151" s="175"/>
      <c r="H151" s="176" t="str">
        <f>IF(ISNUMBER($C151),VLOOKUP($C151,Methuselahs!$A$7:$J$206,COLUMN(Methuselahs!$J$6),0),"")</f>
        <v/>
      </c>
    </row>
    <row r="152" spans="1:8" ht="15" x14ac:dyDescent="0.2">
      <c r="A152" s="173" t="str">
        <f>IF(ISNUMBER($C152),VLOOKUP($C152,Methuselahs!$Y$7:$Z$206,2,0),"")</f>
        <v/>
      </c>
      <c r="B152" s="174" t="str">
        <f>IF(ROW()-ROW($A$6)&lt;Methuselahs!$A$4,ROW()-ROW($A$5),"")</f>
        <v/>
      </c>
      <c r="C152" s="169" t="str">
        <f>IF(ISNUMBER($B152),VLOOKUP($B152,Methuselahs!$X$7:$Y$206,2,0),"")</f>
        <v/>
      </c>
      <c r="D152" s="177" t="str">
        <f>IF(ISNUMBER($C152),T(VLOOKUP($C152,Methuselahs!$A$7:$E$206,2,0))&amp;" "&amp;T(VLOOKUP($C152,Methuselahs!$A$7:$E$206,3,0)),"")</f>
        <v/>
      </c>
      <c r="E152" s="175" t="str">
        <f>IF(ISNUMBER($C152),VLOOKUP($C152,Methuselahs!$A$7:$I$206,COLUMN(Methuselahs!$H$6),0),"")</f>
        <v/>
      </c>
      <c r="F152" s="171" t="str">
        <f>IF(ISNUMBER($C152),VLOOKUP($C152,Methuselahs!$A$7:$I$206,COLUMN(Methuselahs!$I$6),0),"")</f>
        <v/>
      </c>
      <c r="G152" s="175"/>
      <c r="H152" s="176" t="str">
        <f>IF(ISNUMBER($C152),VLOOKUP($C152,Methuselahs!$A$7:$J$206,COLUMN(Methuselahs!$J$6),0),"")</f>
        <v/>
      </c>
    </row>
    <row r="153" spans="1:8" ht="15" x14ac:dyDescent="0.2">
      <c r="A153" s="173" t="str">
        <f>IF(ISNUMBER($C153),VLOOKUP($C153,Methuselahs!$Y$7:$Z$206,2,0),"")</f>
        <v/>
      </c>
      <c r="B153" s="174" t="str">
        <f>IF(ROW()-ROW($A$6)&lt;Methuselahs!$A$4,ROW()-ROW($A$5),"")</f>
        <v/>
      </c>
      <c r="C153" s="169" t="str">
        <f>IF(ISNUMBER($B153),VLOOKUP($B153,Methuselahs!$X$7:$Y$206,2,0),"")</f>
        <v/>
      </c>
      <c r="D153" s="177" t="str">
        <f>IF(ISNUMBER($C153),T(VLOOKUP($C153,Methuselahs!$A$7:$E$206,2,0))&amp;" "&amp;T(VLOOKUP($C153,Methuselahs!$A$7:$E$206,3,0)),"")</f>
        <v/>
      </c>
      <c r="E153" s="175" t="str">
        <f>IF(ISNUMBER($C153),VLOOKUP($C153,Methuselahs!$A$7:$I$206,COLUMN(Methuselahs!$H$6),0),"")</f>
        <v/>
      </c>
      <c r="F153" s="171" t="str">
        <f>IF(ISNUMBER($C153),VLOOKUP($C153,Methuselahs!$A$7:$I$206,COLUMN(Methuselahs!$I$6),0),"")</f>
        <v/>
      </c>
      <c r="G153" s="175"/>
      <c r="H153" s="176" t="str">
        <f>IF(ISNUMBER($C153),VLOOKUP($C153,Methuselahs!$A$7:$J$206,COLUMN(Methuselahs!$J$6),0),"")</f>
        <v/>
      </c>
    </row>
    <row r="154" spans="1:8" ht="15" x14ac:dyDescent="0.2">
      <c r="A154" s="173" t="str">
        <f>IF(ISNUMBER($C154),VLOOKUP($C154,Methuselahs!$Y$7:$Z$206,2,0),"")</f>
        <v/>
      </c>
      <c r="B154" s="174" t="str">
        <f>IF(ROW()-ROW($A$6)&lt;Methuselahs!$A$4,ROW()-ROW($A$5),"")</f>
        <v/>
      </c>
      <c r="C154" s="169" t="str">
        <f>IF(ISNUMBER($B154),VLOOKUP($B154,Methuselahs!$X$7:$Y$206,2,0),"")</f>
        <v/>
      </c>
      <c r="D154" s="177" t="str">
        <f>IF(ISNUMBER($C154),T(VLOOKUP($C154,Methuselahs!$A$7:$E$206,2,0))&amp;" "&amp;T(VLOOKUP($C154,Methuselahs!$A$7:$E$206,3,0)),"")</f>
        <v/>
      </c>
      <c r="E154" s="175" t="str">
        <f>IF(ISNUMBER($C154),VLOOKUP($C154,Methuselahs!$A$7:$I$206,COLUMN(Methuselahs!$H$6),0),"")</f>
        <v/>
      </c>
      <c r="F154" s="171" t="str">
        <f>IF(ISNUMBER($C154),VLOOKUP($C154,Methuselahs!$A$7:$I$206,COLUMN(Methuselahs!$I$6),0),"")</f>
        <v/>
      </c>
      <c r="G154" s="175"/>
      <c r="H154" s="176" t="str">
        <f>IF(ISNUMBER($C154),VLOOKUP($C154,Methuselahs!$A$7:$J$206,COLUMN(Methuselahs!$J$6),0),"")</f>
        <v/>
      </c>
    </row>
    <row r="155" spans="1:8" ht="15" x14ac:dyDescent="0.2">
      <c r="A155" s="173" t="str">
        <f>IF(ISNUMBER($C155),VLOOKUP($C155,Methuselahs!$Y$7:$Z$206,2,0),"")</f>
        <v/>
      </c>
      <c r="B155" s="174" t="str">
        <f>IF(ROW()-ROW($A$6)&lt;Methuselahs!$A$4,ROW()-ROW($A$5),"")</f>
        <v/>
      </c>
      <c r="C155" s="169" t="str">
        <f>IF(ISNUMBER($B155),VLOOKUP($B155,Methuselahs!$X$7:$Y$206,2,0),"")</f>
        <v/>
      </c>
      <c r="D155" s="177" t="str">
        <f>IF(ISNUMBER($C155),T(VLOOKUP($C155,Methuselahs!$A$7:$E$206,2,0))&amp;" "&amp;T(VLOOKUP($C155,Methuselahs!$A$7:$E$206,3,0)),"")</f>
        <v/>
      </c>
      <c r="E155" s="175" t="str">
        <f>IF(ISNUMBER($C155),VLOOKUP($C155,Methuselahs!$A$7:$I$206,COLUMN(Methuselahs!$H$6),0),"")</f>
        <v/>
      </c>
      <c r="F155" s="171" t="str">
        <f>IF(ISNUMBER($C155),VLOOKUP($C155,Methuselahs!$A$7:$I$206,COLUMN(Methuselahs!$I$6),0),"")</f>
        <v/>
      </c>
      <c r="G155" s="175"/>
      <c r="H155" s="176" t="str">
        <f>IF(ISNUMBER($C155),VLOOKUP($C155,Methuselahs!$A$7:$J$206,COLUMN(Methuselahs!$J$6),0),"")</f>
        <v/>
      </c>
    </row>
    <row r="156" spans="1:8" ht="15" x14ac:dyDescent="0.2">
      <c r="A156" s="173" t="str">
        <f>IF(ISNUMBER($C156),VLOOKUP($C156,Methuselahs!$Y$7:$Z$206,2,0),"")</f>
        <v/>
      </c>
      <c r="B156" s="174" t="str">
        <f>IF(ROW()-ROW($A$6)&lt;Methuselahs!$A$4,ROW()-ROW($A$5),"")</f>
        <v/>
      </c>
      <c r="C156" s="169" t="str">
        <f>IF(ISNUMBER($B156),VLOOKUP($B156,Methuselahs!$X$7:$Y$206,2,0),"")</f>
        <v/>
      </c>
      <c r="D156" s="177" t="str">
        <f>IF(ISNUMBER($C156),T(VLOOKUP($C156,Methuselahs!$A$7:$E$206,2,0))&amp;" "&amp;T(VLOOKUP($C156,Methuselahs!$A$7:$E$206,3,0)),"")</f>
        <v/>
      </c>
      <c r="E156" s="175" t="str">
        <f>IF(ISNUMBER($C156),VLOOKUP($C156,Methuselahs!$A$7:$I$206,COLUMN(Methuselahs!$H$6),0),"")</f>
        <v/>
      </c>
      <c r="F156" s="171" t="str">
        <f>IF(ISNUMBER($C156),VLOOKUP($C156,Methuselahs!$A$7:$I$206,COLUMN(Methuselahs!$I$6),0),"")</f>
        <v/>
      </c>
      <c r="G156" s="175"/>
      <c r="H156" s="176" t="str">
        <f>IF(ISNUMBER($C156),VLOOKUP($C156,Methuselahs!$A$7:$J$206,COLUMN(Methuselahs!$J$6),0),"")</f>
        <v/>
      </c>
    </row>
    <row r="157" spans="1:8" ht="15" x14ac:dyDescent="0.2">
      <c r="A157" s="173" t="str">
        <f>IF(ISNUMBER($C157),VLOOKUP($C157,Methuselahs!$Y$7:$Z$206,2,0),"")</f>
        <v/>
      </c>
      <c r="B157" s="174" t="str">
        <f>IF(ROW()-ROW($A$6)&lt;Methuselahs!$A$4,ROW()-ROW($A$5),"")</f>
        <v/>
      </c>
      <c r="C157" s="169" t="str">
        <f>IF(ISNUMBER($B157),VLOOKUP($B157,Methuselahs!$X$7:$Y$206,2,0),"")</f>
        <v/>
      </c>
      <c r="D157" s="177" t="str">
        <f>IF(ISNUMBER($C157),T(VLOOKUP($C157,Methuselahs!$A$7:$E$206,2,0))&amp;" "&amp;T(VLOOKUP($C157,Methuselahs!$A$7:$E$206,3,0)),"")</f>
        <v/>
      </c>
      <c r="E157" s="175" t="str">
        <f>IF(ISNUMBER($C157),VLOOKUP($C157,Methuselahs!$A$7:$I$206,COLUMN(Methuselahs!$H$6),0),"")</f>
        <v/>
      </c>
      <c r="F157" s="171" t="str">
        <f>IF(ISNUMBER($C157),VLOOKUP($C157,Methuselahs!$A$7:$I$206,COLUMN(Methuselahs!$I$6),0),"")</f>
        <v/>
      </c>
      <c r="G157" s="175"/>
      <c r="H157" s="176" t="str">
        <f>IF(ISNUMBER($C157),VLOOKUP($C157,Methuselahs!$A$7:$J$206,COLUMN(Methuselahs!$J$6),0),"")</f>
        <v/>
      </c>
    </row>
    <row r="158" spans="1:8" ht="15" x14ac:dyDescent="0.2">
      <c r="A158" s="173" t="str">
        <f>IF(ISNUMBER($C158),VLOOKUP($C158,Methuselahs!$Y$7:$Z$206,2,0),"")</f>
        <v/>
      </c>
      <c r="B158" s="174" t="str">
        <f>IF(ROW()-ROW($A$6)&lt;Methuselahs!$A$4,ROW()-ROW($A$5),"")</f>
        <v/>
      </c>
      <c r="C158" s="169" t="str">
        <f>IF(ISNUMBER($B158),VLOOKUP($B158,Methuselahs!$X$7:$Y$206,2,0),"")</f>
        <v/>
      </c>
      <c r="D158" s="177" t="str">
        <f>IF(ISNUMBER($C158),T(VLOOKUP($C158,Methuselahs!$A$7:$E$206,2,0))&amp;" "&amp;T(VLOOKUP($C158,Methuselahs!$A$7:$E$206,3,0)),"")</f>
        <v/>
      </c>
      <c r="E158" s="175" t="str">
        <f>IF(ISNUMBER($C158),VLOOKUP($C158,Methuselahs!$A$7:$I$206,COLUMN(Methuselahs!$H$6),0),"")</f>
        <v/>
      </c>
      <c r="F158" s="171" t="str">
        <f>IF(ISNUMBER($C158),VLOOKUP($C158,Methuselahs!$A$7:$I$206,COLUMN(Methuselahs!$I$6),0),"")</f>
        <v/>
      </c>
      <c r="G158" s="175"/>
      <c r="H158" s="176" t="str">
        <f>IF(ISNUMBER($C158),VLOOKUP($C158,Methuselahs!$A$7:$J$206,COLUMN(Methuselahs!$J$6),0),"")</f>
        <v/>
      </c>
    </row>
    <row r="159" spans="1:8" ht="15" x14ac:dyDescent="0.2">
      <c r="A159" s="173" t="str">
        <f>IF(ISNUMBER($C159),VLOOKUP($C159,Methuselahs!$Y$7:$Z$206,2,0),"")</f>
        <v/>
      </c>
      <c r="B159" s="174" t="str">
        <f>IF(ROW()-ROW($A$6)&lt;Methuselahs!$A$4,ROW()-ROW($A$5),"")</f>
        <v/>
      </c>
      <c r="C159" s="169" t="str">
        <f>IF(ISNUMBER($B159),VLOOKUP($B159,Methuselahs!$X$7:$Y$206,2,0),"")</f>
        <v/>
      </c>
      <c r="D159" s="177" t="str">
        <f>IF(ISNUMBER($C159),T(VLOOKUP($C159,Methuselahs!$A$7:$E$206,2,0))&amp;" "&amp;T(VLOOKUP($C159,Methuselahs!$A$7:$E$206,3,0)),"")</f>
        <v/>
      </c>
      <c r="E159" s="175" t="str">
        <f>IF(ISNUMBER($C159),VLOOKUP($C159,Methuselahs!$A$7:$I$206,COLUMN(Methuselahs!$H$6),0),"")</f>
        <v/>
      </c>
      <c r="F159" s="171" t="str">
        <f>IF(ISNUMBER($C159),VLOOKUP($C159,Methuselahs!$A$7:$I$206,COLUMN(Methuselahs!$I$6),0),"")</f>
        <v/>
      </c>
      <c r="G159" s="175"/>
      <c r="H159" s="176" t="str">
        <f>IF(ISNUMBER($C159),VLOOKUP($C159,Methuselahs!$A$7:$J$206,COLUMN(Methuselahs!$J$6),0),"")</f>
        <v/>
      </c>
    </row>
    <row r="160" spans="1:8" ht="15" x14ac:dyDescent="0.2">
      <c r="A160" s="173" t="str">
        <f>IF(ISNUMBER($C160),VLOOKUP($C160,Methuselahs!$Y$7:$Z$206,2,0),"")</f>
        <v/>
      </c>
      <c r="B160" s="174" t="str">
        <f>IF(ROW()-ROW($A$6)&lt;Methuselahs!$A$4,ROW()-ROW($A$5),"")</f>
        <v/>
      </c>
      <c r="C160" s="169" t="str">
        <f>IF(ISNUMBER($B160),VLOOKUP($B160,Methuselahs!$X$7:$Y$206,2,0),"")</f>
        <v/>
      </c>
      <c r="D160" s="177" t="str">
        <f>IF(ISNUMBER($C160),T(VLOOKUP($C160,Methuselahs!$A$7:$E$206,2,0))&amp;" "&amp;T(VLOOKUP($C160,Methuselahs!$A$7:$E$206,3,0)),"")</f>
        <v/>
      </c>
      <c r="E160" s="175" t="str">
        <f>IF(ISNUMBER($C160),VLOOKUP($C160,Methuselahs!$A$7:$I$206,COLUMN(Methuselahs!$H$6),0),"")</f>
        <v/>
      </c>
      <c r="F160" s="171" t="str">
        <f>IF(ISNUMBER($C160),VLOOKUP($C160,Methuselahs!$A$7:$I$206,COLUMN(Methuselahs!$I$6),0),"")</f>
        <v/>
      </c>
      <c r="G160" s="175"/>
      <c r="H160" s="176" t="str">
        <f>IF(ISNUMBER($C160),VLOOKUP($C160,Methuselahs!$A$7:$J$206,COLUMN(Methuselahs!$J$6),0),"")</f>
        <v/>
      </c>
    </row>
    <row r="161" spans="1:8" ht="15" x14ac:dyDescent="0.2">
      <c r="A161" s="173" t="str">
        <f>IF(ISNUMBER($C161),VLOOKUP($C161,Methuselahs!$Y$7:$Z$206,2,0),"")</f>
        <v/>
      </c>
      <c r="B161" s="174" t="str">
        <f>IF(ROW()-ROW($A$6)&lt;Methuselahs!$A$4,ROW()-ROW($A$5),"")</f>
        <v/>
      </c>
      <c r="C161" s="169" t="str">
        <f>IF(ISNUMBER($B161),VLOOKUP($B161,Methuselahs!$X$7:$Y$206,2,0),"")</f>
        <v/>
      </c>
      <c r="D161" s="177" t="str">
        <f>IF(ISNUMBER($C161),T(VLOOKUP($C161,Methuselahs!$A$7:$E$206,2,0))&amp;" "&amp;T(VLOOKUP($C161,Methuselahs!$A$7:$E$206,3,0)),"")</f>
        <v/>
      </c>
      <c r="E161" s="175" t="str">
        <f>IF(ISNUMBER($C161),VLOOKUP($C161,Methuselahs!$A$7:$I$206,COLUMN(Methuselahs!$H$6),0),"")</f>
        <v/>
      </c>
      <c r="F161" s="171" t="str">
        <f>IF(ISNUMBER($C161),VLOOKUP($C161,Methuselahs!$A$7:$I$206,COLUMN(Methuselahs!$I$6),0),"")</f>
        <v/>
      </c>
      <c r="G161" s="175"/>
      <c r="H161" s="176" t="str">
        <f>IF(ISNUMBER($C161),VLOOKUP($C161,Methuselahs!$A$7:$J$206,COLUMN(Methuselahs!$J$6),0),"")</f>
        <v/>
      </c>
    </row>
    <row r="162" spans="1:8" ht="15" x14ac:dyDescent="0.2">
      <c r="A162" s="173" t="str">
        <f>IF(ISNUMBER($C162),VLOOKUP($C162,Methuselahs!$Y$7:$Z$206,2,0),"")</f>
        <v/>
      </c>
      <c r="B162" s="174" t="str">
        <f>IF(ROW()-ROW($A$6)&lt;Methuselahs!$A$4,ROW()-ROW($A$5),"")</f>
        <v/>
      </c>
      <c r="C162" s="169" t="str">
        <f>IF(ISNUMBER($B162),VLOOKUP($B162,Methuselahs!$X$7:$Y$206,2,0),"")</f>
        <v/>
      </c>
      <c r="D162" s="177" t="str">
        <f>IF(ISNUMBER($C162),T(VLOOKUP($C162,Methuselahs!$A$7:$E$206,2,0))&amp;" "&amp;T(VLOOKUP($C162,Methuselahs!$A$7:$E$206,3,0)),"")</f>
        <v/>
      </c>
      <c r="E162" s="175" t="str">
        <f>IF(ISNUMBER($C162),VLOOKUP($C162,Methuselahs!$A$7:$I$206,COLUMN(Methuselahs!$H$6),0),"")</f>
        <v/>
      </c>
      <c r="F162" s="171" t="str">
        <f>IF(ISNUMBER($C162),VLOOKUP($C162,Methuselahs!$A$7:$I$206,COLUMN(Methuselahs!$I$6),0),"")</f>
        <v/>
      </c>
      <c r="G162" s="175"/>
      <c r="H162" s="176" t="str">
        <f>IF(ISNUMBER($C162),VLOOKUP($C162,Methuselahs!$A$7:$J$206,COLUMN(Methuselahs!$J$6),0),"")</f>
        <v/>
      </c>
    </row>
    <row r="163" spans="1:8" ht="15" x14ac:dyDescent="0.2">
      <c r="A163" s="173" t="str">
        <f>IF(ISNUMBER($C163),VLOOKUP($C163,Methuselahs!$Y$7:$Z$206,2,0),"")</f>
        <v/>
      </c>
      <c r="B163" s="174" t="str">
        <f>IF(ROW()-ROW($A$6)&lt;Methuselahs!$A$4,ROW()-ROW($A$5),"")</f>
        <v/>
      </c>
      <c r="C163" s="169" t="str">
        <f>IF(ISNUMBER($B163),VLOOKUP($B163,Methuselahs!$X$7:$Y$206,2,0),"")</f>
        <v/>
      </c>
      <c r="D163" s="177" t="str">
        <f>IF(ISNUMBER($C163),T(VLOOKUP($C163,Methuselahs!$A$7:$E$206,2,0))&amp;" "&amp;T(VLOOKUP($C163,Methuselahs!$A$7:$E$206,3,0)),"")</f>
        <v/>
      </c>
      <c r="E163" s="175" t="str">
        <f>IF(ISNUMBER($C163),VLOOKUP($C163,Methuselahs!$A$7:$I$206,COLUMN(Methuselahs!$H$6),0),"")</f>
        <v/>
      </c>
      <c r="F163" s="171" t="str">
        <f>IF(ISNUMBER($C163),VLOOKUP($C163,Methuselahs!$A$7:$I$206,COLUMN(Methuselahs!$I$6),0),"")</f>
        <v/>
      </c>
      <c r="G163" s="175"/>
      <c r="H163" s="176" t="str">
        <f>IF(ISNUMBER($C163),VLOOKUP($C163,Methuselahs!$A$7:$J$206,COLUMN(Methuselahs!$J$6),0),"")</f>
        <v/>
      </c>
    </row>
    <row r="164" spans="1:8" ht="15" x14ac:dyDescent="0.2">
      <c r="A164" s="173" t="str">
        <f>IF(ISNUMBER($C164),VLOOKUP($C164,Methuselahs!$Y$7:$Z$206,2,0),"")</f>
        <v/>
      </c>
      <c r="B164" s="174" t="str">
        <f>IF(ROW()-ROW($A$6)&lt;Methuselahs!$A$4,ROW()-ROW($A$5),"")</f>
        <v/>
      </c>
      <c r="C164" s="169" t="str">
        <f>IF(ISNUMBER($B164),VLOOKUP($B164,Methuselahs!$X$7:$Y$206,2,0),"")</f>
        <v/>
      </c>
      <c r="D164" s="177" t="str">
        <f>IF(ISNUMBER($C164),T(VLOOKUP($C164,Methuselahs!$A$7:$E$206,2,0))&amp;" "&amp;T(VLOOKUP($C164,Methuselahs!$A$7:$E$206,3,0)),"")</f>
        <v/>
      </c>
      <c r="E164" s="175" t="str">
        <f>IF(ISNUMBER($C164),VLOOKUP($C164,Methuselahs!$A$7:$I$206,COLUMN(Methuselahs!$H$6),0),"")</f>
        <v/>
      </c>
      <c r="F164" s="171" t="str">
        <f>IF(ISNUMBER($C164),VLOOKUP($C164,Methuselahs!$A$7:$I$206,COLUMN(Methuselahs!$I$6),0),"")</f>
        <v/>
      </c>
      <c r="G164" s="175"/>
      <c r="H164" s="176" t="str">
        <f>IF(ISNUMBER($C164),VLOOKUP($C164,Methuselahs!$A$7:$J$206,COLUMN(Methuselahs!$J$6),0),"")</f>
        <v/>
      </c>
    </row>
    <row r="165" spans="1:8" ht="15" x14ac:dyDescent="0.2">
      <c r="A165" s="173" t="str">
        <f>IF(ISNUMBER($C165),VLOOKUP($C165,Methuselahs!$Y$7:$Z$206,2,0),"")</f>
        <v/>
      </c>
      <c r="B165" s="174" t="str">
        <f>IF(ROW()-ROW($A$6)&lt;Methuselahs!$A$4,ROW()-ROW($A$5),"")</f>
        <v/>
      </c>
      <c r="C165" s="169" t="str">
        <f>IF(ISNUMBER($B165),VLOOKUP($B165,Methuselahs!$X$7:$Y$206,2,0),"")</f>
        <v/>
      </c>
      <c r="D165" s="177" t="str">
        <f>IF(ISNUMBER($C165),T(VLOOKUP($C165,Methuselahs!$A$7:$E$206,2,0))&amp;" "&amp;T(VLOOKUP($C165,Methuselahs!$A$7:$E$206,3,0)),"")</f>
        <v/>
      </c>
      <c r="E165" s="175" t="str">
        <f>IF(ISNUMBER($C165),VLOOKUP($C165,Methuselahs!$A$7:$I$206,COLUMN(Methuselahs!$H$6),0),"")</f>
        <v/>
      </c>
      <c r="F165" s="171" t="str">
        <f>IF(ISNUMBER($C165),VLOOKUP($C165,Methuselahs!$A$7:$I$206,COLUMN(Methuselahs!$I$6),0),"")</f>
        <v/>
      </c>
      <c r="G165" s="175"/>
      <c r="H165" s="176" t="str">
        <f>IF(ISNUMBER($C165),VLOOKUP($C165,Methuselahs!$A$7:$J$206,COLUMN(Methuselahs!$J$6),0),"")</f>
        <v/>
      </c>
    </row>
    <row r="166" spans="1:8" ht="15" x14ac:dyDescent="0.2">
      <c r="A166" s="173" t="str">
        <f>IF(ISNUMBER($C166),VLOOKUP($C166,Methuselahs!$Y$7:$Z$206,2,0),"")</f>
        <v/>
      </c>
      <c r="B166" s="174" t="str">
        <f>IF(ROW()-ROW($A$6)&lt;Methuselahs!$A$4,ROW()-ROW($A$5),"")</f>
        <v/>
      </c>
      <c r="C166" s="169" t="str">
        <f>IF(ISNUMBER($B166),VLOOKUP($B166,Methuselahs!$X$7:$Y$206,2,0),"")</f>
        <v/>
      </c>
      <c r="D166" s="177" t="str">
        <f>IF(ISNUMBER($C166),T(VLOOKUP($C166,Methuselahs!$A$7:$E$206,2,0))&amp;" "&amp;T(VLOOKUP($C166,Methuselahs!$A$7:$E$206,3,0)),"")</f>
        <v/>
      </c>
      <c r="E166" s="175" t="str">
        <f>IF(ISNUMBER($C166),VLOOKUP($C166,Methuselahs!$A$7:$I$206,COLUMN(Methuselahs!$H$6),0),"")</f>
        <v/>
      </c>
      <c r="F166" s="171" t="str">
        <f>IF(ISNUMBER($C166),VLOOKUP($C166,Methuselahs!$A$7:$I$206,COLUMN(Methuselahs!$I$6),0),"")</f>
        <v/>
      </c>
      <c r="G166" s="175"/>
      <c r="H166" s="176" t="str">
        <f>IF(ISNUMBER($C166),VLOOKUP($C166,Methuselahs!$A$7:$J$206,COLUMN(Methuselahs!$J$6),0),"")</f>
        <v/>
      </c>
    </row>
    <row r="167" spans="1:8" ht="15" x14ac:dyDescent="0.2">
      <c r="A167" s="173" t="str">
        <f>IF(ISNUMBER($C167),VLOOKUP($C167,Methuselahs!$Y$7:$Z$206,2,0),"")</f>
        <v/>
      </c>
      <c r="B167" s="174" t="str">
        <f>IF(ROW()-ROW($A$6)&lt;Methuselahs!$A$4,ROW()-ROW($A$5),"")</f>
        <v/>
      </c>
      <c r="C167" s="169" t="str">
        <f>IF(ISNUMBER($B167),VLOOKUP($B167,Methuselahs!$X$7:$Y$206,2,0),"")</f>
        <v/>
      </c>
      <c r="D167" s="177" t="str">
        <f>IF(ISNUMBER($C167),T(VLOOKUP($C167,Methuselahs!$A$7:$E$206,2,0))&amp;" "&amp;T(VLOOKUP($C167,Methuselahs!$A$7:$E$206,3,0)),"")</f>
        <v/>
      </c>
      <c r="E167" s="175" t="str">
        <f>IF(ISNUMBER($C167),VLOOKUP($C167,Methuselahs!$A$7:$I$206,COLUMN(Methuselahs!$H$6),0),"")</f>
        <v/>
      </c>
      <c r="F167" s="171" t="str">
        <f>IF(ISNUMBER($C167),VLOOKUP($C167,Methuselahs!$A$7:$I$206,COLUMN(Methuselahs!$I$6),0),"")</f>
        <v/>
      </c>
      <c r="G167" s="175"/>
      <c r="H167" s="176" t="str">
        <f>IF(ISNUMBER($C167),VLOOKUP($C167,Methuselahs!$A$7:$J$206,COLUMN(Methuselahs!$J$6),0),"")</f>
        <v/>
      </c>
    </row>
    <row r="168" spans="1:8" ht="15" x14ac:dyDescent="0.2">
      <c r="A168" s="173" t="str">
        <f>IF(ISNUMBER($C168),VLOOKUP($C168,Methuselahs!$Y$7:$Z$206,2,0),"")</f>
        <v/>
      </c>
      <c r="B168" s="174" t="str">
        <f>IF(ROW()-ROW($A$6)&lt;Methuselahs!$A$4,ROW()-ROW($A$5),"")</f>
        <v/>
      </c>
      <c r="C168" s="169" t="str">
        <f>IF(ISNUMBER($B168),VLOOKUP($B168,Methuselahs!$X$7:$Y$206,2,0),"")</f>
        <v/>
      </c>
      <c r="D168" s="177" t="str">
        <f>IF(ISNUMBER($C168),T(VLOOKUP($C168,Methuselahs!$A$7:$E$206,2,0))&amp;" "&amp;T(VLOOKUP($C168,Methuselahs!$A$7:$E$206,3,0)),"")</f>
        <v/>
      </c>
      <c r="E168" s="175" t="str">
        <f>IF(ISNUMBER($C168),VLOOKUP($C168,Methuselahs!$A$7:$I$206,COLUMN(Methuselahs!$H$6),0),"")</f>
        <v/>
      </c>
      <c r="F168" s="171" t="str">
        <f>IF(ISNUMBER($C168),VLOOKUP($C168,Methuselahs!$A$7:$I$206,COLUMN(Methuselahs!$I$6),0),"")</f>
        <v/>
      </c>
      <c r="G168" s="175"/>
      <c r="H168" s="176" t="str">
        <f>IF(ISNUMBER($C168),VLOOKUP($C168,Methuselahs!$A$7:$J$206,COLUMN(Methuselahs!$J$6),0),"")</f>
        <v/>
      </c>
    </row>
    <row r="169" spans="1:8" ht="15" x14ac:dyDescent="0.2">
      <c r="A169" s="173" t="str">
        <f>IF(ISNUMBER($C169),VLOOKUP($C169,Methuselahs!$Y$7:$Z$206,2,0),"")</f>
        <v/>
      </c>
      <c r="B169" s="174" t="str">
        <f>IF(ROW()-ROW($A$6)&lt;Methuselahs!$A$4,ROW()-ROW($A$5),"")</f>
        <v/>
      </c>
      <c r="C169" s="169" t="str">
        <f>IF(ISNUMBER($B169),VLOOKUP($B169,Methuselahs!$X$7:$Y$206,2,0),"")</f>
        <v/>
      </c>
      <c r="D169" s="177" t="str">
        <f>IF(ISNUMBER($C169),T(VLOOKUP($C169,Methuselahs!$A$7:$E$206,2,0))&amp;" "&amp;T(VLOOKUP($C169,Methuselahs!$A$7:$E$206,3,0)),"")</f>
        <v/>
      </c>
      <c r="E169" s="175" t="str">
        <f>IF(ISNUMBER($C169),VLOOKUP($C169,Methuselahs!$A$7:$I$206,COLUMN(Methuselahs!$H$6),0),"")</f>
        <v/>
      </c>
      <c r="F169" s="171" t="str">
        <f>IF(ISNUMBER($C169),VLOOKUP($C169,Methuselahs!$A$7:$I$206,COLUMN(Methuselahs!$I$6),0),"")</f>
        <v/>
      </c>
      <c r="G169" s="175"/>
      <c r="H169" s="176" t="str">
        <f>IF(ISNUMBER($C169),VLOOKUP($C169,Methuselahs!$A$7:$J$206,COLUMN(Methuselahs!$J$6),0),"")</f>
        <v/>
      </c>
    </row>
    <row r="170" spans="1:8" ht="15" x14ac:dyDescent="0.2">
      <c r="A170" s="173" t="str">
        <f>IF(ISNUMBER($C170),VLOOKUP($C170,Methuselahs!$Y$7:$Z$206,2,0),"")</f>
        <v/>
      </c>
      <c r="B170" s="174" t="str">
        <f>IF(ROW()-ROW($A$6)&lt;Methuselahs!$A$4,ROW()-ROW($A$5),"")</f>
        <v/>
      </c>
      <c r="C170" s="169" t="str">
        <f>IF(ISNUMBER($B170),VLOOKUP($B170,Methuselahs!$X$7:$Y$206,2,0),"")</f>
        <v/>
      </c>
      <c r="D170" s="177" t="str">
        <f>IF(ISNUMBER($C170),T(VLOOKUP($C170,Methuselahs!$A$7:$E$206,2,0))&amp;" "&amp;T(VLOOKUP($C170,Methuselahs!$A$7:$E$206,3,0)),"")</f>
        <v/>
      </c>
      <c r="E170" s="175" t="str">
        <f>IF(ISNUMBER($C170),VLOOKUP($C170,Methuselahs!$A$7:$I$206,COLUMN(Methuselahs!$H$6),0),"")</f>
        <v/>
      </c>
      <c r="F170" s="171" t="str">
        <f>IF(ISNUMBER($C170),VLOOKUP($C170,Methuselahs!$A$7:$I$206,COLUMN(Methuselahs!$I$6),0),"")</f>
        <v/>
      </c>
      <c r="G170" s="175"/>
      <c r="H170" s="176" t="str">
        <f>IF(ISNUMBER($C170),VLOOKUP($C170,Methuselahs!$A$7:$J$206,COLUMN(Methuselahs!$J$6),0),"")</f>
        <v/>
      </c>
    </row>
    <row r="171" spans="1:8" ht="15" x14ac:dyDescent="0.2">
      <c r="A171" s="173" t="str">
        <f>IF(ISNUMBER($C171),VLOOKUP($C171,Methuselahs!$Y$7:$Z$206,2,0),"")</f>
        <v/>
      </c>
      <c r="B171" s="174" t="str">
        <f>IF(ROW()-ROW($A$6)&lt;Methuselahs!$A$4,ROW()-ROW($A$5),"")</f>
        <v/>
      </c>
      <c r="C171" s="169" t="str">
        <f>IF(ISNUMBER($B171),VLOOKUP($B171,Methuselahs!$X$7:$Y$206,2,0),"")</f>
        <v/>
      </c>
      <c r="D171" s="177" t="str">
        <f>IF(ISNUMBER($C171),T(VLOOKUP($C171,Methuselahs!$A$7:$E$206,2,0))&amp;" "&amp;T(VLOOKUP($C171,Methuselahs!$A$7:$E$206,3,0)),"")</f>
        <v/>
      </c>
      <c r="E171" s="175" t="str">
        <f>IF(ISNUMBER($C171),VLOOKUP($C171,Methuselahs!$A$7:$I$206,COLUMN(Methuselahs!$H$6),0),"")</f>
        <v/>
      </c>
      <c r="F171" s="171" t="str">
        <f>IF(ISNUMBER($C171),VLOOKUP($C171,Methuselahs!$A$7:$I$206,COLUMN(Methuselahs!$I$6),0),"")</f>
        <v/>
      </c>
      <c r="G171" s="175"/>
      <c r="H171" s="176" t="str">
        <f>IF(ISNUMBER($C171),VLOOKUP($C171,Methuselahs!$A$7:$J$206,COLUMN(Methuselahs!$J$6),0),"")</f>
        <v/>
      </c>
    </row>
    <row r="172" spans="1:8" ht="15" x14ac:dyDescent="0.2">
      <c r="A172" s="173" t="str">
        <f>IF(ISNUMBER($C172),VLOOKUP($C172,Methuselahs!$Y$7:$Z$206,2,0),"")</f>
        <v/>
      </c>
      <c r="B172" s="174" t="str">
        <f>IF(ROW()-ROW($A$6)&lt;Methuselahs!$A$4,ROW()-ROW($A$5),"")</f>
        <v/>
      </c>
      <c r="C172" s="169" t="str">
        <f>IF(ISNUMBER($B172),VLOOKUP($B172,Methuselahs!$X$7:$Y$206,2,0),"")</f>
        <v/>
      </c>
      <c r="D172" s="177" t="str">
        <f>IF(ISNUMBER($C172),T(VLOOKUP($C172,Methuselahs!$A$7:$E$206,2,0))&amp;" "&amp;T(VLOOKUP($C172,Methuselahs!$A$7:$E$206,3,0)),"")</f>
        <v/>
      </c>
      <c r="E172" s="175" t="str">
        <f>IF(ISNUMBER($C172),VLOOKUP($C172,Methuselahs!$A$7:$I$206,COLUMN(Methuselahs!$H$6),0),"")</f>
        <v/>
      </c>
      <c r="F172" s="171" t="str">
        <f>IF(ISNUMBER($C172),VLOOKUP($C172,Methuselahs!$A$7:$I$206,COLUMN(Methuselahs!$I$6),0),"")</f>
        <v/>
      </c>
      <c r="G172" s="175"/>
      <c r="H172" s="176" t="str">
        <f>IF(ISNUMBER($C172),VLOOKUP($C172,Methuselahs!$A$7:$J$206,COLUMN(Methuselahs!$J$6),0),"")</f>
        <v/>
      </c>
    </row>
    <row r="173" spans="1:8" ht="15" x14ac:dyDescent="0.2">
      <c r="A173" s="173" t="str">
        <f>IF(ISNUMBER($C173),VLOOKUP($C173,Methuselahs!$Y$7:$Z$206,2,0),"")</f>
        <v/>
      </c>
      <c r="B173" s="174" t="str">
        <f>IF(ROW()-ROW($A$6)&lt;Methuselahs!$A$4,ROW()-ROW($A$5),"")</f>
        <v/>
      </c>
      <c r="C173" s="169" t="str">
        <f>IF(ISNUMBER($B173),VLOOKUP($B173,Methuselahs!$X$7:$Y$206,2,0),"")</f>
        <v/>
      </c>
      <c r="D173" s="177" t="str">
        <f>IF(ISNUMBER($C173),T(VLOOKUP($C173,Methuselahs!$A$7:$E$206,2,0))&amp;" "&amp;T(VLOOKUP($C173,Methuselahs!$A$7:$E$206,3,0)),"")</f>
        <v/>
      </c>
      <c r="E173" s="175" t="str">
        <f>IF(ISNUMBER($C173),VLOOKUP($C173,Methuselahs!$A$7:$I$206,COLUMN(Methuselahs!$H$6),0),"")</f>
        <v/>
      </c>
      <c r="F173" s="171" t="str">
        <f>IF(ISNUMBER($C173),VLOOKUP($C173,Methuselahs!$A$7:$I$206,COLUMN(Methuselahs!$I$6),0),"")</f>
        <v/>
      </c>
      <c r="G173" s="175"/>
      <c r="H173" s="176" t="str">
        <f>IF(ISNUMBER($C173),VLOOKUP($C173,Methuselahs!$A$7:$J$206,COLUMN(Methuselahs!$J$6),0),"")</f>
        <v/>
      </c>
    </row>
    <row r="174" spans="1:8" ht="15" x14ac:dyDescent="0.2">
      <c r="A174" s="173" t="str">
        <f>IF(ISNUMBER($C174),VLOOKUP($C174,Methuselahs!$Y$7:$Z$206,2,0),"")</f>
        <v/>
      </c>
      <c r="B174" s="174" t="str">
        <f>IF(ROW()-ROW($A$6)&lt;Methuselahs!$A$4,ROW()-ROW($A$5),"")</f>
        <v/>
      </c>
      <c r="C174" s="169" t="str">
        <f>IF(ISNUMBER($B174),VLOOKUP($B174,Methuselahs!$X$7:$Y$206,2,0),"")</f>
        <v/>
      </c>
      <c r="D174" s="177" t="str">
        <f>IF(ISNUMBER($C174),T(VLOOKUP($C174,Methuselahs!$A$7:$E$206,2,0))&amp;" "&amp;T(VLOOKUP($C174,Methuselahs!$A$7:$E$206,3,0)),"")</f>
        <v/>
      </c>
      <c r="E174" s="175" t="str">
        <f>IF(ISNUMBER($C174),VLOOKUP($C174,Methuselahs!$A$7:$I$206,COLUMN(Methuselahs!$H$6),0),"")</f>
        <v/>
      </c>
      <c r="F174" s="171" t="str">
        <f>IF(ISNUMBER($C174),VLOOKUP($C174,Methuselahs!$A$7:$I$206,COLUMN(Methuselahs!$I$6),0),"")</f>
        <v/>
      </c>
      <c r="G174" s="175"/>
      <c r="H174" s="176" t="str">
        <f>IF(ISNUMBER($C174),VLOOKUP($C174,Methuselahs!$A$7:$J$206,COLUMN(Methuselahs!$J$6),0),"")</f>
        <v/>
      </c>
    </row>
    <row r="175" spans="1:8" ht="15" x14ac:dyDescent="0.2">
      <c r="A175" s="173" t="str">
        <f>IF(ISNUMBER($C175),VLOOKUP($C175,Methuselahs!$Y$7:$Z$206,2,0),"")</f>
        <v/>
      </c>
      <c r="B175" s="174" t="str">
        <f>IF(ROW()-ROW($A$6)&lt;Methuselahs!$A$4,ROW()-ROW($A$5),"")</f>
        <v/>
      </c>
      <c r="C175" s="169" t="str">
        <f>IF(ISNUMBER($B175),VLOOKUP($B175,Methuselahs!$X$7:$Y$206,2,0),"")</f>
        <v/>
      </c>
      <c r="D175" s="177" t="str">
        <f>IF(ISNUMBER($C175),T(VLOOKUP($C175,Methuselahs!$A$7:$E$206,2,0))&amp;" "&amp;T(VLOOKUP($C175,Methuselahs!$A$7:$E$206,3,0)),"")</f>
        <v/>
      </c>
      <c r="E175" s="175" t="str">
        <f>IF(ISNUMBER($C175),VLOOKUP($C175,Methuselahs!$A$7:$I$206,COLUMN(Methuselahs!$H$6),0),"")</f>
        <v/>
      </c>
      <c r="F175" s="171" t="str">
        <f>IF(ISNUMBER($C175),VLOOKUP($C175,Methuselahs!$A$7:$I$206,COLUMN(Methuselahs!$I$6),0),"")</f>
        <v/>
      </c>
      <c r="G175" s="175"/>
      <c r="H175" s="176" t="str">
        <f>IF(ISNUMBER($C175),VLOOKUP($C175,Methuselahs!$A$7:$J$206,COLUMN(Methuselahs!$J$6),0),"")</f>
        <v/>
      </c>
    </row>
    <row r="176" spans="1:8" ht="15" x14ac:dyDescent="0.2">
      <c r="A176" s="173" t="str">
        <f>IF(ISNUMBER($C176),VLOOKUP($C176,Methuselahs!$Y$7:$Z$206,2,0),"")</f>
        <v/>
      </c>
      <c r="B176" s="174" t="str">
        <f>IF(ROW()-ROW($A$6)&lt;Methuselahs!$A$4,ROW()-ROW($A$5),"")</f>
        <v/>
      </c>
      <c r="C176" s="169" t="str">
        <f>IF(ISNUMBER($B176),VLOOKUP($B176,Methuselahs!$X$7:$Y$206,2,0),"")</f>
        <v/>
      </c>
      <c r="D176" s="177" t="str">
        <f>IF(ISNUMBER($C176),T(VLOOKUP($C176,Methuselahs!$A$7:$E$206,2,0))&amp;" "&amp;T(VLOOKUP($C176,Methuselahs!$A$7:$E$206,3,0)),"")</f>
        <v/>
      </c>
      <c r="E176" s="175" t="str">
        <f>IF(ISNUMBER($C176),VLOOKUP($C176,Methuselahs!$A$7:$I$206,COLUMN(Methuselahs!$H$6),0),"")</f>
        <v/>
      </c>
      <c r="F176" s="171" t="str">
        <f>IF(ISNUMBER($C176),VLOOKUP($C176,Methuselahs!$A$7:$I$206,COLUMN(Methuselahs!$I$6),0),"")</f>
        <v/>
      </c>
      <c r="G176" s="175"/>
      <c r="H176" s="176" t="str">
        <f>IF(ISNUMBER($C176),VLOOKUP($C176,Methuselahs!$A$7:$J$206,COLUMN(Methuselahs!$J$6),0),"")</f>
        <v/>
      </c>
    </row>
    <row r="177" spans="1:8" ht="15" x14ac:dyDescent="0.2">
      <c r="A177" s="173" t="str">
        <f>IF(ISNUMBER($C177),VLOOKUP($C177,Methuselahs!$Y$7:$Z$206,2,0),"")</f>
        <v/>
      </c>
      <c r="B177" s="174" t="str">
        <f>IF(ROW()-ROW($A$6)&lt;Methuselahs!$A$4,ROW()-ROW($A$5),"")</f>
        <v/>
      </c>
      <c r="C177" s="169" t="str">
        <f>IF(ISNUMBER($B177),VLOOKUP($B177,Methuselahs!$X$7:$Y$206,2,0),"")</f>
        <v/>
      </c>
      <c r="D177" s="177" t="str">
        <f>IF(ISNUMBER($C177),T(VLOOKUP($C177,Methuselahs!$A$7:$E$206,2,0))&amp;" "&amp;T(VLOOKUP($C177,Methuselahs!$A$7:$E$206,3,0)),"")</f>
        <v/>
      </c>
      <c r="E177" s="175" t="str">
        <f>IF(ISNUMBER($C177),VLOOKUP($C177,Methuselahs!$A$7:$I$206,COLUMN(Methuselahs!$H$6),0),"")</f>
        <v/>
      </c>
      <c r="F177" s="171" t="str">
        <f>IF(ISNUMBER($C177),VLOOKUP($C177,Methuselahs!$A$7:$I$206,COLUMN(Methuselahs!$I$6),0),"")</f>
        <v/>
      </c>
      <c r="G177" s="175"/>
      <c r="H177" s="176" t="str">
        <f>IF(ISNUMBER($C177),VLOOKUP($C177,Methuselahs!$A$7:$J$206,COLUMN(Methuselahs!$J$6),0),"")</f>
        <v/>
      </c>
    </row>
    <row r="178" spans="1:8" ht="15" x14ac:dyDescent="0.2">
      <c r="A178" s="173" t="str">
        <f>IF(ISNUMBER($C178),VLOOKUP($C178,Methuselahs!$Y$7:$Z$206,2,0),"")</f>
        <v/>
      </c>
      <c r="B178" s="174" t="str">
        <f>IF(ROW()-ROW($A$6)&lt;Methuselahs!$A$4,ROW()-ROW($A$5),"")</f>
        <v/>
      </c>
      <c r="C178" s="169" t="str">
        <f>IF(ISNUMBER($B178),VLOOKUP($B178,Methuselahs!$X$7:$Y$206,2,0),"")</f>
        <v/>
      </c>
      <c r="D178" s="177" t="str">
        <f>IF(ISNUMBER($C178),T(VLOOKUP($C178,Methuselahs!$A$7:$E$206,2,0))&amp;" "&amp;T(VLOOKUP($C178,Methuselahs!$A$7:$E$206,3,0)),"")</f>
        <v/>
      </c>
      <c r="E178" s="175" t="str">
        <f>IF(ISNUMBER($C178),VLOOKUP($C178,Methuselahs!$A$7:$I$206,COLUMN(Methuselahs!$H$6),0),"")</f>
        <v/>
      </c>
      <c r="F178" s="171" t="str">
        <f>IF(ISNUMBER($C178),VLOOKUP($C178,Methuselahs!$A$7:$I$206,COLUMN(Methuselahs!$I$6),0),"")</f>
        <v/>
      </c>
      <c r="G178" s="175"/>
      <c r="H178" s="176" t="str">
        <f>IF(ISNUMBER($C178),VLOOKUP($C178,Methuselahs!$A$7:$J$206,COLUMN(Methuselahs!$J$6),0),"")</f>
        <v/>
      </c>
    </row>
    <row r="179" spans="1:8" ht="15" x14ac:dyDescent="0.2">
      <c r="A179" s="173" t="str">
        <f>IF(ISNUMBER($C179),VLOOKUP($C179,Methuselahs!$Y$7:$Z$206,2,0),"")</f>
        <v/>
      </c>
      <c r="B179" s="174" t="str">
        <f>IF(ROW()-ROW($A$6)&lt;Methuselahs!$A$4,ROW()-ROW($A$5),"")</f>
        <v/>
      </c>
      <c r="C179" s="169" t="str">
        <f>IF(ISNUMBER($B179),VLOOKUP($B179,Methuselahs!$X$7:$Y$206,2,0),"")</f>
        <v/>
      </c>
      <c r="D179" s="177" t="str">
        <f>IF(ISNUMBER($C179),T(VLOOKUP($C179,Methuselahs!$A$7:$E$206,2,0))&amp;" "&amp;T(VLOOKUP($C179,Methuselahs!$A$7:$E$206,3,0)),"")</f>
        <v/>
      </c>
      <c r="E179" s="175" t="str">
        <f>IF(ISNUMBER($C179),VLOOKUP($C179,Methuselahs!$A$7:$I$206,COLUMN(Methuselahs!$H$6),0),"")</f>
        <v/>
      </c>
      <c r="F179" s="171" t="str">
        <f>IF(ISNUMBER($C179),VLOOKUP($C179,Methuselahs!$A$7:$I$206,COLUMN(Methuselahs!$I$6),0),"")</f>
        <v/>
      </c>
      <c r="G179" s="175"/>
      <c r="H179" s="176" t="str">
        <f>IF(ISNUMBER($C179),VLOOKUP($C179,Methuselahs!$A$7:$J$206,COLUMN(Methuselahs!$J$6),0),"")</f>
        <v/>
      </c>
    </row>
    <row r="180" spans="1:8" ht="15" x14ac:dyDescent="0.2">
      <c r="A180" s="173" t="str">
        <f>IF(ISNUMBER($C180),VLOOKUP($C180,Methuselahs!$Y$7:$Z$206,2,0),"")</f>
        <v/>
      </c>
      <c r="B180" s="174" t="str">
        <f>IF(ROW()-ROW($A$6)&lt;Methuselahs!$A$4,ROW()-ROW($A$5),"")</f>
        <v/>
      </c>
      <c r="C180" s="169" t="str">
        <f>IF(ISNUMBER($B180),VLOOKUP($B180,Methuselahs!$X$7:$Y$206,2,0),"")</f>
        <v/>
      </c>
      <c r="D180" s="177" t="str">
        <f>IF(ISNUMBER($C180),T(VLOOKUP($C180,Methuselahs!$A$7:$E$206,2,0))&amp;" "&amp;T(VLOOKUP($C180,Methuselahs!$A$7:$E$206,3,0)),"")</f>
        <v/>
      </c>
      <c r="E180" s="175" t="str">
        <f>IF(ISNUMBER($C180),VLOOKUP($C180,Methuselahs!$A$7:$I$206,COLUMN(Methuselahs!$H$6),0),"")</f>
        <v/>
      </c>
      <c r="F180" s="171" t="str">
        <f>IF(ISNUMBER($C180),VLOOKUP($C180,Methuselahs!$A$7:$I$206,COLUMN(Methuselahs!$I$6),0),"")</f>
        <v/>
      </c>
      <c r="G180" s="175"/>
      <c r="H180" s="176" t="str">
        <f>IF(ISNUMBER($C180),VLOOKUP($C180,Methuselahs!$A$7:$J$206,COLUMN(Methuselahs!$J$6),0),"")</f>
        <v/>
      </c>
    </row>
    <row r="181" spans="1:8" ht="15" x14ac:dyDescent="0.2">
      <c r="A181" s="173" t="str">
        <f>IF(ISNUMBER($C181),VLOOKUP($C181,Methuselahs!$Y$7:$Z$206,2,0),"")</f>
        <v/>
      </c>
      <c r="B181" s="174" t="str">
        <f>IF(ROW()-ROW($A$6)&lt;Methuselahs!$A$4,ROW()-ROW($A$5),"")</f>
        <v/>
      </c>
      <c r="C181" s="169" t="str">
        <f>IF(ISNUMBER($B181),VLOOKUP($B181,Methuselahs!$X$7:$Y$206,2,0),"")</f>
        <v/>
      </c>
      <c r="D181" s="177" t="str">
        <f>IF(ISNUMBER($C181),T(VLOOKUP($C181,Methuselahs!$A$7:$E$206,2,0))&amp;" "&amp;T(VLOOKUP($C181,Methuselahs!$A$7:$E$206,3,0)),"")</f>
        <v/>
      </c>
      <c r="E181" s="175" t="str">
        <f>IF(ISNUMBER($C181),VLOOKUP($C181,Methuselahs!$A$7:$I$206,COLUMN(Methuselahs!$H$6),0),"")</f>
        <v/>
      </c>
      <c r="F181" s="171" t="str">
        <f>IF(ISNUMBER($C181),VLOOKUP($C181,Methuselahs!$A$7:$I$206,COLUMN(Methuselahs!$I$6),0),"")</f>
        <v/>
      </c>
      <c r="G181" s="175"/>
      <c r="H181" s="176" t="str">
        <f>IF(ISNUMBER($C181),VLOOKUP($C181,Methuselahs!$A$7:$J$206,COLUMN(Methuselahs!$J$6),0),"")</f>
        <v/>
      </c>
    </row>
    <row r="182" spans="1:8" ht="15" x14ac:dyDescent="0.2">
      <c r="A182" s="173" t="str">
        <f>IF(ISNUMBER($C182),VLOOKUP($C182,Methuselahs!$Y$7:$Z$206,2,0),"")</f>
        <v/>
      </c>
      <c r="B182" s="174" t="str">
        <f>IF(ROW()-ROW($A$6)&lt;Methuselahs!$A$4,ROW()-ROW($A$5),"")</f>
        <v/>
      </c>
      <c r="C182" s="169" t="str">
        <f>IF(ISNUMBER($B182),VLOOKUP($B182,Methuselahs!$X$7:$Y$206,2,0),"")</f>
        <v/>
      </c>
      <c r="D182" s="177" t="str">
        <f>IF(ISNUMBER($C182),T(VLOOKUP($C182,Methuselahs!$A$7:$E$206,2,0))&amp;" "&amp;T(VLOOKUP($C182,Methuselahs!$A$7:$E$206,3,0)),"")</f>
        <v/>
      </c>
      <c r="E182" s="175" t="str">
        <f>IF(ISNUMBER($C182),VLOOKUP($C182,Methuselahs!$A$7:$I$206,COLUMN(Methuselahs!$H$6),0),"")</f>
        <v/>
      </c>
      <c r="F182" s="171" t="str">
        <f>IF(ISNUMBER($C182),VLOOKUP($C182,Methuselahs!$A$7:$I$206,COLUMN(Methuselahs!$I$6),0),"")</f>
        <v/>
      </c>
      <c r="G182" s="175"/>
      <c r="H182" s="176" t="str">
        <f>IF(ISNUMBER($C182),VLOOKUP($C182,Methuselahs!$A$7:$J$206,COLUMN(Methuselahs!$J$6),0),"")</f>
        <v/>
      </c>
    </row>
    <row r="183" spans="1:8" ht="15" x14ac:dyDescent="0.2">
      <c r="A183" s="173" t="str">
        <f>IF(ISNUMBER($C183),VLOOKUP($C183,Methuselahs!$Y$7:$Z$206,2,0),"")</f>
        <v/>
      </c>
      <c r="B183" s="174" t="str">
        <f>IF(ROW()-ROW($A$6)&lt;Methuselahs!$A$4,ROW()-ROW($A$5),"")</f>
        <v/>
      </c>
      <c r="C183" s="169" t="str">
        <f>IF(ISNUMBER($B183),VLOOKUP($B183,Methuselahs!$X$7:$Y$206,2,0),"")</f>
        <v/>
      </c>
      <c r="D183" s="177" t="str">
        <f>IF(ISNUMBER($C183),T(VLOOKUP($C183,Methuselahs!$A$7:$E$206,2,0))&amp;" "&amp;T(VLOOKUP($C183,Methuselahs!$A$7:$E$206,3,0)),"")</f>
        <v/>
      </c>
      <c r="E183" s="175" t="str">
        <f>IF(ISNUMBER($C183),VLOOKUP($C183,Methuselahs!$A$7:$I$206,COLUMN(Methuselahs!$H$6),0),"")</f>
        <v/>
      </c>
      <c r="F183" s="171" t="str">
        <f>IF(ISNUMBER($C183),VLOOKUP($C183,Methuselahs!$A$7:$I$206,COLUMN(Methuselahs!$I$6),0),"")</f>
        <v/>
      </c>
      <c r="G183" s="175"/>
      <c r="H183" s="176" t="str">
        <f>IF(ISNUMBER($C183),VLOOKUP($C183,Methuselahs!$A$7:$J$206,COLUMN(Methuselahs!$J$6),0),"")</f>
        <v/>
      </c>
    </row>
    <row r="184" spans="1:8" ht="15" x14ac:dyDescent="0.2">
      <c r="A184" s="173" t="str">
        <f>IF(ISNUMBER($C184),VLOOKUP($C184,Methuselahs!$Y$7:$Z$206,2,0),"")</f>
        <v/>
      </c>
      <c r="B184" s="174" t="str">
        <f>IF(ROW()-ROW($A$6)&lt;Methuselahs!$A$4,ROW()-ROW($A$5),"")</f>
        <v/>
      </c>
      <c r="C184" s="169" t="str">
        <f>IF(ISNUMBER($B184),VLOOKUP($B184,Methuselahs!$X$7:$Y$206,2,0),"")</f>
        <v/>
      </c>
      <c r="D184" s="177" t="str">
        <f>IF(ISNUMBER($C184),T(VLOOKUP($C184,Methuselahs!$A$7:$E$206,2,0))&amp;" "&amp;T(VLOOKUP($C184,Methuselahs!$A$7:$E$206,3,0)),"")</f>
        <v/>
      </c>
      <c r="E184" s="175" t="str">
        <f>IF(ISNUMBER($C184),VLOOKUP($C184,Methuselahs!$A$7:$I$206,COLUMN(Methuselahs!$H$6),0),"")</f>
        <v/>
      </c>
      <c r="F184" s="171" t="str">
        <f>IF(ISNUMBER($C184),VLOOKUP($C184,Methuselahs!$A$7:$I$206,COLUMN(Methuselahs!$I$6),0),"")</f>
        <v/>
      </c>
      <c r="G184" s="175"/>
      <c r="H184" s="176" t="str">
        <f>IF(ISNUMBER($C184),VLOOKUP($C184,Methuselahs!$A$7:$J$206,COLUMN(Methuselahs!$J$6),0),"")</f>
        <v/>
      </c>
    </row>
    <row r="185" spans="1:8" ht="15" x14ac:dyDescent="0.2">
      <c r="A185" s="173" t="str">
        <f>IF(ISNUMBER($C185),VLOOKUP($C185,Methuselahs!$Y$7:$Z$206,2,0),"")</f>
        <v/>
      </c>
      <c r="B185" s="174" t="str">
        <f>IF(ROW()-ROW($A$6)&lt;Methuselahs!$A$4,ROW()-ROW($A$5),"")</f>
        <v/>
      </c>
      <c r="C185" s="169" t="str">
        <f>IF(ISNUMBER($B185),VLOOKUP($B185,Methuselahs!$X$7:$Y$206,2,0),"")</f>
        <v/>
      </c>
      <c r="D185" s="177" t="str">
        <f>IF(ISNUMBER($C185),T(VLOOKUP($C185,Methuselahs!$A$7:$E$206,2,0))&amp;" "&amp;T(VLOOKUP($C185,Methuselahs!$A$7:$E$206,3,0)),"")</f>
        <v/>
      </c>
      <c r="E185" s="175" t="str">
        <f>IF(ISNUMBER($C185),VLOOKUP($C185,Methuselahs!$A$7:$I$206,COLUMN(Methuselahs!$H$6),0),"")</f>
        <v/>
      </c>
      <c r="F185" s="171" t="str">
        <f>IF(ISNUMBER($C185),VLOOKUP($C185,Methuselahs!$A$7:$I$206,COLUMN(Methuselahs!$I$6),0),"")</f>
        <v/>
      </c>
      <c r="G185" s="175"/>
      <c r="H185" s="176" t="str">
        <f>IF(ISNUMBER($C185),VLOOKUP($C185,Methuselahs!$A$7:$J$206,COLUMN(Methuselahs!$J$6),0),"")</f>
        <v/>
      </c>
    </row>
    <row r="186" spans="1:8" ht="15" x14ac:dyDescent="0.2">
      <c r="A186" s="173" t="str">
        <f>IF(ISNUMBER($C186),VLOOKUP($C186,Methuselahs!$Y$7:$Z$206,2,0),"")</f>
        <v/>
      </c>
      <c r="B186" s="174" t="str">
        <f>IF(ROW()-ROW($A$6)&lt;Methuselahs!$A$4,ROW()-ROW($A$5),"")</f>
        <v/>
      </c>
      <c r="C186" s="169" t="str">
        <f>IF(ISNUMBER($B186),VLOOKUP($B186,Methuselahs!$X$7:$Y$206,2,0),"")</f>
        <v/>
      </c>
      <c r="D186" s="177" t="str">
        <f>IF(ISNUMBER($C186),T(VLOOKUP($C186,Methuselahs!$A$7:$E$206,2,0))&amp;" "&amp;T(VLOOKUP($C186,Methuselahs!$A$7:$E$206,3,0)),"")</f>
        <v/>
      </c>
      <c r="E186" s="175" t="str">
        <f>IF(ISNUMBER($C186),VLOOKUP($C186,Methuselahs!$A$7:$I$206,COLUMN(Methuselahs!$H$6),0),"")</f>
        <v/>
      </c>
      <c r="F186" s="171" t="str">
        <f>IF(ISNUMBER($C186),VLOOKUP($C186,Methuselahs!$A$7:$I$206,COLUMN(Methuselahs!$I$6),0),"")</f>
        <v/>
      </c>
      <c r="G186" s="175"/>
      <c r="H186" s="176" t="str">
        <f>IF(ISNUMBER($C186),VLOOKUP($C186,Methuselahs!$A$7:$J$206,COLUMN(Methuselahs!$J$6),0),"")</f>
        <v/>
      </c>
    </row>
    <row r="187" spans="1:8" ht="15" x14ac:dyDescent="0.2">
      <c r="A187" s="173" t="str">
        <f>IF(ISNUMBER($C187),VLOOKUP($C187,Methuselahs!$Y$7:$Z$206,2,0),"")</f>
        <v/>
      </c>
      <c r="B187" s="174" t="str">
        <f>IF(ROW()-ROW($A$6)&lt;Methuselahs!$A$4,ROW()-ROW($A$5),"")</f>
        <v/>
      </c>
      <c r="C187" s="169" t="str">
        <f>IF(ISNUMBER($B187),VLOOKUP($B187,Methuselahs!$X$7:$Y$206,2,0),"")</f>
        <v/>
      </c>
      <c r="D187" s="177" t="str">
        <f>IF(ISNUMBER($C187),T(VLOOKUP($C187,Methuselahs!$A$7:$E$206,2,0))&amp;" "&amp;T(VLOOKUP($C187,Methuselahs!$A$7:$E$206,3,0)),"")</f>
        <v/>
      </c>
      <c r="E187" s="175" t="str">
        <f>IF(ISNUMBER($C187),VLOOKUP($C187,Methuselahs!$A$7:$I$206,COLUMN(Methuselahs!$H$6),0),"")</f>
        <v/>
      </c>
      <c r="F187" s="171" t="str">
        <f>IF(ISNUMBER($C187),VLOOKUP($C187,Methuselahs!$A$7:$I$206,COLUMN(Methuselahs!$I$6),0),"")</f>
        <v/>
      </c>
      <c r="G187" s="175"/>
      <c r="H187" s="176" t="str">
        <f>IF(ISNUMBER($C187),VLOOKUP($C187,Methuselahs!$A$7:$J$206,COLUMN(Methuselahs!$J$6),0),"")</f>
        <v/>
      </c>
    </row>
    <row r="188" spans="1:8" ht="15" x14ac:dyDescent="0.2">
      <c r="A188" s="173" t="str">
        <f>IF(ISNUMBER($C188),VLOOKUP($C188,Methuselahs!$Y$7:$Z$206,2,0),"")</f>
        <v/>
      </c>
      <c r="B188" s="174" t="str">
        <f>IF(ROW()-ROW($A$6)&lt;Methuselahs!$A$4,ROW()-ROW($A$5),"")</f>
        <v/>
      </c>
      <c r="C188" s="169" t="str">
        <f>IF(ISNUMBER($B188),VLOOKUP($B188,Methuselahs!$X$7:$Y$206,2,0),"")</f>
        <v/>
      </c>
      <c r="D188" s="177" t="str">
        <f>IF(ISNUMBER($C188),T(VLOOKUP($C188,Methuselahs!$A$7:$E$206,2,0))&amp;" "&amp;T(VLOOKUP($C188,Methuselahs!$A$7:$E$206,3,0)),"")</f>
        <v/>
      </c>
      <c r="E188" s="175" t="str">
        <f>IF(ISNUMBER($C188),VLOOKUP($C188,Methuselahs!$A$7:$I$206,COLUMN(Methuselahs!$H$6),0),"")</f>
        <v/>
      </c>
      <c r="F188" s="171" t="str">
        <f>IF(ISNUMBER($C188),VLOOKUP($C188,Methuselahs!$A$7:$I$206,COLUMN(Methuselahs!$I$6),0),"")</f>
        <v/>
      </c>
      <c r="G188" s="175"/>
      <c r="H188" s="176" t="str">
        <f>IF(ISNUMBER($C188),VLOOKUP($C188,Methuselahs!$A$7:$J$206,COLUMN(Methuselahs!$J$6),0),"")</f>
        <v/>
      </c>
    </row>
    <row r="189" spans="1:8" ht="15" x14ac:dyDescent="0.2">
      <c r="A189" s="173" t="str">
        <f>IF(ISNUMBER($C189),VLOOKUP($C189,Methuselahs!$Y$7:$Z$206,2,0),"")</f>
        <v/>
      </c>
      <c r="B189" s="174" t="str">
        <f>IF(ROW()-ROW($A$6)&lt;Methuselahs!$A$4,ROW()-ROW($A$5),"")</f>
        <v/>
      </c>
      <c r="C189" s="169" t="str">
        <f>IF(ISNUMBER($B189),VLOOKUP($B189,Methuselahs!$X$7:$Y$206,2,0),"")</f>
        <v/>
      </c>
      <c r="D189" s="177" t="str">
        <f>IF(ISNUMBER($C189),T(VLOOKUP($C189,Methuselahs!$A$7:$E$206,2,0))&amp;" "&amp;T(VLOOKUP($C189,Methuselahs!$A$7:$E$206,3,0)),"")</f>
        <v/>
      </c>
      <c r="E189" s="175" t="str">
        <f>IF(ISNUMBER($C189),VLOOKUP($C189,Methuselahs!$A$7:$I$206,COLUMN(Methuselahs!$H$6),0),"")</f>
        <v/>
      </c>
      <c r="F189" s="171" t="str">
        <f>IF(ISNUMBER($C189),VLOOKUP($C189,Methuselahs!$A$7:$I$206,COLUMN(Methuselahs!$I$6),0),"")</f>
        <v/>
      </c>
      <c r="G189" s="175"/>
      <c r="H189" s="176" t="str">
        <f>IF(ISNUMBER($C189),VLOOKUP($C189,Methuselahs!$A$7:$J$206,COLUMN(Methuselahs!$J$6),0),"")</f>
        <v/>
      </c>
    </row>
    <row r="190" spans="1:8" ht="15" x14ac:dyDescent="0.2">
      <c r="A190" s="173" t="str">
        <f>IF(ISNUMBER($C190),VLOOKUP($C190,Methuselahs!$Y$7:$Z$206,2,0),"")</f>
        <v/>
      </c>
      <c r="B190" s="174" t="str">
        <f>IF(ROW()-ROW($A$6)&lt;Methuselahs!$A$4,ROW()-ROW($A$5),"")</f>
        <v/>
      </c>
      <c r="C190" s="169" t="str">
        <f>IF(ISNUMBER($B190),VLOOKUP($B190,Methuselahs!$X$7:$Y$206,2,0),"")</f>
        <v/>
      </c>
      <c r="D190" s="177" t="str">
        <f>IF(ISNUMBER($C190),T(VLOOKUP($C190,Methuselahs!$A$7:$E$206,2,0))&amp;" "&amp;T(VLOOKUP($C190,Methuselahs!$A$7:$E$206,3,0)),"")</f>
        <v/>
      </c>
      <c r="E190" s="175" t="str">
        <f>IF(ISNUMBER($C190),VLOOKUP($C190,Methuselahs!$A$7:$I$206,COLUMN(Methuselahs!$H$6),0),"")</f>
        <v/>
      </c>
      <c r="F190" s="171" t="str">
        <f>IF(ISNUMBER($C190),VLOOKUP($C190,Methuselahs!$A$7:$I$206,COLUMN(Methuselahs!$I$6),0),"")</f>
        <v/>
      </c>
      <c r="G190" s="175"/>
      <c r="H190" s="176" t="str">
        <f>IF(ISNUMBER($C190),VLOOKUP($C190,Methuselahs!$A$7:$J$206,COLUMN(Methuselahs!$J$6),0),"")</f>
        <v/>
      </c>
    </row>
    <row r="191" spans="1:8" ht="15" x14ac:dyDescent="0.2">
      <c r="A191" s="173" t="str">
        <f>IF(ISNUMBER($C191),VLOOKUP($C191,Methuselahs!$Y$7:$Z$206,2,0),"")</f>
        <v/>
      </c>
      <c r="B191" s="174" t="str">
        <f>IF(ROW()-ROW($A$6)&lt;Methuselahs!$A$4,ROW()-ROW($A$5),"")</f>
        <v/>
      </c>
      <c r="C191" s="169" t="str">
        <f>IF(ISNUMBER($B191),VLOOKUP($B191,Methuselahs!$X$7:$Y$206,2,0),"")</f>
        <v/>
      </c>
      <c r="D191" s="177" t="str">
        <f>IF(ISNUMBER($C191),T(VLOOKUP($C191,Methuselahs!$A$7:$E$206,2,0))&amp;" "&amp;T(VLOOKUP($C191,Methuselahs!$A$7:$E$206,3,0)),"")</f>
        <v/>
      </c>
      <c r="E191" s="175" t="str">
        <f>IF(ISNUMBER($C191),VLOOKUP($C191,Methuselahs!$A$7:$I$206,COLUMN(Methuselahs!$H$6),0),"")</f>
        <v/>
      </c>
      <c r="F191" s="171" t="str">
        <f>IF(ISNUMBER($C191),VLOOKUP($C191,Methuselahs!$A$7:$I$206,COLUMN(Methuselahs!$I$6),0),"")</f>
        <v/>
      </c>
      <c r="G191" s="175"/>
      <c r="H191" s="176" t="str">
        <f>IF(ISNUMBER($C191),VLOOKUP($C191,Methuselahs!$A$7:$J$206,COLUMN(Methuselahs!$J$6),0),"")</f>
        <v/>
      </c>
    </row>
    <row r="192" spans="1:8" ht="15" x14ac:dyDescent="0.2">
      <c r="A192" s="173" t="str">
        <f>IF(ISNUMBER($C192),VLOOKUP($C192,Methuselahs!$Y$7:$Z$206,2,0),"")</f>
        <v/>
      </c>
      <c r="B192" s="174" t="str">
        <f>IF(ROW()-ROW($A$6)&lt;Methuselahs!$A$4,ROW()-ROW($A$5),"")</f>
        <v/>
      </c>
      <c r="C192" s="169" t="str">
        <f>IF(ISNUMBER($B192),VLOOKUP($B192,Methuselahs!$X$7:$Y$206,2,0),"")</f>
        <v/>
      </c>
      <c r="D192" s="177" t="str">
        <f>IF(ISNUMBER($C192),T(VLOOKUP($C192,Methuselahs!$A$7:$E$206,2,0))&amp;" "&amp;T(VLOOKUP($C192,Methuselahs!$A$7:$E$206,3,0)),"")</f>
        <v/>
      </c>
      <c r="E192" s="175" t="str">
        <f>IF(ISNUMBER($C192),VLOOKUP($C192,Methuselahs!$A$7:$I$206,COLUMN(Methuselahs!$H$6),0),"")</f>
        <v/>
      </c>
      <c r="F192" s="171" t="str">
        <f>IF(ISNUMBER($C192),VLOOKUP($C192,Methuselahs!$A$7:$I$206,COLUMN(Methuselahs!$I$6),0),"")</f>
        <v/>
      </c>
      <c r="G192" s="175"/>
      <c r="H192" s="176" t="str">
        <f>IF(ISNUMBER($C192),VLOOKUP($C192,Methuselahs!$A$7:$J$206,COLUMN(Methuselahs!$J$6),0),"")</f>
        <v/>
      </c>
    </row>
    <row r="193" spans="1:8" ht="15" x14ac:dyDescent="0.2">
      <c r="A193" s="173" t="str">
        <f>IF(ISNUMBER($C193),VLOOKUP($C193,Methuselahs!$Y$7:$Z$206,2,0),"")</f>
        <v/>
      </c>
      <c r="B193" s="174" t="str">
        <f>IF(ROW()-ROW($A$6)&lt;Methuselahs!$A$4,ROW()-ROW($A$5),"")</f>
        <v/>
      </c>
      <c r="C193" s="169" t="str">
        <f>IF(ISNUMBER($B193),VLOOKUP($B193,Methuselahs!$X$7:$Y$206,2,0),"")</f>
        <v/>
      </c>
      <c r="D193" s="177" t="str">
        <f>IF(ISNUMBER($C193),T(VLOOKUP($C193,Methuselahs!$A$7:$E$206,2,0))&amp;" "&amp;T(VLOOKUP($C193,Methuselahs!$A$7:$E$206,3,0)),"")</f>
        <v/>
      </c>
      <c r="E193" s="175" t="str">
        <f>IF(ISNUMBER($C193),VLOOKUP($C193,Methuselahs!$A$7:$I$206,COLUMN(Methuselahs!$H$6),0),"")</f>
        <v/>
      </c>
      <c r="F193" s="171" t="str">
        <f>IF(ISNUMBER($C193),VLOOKUP($C193,Methuselahs!$A$7:$I$206,COLUMN(Methuselahs!$I$6),0),"")</f>
        <v/>
      </c>
      <c r="G193" s="175"/>
      <c r="H193" s="176" t="str">
        <f>IF(ISNUMBER($C193),VLOOKUP($C193,Methuselahs!$A$7:$J$206,COLUMN(Methuselahs!$J$6),0),"")</f>
        <v/>
      </c>
    </row>
    <row r="194" spans="1:8" ht="15" x14ac:dyDescent="0.2">
      <c r="A194" s="173" t="str">
        <f>IF(ISNUMBER($C194),VLOOKUP($C194,Methuselahs!$Y$7:$Z$206,2,0),"")</f>
        <v/>
      </c>
      <c r="B194" s="174" t="str">
        <f>IF(ROW()-ROW($A$6)&lt;Methuselahs!$A$4,ROW()-ROW($A$5),"")</f>
        <v/>
      </c>
      <c r="C194" s="169" t="str">
        <f>IF(ISNUMBER($B194),VLOOKUP($B194,Methuselahs!$X$7:$Y$206,2,0),"")</f>
        <v/>
      </c>
      <c r="D194" s="177" t="str">
        <f>IF(ISNUMBER($C194),T(VLOOKUP($C194,Methuselahs!$A$7:$E$206,2,0))&amp;" "&amp;T(VLOOKUP($C194,Methuselahs!$A$7:$E$206,3,0)),"")</f>
        <v/>
      </c>
      <c r="E194" s="175" t="str">
        <f>IF(ISNUMBER($C194),VLOOKUP($C194,Methuselahs!$A$7:$I$206,COLUMN(Methuselahs!$H$6),0),"")</f>
        <v/>
      </c>
      <c r="F194" s="171" t="str">
        <f>IF(ISNUMBER($C194),VLOOKUP($C194,Methuselahs!$A$7:$I$206,COLUMN(Methuselahs!$I$6),0),"")</f>
        <v/>
      </c>
      <c r="G194" s="175"/>
      <c r="H194" s="176" t="str">
        <f>IF(ISNUMBER($C194),VLOOKUP($C194,Methuselahs!$A$7:$J$206,COLUMN(Methuselahs!$J$6),0),"")</f>
        <v/>
      </c>
    </row>
    <row r="195" spans="1:8" ht="15" x14ac:dyDescent="0.2">
      <c r="A195" s="173" t="str">
        <f>IF(ISNUMBER($C195),VLOOKUP($C195,Methuselahs!$Y$7:$Z$206,2,0),"")</f>
        <v/>
      </c>
      <c r="B195" s="174" t="str">
        <f>IF(ROW()-ROW($A$6)&lt;Methuselahs!$A$4,ROW()-ROW($A$5),"")</f>
        <v/>
      </c>
      <c r="C195" s="169" t="str">
        <f>IF(ISNUMBER($B195),VLOOKUP($B195,Methuselahs!$X$7:$Y$206,2,0),"")</f>
        <v/>
      </c>
      <c r="D195" s="177" t="str">
        <f>IF(ISNUMBER($C195),T(VLOOKUP($C195,Methuselahs!$A$7:$E$206,2,0))&amp;" "&amp;T(VLOOKUP($C195,Methuselahs!$A$7:$E$206,3,0)),"")</f>
        <v/>
      </c>
      <c r="E195" s="175" t="str">
        <f>IF(ISNUMBER($C195),VLOOKUP($C195,Methuselahs!$A$7:$I$206,COLUMN(Methuselahs!$H$6),0),"")</f>
        <v/>
      </c>
      <c r="F195" s="171" t="str">
        <f>IF(ISNUMBER($C195),VLOOKUP($C195,Methuselahs!$A$7:$I$206,COLUMN(Methuselahs!$I$6),0),"")</f>
        <v/>
      </c>
      <c r="G195" s="175"/>
      <c r="H195" s="176" t="str">
        <f>IF(ISNUMBER($C195),VLOOKUP($C195,Methuselahs!$A$7:$J$206,COLUMN(Methuselahs!$J$6),0),"")</f>
        <v/>
      </c>
    </row>
    <row r="196" spans="1:8" ht="15" x14ac:dyDescent="0.2">
      <c r="A196" s="173" t="str">
        <f>IF(ISNUMBER($C196),VLOOKUP($C196,Methuselahs!$Y$7:$Z$206,2,0),"")</f>
        <v/>
      </c>
      <c r="B196" s="174" t="str">
        <f>IF(ROW()-ROW($A$6)&lt;Methuselahs!$A$4,ROW()-ROW($A$5),"")</f>
        <v/>
      </c>
      <c r="C196" s="169" t="str">
        <f>IF(ISNUMBER($B196),VLOOKUP($B196,Methuselahs!$X$7:$Y$206,2,0),"")</f>
        <v/>
      </c>
      <c r="D196" s="177" t="str">
        <f>IF(ISNUMBER($C196),T(VLOOKUP($C196,Methuselahs!$A$7:$E$206,2,0))&amp;" "&amp;T(VLOOKUP($C196,Methuselahs!$A$7:$E$206,3,0)),"")</f>
        <v/>
      </c>
      <c r="E196" s="175" t="str">
        <f>IF(ISNUMBER($C196),VLOOKUP($C196,Methuselahs!$A$7:$I$206,COLUMN(Methuselahs!$H$6),0),"")</f>
        <v/>
      </c>
      <c r="F196" s="171" t="str">
        <f>IF(ISNUMBER($C196),VLOOKUP($C196,Methuselahs!$A$7:$I$206,COLUMN(Methuselahs!$I$6),0),"")</f>
        <v/>
      </c>
      <c r="G196" s="175"/>
      <c r="H196" s="176" t="str">
        <f>IF(ISNUMBER($C196),VLOOKUP($C196,Methuselahs!$A$7:$J$206,COLUMN(Methuselahs!$J$6),0),"")</f>
        <v/>
      </c>
    </row>
    <row r="197" spans="1:8" ht="15" x14ac:dyDescent="0.2">
      <c r="A197" s="173" t="str">
        <f>IF(ISNUMBER($C197),VLOOKUP($C197,Methuselahs!$Y$7:$Z$206,2,0),"")</f>
        <v/>
      </c>
      <c r="B197" s="174" t="str">
        <f>IF(ROW()-ROW($A$6)&lt;Methuselahs!$A$4,ROW()-ROW($A$5),"")</f>
        <v/>
      </c>
      <c r="C197" s="169" t="str">
        <f>IF(ISNUMBER($B197),VLOOKUP($B197,Methuselahs!$X$7:$Y$206,2,0),"")</f>
        <v/>
      </c>
      <c r="D197" s="177" t="str">
        <f>IF(ISNUMBER($C197),T(VLOOKUP($C197,Methuselahs!$A$7:$E$206,2,0))&amp;" "&amp;T(VLOOKUP($C197,Methuselahs!$A$7:$E$206,3,0)),"")</f>
        <v/>
      </c>
      <c r="E197" s="175" t="str">
        <f>IF(ISNUMBER($C197),VLOOKUP($C197,Methuselahs!$A$7:$I$206,COLUMN(Methuselahs!$H$6),0),"")</f>
        <v/>
      </c>
      <c r="F197" s="171" t="str">
        <f>IF(ISNUMBER($C197),VLOOKUP($C197,Methuselahs!$A$7:$I$206,COLUMN(Methuselahs!$I$6),0),"")</f>
        <v/>
      </c>
      <c r="G197" s="175"/>
      <c r="H197" s="176" t="str">
        <f>IF(ISNUMBER($C197),VLOOKUP($C197,Methuselahs!$A$7:$J$206,COLUMN(Methuselahs!$J$6),0),"")</f>
        <v/>
      </c>
    </row>
    <row r="198" spans="1:8" ht="15" x14ac:dyDescent="0.2">
      <c r="A198" s="173" t="str">
        <f>IF(ISNUMBER($C198),VLOOKUP($C198,Methuselahs!$Y$7:$Z$206,2,0),"")</f>
        <v/>
      </c>
      <c r="B198" s="174" t="str">
        <f>IF(ROW()-ROW($A$6)&lt;Methuselahs!$A$4,ROW()-ROW($A$5),"")</f>
        <v/>
      </c>
      <c r="C198" s="169" t="str">
        <f>IF(ISNUMBER($B198),VLOOKUP($B198,Methuselahs!$X$7:$Y$206,2,0),"")</f>
        <v/>
      </c>
      <c r="D198" s="177" t="str">
        <f>IF(ISNUMBER($C198),T(VLOOKUP($C198,Methuselahs!$A$7:$E$206,2,0))&amp;" "&amp;T(VLOOKUP($C198,Methuselahs!$A$7:$E$206,3,0)),"")</f>
        <v/>
      </c>
      <c r="E198" s="175" t="str">
        <f>IF(ISNUMBER($C198),VLOOKUP($C198,Methuselahs!$A$7:$I$206,COLUMN(Methuselahs!$H$6),0),"")</f>
        <v/>
      </c>
      <c r="F198" s="171" t="str">
        <f>IF(ISNUMBER($C198),VLOOKUP($C198,Methuselahs!$A$7:$I$206,COLUMN(Methuselahs!$I$6),0),"")</f>
        <v/>
      </c>
      <c r="G198" s="175"/>
      <c r="H198" s="176" t="str">
        <f>IF(ISNUMBER($C198),VLOOKUP($C198,Methuselahs!$A$7:$J$206,COLUMN(Methuselahs!$J$6),0),"")</f>
        <v/>
      </c>
    </row>
    <row r="199" spans="1:8" ht="15" x14ac:dyDescent="0.2">
      <c r="A199" s="173" t="str">
        <f>IF(ISNUMBER($C199),VLOOKUP($C199,Methuselahs!$Y$7:$Z$206,2,0),"")</f>
        <v/>
      </c>
      <c r="B199" s="174" t="str">
        <f>IF(ROW()-ROW($A$6)&lt;Methuselahs!$A$4,ROW()-ROW($A$5),"")</f>
        <v/>
      </c>
      <c r="C199" s="169" t="str">
        <f>IF(ISNUMBER($B199),VLOOKUP($B199,Methuselahs!$X$7:$Y$206,2,0),"")</f>
        <v/>
      </c>
      <c r="D199" s="177" t="str">
        <f>IF(ISNUMBER($C199),T(VLOOKUP($C199,Methuselahs!$A$7:$E$206,2,0))&amp;" "&amp;T(VLOOKUP($C199,Methuselahs!$A$7:$E$206,3,0)),"")</f>
        <v/>
      </c>
      <c r="E199" s="175" t="str">
        <f>IF(ISNUMBER($C199),VLOOKUP($C199,Methuselahs!$A$7:$I$206,COLUMN(Methuselahs!$H$6),0),"")</f>
        <v/>
      </c>
      <c r="F199" s="171" t="str">
        <f>IF(ISNUMBER($C199),VLOOKUP($C199,Methuselahs!$A$7:$I$206,COLUMN(Methuselahs!$I$6),0),"")</f>
        <v/>
      </c>
      <c r="G199" s="175"/>
      <c r="H199" s="176" t="str">
        <f>IF(ISNUMBER($C199),VLOOKUP($C199,Methuselahs!$A$7:$J$206,COLUMN(Methuselahs!$J$6),0),"")</f>
        <v/>
      </c>
    </row>
    <row r="200" spans="1:8" ht="15" x14ac:dyDescent="0.2">
      <c r="A200" s="173" t="str">
        <f>IF(ISNUMBER($C200),VLOOKUP($C200,Methuselahs!$Y$7:$Z$206,2,0),"")</f>
        <v/>
      </c>
      <c r="B200" s="174" t="str">
        <f>IF(ROW()-ROW($A$6)&lt;Methuselahs!$A$4,ROW()-ROW($A$5),"")</f>
        <v/>
      </c>
      <c r="C200" s="169" t="str">
        <f>IF(ISNUMBER($B200),VLOOKUP($B200,Methuselahs!$X$7:$Y$206,2,0),"")</f>
        <v/>
      </c>
      <c r="D200" s="177" t="str">
        <f>IF(ISNUMBER($C200),T(VLOOKUP($C200,Methuselahs!$A$7:$E$206,2,0))&amp;" "&amp;T(VLOOKUP($C200,Methuselahs!$A$7:$E$206,3,0)),"")</f>
        <v/>
      </c>
      <c r="E200" s="175" t="str">
        <f>IF(ISNUMBER($C200),VLOOKUP($C200,Methuselahs!$A$7:$I$206,COLUMN(Methuselahs!$H$6),0),"")</f>
        <v/>
      </c>
      <c r="F200" s="171" t="str">
        <f>IF(ISNUMBER($C200),VLOOKUP($C200,Methuselahs!$A$7:$I$206,COLUMN(Methuselahs!$I$6),0),"")</f>
        <v/>
      </c>
      <c r="G200" s="175"/>
      <c r="H200" s="176" t="str">
        <f>IF(ISNUMBER($C200),VLOOKUP($C200,Methuselahs!$A$7:$J$206,COLUMN(Methuselahs!$J$6),0),"")</f>
        <v/>
      </c>
    </row>
    <row r="201" spans="1:8" ht="15" x14ac:dyDescent="0.2">
      <c r="A201" s="173" t="str">
        <f>IF(ISNUMBER($C201),VLOOKUP($C201,Methuselahs!$Y$7:$Z$206,2,0),"")</f>
        <v/>
      </c>
      <c r="B201" s="174" t="str">
        <f>IF(ROW()-ROW($A$6)&lt;Methuselahs!$A$4,ROW()-ROW($A$5),"")</f>
        <v/>
      </c>
      <c r="C201" s="169" t="str">
        <f>IF(ISNUMBER($B201),VLOOKUP($B201,Methuselahs!$X$7:$Y$206,2,0),"")</f>
        <v/>
      </c>
      <c r="D201" s="177" t="str">
        <f>IF(ISNUMBER($C201),T(VLOOKUP($C201,Methuselahs!$A$7:$E$206,2,0))&amp;" "&amp;T(VLOOKUP($C201,Methuselahs!$A$7:$E$206,3,0)),"")</f>
        <v/>
      </c>
      <c r="E201" s="175" t="str">
        <f>IF(ISNUMBER($C201),VLOOKUP($C201,Methuselahs!$A$7:$I$206,COLUMN(Methuselahs!$H$6),0),"")</f>
        <v/>
      </c>
      <c r="F201" s="171" t="str">
        <f>IF(ISNUMBER($C201),VLOOKUP($C201,Methuselahs!$A$7:$I$206,COLUMN(Methuselahs!$I$6),0),"")</f>
        <v/>
      </c>
      <c r="G201" s="175"/>
      <c r="H201" s="176" t="str">
        <f>IF(ISNUMBER($C201),VLOOKUP($C201,Methuselahs!$A$7:$J$206,COLUMN(Methuselahs!$J$6),0),"")</f>
        <v/>
      </c>
    </row>
    <row r="202" spans="1:8" ht="15" x14ac:dyDescent="0.2">
      <c r="A202" s="173" t="str">
        <f>IF(ISNUMBER($C202),VLOOKUP($C202,Methuselahs!$Y$7:$Z$206,2,0),"")</f>
        <v/>
      </c>
      <c r="B202" s="174" t="str">
        <f>IF(ROW()-ROW($A$6)&lt;Methuselahs!$A$4,ROW()-ROW($A$5),"")</f>
        <v/>
      </c>
      <c r="C202" s="169" t="str">
        <f>IF(ISNUMBER($B202),VLOOKUP($B202,Methuselahs!$X$7:$Y$206,2,0),"")</f>
        <v/>
      </c>
      <c r="D202" s="177" t="str">
        <f>IF(ISNUMBER($C202),T(VLOOKUP($C202,Methuselahs!$A$7:$E$206,2,0))&amp;" "&amp;T(VLOOKUP($C202,Methuselahs!$A$7:$E$206,3,0)),"")</f>
        <v/>
      </c>
      <c r="E202" s="175" t="str">
        <f>IF(ISNUMBER($C202),VLOOKUP($C202,Methuselahs!$A$7:$I$206,COLUMN(Methuselahs!$H$6),0),"")</f>
        <v/>
      </c>
      <c r="F202" s="171" t="str">
        <f>IF(ISNUMBER($C202),VLOOKUP($C202,Methuselahs!$A$7:$I$206,COLUMN(Methuselahs!$I$6),0),"")</f>
        <v/>
      </c>
      <c r="G202" s="175"/>
      <c r="H202" s="176" t="str">
        <f>IF(ISNUMBER($C202),VLOOKUP($C202,Methuselahs!$A$7:$J$206,COLUMN(Methuselahs!$J$6),0),"")</f>
        <v/>
      </c>
    </row>
    <row r="203" spans="1:8" ht="15" x14ac:dyDescent="0.2">
      <c r="A203" s="173" t="str">
        <f>IF(ISNUMBER($C203),VLOOKUP($C203,Methuselahs!$Y$7:$Z$206,2,0),"")</f>
        <v/>
      </c>
      <c r="B203" s="174" t="str">
        <f>IF(ROW()-ROW($A$6)&lt;Methuselahs!$A$4,ROW()-ROW($A$5),"")</f>
        <v/>
      </c>
      <c r="C203" s="169" t="str">
        <f>IF(ISNUMBER($B203),VLOOKUP($B203,Methuselahs!$X$7:$Y$206,2,0),"")</f>
        <v/>
      </c>
      <c r="D203" s="177" t="str">
        <f>IF(ISNUMBER($C203),T(VLOOKUP($C203,Methuselahs!$A$7:$E$206,2,0))&amp;" "&amp;T(VLOOKUP($C203,Methuselahs!$A$7:$E$206,3,0)),"")</f>
        <v/>
      </c>
      <c r="E203" s="175" t="str">
        <f>IF(ISNUMBER($C203),VLOOKUP($C203,Methuselahs!$A$7:$I$206,COLUMN(Methuselahs!$H$6),0),"")</f>
        <v/>
      </c>
      <c r="F203" s="171" t="str">
        <f>IF(ISNUMBER($C203),VLOOKUP($C203,Methuselahs!$A$7:$I$206,COLUMN(Methuselahs!$I$6),0),"")</f>
        <v/>
      </c>
      <c r="G203" s="175"/>
      <c r="H203" s="176" t="str">
        <f>IF(ISNUMBER($C203),VLOOKUP($C203,Methuselahs!$A$7:$J$206,COLUMN(Methuselahs!$J$6),0),"")</f>
        <v/>
      </c>
    </row>
    <row r="204" spans="1:8" ht="15" x14ac:dyDescent="0.2">
      <c r="A204" s="173" t="str">
        <f>IF(ISNUMBER($C204),VLOOKUP($C204,Methuselahs!$Y$7:$Z$206,2,0),"")</f>
        <v/>
      </c>
      <c r="B204" s="174" t="str">
        <f>IF(ROW()-ROW($A$6)&lt;Methuselahs!$A$4,ROW()-ROW($A$5),"")</f>
        <v/>
      </c>
      <c r="C204" s="169" t="str">
        <f>IF(ISNUMBER($B204),VLOOKUP($B204,Methuselahs!$X$7:$Y$206,2,0),"")</f>
        <v/>
      </c>
      <c r="D204" s="177" t="str">
        <f>IF(ISNUMBER($C204),T(VLOOKUP($C204,Methuselahs!$A$7:$E$206,2,0))&amp;" "&amp;T(VLOOKUP($C204,Methuselahs!$A$7:$E$206,3,0)),"")</f>
        <v/>
      </c>
      <c r="E204" s="175" t="str">
        <f>IF(ISNUMBER($C204),VLOOKUP($C204,Methuselahs!$A$7:$I$206,COLUMN(Methuselahs!$H$6),0),"")</f>
        <v/>
      </c>
      <c r="F204" s="171" t="str">
        <f>IF(ISNUMBER($C204),VLOOKUP($C204,Methuselahs!$A$7:$I$206,COLUMN(Methuselahs!$I$6),0),"")</f>
        <v/>
      </c>
      <c r="G204" s="175"/>
      <c r="H204" s="176" t="str">
        <f>IF(ISNUMBER($C204),VLOOKUP($C204,Methuselahs!$A$7:$J$206,COLUMN(Methuselahs!$J$6),0),"")</f>
        <v/>
      </c>
    </row>
    <row r="205" spans="1:8" ht="15" x14ac:dyDescent="0.2">
      <c r="A205" s="179" t="str">
        <f>IF(ISNUMBER($C205),VLOOKUP($C205,Methuselahs!$Y$7:$Z$206,2,0),"")</f>
        <v/>
      </c>
      <c r="B205" s="180" t="str">
        <f>IF(ROW()-ROW($A$6)&lt;Methuselahs!$A$4,ROW()-ROW($A$5),"")</f>
        <v/>
      </c>
      <c r="C205" s="180" t="str">
        <f>IF(ISNUMBER($B205),VLOOKUP($B205,Methuselahs!$X$7:$Y$206,2,0),"")</f>
        <v/>
      </c>
      <c r="D205" s="181" t="str">
        <f>IF(ISNUMBER($C205),T(VLOOKUP($C205,Methuselahs!$A$7:$E$206,2,0))&amp;" "&amp;T(VLOOKUP($C205,Methuselahs!$A$7:$E$206,3,0)),"")</f>
        <v/>
      </c>
      <c r="E205" s="182" t="str">
        <f>IF(ISNUMBER($C205),VLOOKUP($C205,Methuselahs!$A$7:$I$206,COLUMN(Methuselahs!$H$6),0),"")</f>
        <v/>
      </c>
      <c r="F205" s="180" t="str">
        <f>IF(ISNUMBER($C205),VLOOKUP($C205,Methuselahs!$A$7:$I$206,COLUMN(Methuselahs!$I$6),0),"")</f>
        <v/>
      </c>
      <c r="G205" s="182"/>
      <c r="H205" s="183" t="str">
        <f>IF(ISNUMBER($C205),VLOOKUP($C205,Methuselahs!$A$7:$J$206,COLUMN(Methuselahs!$J$6),0),"")</f>
        <v/>
      </c>
    </row>
  </sheetData>
  <sheetProtection sheet="1" objects="1" scenarios="1"/>
  <mergeCells count="2">
    <mergeCell ref="A1:H1"/>
    <mergeCell ref="A3:H3"/>
  </mergeCells>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06"/>
  <sheetViews>
    <sheetView zoomScaleNormal="100" workbookViewId="0">
      <pane ySplit="6" topLeftCell="A7" activePane="bottomLeft" state="frozen"/>
      <selection pane="bottomLeft" activeCell="G10" sqref="G10"/>
    </sheetView>
  </sheetViews>
  <sheetFormatPr defaultColWidth="8.85546875" defaultRowHeight="12.75" x14ac:dyDescent="0.2"/>
  <cols>
    <col min="1" max="1" width="3" customWidth="1"/>
    <col min="2" max="2" width="16.7109375" customWidth="1"/>
    <col min="3" max="3" width="18" customWidth="1"/>
    <col min="4" max="5" width="6.85546875" style="184" customWidth="1"/>
    <col min="6" max="6" width="7.7109375" hidden="1" customWidth="1"/>
    <col min="7" max="8" width="7.7109375" customWidth="1"/>
    <col min="10" max="10" width="6" style="59" hidden="1" customWidth="1"/>
    <col min="11" max="21" width="10.7109375" style="36" hidden="1" customWidth="1"/>
    <col min="22" max="22" width="11.7109375" style="36" hidden="1" customWidth="1"/>
    <col min="23" max="23" width="9.28515625" style="36" hidden="1" customWidth="1"/>
    <col min="24" max="26" width="8.85546875" style="36" hidden="1"/>
    <col min="27" max="27" width="10.42578125" style="36" hidden="1" customWidth="1"/>
    <col min="28" max="29" width="9.140625" style="36" customWidth="1"/>
    <col min="30" max="1024" width="8.85546875" style="36"/>
  </cols>
  <sheetData>
    <row r="1" spans="1:30" ht="25.5" x14ac:dyDescent="0.35">
      <c r="A1" s="37" t="str">
        <f>IF(ISBLANK('Tournament Info'!B3),"Vampire: The Eternal Struggle Tournament",'Tournament Info'!B3)</f>
        <v>German Nationals 2024</v>
      </c>
      <c r="B1" s="63"/>
      <c r="C1" s="63"/>
      <c r="D1" s="60"/>
      <c r="E1" s="60"/>
      <c r="F1" s="36"/>
      <c r="G1" s="36"/>
      <c r="H1" s="36"/>
      <c r="I1" s="36"/>
      <c r="J1" s="69"/>
    </row>
    <row r="2" spans="1:30" ht="13.7" customHeight="1" x14ac:dyDescent="0.3">
      <c r="A2" s="36"/>
      <c r="B2" s="63"/>
      <c r="C2" s="36"/>
      <c r="D2" s="60"/>
      <c r="E2" s="60"/>
      <c r="G2" s="36"/>
      <c r="H2" s="36" t="s">
        <v>195</v>
      </c>
      <c r="I2" s="36"/>
      <c r="AB2" s="185"/>
    </row>
    <row r="3" spans="1:30" s="2" customFormat="1" ht="15" customHeight="1" x14ac:dyDescent="0.3">
      <c r="A3" s="186" t="s">
        <v>196</v>
      </c>
      <c r="B3" s="32"/>
      <c r="D3" s="187"/>
      <c r="E3" s="187"/>
      <c r="H3" s="2" t="s">
        <v>197</v>
      </c>
      <c r="V3" s="188"/>
      <c r="AB3" s="189"/>
      <c r="AD3" s="190"/>
    </row>
    <row r="4" spans="1:30" ht="12.95" customHeight="1" x14ac:dyDescent="0.3">
      <c r="B4" s="63"/>
      <c r="C4" s="63"/>
      <c r="D4" s="60"/>
      <c r="E4" s="60"/>
      <c r="F4" s="36"/>
      <c r="G4" s="36"/>
      <c r="H4" s="36"/>
      <c r="I4" s="36"/>
      <c r="J4" s="69"/>
      <c r="V4" s="191">
        <v>1</v>
      </c>
    </row>
    <row r="5" spans="1:30" ht="20.25" x14ac:dyDescent="0.3">
      <c r="A5" s="192" t="s">
        <v>198</v>
      </c>
      <c r="B5" s="193"/>
      <c r="C5" s="193"/>
      <c r="D5" s="194"/>
      <c r="E5" s="195" t="s">
        <v>199</v>
      </c>
      <c r="G5" s="195"/>
      <c r="H5" s="196"/>
      <c r="I5" s="197"/>
      <c r="J5" s="198"/>
      <c r="K5" s="199" t="s">
        <v>200</v>
      </c>
      <c r="L5" s="200"/>
      <c r="M5" s="200"/>
      <c r="N5" s="200"/>
      <c r="O5" s="200"/>
      <c r="P5" s="200"/>
      <c r="Q5" s="200"/>
      <c r="R5" s="201"/>
      <c r="S5" s="202" t="s">
        <v>201</v>
      </c>
      <c r="T5" s="200"/>
      <c r="U5" s="201"/>
    </row>
    <row r="6" spans="1:30" s="82" customFormat="1" ht="12.95" customHeight="1" x14ac:dyDescent="0.2">
      <c r="A6" s="203" t="s">
        <v>190</v>
      </c>
      <c r="B6" s="204" t="s">
        <v>202</v>
      </c>
      <c r="C6" s="205" t="s">
        <v>203</v>
      </c>
      <c r="D6" s="206" t="s">
        <v>204</v>
      </c>
      <c r="E6" s="207" t="s">
        <v>180</v>
      </c>
      <c r="F6" s="208" t="s">
        <v>180</v>
      </c>
      <c r="G6" s="209" t="s">
        <v>205</v>
      </c>
      <c r="H6" s="208" t="s">
        <v>181</v>
      </c>
      <c r="I6" s="210" t="s">
        <v>206</v>
      </c>
      <c r="J6" s="211" t="s">
        <v>207</v>
      </c>
      <c r="K6" s="212" t="s">
        <v>208</v>
      </c>
      <c r="L6" s="213" t="s">
        <v>209</v>
      </c>
      <c r="M6" s="213" t="s">
        <v>210</v>
      </c>
      <c r="N6" s="213" t="s">
        <v>211</v>
      </c>
      <c r="O6" s="213" t="s">
        <v>212</v>
      </c>
      <c r="P6" s="213" t="s">
        <v>213</v>
      </c>
      <c r="Q6" s="213" t="s">
        <v>214</v>
      </c>
      <c r="R6" s="214" t="s">
        <v>215</v>
      </c>
      <c r="S6" s="215" t="s">
        <v>216</v>
      </c>
      <c r="T6" s="216" t="s">
        <v>217</v>
      </c>
      <c r="U6" s="217" t="s">
        <v>218</v>
      </c>
      <c r="W6" s="218" t="s">
        <v>219</v>
      </c>
      <c r="X6" s="218" t="s">
        <v>220</v>
      </c>
      <c r="Y6" s="218" t="s">
        <v>221</v>
      </c>
      <c r="Z6" s="218" t="s">
        <v>222</v>
      </c>
      <c r="AA6" s="218" t="s">
        <v>219</v>
      </c>
    </row>
    <row r="7" spans="1:30" ht="12.95" customHeight="1" x14ac:dyDescent="0.2">
      <c r="A7" s="219">
        <f ca="1">IF(ISBLANK('Tournament Info'!$B$11),"",INDIRECT(ADDRESS(ROW(),1,1,1,"Optimal Seating "&amp;'Tournament Info'!$B$11-1&amp;"R+F")))</f>
        <v>1</v>
      </c>
      <c r="B7" s="143">
        <f ca="1">IF(ISNUMBER(A7),VLOOKUP(A7,Methuselahs!$A$7:$E$206,2,0),"")</f>
        <v>0</v>
      </c>
      <c r="C7" s="220">
        <f ca="1">IF(ISNUMBER(A7),VLOOKUP(A7,Methuselahs!$A$7:$E$206,3,0),"")</f>
        <v>0</v>
      </c>
      <c r="D7" s="221">
        <f t="shared" ref="D7:D38" ca="1" si="0">IF(ISNUMBER(A7),FLOOR((ROW()-ROW($A$7))/5,1)+1,"")</f>
        <v>1</v>
      </c>
      <c r="E7" s="222"/>
      <c r="F7" s="220">
        <f t="shared" ref="F7:F38" si="1">IF(ISNUMBER(E7),E7,0)</f>
        <v>0</v>
      </c>
      <c r="G7" s="223">
        <f t="shared" ref="G7:G38" ca="1" si="2">IF(ISNUMBER($A7),IF(AND($F7&gt;=2,$H7=60),1,0),"")</f>
        <v>0</v>
      </c>
      <c r="H7" s="224">
        <f ca="1">IF(ISNUMBER(A7),IF(OR($S7=$U7,NOT(ISNA(MATCH($D7*5+$V$4,Override!$C$6:$C$125,0)))),$Q7,0),"")</f>
        <v>24</v>
      </c>
      <c r="I7" s="221">
        <f t="shared" ref="I7:I38" ca="1" si="3">IF(ISNUMBER(A7),IF(J7=5,K7,IF(AND(J7=4,OR(K7=4,K7=3)),K7+1,K7)),"")</f>
        <v>3</v>
      </c>
      <c r="J7" s="225">
        <f ca="1">COUNT(A7:A11)</f>
        <v>5</v>
      </c>
      <c r="K7" s="226">
        <f ca="1">IF(ISNUMBER(A7),RANK(F7,F7:F11),"")</f>
        <v>3</v>
      </c>
      <c r="L7" s="227">
        <f ca="1">IF(J7=5,VLOOKUP(K7,TPMatrix!$A$6:$B$10,2,0),IF(J7=4,VLOOKUP(K7,TPMatrix!$D$6:$E$9,2,0),0))</f>
        <v>36</v>
      </c>
      <c r="M7" s="227">
        <f ca="1">IF(COUNTIF(K7:K11,K7)&gt;=2,IF(J7=5,VLOOKUP(K7+1,TPMatrix!$A$6:$B$10,2,0),IF(J7=4,VLOOKUP(K7+1,TPMatrix!$D$6:$E$9,2,0),0)),"")</f>
        <v>24</v>
      </c>
      <c r="N7" s="227">
        <f ca="1">IF(COUNTIF(K7:K11,K7)&gt;=3,IF(J7=5,VLOOKUP(K7+2,TPMatrix!$A$6:$B$10,2,0),IF(J7=4,VLOOKUP(K7+2,TPMatrix!$D$6:$E$9,2,0),0)),"")</f>
        <v>12</v>
      </c>
      <c r="O7" s="227" t="str">
        <f ca="1">IF(COUNTIF(K7:K11,K7)&gt;=4,IF(J7=5,VLOOKUP(K7+3,TPMatrix!$A$6:$B$10,2,0),IF(J7=4,VLOOKUP(K7+3,TPMatrix!$D$6:$E$9,2,0),0)),"")</f>
        <v/>
      </c>
      <c r="P7" s="227" t="str">
        <f ca="1">IF(COUNTIF(K7:K11,K7)&gt;=5,IF(J7=5,VLOOKUP(K7+4,TPMatrix!$A$6:$B$10,2,0),IF(J7=4,VLOOKUP(K7+4,TPMatrix!$D$6:$E$9,2,0),0)),"")</f>
        <v/>
      </c>
      <c r="Q7" s="227">
        <f t="shared" ref="Q7:Q38" ca="1" si="4">SUM(L7:P7)/COUNT(L7:P7)</f>
        <v>24</v>
      </c>
      <c r="R7" s="228">
        <f t="shared" ref="R7:R38" ca="1" si="5">COUNT(L7:P7)</f>
        <v>3</v>
      </c>
      <c r="S7" s="229">
        <f t="shared" ref="S7:S38" ca="1" si="6">IF(ISNUMBER($A7),COUNTIF($D$7:$D$206,$D7),0)</f>
        <v>5</v>
      </c>
      <c r="T7" s="230">
        <f t="shared" ref="T7:T38" si="7">CEILING($F7,1)</f>
        <v>0</v>
      </c>
      <c r="U7" s="231">
        <f t="shared" ref="U7:U38" ca="1" si="8">SUM(OFFSET(T7,-MOD(ROW()-ROW($U$7),5),0,5,1))</f>
        <v>5</v>
      </c>
      <c r="V7"/>
      <c r="W7" s="36">
        <f t="shared" ref="W7:W38" ca="1" si="9">$I7</f>
        <v>3</v>
      </c>
      <c r="X7" s="36">
        <f ca="1">IF(ISNUMBER($A7),$W7*(Methuselahs!$A$4+1)+$A7,"")</f>
        <v>100</v>
      </c>
      <c r="Y7" s="36">
        <f t="shared" ref="Y7:Y38" ca="1" si="10">IF(ISNUMBER($A7),RANK($X7,$X7:$X11,1),"")</f>
        <v>3</v>
      </c>
      <c r="Z7" s="36" t="e">
        <f ca="1">IF(ISNUMBER($A7),VLOOKUP($A7,Methuselahs!$A$7:$X$206,5),"")</f>
        <v>#N/A</v>
      </c>
      <c r="AA7" s="36">
        <f t="shared" ref="AA7:AA38" ca="1" si="11">$I7</f>
        <v>3</v>
      </c>
    </row>
    <row r="8" spans="1:30" ht="12.95" customHeight="1" x14ac:dyDescent="0.2">
      <c r="A8" s="111">
        <f ca="1">IF(ISBLANK('Tournament Info'!$B$11),"",INDIRECT(ADDRESS(ROW(),1,1,1,"Optimal Seating "&amp;'Tournament Info'!$B$11-1&amp;"R+F")))</f>
        <v>2</v>
      </c>
      <c r="B8" s="117">
        <f ca="1">IF(ISNUMBER(A8),VLOOKUP(A8,Methuselahs!$A$7:$E$206,2,0),"")</f>
        <v>0</v>
      </c>
      <c r="C8" s="232">
        <f ca="1">IF(ISNUMBER(A8),VLOOKUP(A8,Methuselahs!$A$7:$E$206,3,0),"")</f>
        <v>0</v>
      </c>
      <c r="D8" s="233">
        <f t="shared" ca="1" si="0"/>
        <v>1</v>
      </c>
      <c r="E8" s="234"/>
      <c r="F8" s="232">
        <f t="shared" si="1"/>
        <v>0</v>
      </c>
      <c r="G8" s="235">
        <f t="shared" ca="1" si="2"/>
        <v>0</v>
      </c>
      <c r="H8" s="236">
        <f ca="1">IF(ISNUMBER(A8),IF(OR($S8=$U8,NOT(ISNA(MATCH($D8*5+$V$4,Override!$C$6:$C$125,0)))),$Q8,0),"")</f>
        <v>24</v>
      </c>
      <c r="I8" s="233">
        <f t="shared" ca="1" si="3"/>
        <v>3</v>
      </c>
      <c r="J8" s="237">
        <f ca="1">COUNT(A7:A11)</f>
        <v>5</v>
      </c>
      <c r="K8" s="238">
        <f ca="1">IF(ISNUMBER(A8),RANK(F8,F7:F11),"")</f>
        <v>3</v>
      </c>
      <c r="L8" s="239">
        <f ca="1">IF(J8=5,VLOOKUP(K8,TPMatrix!$A$6:$B$10,2,0),IF(J8=4,VLOOKUP(K8,TPMatrix!$D$6:$E$9,2,0),0))</f>
        <v>36</v>
      </c>
      <c r="M8" s="239">
        <f ca="1">IF(COUNTIF(K7:K11,K8)&gt;=2,IF(J8=5,VLOOKUP(K8+1,TPMatrix!$A$6:$B$10,2,0),IF(J8=4,VLOOKUP(K8+1,TPMatrix!$D$6:$E$9,2,0),0)),"")</f>
        <v>24</v>
      </c>
      <c r="N8" s="239">
        <f ca="1">IF(COUNTIF(K7:K11,K8)&gt;=3,IF(J8=5,VLOOKUP(K8+2,TPMatrix!$A$6:$B$10,2,0),IF(J8=4,VLOOKUP(K8+2,TPMatrix!$D$6:$E$9,2,0),0)),"")</f>
        <v>12</v>
      </c>
      <c r="O8" s="239" t="str">
        <f ca="1">IF(COUNTIF(K7:K11,K8)&gt;=4,IF(J8=5,VLOOKUP(K8+3,TPMatrix!$A$6:$B$10,2,0),IF(J8=4,VLOOKUP(K8+3,TPMatrix!$D$6:$E$9,2,0),0)),"")</f>
        <v/>
      </c>
      <c r="P8" s="239" t="str">
        <f ca="1">IF(COUNTIF(K7:K11,K8)&gt;=5,IF(J8=5,VLOOKUP(K8+4,TPMatrix!$A$6:$B$10,2,0),IF(J8=4,VLOOKUP(K8+4,TPMatrix!$D$6:$E$9,2,0),0)),"")</f>
        <v/>
      </c>
      <c r="Q8" s="239">
        <f t="shared" ca="1" si="4"/>
        <v>24</v>
      </c>
      <c r="R8" s="240">
        <f t="shared" ca="1" si="5"/>
        <v>3</v>
      </c>
      <c r="S8" s="238">
        <f t="shared" ca="1" si="6"/>
        <v>5</v>
      </c>
      <c r="T8" s="239">
        <f t="shared" si="7"/>
        <v>0</v>
      </c>
      <c r="U8" s="240">
        <f t="shared" ca="1" si="8"/>
        <v>5</v>
      </c>
      <c r="W8" s="36">
        <f t="shared" ca="1" si="9"/>
        <v>3</v>
      </c>
      <c r="X8" s="36">
        <f ca="1">IF(ISNUMBER($A8),$W8*(Methuselahs!$A$4+1)+$A8,"")</f>
        <v>101</v>
      </c>
      <c r="Y8" s="36">
        <f t="shared" ca="1" si="10"/>
        <v>3</v>
      </c>
      <c r="Z8" s="36" t="e">
        <f ca="1">IF(ISNUMBER($A8),VLOOKUP($A8,Methuselahs!$A$7:$X$206,5),"")</f>
        <v>#N/A</v>
      </c>
      <c r="AA8" s="36">
        <f t="shared" ca="1" si="11"/>
        <v>3</v>
      </c>
    </row>
    <row r="9" spans="1:30" ht="12.95" customHeight="1" x14ac:dyDescent="0.2">
      <c r="A9" s="137">
        <f ca="1">IF(ISBLANK('Tournament Info'!$B$11),"",INDIRECT(ADDRESS(ROW(),1,1,1,"Optimal Seating "&amp;'Tournament Info'!$B$11-1&amp;"R+F")))</f>
        <v>3</v>
      </c>
      <c r="B9" s="143">
        <f ca="1">IF(ISNUMBER(A9),VLOOKUP(A9,Methuselahs!$A$7:$E$206,2,0),"")</f>
        <v>0</v>
      </c>
      <c r="C9" s="241">
        <f ca="1">IF(ISNUMBER(A9),VLOOKUP(A9,Methuselahs!$A$7:$E$206,3,0),"")</f>
        <v>0</v>
      </c>
      <c r="D9" s="242">
        <f t="shared" ca="1" si="0"/>
        <v>1</v>
      </c>
      <c r="E9" s="243">
        <v>3</v>
      </c>
      <c r="F9" s="241">
        <f t="shared" si="1"/>
        <v>3</v>
      </c>
      <c r="G9" s="244">
        <f t="shared" ca="1" si="2"/>
        <v>1</v>
      </c>
      <c r="H9" s="245">
        <f ca="1">IF(ISNUMBER(A9),IF(OR($S9=$U9,NOT(ISNA(MATCH($D9*5+$V$4,Override!$C$6:$C$125,0)))),$Q9,0),"")</f>
        <v>60</v>
      </c>
      <c r="I9" s="242">
        <f t="shared" ca="1" si="3"/>
        <v>1</v>
      </c>
      <c r="J9" s="246">
        <f ca="1">COUNT(A7:A11)</f>
        <v>5</v>
      </c>
      <c r="K9" s="247">
        <f ca="1">IF(ISNUMBER(A9),RANK(F9,F7:F11),"")</f>
        <v>1</v>
      </c>
      <c r="L9" s="142">
        <f ca="1">IF(J9=5,VLOOKUP(K9,TPMatrix!$A$6:$B$10,2,0),IF(J9=4,VLOOKUP(K9,TPMatrix!$D$6:$E$9,2,0),0))</f>
        <v>60</v>
      </c>
      <c r="M9" s="142" t="str">
        <f ca="1">IF(COUNTIF(K7:K11,K9)&gt;=2,IF(J9=5,VLOOKUP(K9+1,TPMatrix!$A$6:$B$10,2,0),IF(J9=4,VLOOKUP(K9+1,TPMatrix!$D$6:$E$9,2,0),0)),"")</f>
        <v/>
      </c>
      <c r="N9" s="142" t="str">
        <f ca="1">IF(COUNTIF(K7:K11,K9)&gt;=3,IF(J9=5,VLOOKUP(K9+2,TPMatrix!$A$6:$B$10,2,0),IF(J9=4,VLOOKUP(K9+2,TPMatrix!$D$6:$E$9,2,0),0)),"")</f>
        <v/>
      </c>
      <c r="O9" s="142" t="str">
        <f ca="1">IF(COUNTIF(K7:K11,K9)&gt;=4,IF(J9=5,VLOOKUP(K9+3,TPMatrix!$A$6:$B$10,2,0),IF(J9=4,VLOOKUP(K9+3,TPMatrix!$D$6:$E$9,2,0),0)),"")</f>
        <v/>
      </c>
      <c r="P9" s="142" t="str">
        <f ca="1">IF(COUNTIF(K7:K11,K9)&gt;=5,IF(J9=5,VLOOKUP(K9+4,TPMatrix!$A$6:$B$10,2,0),IF(J9=4,VLOOKUP(K9+4,TPMatrix!$D$6:$E$9,2,0),0)),"")</f>
        <v/>
      </c>
      <c r="Q9" s="142">
        <f t="shared" ca="1" si="4"/>
        <v>60</v>
      </c>
      <c r="R9" s="248">
        <f t="shared" ca="1" si="5"/>
        <v>1</v>
      </c>
      <c r="S9" s="247">
        <f t="shared" ca="1" si="6"/>
        <v>5</v>
      </c>
      <c r="T9" s="142">
        <f t="shared" si="7"/>
        <v>3</v>
      </c>
      <c r="U9" s="248">
        <f t="shared" ca="1" si="8"/>
        <v>5</v>
      </c>
      <c r="W9" s="36">
        <f t="shared" ca="1" si="9"/>
        <v>1</v>
      </c>
      <c r="X9" s="36">
        <f ca="1">IF(ISNUMBER($A9),$W9*(Methuselahs!$A$4+1)+$A9,"")</f>
        <v>36</v>
      </c>
      <c r="Y9" s="36">
        <f t="shared" ca="1" si="10"/>
        <v>1</v>
      </c>
      <c r="Z9" s="36" t="e">
        <f ca="1">IF(ISNUMBER($A9),VLOOKUP($A9,Methuselahs!$A$7:$X$206,5),"")</f>
        <v>#N/A</v>
      </c>
      <c r="AA9" s="36">
        <f t="shared" ca="1" si="11"/>
        <v>1</v>
      </c>
    </row>
    <row r="10" spans="1:30" ht="12.95" customHeight="1" x14ac:dyDescent="0.2">
      <c r="A10" s="249">
        <f ca="1">IF(ISBLANK('Tournament Info'!$B$11),"",INDIRECT(ADDRESS(ROW(),1,1,1,"Optimal Seating "&amp;'Tournament Info'!$B$11-1&amp;"R+F")))</f>
        <v>4</v>
      </c>
      <c r="B10" s="250">
        <f ca="1">IF(ISNUMBER(A10),VLOOKUP(A10,Methuselahs!$A$7:$E$206,2,0),"")</f>
        <v>0</v>
      </c>
      <c r="C10" s="251">
        <f ca="1">IF(ISNUMBER(A10),VLOOKUP(A10,Methuselahs!$A$7:$E$206,3,0),"")</f>
        <v>0</v>
      </c>
      <c r="D10" s="252">
        <f t="shared" ca="1" si="0"/>
        <v>1</v>
      </c>
      <c r="E10" s="253"/>
      <c r="F10" s="251">
        <f t="shared" si="1"/>
        <v>0</v>
      </c>
      <c r="G10" s="235">
        <f t="shared" ca="1" si="2"/>
        <v>0</v>
      </c>
      <c r="H10" s="236">
        <f ca="1">IF(ISNUMBER(A10),IF(OR($S10=$U10,NOT(ISNA(MATCH($D10*5+$V$4,Override!$C$6:$C$125,0)))),$Q10,0),"")</f>
        <v>24</v>
      </c>
      <c r="I10" s="252">
        <f t="shared" ca="1" si="3"/>
        <v>3</v>
      </c>
      <c r="J10" s="254">
        <f ca="1">COUNT(A7:A11)</f>
        <v>5</v>
      </c>
      <c r="K10" s="238">
        <f ca="1">IF(ISNUMBER(A10),RANK(F10,F7:F11),"")</f>
        <v>3</v>
      </c>
      <c r="L10" s="239">
        <f ca="1">IF(J10=5,VLOOKUP(K10,TPMatrix!$A$6:$B$10,2,0),IF(J10=4,VLOOKUP(K10,TPMatrix!$D$6:$E$9,2,0),0))</f>
        <v>36</v>
      </c>
      <c r="M10" s="239">
        <f ca="1">IF(COUNTIF(K7:K11,K10)&gt;=2,IF(J10=5,VLOOKUP(K10+1,TPMatrix!$A$6:$B$10,2,0),IF(J10=4,VLOOKUP(K10+1,TPMatrix!$D$6:$E$9,2,0),0)),"")</f>
        <v>24</v>
      </c>
      <c r="N10" s="239">
        <f ca="1">IF(COUNTIF(K7:K11,K10)&gt;=3,IF(J10=5,VLOOKUP(K10+2,TPMatrix!$A$6:$B$10,2,0),IF(J10=4,VLOOKUP(K10+2,TPMatrix!$D$6:$E$9,2,0),0)),"")</f>
        <v>12</v>
      </c>
      <c r="O10" s="239" t="str">
        <f ca="1">IF(COUNTIF(K7:K11,K10)&gt;=4,IF(J10=5,VLOOKUP(K10+3,TPMatrix!$A$6:$B$10,2,0),IF(J10=4,VLOOKUP(K10+3,TPMatrix!$D$6:$E$9,2,0),0)),"")</f>
        <v/>
      </c>
      <c r="P10" s="239" t="str">
        <f ca="1">IF(COUNTIF(K7:K11,K10)&gt;=5,IF(J10=5,VLOOKUP(K10+4,TPMatrix!$A$6:$B$10,2,0),IF(J10=4,VLOOKUP(K10+4,TPMatrix!$D$6:$E$9,2,0),0)),"")</f>
        <v/>
      </c>
      <c r="Q10" s="239">
        <f t="shared" ca="1" si="4"/>
        <v>24</v>
      </c>
      <c r="R10" s="240">
        <f t="shared" ca="1" si="5"/>
        <v>3</v>
      </c>
      <c r="S10" s="238">
        <f t="shared" ca="1" si="6"/>
        <v>5</v>
      </c>
      <c r="T10" s="239">
        <f t="shared" si="7"/>
        <v>0</v>
      </c>
      <c r="U10" s="240">
        <f t="shared" ca="1" si="8"/>
        <v>5</v>
      </c>
      <c r="W10" s="36">
        <f t="shared" ca="1" si="9"/>
        <v>3</v>
      </c>
      <c r="X10" s="36">
        <f ca="1">IF(ISNUMBER($A10),$W10*(Methuselahs!$A$4+1)+$A10,"")</f>
        <v>103</v>
      </c>
      <c r="Y10" s="36">
        <f t="shared" ca="1" si="10"/>
        <v>3</v>
      </c>
      <c r="Z10" s="36" t="e">
        <f ca="1">IF(ISNUMBER($A10),VLOOKUP($A10,Methuselahs!$A$7:$X$206,5),"")</f>
        <v>#N/A</v>
      </c>
      <c r="AA10" s="36">
        <f t="shared" ca="1" si="11"/>
        <v>3</v>
      </c>
    </row>
    <row r="11" spans="1:30" ht="12.95" customHeight="1" x14ac:dyDescent="0.2">
      <c r="A11" s="255">
        <f ca="1">IF(ISBLANK('Tournament Info'!$B$11),"",INDIRECT(ADDRESS(ROW(),1,1,1,"Optimal Seating "&amp;'Tournament Info'!$B$11-1&amp;"R+F")))</f>
        <v>5</v>
      </c>
      <c r="B11" s="256">
        <f ca="1">IF(ISNUMBER(A11),VLOOKUP(A11,Methuselahs!$A$7:$E$206,2,0),"")</f>
        <v>0</v>
      </c>
      <c r="C11" s="257">
        <f ca="1">IF(ISNUMBER(A11),VLOOKUP(A11,Methuselahs!$A$7:$E$206,3,0),"")</f>
        <v>0</v>
      </c>
      <c r="D11" s="258">
        <f t="shared" ca="1" si="0"/>
        <v>1</v>
      </c>
      <c r="E11" s="259">
        <v>2</v>
      </c>
      <c r="F11" s="257">
        <f t="shared" si="1"/>
        <v>2</v>
      </c>
      <c r="G11" s="244">
        <f t="shared" ca="1" si="2"/>
        <v>0</v>
      </c>
      <c r="H11" s="245">
        <f ca="1">IF(ISNUMBER(A11),IF(OR($S11=$U11,NOT(ISNA(MATCH($D11*5+$V$4,Override!$C$6:$C$125,0)))),$Q11,0),"")</f>
        <v>48</v>
      </c>
      <c r="I11" s="258">
        <f t="shared" ca="1" si="3"/>
        <v>2</v>
      </c>
      <c r="J11" s="260">
        <f ca="1">COUNT(A7:A11)</f>
        <v>5</v>
      </c>
      <c r="K11" s="261">
        <f ca="1">IF(ISNUMBER(A11),RANK(F11,F7:F11),"")</f>
        <v>2</v>
      </c>
      <c r="L11" s="262">
        <f ca="1">IF(J11=5,VLOOKUP(K11,TPMatrix!$A$6:$B$10,2,0),IF(J11=4,VLOOKUP(K11,TPMatrix!$D$6:$E$9,2,0),0))</f>
        <v>48</v>
      </c>
      <c r="M11" s="262" t="str">
        <f ca="1">IF(COUNTIF(K7:K11,K11)&gt;=2,IF(J11=5,VLOOKUP(K11+1,TPMatrix!$A$6:$B$10,2,0),IF(J11=4,VLOOKUP(K11+1,TPMatrix!$D$6:$E$9,2,0),0)),"")</f>
        <v/>
      </c>
      <c r="N11" s="262" t="str">
        <f ca="1">IF(COUNTIF(K7:K11,K11)&gt;=3,IF(J11=5,VLOOKUP(K11+2,TPMatrix!$A$6:$B$10,2,0),IF(J11=4,VLOOKUP(K11+2,TPMatrix!$D$6:$E$9,2,0),0)),"")</f>
        <v/>
      </c>
      <c r="O11" s="262" t="str">
        <f ca="1">IF(COUNTIF(K7:K11,K11)&gt;=4,IF(J11=5,VLOOKUP(K11+3,TPMatrix!$A$6:$B$10,2,0),IF(J11=4,VLOOKUP(K11+3,TPMatrix!$D$6:$E$9,2,0),0)),"")</f>
        <v/>
      </c>
      <c r="P11" s="262" t="str">
        <f ca="1">IF(COUNTIF(K7:K11,K11)&gt;=5,IF(J11=5,VLOOKUP(K11+4,TPMatrix!$A$6:$B$10,2,0),IF(J11=4,VLOOKUP(K11+4,TPMatrix!$D$6:$E$9,2,0),0)),"")</f>
        <v/>
      </c>
      <c r="Q11" s="262">
        <f t="shared" ca="1" si="4"/>
        <v>48</v>
      </c>
      <c r="R11" s="263">
        <f t="shared" ca="1" si="5"/>
        <v>1</v>
      </c>
      <c r="S11" s="261">
        <f t="shared" ca="1" si="6"/>
        <v>5</v>
      </c>
      <c r="T11" s="262">
        <f t="shared" si="7"/>
        <v>2</v>
      </c>
      <c r="U11" s="263">
        <f t="shared" ca="1" si="8"/>
        <v>5</v>
      </c>
      <c r="W11" s="36">
        <f t="shared" ca="1" si="9"/>
        <v>2</v>
      </c>
      <c r="X11" s="36">
        <f ca="1">IF(ISNUMBER($A11),$W11*(Methuselahs!$A$4+1)+$A11,"")</f>
        <v>71</v>
      </c>
      <c r="Y11" s="36">
        <f t="shared" ca="1" si="10"/>
        <v>2</v>
      </c>
      <c r="Z11" s="36" t="e">
        <f ca="1">IF(ISNUMBER($A11),VLOOKUP($A11,Methuselahs!$A$7:$X$206,5),"")</f>
        <v>#N/A</v>
      </c>
      <c r="AA11" s="36">
        <f t="shared" ca="1" si="11"/>
        <v>2</v>
      </c>
    </row>
    <row r="12" spans="1:30" ht="12.95" customHeight="1" x14ac:dyDescent="0.2">
      <c r="A12" s="219">
        <f ca="1">IF(ISBLANK('Tournament Info'!$B$11),"",INDIRECT(ADDRESS(ROW(),1,1,1,"Optimal Seating "&amp;'Tournament Info'!$B$11-1&amp;"R+F")))</f>
        <v>6</v>
      </c>
      <c r="B12" s="143">
        <f ca="1">IF(ISNUMBER(A12),VLOOKUP(A12,Methuselahs!$A$7:$E$206,2,0),"")</f>
        <v>0</v>
      </c>
      <c r="C12" s="220">
        <f ca="1">IF(ISNUMBER(A12),VLOOKUP(A12,Methuselahs!$A$7:$E$206,3,0),"")</f>
        <v>0</v>
      </c>
      <c r="D12" s="221">
        <f t="shared" ca="1" si="0"/>
        <v>2</v>
      </c>
      <c r="E12" s="222"/>
      <c r="F12" s="220">
        <f t="shared" si="1"/>
        <v>0</v>
      </c>
      <c r="G12" s="223">
        <f t="shared" ca="1" si="2"/>
        <v>0</v>
      </c>
      <c r="H12" s="224">
        <f ca="1">IF(ISNUMBER(A12),IF(OR($S12=$U12,NOT(ISNA(MATCH($D12*5+$V$4,Override!$C$6:$C$125,0)))),$Q12,0),"")</f>
        <v>24</v>
      </c>
      <c r="I12" s="221">
        <f t="shared" ca="1" si="3"/>
        <v>3</v>
      </c>
      <c r="J12" s="225">
        <f ca="1">COUNT(A12:A16)</f>
        <v>5</v>
      </c>
      <c r="K12" s="226">
        <f ca="1">IF(ISNUMBER(A12),RANK(F12,F12:F16),"")</f>
        <v>3</v>
      </c>
      <c r="L12" s="227">
        <f ca="1">IF(J12=5,VLOOKUP(K12,TPMatrix!$A$6:$B$10,2,0),IF(J12=4,VLOOKUP(K12,TPMatrix!$D$6:$E$9,2,0),0))</f>
        <v>36</v>
      </c>
      <c r="M12" s="227">
        <f ca="1">IF(COUNTIF(K12:K16,K12)&gt;=2,IF(J12=5,VLOOKUP(K12+1,TPMatrix!$A$6:$B$10,2,0),IF(J12=4,VLOOKUP(K12+1,TPMatrix!$D$6:$E$9,2,0),0)),"")</f>
        <v>24</v>
      </c>
      <c r="N12" s="227">
        <f ca="1">IF(COUNTIF(K12:K16,K12)&gt;=3,IF(J12=5,VLOOKUP(K12+2,TPMatrix!$A$6:$B$10,2,0),IF(J12=4,VLOOKUP(K12+2,TPMatrix!$D$6:$E$9,2,0),0)),"")</f>
        <v>12</v>
      </c>
      <c r="O12" s="227" t="str">
        <f ca="1">IF(COUNTIF(K12:K16,K12)&gt;=4,IF(J12=5,VLOOKUP(K12+3,TPMatrix!$A$6:$B$10,2,0),IF(J12=4,VLOOKUP(K12+3,TPMatrix!$D$6:$E$9,2,0),0)),"")</f>
        <v/>
      </c>
      <c r="P12" s="227" t="str">
        <f ca="1">IF(COUNTIF(K12:K16,K12)&gt;=5,IF(J12=5,VLOOKUP(K12+4,TPMatrix!$A$6:$B$10,2,0),IF(J12=4,VLOOKUP(K12+4,TPMatrix!$D$6:$E$9,2,0),0)),"")</f>
        <v/>
      </c>
      <c r="Q12" s="227">
        <f t="shared" ca="1" si="4"/>
        <v>24</v>
      </c>
      <c r="R12" s="228">
        <f t="shared" ca="1" si="5"/>
        <v>3</v>
      </c>
      <c r="S12" s="229">
        <f t="shared" ca="1" si="6"/>
        <v>5</v>
      </c>
      <c r="T12" s="230">
        <f t="shared" si="7"/>
        <v>0</v>
      </c>
      <c r="U12" s="231">
        <f t="shared" ca="1" si="8"/>
        <v>5</v>
      </c>
      <c r="W12" s="36">
        <f t="shared" ca="1" si="9"/>
        <v>3</v>
      </c>
      <c r="X12" s="36">
        <f ca="1">IF(ISNUMBER($A12),$W12*(Methuselahs!$A$4+1)+$A12,"")</f>
        <v>105</v>
      </c>
      <c r="Y12" s="36">
        <f t="shared" ca="1" si="10"/>
        <v>3</v>
      </c>
      <c r="Z12" s="36">
        <f ca="1">IF(ISNUMBER($A12),VLOOKUP($A12,Methuselahs!$A$7:$X$206,5),"")</f>
        <v>0</v>
      </c>
      <c r="AA12" s="36">
        <f t="shared" ca="1" si="11"/>
        <v>3</v>
      </c>
    </row>
    <row r="13" spans="1:30" ht="12.95" customHeight="1" x14ac:dyDescent="0.2">
      <c r="A13" s="111">
        <f ca="1">IF(ISBLANK('Tournament Info'!$B$11),"",INDIRECT(ADDRESS(ROW(),1,1,1,"Optimal Seating "&amp;'Tournament Info'!$B$11-1&amp;"R+F")))</f>
        <v>7</v>
      </c>
      <c r="B13" s="117">
        <f ca="1">IF(ISNUMBER(A13),VLOOKUP(A13,Methuselahs!$A$7:$E$206,2,0),"")</f>
        <v>0</v>
      </c>
      <c r="C13" s="232">
        <f ca="1">IF(ISNUMBER(A13),VLOOKUP(A13,Methuselahs!$A$7:$E$206,3,0),"")</f>
        <v>0</v>
      </c>
      <c r="D13" s="233">
        <f t="shared" ca="1" si="0"/>
        <v>2</v>
      </c>
      <c r="E13" s="234">
        <v>3</v>
      </c>
      <c r="F13" s="232">
        <f t="shared" si="1"/>
        <v>3</v>
      </c>
      <c r="G13" s="235">
        <f t="shared" ca="1" si="2"/>
        <v>1</v>
      </c>
      <c r="H13" s="236">
        <f ca="1">IF(ISNUMBER(A13),IF(OR($S13=$U13,NOT(ISNA(MATCH($D13*5+$V$4,Override!$C$6:$C$125,0)))),$Q13,0),"")</f>
        <v>60</v>
      </c>
      <c r="I13" s="233">
        <f t="shared" ca="1" si="3"/>
        <v>1</v>
      </c>
      <c r="J13" s="237">
        <f ca="1">COUNT(A12:A16)</f>
        <v>5</v>
      </c>
      <c r="K13" s="238">
        <f ca="1">IF(ISNUMBER(A13),RANK(F13,F12:F16),"")</f>
        <v>1</v>
      </c>
      <c r="L13" s="239">
        <f ca="1">IF(J13=5,VLOOKUP(K13,TPMatrix!$A$6:$B$10,2,0),IF(J13=4,VLOOKUP(K13,TPMatrix!$D$6:$E$9,2,0),0))</f>
        <v>60</v>
      </c>
      <c r="M13" s="239" t="str">
        <f ca="1">IF(COUNTIF(K12:K16,K13)&gt;=2,IF(J13=5,VLOOKUP(K13+1,TPMatrix!$A$6:$B$10,2,0),IF(J13=4,VLOOKUP(K13+1,TPMatrix!$D$6:$E$9,2,0),0)),"")</f>
        <v/>
      </c>
      <c r="N13" s="239" t="str">
        <f ca="1">IF(COUNTIF(K12:K16,K13)&gt;=3,IF(J13=5,VLOOKUP(K13+2,TPMatrix!$A$6:$B$10,2,0),IF(J13=4,VLOOKUP(K13+2,TPMatrix!$D$6:$E$9,2,0),0)),"")</f>
        <v/>
      </c>
      <c r="O13" s="239" t="str">
        <f ca="1">IF(COUNTIF(K12:K16,K13)&gt;=4,IF(J13=5,VLOOKUP(K13+3,TPMatrix!$A$6:$B$10,2,0),IF(J13=4,VLOOKUP(K13+3,TPMatrix!$D$6:$E$9,2,0),0)),"")</f>
        <v/>
      </c>
      <c r="P13" s="239" t="str">
        <f ca="1">IF(COUNTIF(K12:K16,K13)&gt;=5,IF(J13=5,VLOOKUP(K13+4,TPMatrix!$A$6:$B$10,2,0),IF(J13=4,VLOOKUP(K13+4,TPMatrix!$D$6:$E$9,2,0),0)),"")</f>
        <v/>
      </c>
      <c r="Q13" s="239">
        <f t="shared" ca="1" si="4"/>
        <v>60</v>
      </c>
      <c r="R13" s="240">
        <f t="shared" ca="1" si="5"/>
        <v>1</v>
      </c>
      <c r="S13" s="238">
        <f t="shared" ca="1" si="6"/>
        <v>5</v>
      </c>
      <c r="T13" s="239">
        <f t="shared" si="7"/>
        <v>3</v>
      </c>
      <c r="U13" s="240">
        <f t="shared" ca="1" si="8"/>
        <v>5</v>
      </c>
      <c r="W13" s="36">
        <f t="shared" ca="1" si="9"/>
        <v>1</v>
      </c>
      <c r="X13" s="36">
        <f ca="1">IF(ISNUMBER($A13),$W13*(Methuselahs!$A$4+1)+$A13,"")</f>
        <v>40</v>
      </c>
      <c r="Y13" s="36">
        <f t="shared" ca="1" si="10"/>
        <v>1</v>
      </c>
      <c r="Z13" s="36">
        <f ca="1">IF(ISNUMBER($A13),VLOOKUP($A13,Methuselahs!$A$7:$X$206,5),"")</f>
        <v>0</v>
      </c>
      <c r="AA13" s="36">
        <f t="shared" ca="1" si="11"/>
        <v>1</v>
      </c>
    </row>
    <row r="14" spans="1:30" ht="12.95" customHeight="1" x14ac:dyDescent="0.2">
      <c r="A14" s="137">
        <f ca="1">IF(ISBLANK('Tournament Info'!$B$11),"",INDIRECT(ADDRESS(ROW(),1,1,1,"Optimal Seating "&amp;'Tournament Info'!$B$11-1&amp;"R+F")))</f>
        <v>8</v>
      </c>
      <c r="B14" s="143">
        <f ca="1">IF(ISNUMBER(A14),VLOOKUP(A14,Methuselahs!$A$7:$E$206,2,0),"")</f>
        <v>0</v>
      </c>
      <c r="C14" s="241">
        <f ca="1">IF(ISNUMBER(A14),VLOOKUP(A14,Methuselahs!$A$7:$E$206,3,0),"")</f>
        <v>0</v>
      </c>
      <c r="D14" s="242">
        <f t="shared" ca="1" si="0"/>
        <v>2</v>
      </c>
      <c r="E14" s="243"/>
      <c r="F14" s="241">
        <f t="shared" si="1"/>
        <v>0</v>
      </c>
      <c r="G14" s="244">
        <f t="shared" ca="1" si="2"/>
        <v>0</v>
      </c>
      <c r="H14" s="245">
        <f ca="1">IF(ISNUMBER(A14),IF(OR($S14=$U14,NOT(ISNA(MATCH($D14*5+$V$4,Override!$C$6:$C$125,0)))),$Q14,0),"")</f>
        <v>24</v>
      </c>
      <c r="I14" s="242">
        <f t="shared" ca="1" si="3"/>
        <v>3</v>
      </c>
      <c r="J14" s="246">
        <f ca="1">COUNT(A12:A16)</f>
        <v>5</v>
      </c>
      <c r="K14" s="247">
        <f ca="1">IF(ISNUMBER(A14),RANK(F14,F12:F16),"")</f>
        <v>3</v>
      </c>
      <c r="L14" s="142">
        <f ca="1">IF(J14=5,VLOOKUP(K14,TPMatrix!$A$6:$B$10,2,0),IF(J14=4,VLOOKUP(K14,TPMatrix!$D$6:$E$9,2,0),0))</f>
        <v>36</v>
      </c>
      <c r="M14" s="142">
        <f ca="1">IF(COUNTIF(K12:K16,K14)&gt;=2,IF(J14=5,VLOOKUP(K14+1,TPMatrix!$A$6:$B$10,2,0),IF(J14=4,VLOOKUP(K14+1,TPMatrix!$D$6:$E$9,2,0),0)),"")</f>
        <v>24</v>
      </c>
      <c r="N14" s="142">
        <f ca="1">IF(COUNTIF(K12:K16,K14)&gt;=3,IF(J14=5,VLOOKUP(K14+2,TPMatrix!$A$6:$B$10,2,0),IF(J14=4,VLOOKUP(K14+2,TPMatrix!$D$6:$E$9,2,0),0)),"")</f>
        <v>12</v>
      </c>
      <c r="O14" s="142" t="str">
        <f ca="1">IF(COUNTIF(K12:K16,K14)&gt;=4,IF(J14=5,VLOOKUP(K14+3,TPMatrix!$A$6:$B$10,2,0),IF(J14=4,VLOOKUP(K14+3,TPMatrix!$D$6:$E$9,2,0),0)),"")</f>
        <v/>
      </c>
      <c r="P14" s="142" t="str">
        <f ca="1">IF(COUNTIF(K12:K16,K14)&gt;=5,IF(J14=5,VLOOKUP(K14+4,TPMatrix!$A$6:$B$10,2,0),IF(J14=4,VLOOKUP(K14+4,TPMatrix!$D$6:$E$9,2,0),0)),"")</f>
        <v/>
      </c>
      <c r="Q14" s="142">
        <f t="shared" ca="1" si="4"/>
        <v>24</v>
      </c>
      <c r="R14" s="248">
        <f t="shared" ca="1" si="5"/>
        <v>3</v>
      </c>
      <c r="S14" s="247">
        <f t="shared" ca="1" si="6"/>
        <v>5</v>
      </c>
      <c r="T14" s="142">
        <f t="shared" si="7"/>
        <v>0</v>
      </c>
      <c r="U14" s="248">
        <f t="shared" ca="1" si="8"/>
        <v>5</v>
      </c>
      <c r="W14" s="36">
        <f t="shared" ca="1" si="9"/>
        <v>3</v>
      </c>
      <c r="X14" s="36">
        <f ca="1">IF(ISNUMBER($A14),$W14*(Methuselahs!$A$4+1)+$A14,"")</f>
        <v>107</v>
      </c>
      <c r="Y14" s="36">
        <f t="shared" ca="1" si="10"/>
        <v>3</v>
      </c>
      <c r="Z14" s="36">
        <f ca="1">IF(ISNUMBER($A14),VLOOKUP($A14,Methuselahs!$A$7:$X$206,5),"")</f>
        <v>0</v>
      </c>
      <c r="AA14" s="36">
        <f t="shared" ca="1" si="11"/>
        <v>3</v>
      </c>
    </row>
    <row r="15" spans="1:30" ht="12.95" customHeight="1" x14ac:dyDescent="0.2">
      <c r="A15" s="249">
        <f ca="1">IF(ISBLANK('Tournament Info'!$B$11),"",INDIRECT(ADDRESS(ROW(),1,1,1,"Optimal Seating "&amp;'Tournament Info'!$B$11-1&amp;"R+F")))</f>
        <v>9</v>
      </c>
      <c r="B15" s="250">
        <f ca="1">IF(ISNUMBER(A15),VLOOKUP(A15,Methuselahs!$A$7:$E$206,2,0),"")</f>
        <v>0</v>
      </c>
      <c r="C15" s="251">
        <f ca="1">IF(ISNUMBER(A15),VLOOKUP(A15,Methuselahs!$A$7:$E$206,3,0),"")</f>
        <v>0</v>
      </c>
      <c r="D15" s="252">
        <f t="shared" ca="1" si="0"/>
        <v>2</v>
      </c>
      <c r="E15" s="253">
        <v>2</v>
      </c>
      <c r="F15" s="251">
        <f t="shared" si="1"/>
        <v>2</v>
      </c>
      <c r="G15" s="235">
        <f t="shared" ca="1" si="2"/>
        <v>0</v>
      </c>
      <c r="H15" s="236">
        <f ca="1">IF(ISNUMBER(A15),IF(OR($S15=$U15,NOT(ISNA(MATCH($D15*5+$V$4,Override!$C$6:$C$125,0)))),$Q15,0),"")</f>
        <v>48</v>
      </c>
      <c r="I15" s="252">
        <f t="shared" ca="1" si="3"/>
        <v>2</v>
      </c>
      <c r="J15" s="254">
        <f ca="1">COUNT(A12:A16)</f>
        <v>5</v>
      </c>
      <c r="K15" s="238">
        <f ca="1">IF(ISNUMBER(A15),RANK(F15,F12:F16),"")</f>
        <v>2</v>
      </c>
      <c r="L15" s="239">
        <f ca="1">IF(J15=5,VLOOKUP(K15,TPMatrix!$A$6:$B$10,2,0),IF(J15=4,VLOOKUP(K15,TPMatrix!$D$6:$E$9,2,0),0))</f>
        <v>48</v>
      </c>
      <c r="M15" s="239" t="str">
        <f ca="1">IF(COUNTIF(K12:K16,K15)&gt;=2,IF(J15=5,VLOOKUP(K15+1,TPMatrix!$A$6:$B$10,2,0),IF(J15=4,VLOOKUP(K15+1,TPMatrix!$D$6:$E$9,2,0),0)),"")</f>
        <v/>
      </c>
      <c r="N15" s="239" t="str">
        <f ca="1">IF(COUNTIF(K12:K16,K15)&gt;=3,IF(J15=5,VLOOKUP(K15+2,TPMatrix!$A$6:$B$10,2,0),IF(J15=4,VLOOKUP(K15+2,TPMatrix!$D$6:$E$9,2,0),0)),"")</f>
        <v/>
      </c>
      <c r="O15" s="239" t="str">
        <f ca="1">IF(COUNTIF(K12:K16,K15)&gt;=4,IF(J15=5,VLOOKUP(K15+3,TPMatrix!$A$6:$B$10,2,0),IF(J15=4,VLOOKUP(K15+3,TPMatrix!$D$6:$E$9,2,0),0)),"")</f>
        <v/>
      </c>
      <c r="P15" s="239" t="str">
        <f ca="1">IF(COUNTIF(K12:K16,K15)&gt;=5,IF(J15=5,VLOOKUP(K15+4,TPMatrix!$A$6:$B$10,2,0),IF(J15=4,VLOOKUP(K15+4,TPMatrix!$D$6:$E$9,2,0),0)),"")</f>
        <v/>
      </c>
      <c r="Q15" s="239">
        <f t="shared" ca="1" si="4"/>
        <v>48</v>
      </c>
      <c r="R15" s="240">
        <f t="shared" ca="1" si="5"/>
        <v>1</v>
      </c>
      <c r="S15" s="238">
        <f t="shared" ca="1" si="6"/>
        <v>5</v>
      </c>
      <c r="T15" s="239">
        <f t="shared" si="7"/>
        <v>2</v>
      </c>
      <c r="U15" s="240">
        <f t="shared" ca="1" si="8"/>
        <v>5</v>
      </c>
      <c r="W15" s="36">
        <f t="shared" ca="1" si="9"/>
        <v>2</v>
      </c>
      <c r="X15" s="36">
        <f ca="1">IF(ISNUMBER($A15),$W15*(Methuselahs!$A$4+1)+$A15,"")</f>
        <v>75</v>
      </c>
      <c r="Y15" s="36">
        <f t="shared" ca="1" si="10"/>
        <v>1</v>
      </c>
      <c r="Z15" s="36">
        <f ca="1">IF(ISNUMBER($A15),VLOOKUP($A15,Methuselahs!$A$7:$X$206,5),"")</f>
        <v>0</v>
      </c>
      <c r="AA15" s="36">
        <f t="shared" ca="1" si="11"/>
        <v>2</v>
      </c>
    </row>
    <row r="16" spans="1:30" ht="12.95" customHeight="1" x14ac:dyDescent="0.2">
      <c r="A16" s="137">
        <f ca="1">IF(ISBLANK('Tournament Info'!$B$11),"",INDIRECT(ADDRESS(ROW(),1,1,1,"Optimal Seating "&amp;'Tournament Info'!$B$11-1&amp;"R+F")))</f>
        <v>10</v>
      </c>
      <c r="B16" s="256">
        <f ca="1">IF(ISNUMBER(A16),VLOOKUP(A16,Methuselahs!$A$7:$E$206,2,0),"")</f>
        <v>0</v>
      </c>
      <c r="C16" s="257">
        <f ca="1">IF(ISNUMBER(A16),VLOOKUP(A16,Methuselahs!$A$7:$E$206,3,0),"")</f>
        <v>0</v>
      </c>
      <c r="D16" s="258">
        <f t="shared" ca="1" si="0"/>
        <v>2</v>
      </c>
      <c r="E16" s="259"/>
      <c r="F16" s="257">
        <f t="shared" si="1"/>
        <v>0</v>
      </c>
      <c r="G16" s="244">
        <f t="shared" ca="1" si="2"/>
        <v>0</v>
      </c>
      <c r="H16" s="245">
        <f ca="1">IF(ISNUMBER(A16),IF(OR($S16=$U16,NOT(ISNA(MATCH($D16*5+$V$4,Override!$C$6:$C$125,0)))),$Q16,0),"")</f>
        <v>24</v>
      </c>
      <c r="I16" s="258">
        <f t="shared" ca="1" si="3"/>
        <v>3</v>
      </c>
      <c r="J16" s="260">
        <f ca="1">COUNT(A12:A16)</f>
        <v>5</v>
      </c>
      <c r="K16" s="261">
        <f ca="1">IF(ISNUMBER(A16),RANK(F16,F12:F16),"")</f>
        <v>3</v>
      </c>
      <c r="L16" s="262">
        <f ca="1">IF(J16=5,VLOOKUP(K16,TPMatrix!$A$6:$B$10,2,0),IF(J16=4,VLOOKUP(K16,TPMatrix!$D$6:$E$9,2,0),0))</f>
        <v>36</v>
      </c>
      <c r="M16" s="262">
        <f ca="1">IF(COUNTIF(K12:K16,K16)&gt;=2,IF(J16=5,VLOOKUP(K16+1,TPMatrix!$A$6:$B$10,2,0),IF(J16=4,VLOOKUP(K16+1,TPMatrix!$D$6:$E$9,2,0),0)),"")</f>
        <v>24</v>
      </c>
      <c r="N16" s="262">
        <f ca="1">IF(COUNTIF(K12:K16,K16)&gt;=3,IF(J16=5,VLOOKUP(K16+2,TPMatrix!$A$6:$B$10,2,0),IF(J16=4,VLOOKUP(K16+2,TPMatrix!$D$6:$E$9,2,0),0)),"")</f>
        <v>12</v>
      </c>
      <c r="O16" s="262" t="str">
        <f ca="1">IF(COUNTIF(K12:K16,K16)&gt;=4,IF(J16=5,VLOOKUP(K16+3,TPMatrix!$A$6:$B$10,2,0),IF(J16=4,VLOOKUP(K16+3,TPMatrix!$D$6:$E$9,2,0),0)),"")</f>
        <v/>
      </c>
      <c r="P16" s="262" t="str">
        <f ca="1">IF(COUNTIF(K12:K16,K16)&gt;=5,IF(J16=5,VLOOKUP(K16+4,TPMatrix!$A$6:$B$10,2,0),IF(J16=4,VLOOKUP(K16+4,TPMatrix!$D$6:$E$9,2,0),0)),"")</f>
        <v/>
      </c>
      <c r="Q16" s="262">
        <f t="shared" ca="1" si="4"/>
        <v>24</v>
      </c>
      <c r="R16" s="263">
        <f t="shared" ca="1" si="5"/>
        <v>3</v>
      </c>
      <c r="S16" s="261">
        <f t="shared" ca="1" si="6"/>
        <v>5</v>
      </c>
      <c r="T16" s="262">
        <f t="shared" si="7"/>
        <v>0</v>
      </c>
      <c r="U16" s="263">
        <f t="shared" ca="1" si="8"/>
        <v>5</v>
      </c>
      <c r="W16" s="36">
        <f t="shared" ca="1" si="9"/>
        <v>3</v>
      </c>
      <c r="X16" s="36">
        <f ca="1">IF(ISNUMBER($A16),$W16*(Methuselahs!$A$4+1)+$A16,"")</f>
        <v>109</v>
      </c>
      <c r="Y16" s="36">
        <f t="shared" ca="1" si="10"/>
        <v>2</v>
      </c>
      <c r="Z16" s="36">
        <f ca="1">IF(ISNUMBER($A16),VLOOKUP($A16,Methuselahs!$A$7:$X$206,5),"")</f>
        <v>0</v>
      </c>
      <c r="AA16" s="36">
        <f t="shared" ca="1" si="11"/>
        <v>3</v>
      </c>
    </row>
    <row r="17" spans="1:27" ht="12.95" customHeight="1" x14ac:dyDescent="0.2">
      <c r="A17" s="219">
        <f ca="1">IF(ISBLANK('Tournament Info'!$B$11),"",INDIRECT(ADDRESS(ROW(),1,1,1,"Optimal Seating "&amp;'Tournament Info'!$B$11-1&amp;"R+F")))</f>
        <v>11</v>
      </c>
      <c r="B17" s="143">
        <f ca="1">IF(ISNUMBER(A17),VLOOKUP(A17,Methuselahs!$A$7:$E$206,2,0),"")</f>
        <v>0</v>
      </c>
      <c r="C17" s="220">
        <f ca="1">IF(ISNUMBER(A17),VLOOKUP(A17,Methuselahs!$A$7:$E$206,3,0),"")</f>
        <v>0</v>
      </c>
      <c r="D17" s="221">
        <f t="shared" ca="1" si="0"/>
        <v>3</v>
      </c>
      <c r="E17" s="222"/>
      <c r="F17" s="220">
        <f t="shared" si="1"/>
        <v>0</v>
      </c>
      <c r="G17" s="223">
        <f t="shared" ca="1" si="2"/>
        <v>0</v>
      </c>
      <c r="H17" s="224">
        <f ca="1">IF(ISNUMBER(A17),IF(OR($S17=$U17,NOT(ISNA(MATCH($D17*5+$V$4,Override!$C$6:$C$125,0)))),$Q17,0),"")</f>
        <v>24</v>
      </c>
      <c r="I17" s="221">
        <f t="shared" ca="1" si="3"/>
        <v>3</v>
      </c>
      <c r="J17" s="225">
        <f ca="1">COUNT(A17:A21)</f>
        <v>5</v>
      </c>
      <c r="K17" s="226">
        <f ca="1">IF(ISNUMBER(A17),RANK(F17,F17:F21),"")</f>
        <v>3</v>
      </c>
      <c r="L17" s="227">
        <f ca="1">IF(J17=5,VLOOKUP(K17,TPMatrix!$A$6:$B$10,2,0),IF(J17=4,VLOOKUP(K17,TPMatrix!$D$6:$E$9,2,0),0))</f>
        <v>36</v>
      </c>
      <c r="M17" s="227">
        <f ca="1">IF(COUNTIF(K17:K21,K17)&gt;=2,IF(J17=5,VLOOKUP(K17+1,TPMatrix!$A$6:$B$10,2,0),IF(J17=4,VLOOKUP(K17+1,TPMatrix!$D$6:$E$9,2,0),0)),"")</f>
        <v>24</v>
      </c>
      <c r="N17" s="227">
        <f ca="1">IF(COUNTIF(K17:K21,K17)&gt;=3,IF(J17=5,VLOOKUP(K17+2,TPMatrix!$A$6:$B$10,2,0),IF(J17=4,VLOOKUP(K17+2,TPMatrix!$D$6:$E$9,2,0),0)),"")</f>
        <v>12</v>
      </c>
      <c r="O17" s="227" t="str">
        <f ca="1">IF(COUNTIF(K17:K21,K17)&gt;=4,IF(J17=5,VLOOKUP(K17+3,TPMatrix!$A$6:$B$10,2,0),IF(J17=4,VLOOKUP(K17+3,TPMatrix!$D$6:$E$9,2,0),0)),"")</f>
        <v/>
      </c>
      <c r="P17" s="227" t="str">
        <f ca="1">IF(COUNTIF(K17:K21,K17)&gt;=5,IF(J17=5,VLOOKUP(K17+4,TPMatrix!$A$6:$B$10,2,0),IF(J17=4,VLOOKUP(K17+4,TPMatrix!$D$6:$E$9,2,0),0)),"")</f>
        <v/>
      </c>
      <c r="Q17" s="227">
        <f t="shared" ca="1" si="4"/>
        <v>24</v>
      </c>
      <c r="R17" s="228">
        <f t="shared" ca="1" si="5"/>
        <v>3</v>
      </c>
      <c r="S17" s="229">
        <f t="shared" ca="1" si="6"/>
        <v>5</v>
      </c>
      <c r="T17" s="230">
        <f t="shared" si="7"/>
        <v>0</v>
      </c>
      <c r="U17" s="231">
        <f t="shared" ca="1" si="8"/>
        <v>5</v>
      </c>
      <c r="W17" s="36">
        <f t="shared" ca="1" si="9"/>
        <v>3</v>
      </c>
      <c r="X17" s="36">
        <f ca="1">IF(ISNUMBER($A17),$W17*(Methuselahs!$A$4+1)+$A17,"")</f>
        <v>110</v>
      </c>
      <c r="Y17" s="36">
        <f t="shared" ca="1" si="10"/>
        <v>3</v>
      </c>
      <c r="Z17" s="36">
        <f ca="1">IF(ISNUMBER($A17),VLOOKUP($A17,Methuselahs!$A$7:$X$206,5),"")</f>
        <v>0</v>
      </c>
      <c r="AA17" s="36">
        <f t="shared" ca="1" si="11"/>
        <v>3</v>
      </c>
    </row>
    <row r="18" spans="1:27" ht="12.95" customHeight="1" x14ac:dyDescent="0.2">
      <c r="A18" s="111">
        <f ca="1">IF(ISBLANK('Tournament Info'!$B$11),"",INDIRECT(ADDRESS(ROW(),1,1,1,"Optimal Seating "&amp;'Tournament Info'!$B$11-1&amp;"R+F")))</f>
        <v>12</v>
      </c>
      <c r="B18" s="117">
        <f ca="1">IF(ISNUMBER(A18),VLOOKUP(A18,Methuselahs!$A$7:$E$206,2,0),"")</f>
        <v>0</v>
      </c>
      <c r="C18" s="232">
        <f ca="1">IF(ISNUMBER(A18),VLOOKUP(A18,Methuselahs!$A$7:$E$206,3,0),"")</f>
        <v>0</v>
      </c>
      <c r="D18" s="233">
        <f t="shared" ca="1" si="0"/>
        <v>3</v>
      </c>
      <c r="E18" s="234">
        <v>1</v>
      </c>
      <c r="F18" s="232">
        <f t="shared" si="1"/>
        <v>1</v>
      </c>
      <c r="G18" s="235">
        <f t="shared" ca="1" si="2"/>
        <v>0</v>
      </c>
      <c r="H18" s="236">
        <f ca="1">IF(ISNUMBER(A18),IF(OR($S18=$U18,NOT(ISNA(MATCH($D18*5+$V$4,Override!$C$6:$C$125,0)))),$Q18,0),"")</f>
        <v>48</v>
      </c>
      <c r="I18" s="233">
        <f t="shared" ca="1" si="3"/>
        <v>2</v>
      </c>
      <c r="J18" s="237">
        <f ca="1">COUNT(A17:A21)</f>
        <v>5</v>
      </c>
      <c r="K18" s="238">
        <f ca="1">IF(ISNUMBER(A18),RANK(F18,F17:F21),"")</f>
        <v>2</v>
      </c>
      <c r="L18" s="239">
        <f ca="1">IF(J18=5,VLOOKUP(K18,TPMatrix!$A$6:$B$10,2,0),IF(J18=4,VLOOKUP(K18,TPMatrix!$D$6:$E$9,2,0),0))</f>
        <v>48</v>
      </c>
      <c r="M18" s="239" t="str">
        <f ca="1">IF(COUNTIF(K17:K21,K18)&gt;=2,IF(J18=5,VLOOKUP(K18+1,TPMatrix!$A$6:$B$10,2,0),IF(J18=4,VLOOKUP(K18+1,TPMatrix!$D$6:$E$9,2,0),0)),"")</f>
        <v/>
      </c>
      <c r="N18" s="239" t="str">
        <f ca="1">IF(COUNTIF(K17:K21,K18)&gt;=3,IF(J18=5,VLOOKUP(K18+2,TPMatrix!$A$6:$B$10,2,0),IF(J18=4,VLOOKUP(K18+2,TPMatrix!$D$6:$E$9,2,0),0)),"")</f>
        <v/>
      </c>
      <c r="O18" s="239" t="str">
        <f ca="1">IF(COUNTIF(K17:K21,K18)&gt;=4,IF(J18=5,VLOOKUP(K18+3,TPMatrix!$A$6:$B$10,2,0),IF(J18=4,VLOOKUP(K18+3,TPMatrix!$D$6:$E$9,2,0),0)),"")</f>
        <v/>
      </c>
      <c r="P18" s="239" t="str">
        <f ca="1">IF(COUNTIF(K17:K21,K18)&gt;=5,IF(J18=5,VLOOKUP(K18+4,TPMatrix!$A$6:$B$10,2,0),IF(J18=4,VLOOKUP(K18+4,TPMatrix!$D$6:$E$9,2,0),0)),"")</f>
        <v/>
      </c>
      <c r="Q18" s="239">
        <f t="shared" ca="1" si="4"/>
        <v>48</v>
      </c>
      <c r="R18" s="240">
        <f t="shared" ca="1" si="5"/>
        <v>1</v>
      </c>
      <c r="S18" s="238">
        <f t="shared" ca="1" si="6"/>
        <v>5</v>
      </c>
      <c r="T18" s="239">
        <f t="shared" si="7"/>
        <v>1</v>
      </c>
      <c r="U18" s="240">
        <f t="shared" ca="1" si="8"/>
        <v>5</v>
      </c>
      <c r="W18" s="36">
        <f t="shared" ca="1" si="9"/>
        <v>2</v>
      </c>
      <c r="X18" s="36">
        <f ca="1">IF(ISNUMBER($A18),$W18*(Methuselahs!$A$4+1)+$A18,"")</f>
        <v>78</v>
      </c>
      <c r="Y18" s="36">
        <f t="shared" ca="1" si="10"/>
        <v>2</v>
      </c>
      <c r="Z18" s="36">
        <f ca="1">IF(ISNUMBER($A18),VLOOKUP($A18,Methuselahs!$A$7:$X$206,5),"")</f>
        <v>0</v>
      </c>
      <c r="AA18" s="36">
        <f t="shared" ca="1" si="11"/>
        <v>2</v>
      </c>
    </row>
    <row r="19" spans="1:27" ht="12.95" customHeight="1" x14ac:dyDescent="0.2">
      <c r="A19" s="137">
        <f ca="1">IF(ISBLANK('Tournament Info'!$B$11),"",INDIRECT(ADDRESS(ROW(),1,1,1,"Optimal Seating "&amp;'Tournament Info'!$B$11-1&amp;"R+F")))</f>
        <v>13</v>
      </c>
      <c r="B19" s="143">
        <f ca="1">IF(ISNUMBER(A19),VLOOKUP(A19,Methuselahs!$A$7:$E$206,2,0),"")</f>
        <v>0</v>
      </c>
      <c r="C19" s="241">
        <f ca="1">IF(ISNUMBER(A19),VLOOKUP(A19,Methuselahs!$A$7:$E$206,3,0),"")</f>
        <v>0</v>
      </c>
      <c r="D19" s="242">
        <f t="shared" ca="1" si="0"/>
        <v>3</v>
      </c>
      <c r="E19" s="243"/>
      <c r="F19" s="241">
        <f t="shared" si="1"/>
        <v>0</v>
      </c>
      <c r="G19" s="244">
        <f t="shared" ca="1" si="2"/>
        <v>0</v>
      </c>
      <c r="H19" s="245">
        <f ca="1">IF(ISNUMBER(A19),IF(OR($S19=$U19,NOT(ISNA(MATCH($D19*5+$V$4,Override!$C$6:$C$125,0)))),$Q19,0),"")</f>
        <v>24</v>
      </c>
      <c r="I19" s="242">
        <f t="shared" ca="1" si="3"/>
        <v>3</v>
      </c>
      <c r="J19" s="246">
        <f ca="1">COUNT(A17:A21)</f>
        <v>5</v>
      </c>
      <c r="K19" s="247">
        <f ca="1">IF(ISNUMBER(A19),RANK(F19,F17:F21),"")</f>
        <v>3</v>
      </c>
      <c r="L19" s="142">
        <f ca="1">IF(J19=5,VLOOKUP(K19,TPMatrix!$A$6:$B$10,2,0),IF(J19=4,VLOOKUP(K19,TPMatrix!$D$6:$E$9,2,0),0))</f>
        <v>36</v>
      </c>
      <c r="M19" s="142">
        <f ca="1">IF(COUNTIF(K17:K21,K19)&gt;=2,IF(J19=5,VLOOKUP(K19+1,TPMatrix!$A$6:$B$10,2,0),IF(J19=4,VLOOKUP(K19+1,TPMatrix!$D$6:$E$9,2,0),0)),"")</f>
        <v>24</v>
      </c>
      <c r="N19" s="142">
        <f ca="1">IF(COUNTIF(K17:K21,K19)&gt;=3,IF(J19=5,VLOOKUP(K19+2,TPMatrix!$A$6:$B$10,2,0),IF(J19=4,VLOOKUP(K19+2,TPMatrix!$D$6:$E$9,2,0),0)),"")</f>
        <v>12</v>
      </c>
      <c r="O19" s="142" t="str">
        <f ca="1">IF(COUNTIF(K17:K21,K19)&gt;=4,IF(J19=5,VLOOKUP(K19+3,TPMatrix!$A$6:$B$10,2,0),IF(J19=4,VLOOKUP(K19+3,TPMatrix!$D$6:$E$9,2,0),0)),"")</f>
        <v/>
      </c>
      <c r="P19" s="142" t="str">
        <f ca="1">IF(COUNTIF(K17:K21,K19)&gt;=5,IF(J19=5,VLOOKUP(K19+4,TPMatrix!$A$6:$B$10,2,0),IF(J19=4,VLOOKUP(K19+4,TPMatrix!$D$6:$E$9,2,0),0)),"")</f>
        <v/>
      </c>
      <c r="Q19" s="142">
        <f t="shared" ca="1" si="4"/>
        <v>24</v>
      </c>
      <c r="R19" s="248">
        <f t="shared" ca="1" si="5"/>
        <v>3</v>
      </c>
      <c r="S19" s="247">
        <f t="shared" ca="1" si="6"/>
        <v>5</v>
      </c>
      <c r="T19" s="142">
        <f t="shared" si="7"/>
        <v>0</v>
      </c>
      <c r="U19" s="248">
        <f t="shared" ca="1" si="8"/>
        <v>5</v>
      </c>
      <c r="W19" s="36">
        <f t="shared" ca="1" si="9"/>
        <v>3</v>
      </c>
      <c r="X19" s="36">
        <f ca="1">IF(ISNUMBER($A19),$W19*(Methuselahs!$A$4+1)+$A19,"")</f>
        <v>112</v>
      </c>
      <c r="Y19" s="36">
        <f t="shared" ca="1" si="10"/>
        <v>3</v>
      </c>
      <c r="Z19" s="36">
        <f ca="1">IF(ISNUMBER($A19),VLOOKUP($A19,Methuselahs!$A$7:$X$206,5),"")</f>
        <v>0</v>
      </c>
      <c r="AA19" s="36">
        <f t="shared" ca="1" si="11"/>
        <v>3</v>
      </c>
    </row>
    <row r="20" spans="1:27" ht="12.95" customHeight="1" x14ac:dyDescent="0.2">
      <c r="A20" s="249">
        <f ca="1">IF(ISBLANK('Tournament Info'!$B$11),"",INDIRECT(ADDRESS(ROW(),1,1,1,"Optimal Seating "&amp;'Tournament Info'!$B$11-1&amp;"R+F")))</f>
        <v>14</v>
      </c>
      <c r="B20" s="250">
        <f ca="1">IF(ISNUMBER(A20),VLOOKUP(A20,Methuselahs!$A$7:$E$206,2,0),"")</f>
        <v>0</v>
      </c>
      <c r="C20" s="251">
        <f ca="1">IF(ISNUMBER(A20),VLOOKUP(A20,Methuselahs!$A$7:$E$206,3,0),"")</f>
        <v>0</v>
      </c>
      <c r="D20" s="252">
        <f t="shared" ca="1" si="0"/>
        <v>3</v>
      </c>
      <c r="E20" s="253"/>
      <c r="F20" s="251">
        <f t="shared" si="1"/>
        <v>0</v>
      </c>
      <c r="G20" s="235">
        <f t="shared" ca="1" si="2"/>
        <v>0</v>
      </c>
      <c r="H20" s="236">
        <f ca="1">IF(ISNUMBER(A20),IF(OR($S20=$U20,NOT(ISNA(MATCH($D20*5+$V$4,Override!$C$6:$C$125,0)))),$Q20,0),"")</f>
        <v>24</v>
      </c>
      <c r="I20" s="252">
        <f t="shared" ca="1" si="3"/>
        <v>3</v>
      </c>
      <c r="J20" s="254">
        <f ca="1">COUNT(A17:A21)</f>
        <v>5</v>
      </c>
      <c r="K20" s="238">
        <f ca="1">IF(ISNUMBER(A20),RANK(F20,F17:F21),"")</f>
        <v>3</v>
      </c>
      <c r="L20" s="239">
        <f ca="1">IF(J20=5,VLOOKUP(K20,TPMatrix!$A$6:$B$10,2,0),IF(J20=4,VLOOKUP(K20,TPMatrix!$D$6:$E$9,2,0),0))</f>
        <v>36</v>
      </c>
      <c r="M20" s="239">
        <f ca="1">IF(COUNTIF(K17:K21,K20)&gt;=2,IF(J20=5,VLOOKUP(K20+1,TPMatrix!$A$6:$B$10,2,0),IF(J20=4,VLOOKUP(K20+1,TPMatrix!$D$6:$E$9,2,0),0)),"")</f>
        <v>24</v>
      </c>
      <c r="N20" s="239">
        <f ca="1">IF(COUNTIF(K17:K21,K20)&gt;=3,IF(J20=5,VLOOKUP(K20+2,TPMatrix!$A$6:$B$10,2,0),IF(J20=4,VLOOKUP(K20+2,TPMatrix!$D$6:$E$9,2,0),0)),"")</f>
        <v>12</v>
      </c>
      <c r="O20" s="239" t="str">
        <f ca="1">IF(COUNTIF(K17:K21,K20)&gt;=4,IF(J20=5,VLOOKUP(K20+3,TPMatrix!$A$6:$B$10,2,0),IF(J20=4,VLOOKUP(K20+3,TPMatrix!$D$6:$E$9,2,0),0)),"")</f>
        <v/>
      </c>
      <c r="P20" s="239" t="str">
        <f ca="1">IF(COUNTIF(K17:K21,K20)&gt;=5,IF(J20=5,VLOOKUP(K20+4,TPMatrix!$A$6:$B$10,2,0),IF(J20=4,VLOOKUP(K20+4,TPMatrix!$D$6:$E$9,2,0),0)),"")</f>
        <v/>
      </c>
      <c r="Q20" s="239">
        <f t="shared" ca="1" si="4"/>
        <v>24</v>
      </c>
      <c r="R20" s="240">
        <f t="shared" ca="1" si="5"/>
        <v>3</v>
      </c>
      <c r="S20" s="238">
        <f t="shared" ca="1" si="6"/>
        <v>5</v>
      </c>
      <c r="T20" s="239">
        <f t="shared" si="7"/>
        <v>0</v>
      </c>
      <c r="U20" s="240">
        <f t="shared" ca="1" si="8"/>
        <v>5</v>
      </c>
      <c r="W20" s="36">
        <f t="shared" ca="1" si="9"/>
        <v>3</v>
      </c>
      <c r="X20" s="36">
        <f ca="1">IF(ISNUMBER($A20),$W20*(Methuselahs!$A$4+1)+$A20,"")</f>
        <v>113</v>
      </c>
      <c r="Y20" s="36">
        <f t="shared" ca="1" si="10"/>
        <v>3</v>
      </c>
      <c r="Z20" s="36">
        <f ca="1">IF(ISNUMBER($A20),VLOOKUP($A20,Methuselahs!$A$7:$X$206,5),"")</f>
        <v>0</v>
      </c>
      <c r="AA20" s="36">
        <f t="shared" ca="1" si="11"/>
        <v>3</v>
      </c>
    </row>
    <row r="21" spans="1:27" ht="12.95" customHeight="1" x14ac:dyDescent="0.2">
      <c r="A21" s="255">
        <f ca="1">IF(ISBLANK('Tournament Info'!$B$11),"",INDIRECT(ADDRESS(ROW(),1,1,1,"Optimal Seating "&amp;'Tournament Info'!$B$11-1&amp;"R+F")))</f>
        <v>15</v>
      </c>
      <c r="B21" s="256">
        <f ca="1">IF(ISNUMBER(A21),VLOOKUP(A21,Methuselahs!$A$7:$E$206,2,0),"")</f>
        <v>0</v>
      </c>
      <c r="C21" s="257">
        <f ca="1">IF(ISNUMBER(A21),VLOOKUP(A21,Methuselahs!$A$7:$E$206,3,0),"")</f>
        <v>0</v>
      </c>
      <c r="D21" s="258">
        <f t="shared" ca="1" si="0"/>
        <v>3</v>
      </c>
      <c r="E21" s="259">
        <v>4</v>
      </c>
      <c r="F21" s="257">
        <f t="shared" si="1"/>
        <v>4</v>
      </c>
      <c r="G21" s="244">
        <f t="shared" ca="1" si="2"/>
        <v>1</v>
      </c>
      <c r="H21" s="245">
        <f ca="1">IF(ISNUMBER(A21),IF(OR($S21=$U21,NOT(ISNA(MATCH($D21*5+$V$4,Override!$C$6:$C$125,0)))),$Q21,0),"")</f>
        <v>60</v>
      </c>
      <c r="I21" s="258">
        <f t="shared" ca="1" si="3"/>
        <v>1</v>
      </c>
      <c r="J21" s="260">
        <f ca="1">COUNT(A17:A21)</f>
        <v>5</v>
      </c>
      <c r="K21" s="261">
        <f ca="1">IF(ISNUMBER(A21),RANK(F21,F17:F21),"")</f>
        <v>1</v>
      </c>
      <c r="L21" s="262">
        <f ca="1">IF(J21=5,VLOOKUP(K21,TPMatrix!$A$6:$B$10,2,0),IF(J21=4,VLOOKUP(K21,TPMatrix!$D$6:$E$9,2,0),0))</f>
        <v>60</v>
      </c>
      <c r="M21" s="262" t="str">
        <f ca="1">IF(COUNTIF(K17:K21,K21)&gt;=2,IF(J21=5,VLOOKUP(K21+1,TPMatrix!$A$6:$B$10,2,0),IF(J21=4,VLOOKUP(K21+1,TPMatrix!$D$6:$E$9,2,0),0)),"")</f>
        <v/>
      </c>
      <c r="N21" s="262" t="str">
        <f ca="1">IF(COUNTIF(K17:K21,K21)&gt;=3,IF(J21=5,VLOOKUP(K21+2,TPMatrix!$A$6:$B$10,2,0),IF(J21=4,VLOOKUP(K21+2,TPMatrix!$D$6:$E$9,2,0),0)),"")</f>
        <v/>
      </c>
      <c r="O21" s="262" t="str">
        <f ca="1">IF(COUNTIF(K17:K21,K21)&gt;=4,IF(J21=5,VLOOKUP(K21+3,TPMatrix!$A$6:$B$10,2,0),IF(J21=4,VLOOKUP(K21+3,TPMatrix!$D$6:$E$9,2,0),0)),"")</f>
        <v/>
      </c>
      <c r="P21" s="262" t="str">
        <f ca="1">IF(COUNTIF(K17:K21,K21)&gt;=5,IF(J21=5,VLOOKUP(K21+4,TPMatrix!$A$6:$B$10,2,0),IF(J21=4,VLOOKUP(K21+4,TPMatrix!$D$6:$E$9,2,0),0)),"")</f>
        <v/>
      </c>
      <c r="Q21" s="262">
        <f t="shared" ca="1" si="4"/>
        <v>60</v>
      </c>
      <c r="R21" s="263">
        <f t="shared" ca="1" si="5"/>
        <v>1</v>
      </c>
      <c r="S21" s="261">
        <f t="shared" ca="1" si="6"/>
        <v>5</v>
      </c>
      <c r="T21" s="262">
        <f t="shared" si="7"/>
        <v>4</v>
      </c>
      <c r="U21" s="263">
        <f t="shared" ca="1" si="8"/>
        <v>5</v>
      </c>
      <c r="W21" s="36">
        <f t="shared" ca="1" si="9"/>
        <v>1</v>
      </c>
      <c r="X21" s="36">
        <f ca="1">IF(ISNUMBER($A21),$W21*(Methuselahs!$A$4+1)+$A21,"")</f>
        <v>48</v>
      </c>
      <c r="Y21" s="36">
        <f t="shared" ca="1" si="10"/>
        <v>1</v>
      </c>
      <c r="Z21" s="36">
        <f ca="1">IF(ISNUMBER($A21),VLOOKUP($A21,Methuselahs!$A$7:$X$206,5),"")</f>
        <v>0</v>
      </c>
      <c r="AA21" s="36">
        <f t="shared" ca="1" si="11"/>
        <v>1</v>
      </c>
    </row>
    <row r="22" spans="1:27" ht="12.95" customHeight="1" x14ac:dyDescent="0.2">
      <c r="A22" s="219">
        <f ca="1">IF(ISBLANK('Tournament Info'!$B$11),"",INDIRECT(ADDRESS(ROW(),1,1,1,"Optimal Seating "&amp;'Tournament Info'!$B$11-1&amp;"R+F")))</f>
        <v>16</v>
      </c>
      <c r="B22" s="143">
        <f ca="1">IF(ISNUMBER(A22),VLOOKUP(A22,Methuselahs!$A$7:$E$206,2,0),"")</f>
        <v>0</v>
      </c>
      <c r="C22" s="220">
        <f ca="1">IF(ISNUMBER(A22),VLOOKUP(A22,Methuselahs!$A$7:$E$206,3,0),"")</f>
        <v>0</v>
      </c>
      <c r="D22" s="221">
        <f t="shared" ca="1" si="0"/>
        <v>4</v>
      </c>
      <c r="E22" s="222"/>
      <c r="F22" s="220">
        <f t="shared" si="1"/>
        <v>0</v>
      </c>
      <c r="G22" s="223">
        <f t="shared" ca="1" si="2"/>
        <v>0</v>
      </c>
      <c r="H22" s="224">
        <f ca="1">IF(ISNUMBER(A22),IF(OR($S22=$U22,NOT(ISNA(MATCH($D22*5+$V$4,Override!$C$6:$C$125,0)))),$Q22,0),"")</f>
        <v>18</v>
      </c>
      <c r="I22" s="221">
        <f t="shared" ca="1" si="3"/>
        <v>4</v>
      </c>
      <c r="J22" s="225">
        <f ca="1">COUNT(A22:A26)</f>
        <v>5</v>
      </c>
      <c r="K22" s="226">
        <f ca="1">IF(ISNUMBER(A22),RANK(F22,F22:F26),"")</f>
        <v>4</v>
      </c>
      <c r="L22" s="227">
        <f ca="1">IF(J22=5,VLOOKUP(K22,TPMatrix!$A$6:$B$10,2,0),IF(J22=4,VLOOKUP(K22,TPMatrix!$D$6:$E$9,2,0),0))</f>
        <v>24</v>
      </c>
      <c r="M22" s="227">
        <f ca="1">IF(COUNTIF(K22:K26,K22)&gt;=2,IF(J22=5,VLOOKUP(K22+1,TPMatrix!$A$6:$B$10,2,0),IF(J22=4,VLOOKUP(K22+1,TPMatrix!$D$6:$E$9,2,0),0)),"")</f>
        <v>12</v>
      </c>
      <c r="N22" s="227" t="str">
        <f ca="1">IF(COUNTIF(K22:K26,K22)&gt;=3,IF(J22=5,VLOOKUP(K22+2,TPMatrix!$A$6:$B$10,2,0),IF(J22=4,VLOOKUP(K22+2,TPMatrix!$D$6:$E$9,2,0),0)),"")</f>
        <v/>
      </c>
      <c r="O22" s="227" t="str">
        <f ca="1">IF(COUNTIF(K22:K26,K22)&gt;=4,IF(J22=5,VLOOKUP(K22+3,TPMatrix!$A$6:$B$10,2,0),IF(J22=4,VLOOKUP(K22+3,TPMatrix!$D$6:$E$9,2,0),0)),"")</f>
        <v/>
      </c>
      <c r="P22" s="227" t="str">
        <f ca="1">IF(COUNTIF(K22:K26,K22)&gt;=5,IF(J22=5,VLOOKUP(K22+4,TPMatrix!$A$6:$B$10,2,0),IF(J22=4,VLOOKUP(K22+4,TPMatrix!$D$6:$E$9,2,0),0)),"")</f>
        <v/>
      </c>
      <c r="Q22" s="227">
        <f t="shared" ca="1" si="4"/>
        <v>18</v>
      </c>
      <c r="R22" s="228">
        <f t="shared" ca="1" si="5"/>
        <v>2</v>
      </c>
      <c r="S22" s="229">
        <f t="shared" ca="1" si="6"/>
        <v>5</v>
      </c>
      <c r="T22" s="230">
        <f t="shared" si="7"/>
        <v>0</v>
      </c>
      <c r="U22" s="231">
        <f t="shared" ca="1" si="8"/>
        <v>5</v>
      </c>
      <c r="W22" s="36">
        <f t="shared" ca="1" si="9"/>
        <v>4</v>
      </c>
      <c r="X22" s="36">
        <f ca="1">IF(ISNUMBER($A22),$W22*(Methuselahs!$A$4+1)+$A22,"")</f>
        <v>148</v>
      </c>
      <c r="Y22" s="36">
        <f t="shared" ca="1" si="10"/>
        <v>4</v>
      </c>
      <c r="Z22" s="36">
        <f ca="1">IF(ISNUMBER($A22),VLOOKUP($A22,Methuselahs!$A$7:$X$206,5),"")</f>
        <v>1631978624</v>
      </c>
      <c r="AA22" s="36">
        <f t="shared" ca="1" si="11"/>
        <v>4</v>
      </c>
    </row>
    <row r="23" spans="1:27" ht="12.95" customHeight="1" x14ac:dyDescent="0.2">
      <c r="A23" s="111">
        <f ca="1">IF(ISBLANK('Tournament Info'!$B$11),"",INDIRECT(ADDRESS(ROW(),1,1,1,"Optimal Seating "&amp;'Tournament Info'!$B$11-1&amp;"R+F")))</f>
        <v>17</v>
      </c>
      <c r="B23" s="117">
        <f ca="1">IF(ISNUMBER(A23),VLOOKUP(A23,Methuselahs!$A$7:$E$206,2,0),"")</f>
        <v>0</v>
      </c>
      <c r="C23" s="232">
        <f ca="1">IF(ISNUMBER(A23),VLOOKUP(A23,Methuselahs!$A$7:$E$206,3,0),"")</f>
        <v>0</v>
      </c>
      <c r="D23" s="233">
        <f t="shared" ca="1" si="0"/>
        <v>4</v>
      </c>
      <c r="E23" s="234">
        <v>1</v>
      </c>
      <c r="F23" s="232">
        <f t="shared" si="1"/>
        <v>1</v>
      </c>
      <c r="G23" s="235">
        <f t="shared" ca="1" si="2"/>
        <v>0</v>
      </c>
      <c r="H23" s="236">
        <f ca="1">IF(ISNUMBER(A23),IF(OR($S23=$U23,NOT(ISNA(MATCH($D23*5+$V$4,Override!$C$6:$C$125,0)))),$Q23,0),"")</f>
        <v>42</v>
      </c>
      <c r="I23" s="233">
        <f t="shared" ca="1" si="3"/>
        <v>2</v>
      </c>
      <c r="J23" s="237">
        <f ca="1">COUNT(A22:A26)</f>
        <v>5</v>
      </c>
      <c r="K23" s="238">
        <f ca="1">IF(ISNUMBER(A23),RANK(F23,F22:F26),"")</f>
        <v>2</v>
      </c>
      <c r="L23" s="239">
        <f ca="1">IF(J23=5,VLOOKUP(K23,TPMatrix!$A$6:$B$10,2,0),IF(J23=4,VLOOKUP(K23,TPMatrix!$D$6:$E$9,2,0),0))</f>
        <v>48</v>
      </c>
      <c r="M23" s="239">
        <f ca="1">IF(COUNTIF(K22:K26,K23)&gt;=2,IF(J23=5,VLOOKUP(K23+1,TPMatrix!$A$6:$B$10,2,0),IF(J23=4,VLOOKUP(K23+1,TPMatrix!$D$6:$E$9,2,0),0)),"")</f>
        <v>36</v>
      </c>
      <c r="N23" s="239" t="str">
        <f ca="1">IF(COUNTIF(K22:K26,K23)&gt;=3,IF(J23=5,VLOOKUP(K23+2,TPMatrix!$A$6:$B$10,2,0),IF(J23=4,VLOOKUP(K23+2,TPMatrix!$D$6:$E$9,2,0),0)),"")</f>
        <v/>
      </c>
      <c r="O23" s="239" t="str">
        <f ca="1">IF(COUNTIF(K22:K26,K23)&gt;=4,IF(J23=5,VLOOKUP(K23+3,TPMatrix!$A$6:$B$10,2,0),IF(J23=4,VLOOKUP(K23+3,TPMatrix!$D$6:$E$9,2,0),0)),"")</f>
        <v/>
      </c>
      <c r="P23" s="239" t="str">
        <f ca="1">IF(COUNTIF(K22:K26,K23)&gt;=5,IF(J23=5,VLOOKUP(K23+4,TPMatrix!$A$6:$B$10,2,0),IF(J23=4,VLOOKUP(K23+4,TPMatrix!$D$6:$E$9,2,0),0)),"")</f>
        <v/>
      </c>
      <c r="Q23" s="239">
        <f t="shared" ca="1" si="4"/>
        <v>42</v>
      </c>
      <c r="R23" s="240">
        <f t="shared" ca="1" si="5"/>
        <v>2</v>
      </c>
      <c r="S23" s="238">
        <f t="shared" ca="1" si="6"/>
        <v>5</v>
      </c>
      <c r="T23" s="239">
        <f t="shared" si="7"/>
        <v>1</v>
      </c>
      <c r="U23" s="240">
        <f t="shared" ca="1" si="8"/>
        <v>5</v>
      </c>
      <c r="W23" s="36">
        <f t="shared" ca="1" si="9"/>
        <v>2</v>
      </c>
      <c r="X23" s="36">
        <f ca="1">IF(ISNUMBER($A23),$W23*(Methuselahs!$A$4+1)+$A23,"")</f>
        <v>83</v>
      </c>
      <c r="Y23" s="36">
        <f t="shared" ca="1" si="10"/>
        <v>2</v>
      </c>
      <c r="Z23" s="36">
        <f ca="1">IF(ISNUMBER($A23),VLOOKUP($A23,Methuselahs!$A$7:$X$206,5),"")</f>
        <v>1028087486</v>
      </c>
      <c r="AA23" s="36">
        <f t="shared" ca="1" si="11"/>
        <v>2</v>
      </c>
    </row>
    <row r="24" spans="1:27" ht="12.95" customHeight="1" x14ac:dyDescent="0.2">
      <c r="A24" s="137">
        <f ca="1">IF(ISBLANK('Tournament Info'!$B$11),"",INDIRECT(ADDRESS(ROW(),1,1,1,"Optimal Seating "&amp;'Tournament Info'!$B$11-1&amp;"R+F")))</f>
        <v>18</v>
      </c>
      <c r="B24" s="143">
        <f ca="1">IF(ISNUMBER(A24),VLOOKUP(A24,Methuselahs!$A$7:$E$206,2,0),"")</f>
        <v>0</v>
      </c>
      <c r="C24" s="241">
        <f ca="1">IF(ISNUMBER(A24),VLOOKUP(A24,Methuselahs!$A$7:$E$206,3,0),"")</f>
        <v>0</v>
      </c>
      <c r="D24" s="242">
        <f t="shared" ca="1" si="0"/>
        <v>4</v>
      </c>
      <c r="E24" s="243"/>
      <c r="F24" s="241">
        <f t="shared" si="1"/>
        <v>0</v>
      </c>
      <c r="G24" s="244">
        <f t="shared" ca="1" si="2"/>
        <v>0</v>
      </c>
      <c r="H24" s="245">
        <f ca="1">IF(ISNUMBER(A24),IF(OR($S24=$U24,NOT(ISNA(MATCH($D24*5+$V$4,Override!$C$6:$C$125,0)))),$Q24,0),"")</f>
        <v>18</v>
      </c>
      <c r="I24" s="242">
        <f t="shared" ca="1" si="3"/>
        <v>4</v>
      </c>
      <c r="J24" s="246">
        <f ca="1">COUNT(A22:A26)</f>
        <v>5</v>
      </c>
      <c r="K24" s="247">
        <f ca="1">IF(ISNUMBER(A24),RANK(F24,F22:F26),"")</f>
        <v>4</v>
      </c>
      <c r="L24" s="142">
        <f ca="1">IF(J24=5,VLOOKUP(K24,TPMatrix!$A$6:$B$10,2,0),IF(J24=4,VLOOKUP(K24,TPMatrix!$D$6:$E$9,2,0),0))</f>
        <v>24</v>
      </c>
      <c r="M24" s="142">
        <f ca="1">IF(COUNTIF(K22:K26,K24)&gt;=2,IF(J24=5,VLOOKUP(K24+1,TPMatrix!$A$6:$B$10,2,0),IF(J24=4,VLOOKUP(K24+1,TPMatrix!$D$6:$E$9,2,0),0)),"")</f>
        <v>12</v>
      </c>
      <c r="N24" s="142" t="str">
        <f ca="1">IF(COUNTIF(K22:K26,K24)&gt;=3,IF(J24=5,VLOOKUP(K24+2,TPMatrix!$A$6:$B$10,2,0),IF(J24=4,VLOOKUP(K24+2,TPMatrix!$D$6:$E$9,2,0),0)),"")</f>
        <v/>
      </c>
      <c r="O24" s="142" t="str">
        <f ca="1">IF(COUNTIF(K22:K26,K24)&gt;=4,IF(J24=5,VLOOKUP(K24+3,TPMatrix!$A$6:$B$10,2,0),IF(J24=4,VLOOKUP(K24+3,TPMatrix!$D$6:$E$9,2,0),0)),"")</f>
        <v/>
      </c>
      <c r="P24" s="142" t="str">
        <f ca="1">IF(COUNTIF(K22:K26,K24)&gt;=5,IF(J24=5,VLOOKUP(K24+4,TPMatrix!$A$6:$B$10,2,0),IF(J24=4,VLOOKUP(K24+4,TPMatrix!$D$6:$E$9,2,0),0)),"")</f>
        <v/>
      </c>
      <c r="Q24" s="142">
        <f t="shared" ca="1" si="4"/>
        <v>18</v>
      </c>
      <c r="R24" s="248">
        <f t="shared" ca="1" si="5"/>
        <v>2</v>
      </c>
      <c r="S24" s="247">
        <f t="shared" ca="1" si="6"/>
        <v>5</v>
      </c>
      <c r="T24" s="142">
        <f t="shared" si="7"/>
        <v>0</v>
      </c>
      <c r="U24" s="248">
        <f t="shared" ca="1" si="8"/>
        <v>5</v>
      </c>
      <c r="W24" s="36">
        <f t="shared" ca="1" si="9"/>
        <v>4</v>
      </c>
      <c r="X24" s="36">
        <f ca="1">IF(ISNUMBER($A24),$W24*(Methuselahs!$A$4+1)+$A24,"")</f>
        <v>150</v>
      </c>
      <c r="Y24" s="36">
        <f t="shared" ca="1" si="10"/>
        <v>5</v>
      </c>
      <c r="Z24" s="36">
        <f ca="1">IF(ISNUMBER($A24),VLOOKUP($A24,Methuselahs!$A$7:$X$206,5),"")</f>
        <v>1028087486</v>
      </c>
      <c r="AA24" s="36">
        <f t="shared" ca="1" si="11"/>
        <v>4</v>
      </c>
    </row>
    <row r="25" spans="1:27" ht="12.95" customHeight="1" x14ac:dyDescent="0.2">
      <c r="A25" s="249">
        <f ca="1">IF(ISBLANK('Tournament Info'!$B$11),"",INDIRECT(ADDRESS(ROW(),1,1,1,"Optimal Seating "&amp;'Tournament Info'!$B$11-1&amp;"R+F")))</f>
        <v>19</v>
      </c>
      <c r="B25" s="250">
        <f ca="1">IF(ISNUMBER(A25),VLOOKUP(A25,Methuselahs!$A$7:$E$206,2,0),"")</f>
        <v>0</v>
      </c>
      <c r="C25" s="251">
        <f ca="1">IF(ISNUMBER(A25),VLOOKUP(A25,Methuselahs!$A$7:$E$206,3,0),"")</f>
        <v>0</v>
      </c>
      <c r="D25" s="252">
        <f t="shared" ca="1" si="0"/>
        <v>4</v>
      </c>
      <c r="E25" s="253">
        <v>3</v>
      </c>
      <c r="F25" s="251">
        <f t="shared" si="1"/>
        <v>3</v>
      </c>
      <c r="G25" s="235">
        <f t="shared" ca="1" si="2"/>
        <v>1</v>
      </c>
      <c r="H25" s="236">
        <f ca="1">IF(ISNUMBER(A25),IF(OR($S25=$U25,NOT(ISNA(MATCH($D25*5+$V$4,Override!$C$6:$C$125,0)))),$Q25,0),"")</f>
        <v>60</v>
      </c>
      <c r="I25" s="252">
        <f t="shared" ca="1" si="3"/>
        <v>1</v>
      </c>
      <c r="J25" s="254">
        <f ca="1">COUNT(A22:A26)</f>
        <v>5</v>
      </c>
      <c r="K25" s="238">
        <f ca="1">IF(ISNUMBER(A25),RANK(F25,F22:F26),"")</f>
        <v>1</v>
      </c>
      <c r="L25" s="239">
        <f ca="1">IF(J25=5,VLOOKUP(K25,TPMatrix!$A$6:$B$10,2,0),IF(J25=4,VLOOKUP(K25,TPMatrix!$D$6:$E$9,2,0),0))</f>
        <v>60</v>
      </c>
      <c r="M25" s="239" t="str">
        <f ca="1">IF(COUNTIF(K22:K26,K25)&gt;=2,IF(J25=5,VLOOKUP(K25+1,TPMatrix!$A$6:$B$10,2,0),IF(J25=4,VLOOKUP(K25+1,TPMatrix!$D$6:$E$9,2,0),0)),"")</f>
        <v/>
      </c>
      <c r="N25" s="239" t="str">
        <f ca="1">IF(COUNTIF(K22:K26,K25)&gt;=3,IF(J25=5,VLOOKUP(K25+2,TPMatrix!$A$6:$B$10,2,0),IF(J25=4,VLOOKUP(K25+2,TPMatrix!$D$6:$E$9,2,0),0)),"")</f>
        <v/>
      </c>
      <c r="O25" s="239" t="str">
        <f ca="1">IF(COUNTIF(K22:K26,K25)&gt;=4,IF(J25=5,VLOOKUP(K25+3,TPMatrix!$A$6:$B$10,2,0),IF(J25=4,VLOOKUP(K25+3,TPMatrix!$D$6:$E$9,2,0),0)),"")</f>
        <v/>
      </c>
      <c r="P25" s="239" t="str">
        <f ca="1">IF(COUNTIF(K22:K26,K25)&gt;=5,IF(J25=5,VLOOKUP(K25+4,TPMatrix!$A$6:$B$10,2,0),IF(J25=4,VLOOKUP(K25+4,TPMatrix!$D$6:$E$9,2,0),0)),"")</f>
        <v/>
      </c>
      <c r="Q25" s="239">
        <f t="shared" ca="1" si="4"/>
        <v>60</v>
      </c>
      <c r="R25" s="240">
        <f t="shared" ca="1" si="5"/>
        <v>1</v>
      </c>
      <c r="S25" s="238">
        <f t="shared" ca="1" si="6"/>
        <v>5</v>
      </c>
      <c r="T25" s="239">
        <f t="shared" si="7"/>
        <v>3</v>
      </c>
      <c r="U25" s="240">
        <f t="shared" ca="1" si="8"/>
        <v>5</v>
      </c>
      <c r="W25" s="36">
        <f t="shared" ca="1" si="9"/>
        <v>1</v>
      </c>
      <c r="X25" s="36">
        <f ca="1">IF(ISNUMBER($A25),$W25*(Methuselahs!$A$4+1)+$A25,"")</f>
        <v>52</v>
      </c>
      <c r="Y25" s="36">
        <f t="shared" ca="1" si="10"/>
        <v>1</v>
      </c>
      <c r="Z25" s="36">
        <f ca="1">IF(ISNUMBER($A25),VLOOKUP($A25,Methuselahs!$A$7:$X$206,5),"")</f>
        <v>1028087486</v>
      </c>
      <c r="AA25" s="36">
        <f t="shared" ca="1" si="11"/>
        <v>1</v>
      </c>
    </row>
    <row r="26" spans="1:27" ht="12.95" customHeight="1" x14ac:dyDescent="0.2">
      <c r="A26" s="255">
        <f ca="1">IF(ISBLANK('Tournament Info'!$B$11),"",INDIRECT(ADDRESS(ROW(),1,1,1,"Optimal Seating "&amp;'Tournament Info'!$B$11-1&amp;"R+F")))</f>
        <v>20</v>
      </c>
      <c r="B26" s="256">
        <f ca="1">IF(ISNUMBER(A26),VLOOKUP(A26,Methuselahs!$A$7:$E$206,2,0),"")</f>
        <v>0</v>
      </c>
      <c r="C26" s="257">
        <f ca="1">IF(ISNUMBER(A26),VLOOKUP(A26,Methuselahs!$A$7:$E$206,3,0),"")</f>
        <v>0</v>
      </c>
      <c r="D26" s="258">
        <f t="shared" ca="1" si="0"/>
        <v>4</v>
      </c>
      <c r="E26" s="259">
        <v>1</v>
      </c>
      <c r="F26" s="257">
        <f t="shared" si="1"/>
        <v>1</v>
      </c>
      <c r="G26" s="244">
        <f t="shared" ca="1" si="2"/>
        <v>0</v>
      </c>
      <c r="H26" s="245">
        <f ca="1">IF(ISNUMBER(A26),IF(OR($S26=$U26,NOT(ISNA(MATCH($D26*5+$V$4,Override!$C$6:$C$125,0)))),$Q26,0),"")</f>
        <v>42</v>
      </c>
      <c r="I26" s="258">
        <f t="shared" ca="1" si="3"/>
        <v>2</v>
      </c>
      <c r="J26" s="260">
        <f ca="1">COUNT(A22:A26)</f>
        <v>5</v>
      </c>
      <c r="K26" s="261">
        <f ca="1">IF(ISNUMBER(A26),RANK(F26,F22:F26),"")</f>
        <v>2</v>
      </c>
      <c r="L26" s="262">
        <f ca="1">IF(J26=5,VLOOKUP(K26,TPMatrix!$A$6:$B$10,2,0),IF(J26=4,VLOOKUP(K26,TPMatrix!$D$6:$E$9,2,0),0))</f>
        <v>48</v>
      </c>
      <c r="M26" s="262">
        <f ca="1">IF(COUNTIF(K22:K26,K26)&gt;=2,IF(J26=5,VLOOKUP(K26+1,TPMatrix!$A$6:$B$10,2,0),IF(J26=4,VLOOKUP(K26+1,TPMatrix!$D$6:$E$9,2,0),0)),"")</f>
        <v>36</v>
      </c>
      <c r="N26" s="262" t="str">
        <f ca="1">IF(COUNTIF(K22:K26,K26)&gt;=3,IF(J26=5,VLOOKUP(K26+2,TPMatrix!$A$6:$B$10,2,0),IF(J26=4,VLOOKUP(K26+2,TPMatrix!$D$6:$E$9,2,0),0)),"")</f>
        <v/>
      </c>
      <c r="O26" s="262" t="str">
        <f ca="1">IF(COUNTIF(K22:K26,K26)&gt;=4,IF(J26=5,VLOOKUP(K26+3,TPMatrix!$A$6:$B$10,2,0),IF(J26=4,VLOOKUP(K26+3,TPMatrix!$D$6:$E$9,2,0),0)),"")</f>
        <v/>
      </c>
      <c r="P26" s="262" t="str">
        <f ca="1">IF(COUNTIF(K22:K26,K26)&gt;=5,IF(J26=5,VLOOKUP(K26+4,TPMatrix!$A$6:$B$10,2,0),IF(J26=4,VLOOKUP(K26+4,TPMatrix!$D$6:$E$9,2,0),0)),"")</f>
        <v/>
      </c>
      <c r="Q26" s="262">
        <f t="shared" ca="1" si="4"/>
        <v>42</v>
      </c>
      <c r="R26" s="263">
        <f t="shared" ca="1" si="5"/>
        <v>2</v>
      </c>
      <c r="S26" s="261">
        <f t="shared" ca="1" si="6"/>
        <v>5</v>
      </c>
      <c r="T26" s="262">
        <f t="shared" si="7"/>
        <v>1</v>
      </c>
      <c r="U26" s="263">
        <f t="shared" ca="1" si="8"/>
        <v>5</v>
      </c>
      <c r="W26" s="36">
        <f t="shared" ca="1" si="9"/>
        <v>2</v>
      </c>
      <c r="X26" s="36">
        <f ca="1">IF(ISNUMBER($A26),$W26*(Methuselahs!$A$4+1)+$A26,"")</f>
        <v>86</v>
      </c>
      <c r="Y26" s="36">
        <f t="shared" ca="1" si="10"/>
        <v>2</v>
      </c>
      <c r="Z26" s="36">
        <f ca="1">IF(ISNUMBER($A26),VLOOKUP($A26,Methuselahs!$A$7:$X$206,5),"")</f>
        <v>1028087486</v>
      </c>
      <c r="AA26" s="36">
        <f t="shared" ca="1" si="11"/>
        <v>2</v>
      </c>
    </row>
    <row r="27" spans="1:27" ht="12.95" customHeight="1" x14ac:dyDescent="0.2">
      <c r="A27" s="219">
        <f ca="1">IF(ISBLANK('Tournament Info'!$B$11),"",INDIRECT(ADDRESS(ROW(),1,1,1,"Optimal Seating "&amp;'Tournament Info'!$B$11-1&amp;"R+F")))</f>
        <v>21</v>
      </c>
      <c r="B27" s="143">
        <f ca="1">IF(ISNUMBER(A27),VLOOKUP(A27,Methuselahs!$A$7:$E$206,2,0),"")</f>
        <v>0</v>
      </c>
      <c r="C27" s="220">
        <f ca="1">IF(ISNUMBER(A27),VLOOKUP(A27,Methuselahs!$A$7:$E$206,3,0),"")</f>
        <v>0</v>
      </c>
      <c r="D27" s="221">
        <f t="shared" ca="1" si="0"/>
        <v>5</v>
      </c>
      <c r="E27" s="222"/>
      <c r="F27" s="220">
        <f t="shared" si="1"/>
        <v>0</v>
      </c>
      <c r="G27" s="223">
        <f t="shared" ca="1" si="2"/>
        <v>0</v>
      </c>
      <c r="H27" s="224">
        <f ca="1">IF(ISNUMBER(A27),IF(OR($S27=$U27,NOT(ISNA(MATCH($D27*5+$V$4,Override!$C$6:$C$125,0)))),$Q27,0),"")</f>
        <v>28</v>
      </c>
      <c r="I27" s="221">
        <f t="shared" ca="1" si="3"/>
        <v>2</v>
      </c>
      <c r="J27" s="225">
        <f ca="1">COUNT(A27:A31)</f>
        <v>4</v>
      </c>
      <c r="K27" s="226">
        <f ca="1">IF(ISNUMBER(A27),RANK(F27,F27:F31),"")</f>
        <v>2</v>
      </c>
      <c r="L27" s="227">
        <f ca="1">IF(J27=5,VLOOKUP(K27,TPMatrix!$A$6:$B$10,2,0),IF(J27=4,VLOOKUP(K27,TPMatrix!$D$6:$E$9,2,0),0))</f>
        <v>48</v>
      </c>
      <c r="M27" s="227">
        <f ca="1">IF(COUNTIF(K27:K31,K27)&gt;=2,IF(J27=5,VLOOKUP(K27+1,TPMatrix!$A$6:$B$10,2,0),IF(J27=4,VLOOKUP(K27+1,TPMatrix!$D$6:$E$9,2,0),0)),"")</f>
        <v>24</v>
      </c>
      <c r="N27" s="227">
        <f ca="1">IF(COUNTIF(K27:K31,K27)&gt;=3,IF(J27=5,VLOOKUP(K27+2,TPMatrix!$A$6:$B$10,2,0),IF(J27=4,VLOOKUP(K27+2,TPMatrix!$D$6:$E$9,2,0),0)),"")</f>
        <v>12</v>
      </c>
      <c r="O27" s="227" t="str">
        <f ca="1">IF(COUNTIF(K27:K31,K27)&gt;=4,IF(J27=5,VLOOKUP(K27+3,TPMatrix!$A$6:$B$10,2,0),IF(J27=4,VLOOKUP(K27+3,TPMatrix!$D$6:$E$9,2,0),0)),"")</f>
        <v/>
      </c>
      <c r="P27" s="227" t="str">
        <f ca="1">IF(COUNTIF(K27:K31,K27)&gt;=5,IF(J27=5,VLOOKUP(K27+4,TPMatrix!$A$6:$B$10,2,0),IF(J27=4,VLOOKUP(K27+4,TPMatrix!$D$6:$E$9,2,0),0)),"")</f>
        <v/>
      </c>
      <c r="Q27" s="227">
        <f t="shared" ca="1" si="4"/>
        <v>28</v>
      </c>
      <c r="R27" s="228">
        <f t="shared" ca="1" si="5"/>
        <v>3</v>
      </c>
      <c r="S27" s="229">
        <f t="shared" ca="1" si="6"/>
        <v>4</v>
      </c>
      <c r="T27" s="230">
        <f t="shared" si="7"/>
        <v>0</v>
      </c>
      <c r="U27" s="231">
        <f t="shared" ca="1" si="8"/>
        <v>4</v>
      </c>
      <c r="W27" s="36">
        <f t="shared" ca="1" si="9"/>
        <v>2</v>
      </c>
      <c r="X27" s="36">
        <f ca="1">IF(ISNUMBER($A27),$W27*(Methuselahs!$A$4+1)+$A27,"")</f>
        <v>87</v>
      </c>
      <c r="Y27" s="36">
        <f t="shared" ca="1" si="10"/>
        <v>2</v>
      </c>
      <c r="Z27" s="36">
        <f ca="1">IF(ISNUMBER($A27),VLOOKUP($A27,Methuselahs!$A$7:$X$206,5),"")</f>
        <v>9370279301</v>
      </c>
      <c r="AA27" s="36">
        <f t="shared" ca="1" si="11"/>
        <v>2</v>
      </c>
    </row>
    <row r="28" spans="1:27" ht="12.95" customHeight="1" x14ac:dyDescent="0.2">
      <c r="A28" s="111">
        <f ca="1">IF(ISBLANK('Tournament Info'!$B$11),"",INDIRECT(ADDRESS(ROW(),1,1,1,"Optimal Seating "&amp;'Tournament Info'!$B$11-1&amp;"R+F")))</f>
        <v>22</v>
      </c>
      <c r="B28" s="117">
        <f ca="1">IF(ISNUMBER(A28),VLOOKUP(A28,Methuselahs!$A$7:$E$206,2,0),"")</f>
        <v>0</v>
      </c>
      <c r="C28" s="232">
        <f ca="1">IF(ISNUMBER(A28),VLOOKUP(A28,Methuselahs!$A$7:$E$206,3,0),"")</f>
        <v>0</v>
      </c>
      <c r="D28" s="233">
        <f t="shared" ca="1" si="0"/>
        <v>5</v>
      </c>
      <c r="E28" s="234"/>
      <c r="F28" s="232">
        <f t="shared" si="1"/>
        <v>0</v>
      </c>
      <c r="G28" s="235">
        <f t="shared" ca="1" si="2"/>
        <v>0</v>
      </c>
      <c r="H28" s="236">
        <f ca="1">IF(ISNUMBER(A28),IF(OR($S28=$U28,NOT(ISNA(MATCH($D28*5+$V$4,Override!$C$6:$C$125,0)))),$Q28,0),"")</f>
        <v>28</v>
      </c>
      <c r="I28" s="233">
        <f t="shared" ca="1" si="3"/>
        <v>2</v>
      </c>
      <c r="J28" s="237">
        <f ca="1">COUNT(A27:A31)</f>
        <v>4</v>
      </c>
      <c r="K28" s="238">
        <f ca="1">IF(ISNUMBER(A28),RANK(F28,F27:F31),"")</f>
        <v>2</v>
      </c>
      <c r="L28" s="239">
        <f ca="1">IF(J28=5,VLOOKUP(K28,TPMatrix!$A$6:$B$10,2,0),IF(J28=4,VLOOKUP(K28,TPMatrix!$D$6:$E$9,2,0),0))</f>
        <v>48</v>
      </c>
      <c r="M28" s="239">
        <f ca="1">IF(COUNTIF(K27:K31,K28)&gt;=2,IF(J28=5,VLOOKUP(K28+1,TPMatrix!$A$6:$B$10,2,0),IF(J28=4,VLOOKUP(K28+1,TPMatrix!$D$6:$E$9,2,0),0)),"")</f>
        <v>24</v>
      </c>
      <c r="N28" s="239">
        <f ca="1">IF(COUNTIF(K27:K31,K28)&gt;=3,IF(J28=5,VLOOKUP(K28+2,TPMatrix!$A$6:$B$10,2,0),IF(J28=4,VLOOKUP(K28+2,TPMatrix!$D$6:$E$9,2,0),0)),"")</f>
        <v>12</v>
      </c>
      <c r="O28" s="239" t="str">
        <f ca="1">IF(COUNTIF(K27:K31,K28)&gt;=4,IF(J28=5,VLOOKUP(K28+3,TPMatrix!$A$6:$B$10,2,0),IF(J28=4,VLOOKUP(K28+3,TPMatrix!$D$6:$E$9,2,0),0)),"")</f>
        <v/>
      </c>
      <c r="P28" s="239" t="str">
        <f ca="1">IF(COUNTIF(K27:K31,K28)&gt;=5,IF(J28=5,VLOOKUP(K28+4,TPMatrix!$A$6:$B$10,2,0),IF(J28=4,VLOOKUP(K28+4,TPMatrix!$D$6:$E$9,2,0),0)),"")</f>
        <v/>
      </c>
      <c r="Q28" s="239">
        <f t="shared" ca="1" si="4"/>
        <v>28</v>
      </c>
      <c r="R28" s="240">
        <f t="shared" ca="1" si="5"/>
        <v>3</v>
      </c>
      <c r="S28" s="238">
        <f t="shared" ca="1" si="6"/>
        <v>4</v>
      </c>
      <c r="T28" s="239">
        <f t="shared" si="7"/>
        <v>0</v>
      </c>
      <c r="U28" s="240">
        <f t="shared" ca="1" si="8"/>
        <v>4</v>
      </c>
      <c r="W28" s="36">
        <f t="shared" ca="1" si="9"/>
        <v>2</v>
      </c>
      <c r="X28" s="36">
        <f ca="1">IF(ISNUMBER($A28),$W28*(Methuselahs!$A$4+1)+$A28,"")</f>
        <v>88</v>
      </c>
      <c r="Y28" s="36">
        <f t="shared" ca="1" si="10"/>
        <v>2</v>
      </c>
      <c r="Z28" s="36">
        <f ca="1">IF(ISNUMBER($A28),VLOOKUP($A28,Methuselahs!$A$7:$X$206,5),"")</f>
        <v>9370279301</v>
      </c>
      <c r="AA28" s="36">
        <f t="shared" ca="1" si="11"/>
        <v>2</v>
      </c>
    </row>
    <row r="29" spans="1:27" ht="12.95" customHeight="1" x14ac:dyDescent="0.2">
      <c r="A29" s="137">
        <f ca="1">IF(ISBLANK('Tournament Info'!$B$11),"",INDIRECT(ADDRESS(ROW(),1,1,1,"Optimal Seating "&amp;'Tournament Info'!$B$11-1&amp;"R+F")))</f>
        <v>23</v>
      </c>
      <c r="B29" s="143">
        <f ca="1">IF(ISNUMBER(A29),VLOOKUP(A29,Methuselahs!$A$7:$E$206,2,0),"")</f>
        <v>0</v>
      </c>
      <c r="C29" s="241">
        <f ca="1">IF(ISNUMBER(A29),VLOOKUP(A29,Methuselahs!$A$7:$E$206,3,0),"")</f>
        <v>0</v>
      </c>
      <c r="D29" s="242">
        <f t="shared" ca="1" si="0"/>
        <v>5</v>
      </c>
      <c r="E29" s="243"/>
      <c r="F29" s="241">
        <f t="shared" si="1"/>
        <v>0</v>
      </c>
      <c r="G29" s="244">
        <f t="shared" ca="1" si="2"/>
        <v>0</v>
      </c>
      <c r="H29" s="245">
        <f ca="1">IF(ISNUMBER(A29),IF(OR($S29=$U29,NOT(ISNA(MATCH($D29*5+$V$4,Override!$C$6:$C$125,0)))),$Q29,0),"")</f>
        <v>28</v>
      </c>
      <c r="I29" s="242">
        <f t="shared" ca="1" si="3"/>
        <v>2</v>
      </c>
      <c r="J29" s="246">
        <f ca="1">COUNT(A27:A31)</f>
        <v>4</v>
      </c>
      <c r="K29" s="247">
        <f ca="1">IF(ISNUMBER(A29),RANK(F29,F27:F31),"")</f>
        <v>2</v>
      </c>
      <c r="L29" s="142">
        <f ca="1">IF(J29=5,VLOOKUP(K29,TPMatrix!$A$6:$B$10,2,0),IF(J29=4,VLOOKUP(K29,TPMatrix!$D$6:$E$9,2,0),0))</f>
        <v>48</v>
      </c>
      <c r="M29" s="142">
        <f ca="1">IF(COUNTIF(K27:K31,K29)&gt;=2,IF(J29=5,VLOOKUP(K29+1,TPMatrix!$A$6:$B$10,2,0),IF(J29=4,VLOOKUP(K29+1,TPMatrix!$D$6:$E$9,2,0),0)),"")</f>
        <v>24</v>
      </c>
      <c r="N29" s="142">
        <f ca="1">IF(COUNTIF(K27:K31,K29)&gt;=3,IF(J29=5,VLOOKUP(K29+2,TPMatrix!$A$6:$B$10,2,0),IF(J29=4,VLOOKUP(K29+2,TPMatrix!$D$6:$E$9,2,0),0)),"")</f>
        <v>12</v>
      </c>
      <c r="O29" s="142" t="str">
        <f ca="1">IF(COUNTIF(K27:K31,K29)&gt;=4,IF(J29=5,VLOOKUP(K29+3,TPMatrix!$A$6:$B$10,2,0),IF(J29=4,VLOOKUP(K29+3,TPMatrix!$D$6:$E$9,2,0),0)),"")</f>
        <v/>
      </c>
      <c r="P29" s="142" t="str">
        <f ca="1">IF(COUNTIF(K27:K31,K29)&gt;=5,IF(J29=5,VLOOKUP(K29+4,TPMatrix!$A$6:$B$10,2,0),IF(J29=4,VLOOKUP(K29+4,TPMatrix!$D$6:$E$9,2,0),0)),"")</f>
        <v/>
      </c>
      <c r="Q29" s="142">
        <f t="shared" ca="1" si="4"/>
        <v>28</v>
      </c>
      <c r="R29" s="248">
        <f t="shared" ca="1" si="5"/>
        <v>3</v>
      </c>
      <c r="S29" s="247">
        <f t="shared" ca="1" si="6"/>
        <v>4</v>
      </c>
      <c r="T29" s="142">
        <f t="shared" si="7"/>
        <v>0</v>
      </c>
      <c r="U29" s="248">
        <f t="shared" ca="1" si="8"/>
        <v>4</v>
      </c>
      <c r="W29" s="36">
        <f t="shared" ca="1" si="9"/>
        <v>2</v>
      </c>
      <c r="X29" s="36">
        <f ca="1">IF(ISNUMBER($A29),$W29*(Methuselahs!$A$4+1)+$A29,"")</f>
        <v>89</v>
      </c>
      <c r="Y29" s="36">
        <f t="shared" ca="1" si="10"/>
        <v>2</v>
      </c>
      <c r="Z29" s="36">
        <f ca="1">IF(ISNUMBER($A29),VLOOKUP($A29,Methuselahs!$A$7:$X$206,5),"")</f>
        <v>9370279301</v>
      </c>
      <c r="AA29" s="36">
        <f t="shared" ca="1" si="11"/>
        <v>2</v>
      </c>
    </row>
    <row r="30" spans="1:27" ht="12.95" customHeight="1" x14ac:dyDescent="0.2">
      <c r="A30" s="249">
        <f ca="1">IF(ISBLANK('Tournament Info'!$B$11),"",INDIRECT(ADDRESS(ROW(),1,1,1,"Optimal Seating "&amp;'Tournament Info'!$B$11-1&amp;"R+F")))</f>
        <v>24</v>
      </c>
      <c r="B30" s="250">
        <f ca="1">IF(ISNUMBER(A30),VLOOKUP(A30,Methuselahs!$A$7:$E$206,2,0),"")</f>
        <v>0</v>
      </c>
      <c r="C30" s="251">
        <f ca="1">IF(ISNUMBER(A30),VLOOKUP(A30,Methuselahs!$A$7:$E$206,3,0),"")</f>
        <v>0</v>
      </c>
      <c r="D30" s="252">
        <f t="shared" ca="1" si="0"/>
        <v>5</v>
      </c>
      <c r="E30" s="253">
        <v>4</v>
      </c>
      <c r="F30" s="251">
        <f t="shared" si="1"/>
        <v>4</v>
      </c>
      <c r="G30" s="235">
        <f t="shared" ca="1" si="2"/>
        <v>1</v>
      </c>
      <c r="H30" s="236">
        <f ca="1">IF(ISNUMBER(A30),IF(OR($S30=$U30,NOT(ISNA(MATCH($D30*5+$V$4,Override!$C$6:$C$125,0)))),$Q30,0),"")</f>
        <v>60</v>
      </c>
      <c r="I30" s="252">
        <f t="shared" ca="1" si="3"/>
        <v>1</v>
      </c>
      <c r="J30" s="254">
        <f ca="1">COUNT(A27:A31)</f>
        <v>4</v>
      </c>
      <c r="K30" s="238">
        <f ca="1">IF(ISNUMBER(A30),RANK(F30,F27:F31),"")</f>
        <v>1</v>
      </c>
      <c r="L30" s="239">
        <f ca="1">IF(J30=5,VLOOKUP(K30,TPMatrix!$A$6:$B$10,2,0),IF(J30=4,VLOOKUP(K30,TPMatrix!$D$6:$E$9,2,0),0))</f>
        <v>60</v>
      </c>
      <c r="M30" s="239" t="str">
        <f ca="1">IF(COUNTIF(K27:K31,K30)&gt;=2,IF(J30=5,VLOOKUP(K30+1,TPMatrix!$A$6:$B$10,2,0),IF(J30=4,VLOOKUP(K30+1,TPMatrix!$D$6:$E$9,2,0),0)),"")</f>
        <v/>
      </c>
      <c r="N30" s="239" t="str">
        <f ca="1">IF(COUNTIF(K27:K31,K30)&gt;=3,IF(J30=5,VLOOKUP(K30+2,TPMatrix!$A$6:$B$10,2,0),IF(J30=4,VLOOKUP(K30+2,TPMatrix!$D$6:$E$9,2,0),0)),"")</f>
        <v/>
      </c>
      <c r="O30" s="239" t="str">
        <f ca="1">IF(COUNTIF(K27:K31,K30)&gt;=4,IF(J30=5,VLOOKUP(K30+3,TPMatrix!$A$6:$B$10,2,0),IF(J30=4,VLOOKUP(K30+3,TPMatrix!$D$6:$E$9,2,0),0)),"")</f>
        <v/>
      </c>
      <c r="P30" s="239" t="str">
        <f ca="1">IF(COUNTIF(K27:K31,K30)&gt;=5,IF(J30=5,VLOOKUP(K30+4,TPMatrix!$A$6:$B$10,2,0),IF(J30=4,VLOOKUP(K30+4,TPMatrix!$D$6:$E$9,2,0),0)),"")</f>
        <v/>
      </c>
      <c r="Q30" s="239">
        <f t="shared" ca="1" si="4"/>
        <v>60</v>
      </c>
      <c r="R30" s="240">
        <f t="shared" ca="1" si="5"/>
        <v>1</v>
      </c>
      <c r="S30" s="238">
        <f t="shared" ca="1" si="6"/>
        <v>4</v>
      </c>
      <c r="T30" s="239">
        <f t="shared" si="7"/>
        <v>4</v>
      </c>
      <c r="U30" s="240">
        <f t="shared" ca="1" si="8"/>
        <v>4</v>
      </c>
      <c r="W30" s="36">
        <f t="shared" ca="1" si="9"/>
        <v>1</v>
      </c>
      <c r="X30" s="36">
        <f ca="1">IF(ISNUMBER($A30),$W30*(Methuselahs!$A$4+1)+$A30,"")</f>
        <v>57</v>
      </c>
      <c r="Y30" s="36">
        <f t="shared" ca="1" si="10"/>
        <v>1</v>
      </c>
      <c r="Z30" s="36">
        <f ca="1">IF(ISNUMBER($A30),VLOOKUP($A30,Methuselahs!$A$7:$X$206,5),"")</f>
        <v>9370279301</v>
      </c>
      <c r="AA30" s="36">
        <f t="shared" ca="1" si="11"/>
        <v>1</v>
      </c>
    </row>
    <row r="31" spans="1:27" ht="12.95" customHeight="1" x14ac:dyDescent="0.2">
      <c r="A31" s="255" t="str">
        <f ca="1">IF(ISBLANK('Tournament Info'!$B$11),"",INDIRECT(ADDRESS(ROW(),1,1,1,"Optimal Seating "&amp;'Tournament Info'!$B$11-1&amp;"R+F")))</f>
        <v/>
      </c>
      <c r="B31" s="256" t="str">
        <f ca="1">IF(ISNUMBER(A31),VLOOKUP(A31,Methuselahs!$A$7:$E$206,2,0),"")</f>
        <v/>
      </c>
      <c r="C31" s="257" t="str">
        <f ca="1">IF(ISNUMBER(A31),VLOOKUP(A31,Methuselahs!$A$7:$E$206,3,0),"")</f>
        <v/>
      </c>
      <c r="D31" s="258" t="str">
        <f t="shared" ca="1" si="0"/>
        <v/>
      </c>
      <c r="E31" s="259"/>
      <c r="F31" s="257">
        <f t="shared" si="1"/>
        <v>0</v>
      </c>
      <c r="G31" s="244" t="str">
        <f t="shared" ca="1" si="2"/>
        <v/>
      </c>
      <c r="H31" s="245" t="str">
        <f ca="1">IF(ISNUMBER(A31),IF(OR($S31=$U31,NOT(ISNA(MATCH($D31*5+$V$4,Override!$C$6:$C$125,0)))),$Q31,0),"")</f>
        <v/>
      </c>
      <c r="I31" s="258" t="str">
        <f t="shared" ca="1" si="3"/>
        <v/>
      </c>
      <c r="J31" s="260">
        <f ca="1">COUNT(A27:A31)</f>
        <v>4</v>
      </c>
      <c r="K31" s="261" t="str">
        <f ca="1">IF(ISNUMBER(A31),RANK(F31,F27:F31),"")</f>
        <v/>
      </c>
      <c r="L31" s="262" t="e">
        <f ca="1">IF(J31=5,VLOOKUP(K31,TPMatrix!$A$6:$B$10,2,0),IF(J31=4,VLOOKUP(K31,TPMatrix!$D$6:$E$9,2,0),0))</f>
        <v>#N/A</v>
      </c>
      <c r="M31" s="262" t="str">
        <f ca="1">IF(COUNTIF(K27:K31,K31)&gt;=2,IF(J31=5,VLOOKUP(K31+1,TPMatrix!$A$6:$B$10,2,0),IF(J31=4,VLOOKUP(K31+1,TPMatrix!$D$6:$E$9,2,0),0)),"")</f>
        <v/>
      </c>
      <c r="N31" s="262" t="str">
        <f ca="1">IF(COUNTIF(K27:K31,K31)&gt;=3,IF(J31=5,VLOOKUP(K31+2,TPMatrix!$A$6:$B$10,2,0),IF(J31=4,VLOOKUP(K31+2,TPMatrix!$D$6:$E$9,2,0),0)),"")</f>
        <v/>
      </c>
      <c r="O31" s="262" t="str">
        <f ca="1">IF(COUNTIF(K27:K31,K31)&gt;=4,IF(J31=5,VLOOKUP(K31+3,TPMatrix!$A$6:$B$10,2,0),IF(J31=4,VLOOKUP(K31+3,TPMatrix!$D$6:$E$9,2,0),0)),"")</f>
        <v/>
      </c>
      <c r="P31" s="262" t="str">
        <f ca="1">IF(COUNTIF(K27:K31,K31)&gt;=5,IF(J31=5,VLOOKUP(K31+4,TPMatrix!$A$6:$B$10,2,0),IF(J31=4,VLOOKUP(K31+4,TPMatrix!$D$6:$E$9,2,0),0)),"")</f>
        <v/>
      </c>
      <c r="Q31" s="262" t="e">
        <f t="shared" ca="1" si="4"/>
        <v>#N/A</v>
      </c>
      <c r="R31" s="263">
        <f t="shared" ca="1" si="5"/>
        <v>0</v>
      </c>
      <c r="S31" s="261">
        <f t="shared" ca="1" si="6"/>
        <v>0</v>
      </c>
      <c r="T31" s="262">
        <f t="shared" si="7"/>
        <v>0</v>
      </c>
      <c r="U31" s="263">
        <f t="shared" ca="1" si="8"/>
        <v>4</v>
      </c>
      <c r="W31" s="36" t="str">
        <f t="shared" ca="1" si="9"/>
        <v/>
      </c>
      <c r="X31" s="36" t="str">
        <f ca="1">IF(ISNUMBER($A31),$W31*(Methuselahs!$A$4+1)+$A31,"")</f>
        <v/>
      </c>
      <c r="Y31" s="36" t="str">
        <f t="shared" ca="1" si="10"/>
        <v/>
      </c>
      <c r="Z31" s="36" t="str">
        <f ca="1">IF(ISNUMBER($A31),VLOOKUP($A31,Methuselahs!$A$7:$X$206,5),"")</f>
        <v/>
      </c>
      <c r="AA31" s="36" t="str">
        <f t="shared" ca="1" si="11"/>
        <v/>
      </c>
    </row>
    <row r="32" spans="1:27" ht="12.95" customHeight="1" x14ac:dyDescent="0.2">
      <c r="A32" s="219">
        <f ca="1">IF(ISBLANK('Tournament Info'!$B$11),"",INDIRECT(ADDRESS(ROW(),1,1,1,"Optimal Seating "&amp;'Tournament Info'!$B$11-1&amp;"R+F")))</f>
        <v>25</v>
      </c>
      <c r="B32" s="143">
        <f ca="1">IF(ISNUMBER(A32),VLOOKUP(A32,Methuselahs!$A$7:$E$206,2,0),"")</f>
        <v>0</v>
      </c>
      <c r="C32" s="220">
        <f ca="1">IF(ISNUMBER(A32),VLOOKUP(A32,Methuselahs!$A$7:$E$206,3,0),"")</f>
        <v>0</v>
      </c>
      <c r="D32" s="221">
        <f t="shared" ca="1" si="0"/>
        <v>6</v>
      </c>
      <c r="E32" s="222"/>
      <c r="F32" s="220">
        <f t="shared" si="1"/>
        <v>0</v>
      </c>
      <c r="G32" s="223">
        <f t="shared" ca="1" si="2"/>
        <v>0</v>
      </c>
      <c r="H32" s="224">
        <f ca="1">IF(ISNUMBER(A32),IF(OR($S32=$U32,NOT(ISNA(MATCH($D32*5+$V$4,Override!$C$6:$C$125,0)))),$Q32,0),"")</f>
        <v>18</v>
      </c>
      <c r="I32" s="221">
        <f t="shared" ca="1" si="3"/>
        <v>4</v>
      </c>
      <c r="J32" s="225">
        <f ca="1">COUNT(A32:A36)</f>
        <v>4</v>
      </c>
      <c r="K32" s="226">
        <f ca="1">IF(ISNUMBER(A32),RANK(F32,F32:F36),"")</f>
        <v>3</v>
      </c>
      <c r="L32" s="227">
        <f ca="1">IF(J32=5,VLOOKUP(K32,TPMatrix!$A$6:$B$10,2,0),IF(J32=4,VLOOKUP(K32,TPMatrix!$D$6:$E$9,2,0),0))</f>
        <v>24</v>
      </c>
      <c r="M32" s="227">
        <f ca="1">IF(COUNTIF(K32:K36,K32)&gt;=2,IF(J32=5,VLOOKUP(K32+1,TPMatrix!$A$6:$B$10,2,0),IF(J32=4,VLOOKUP(K32+1,TPMatrix!$D$6:$E$9,2,0),0)),"")</f>
        <v>12</v>
      </c>
      <c r="N32" s="227" t="str">
        <f ca="1">IF(COUNTIF(K32:K36,K32)&gt;=3,IF(J32=5,VLOOKUP(K32+2,TPMatrix!$A$6:$B$10,2,0),IF(J32=4,VLOOKUP(K32+2,TPMatrix!$D$6:$E$9,2,0),0)),"")</f>
        <v/>
      </c>
      <c r="O32" s="227" t="str">
        <f ca="1">IF(COUNTIF(K32:K36,K32)&gt;=4,IF(J32=5,VLOOKUP(K32+3,TPMatrix!$A$6:$B$10,2,0),IF(J32=4,VLOOKUP(K32+3,TPMatrix!$D$6:$E$9,2,0),0)),"")</f>
        <v/>
      </c>
      <c r="P32" s="227" t="str">
        <f ca="1">IF(COUNTIF(K32:K36,K32)&gt;=5,IF(J32=5,VLOOKUP(K32+4,TPMatrix!$A$6:$B$10,2,0),IF(J32=4,VLOOKUP(K32+4,TPMatrix!$D$6:$E$9,2,0),0)),"")</f>
        <v/>
      </c>
      <c r="Q32" s="227">
        <f t="shared" ca="1" si="4"/>
        <v>18</v>
      </c>
      <c r="R32" s="228">
        <f t="shared" ca="1" si="5"/>
        <v>2</v>
      </c>
      <c r="S32" s="229">
        <f t="shared" ca="1" si="6"/>
        <v>4</v>
      </c>
      <c r="T32" s="230">
        <f t="shared" si="7"/>
        <v>0</v>
      </c>
      <c r="U32" s="231">
        <f t="shared" ca="1" si="8"/>
        <v>4</v>
      </c>
      <c r="W32" s="36">
        <f t="shared" ca="1" si="9"/>
        <v>4</v>
      </c>
      <c r="X32" s="36">
        <f ca="1">IF(ISNUMBER($A32),$W32*(Methuselahs!$A$4+1)+$A32,"")</f>
        <v>157</v>
      </c>
      <c r="Y32" s="36">
        <f t="shared" ca="1" si="10"/>
        <v>3</v>
      </c>
      <c r="Z32" s="36">
        <f ca="1">IF(ISNUMBER($A32),VLOOKUP($A32,Methuselahs!$A$7:$X$206,5),"")</f>
        <v>9370279301</v>
      </c>
      <c r="AA32" s="36">
        <f t="shared" ca="1" si="11"/>
        <v>4</v>
      </c>
    </row>
    <row r="33" spans="1:27" ht="12.95" customHeight="1" x14ac:dyDescent="0.2">
      <c r="A33" s="111">
        <f ca="1">IF(ISBLANK('Tournament Info'!$B$11),"",INDIRECT(ADDRESS(ROW(),1,1,1,"Optimal Seating "&amp;'Tournament Info'!$B$11-1&amp;"R+F")))</f>
        <v>26</v>
      </c>
      <c r="B33" s="117">
        <f ca="1">IF(ISNUMBER(A33),VLOOKUP(A33,Methuselahs!$A$7:$E$206,2,0),"")</f>
        <v>0</v>
      </c>
      <c r="C33" s="232">
        <f ca="1">IF(ISNUMBER(A33),VLOOKUP(A33,Methuselahs!$A$7:$E$206,3,0),"")</f>
        <v>0</v>
      </c>
      <c r="D33" s="233">
        <f t="shared" ca="1" si="0"/>
        <v>6</v>
      </c>
      <c r="E33" s="234">
        <v>1</v>
      </c>
      <c r="F33" s="232">
        <f t="shared" si="1"/>
        <v>1</v>
      </c>
      <c r="G33" s="235">
        <f t="shared" ca="1" si="2"/>
        <v>0</v>
      </c>
      <c r="H33" s="236">
        <f ca="1">IF(ISNUMBER(A33),IF(OR($S33=$U33,NOT(ISNA(MATCH($D33*5+$V$4,Override!$C$6:$C$125,0)))),$Q33,0),"")</f>
        <v>48</v>
      </c>
      <c r="I33" s="233">
        <f t="shared" ca="1" si="3"/>
        <v>2</v>
      </c>
      <c r="J33" s="237">
        <f ca="1">COUNT(A32:A36)</f>
        <v>4</v>
      </c>
      <c r="K33" s="238">
        <f ca="1">IF(ISNUMBER(A33),RANK(F33,F32:F36),"")</f>
        <v>2</v>
      </c>
      <c r="L33" s="239">
        <f ca="1">IF(J33=5,VLOOKUP(K33,TPMatrix!$A$6:$B$10,2,0),IF(J33=4,VLOOKUP(K33,TPMatrix!$D$6:$E$9,2,0),0))</f>
        <v>48</v>
      </c>
      <c r="M33" s="239" t="str">
        <f ca="1">IF(COUNTIF(K32:K36,K33)&gt;=2,IF(J33=5,VLOOKUP(K33+1,TPMatrix!$A$6:$B$10,2,0),IF(J33=4,VLOOKUP(K33+1,TPMatrix!$D$6:$E$9,2,0),0)),"")</f>
        <v/>
      </c>
      <c r="N33" s="239" t="str">
        <f ca="1">IF(COUNTIF(K32:K36,K33)&gt;=3,IF(J33=5,VLOOKUP(K33+2,TPMatrix!$A$6:$B$10,2,0),IF(J33=4,VLOOKUP(K33+2,TPMatrix!$D$6:$E$9,2,0),0)),"")</f>
        <v/>
      </c>
      <c r="O33" s="239" t="str">
        <f ca="1">IF(COUNTIF(K32:K36,K33)&gt;=4,IF(J33=5,VLOOKUP(K33+3,TPMatrix!$A$6:$B$10,2,0),IF(J33=4,VLOOKUP(K33+3,TPMatrix!$D$6:$E$9,2,0),0)),"")</f>
        <v/>
      </c>
      <c r="P33" s="239" t="str">
        <f ca="1">IF(COUNTIF(K32:K36,K33)&gt;=5,IF(J33=5,VLOOKUP(K33+4,TPMatrix!$A$6:$B$10,2,0),IF(J33=4,VLOOKUP(K33+4,TPMatrix!$D$6:$E$9,2,0),0)),"")</f>
        <v/>
      </c>
      <c r="Q33" s="239">
        <f t="shared" ca="1" si="4"/>
        <v>48</v>
      </c>
      <c r="R33" s="240">
        <f t="shared" ca="1" si="5"/>
        <v>1</v>
      </c>
      <c r="S33" s="238">
        <f t="shared" ca="1" si="6"/>
        <v>4</v>
      </c>
      <c r="T33" s="239">
        <f t="shared" si="7"/>
        <v>1</v>
      </c>
      <c r="U33" s="240">
        <f t="shared" ca="1" si="8"/>
        <v>4</v>
      </c>
      <c r="W33" s="36">
        <f t="shared" ca="1" si="9"/>
        <v>2</v>
      </c>
      <c r="X33" s="36">
        <f ca="1">IF(ISNUMBER($A33),$W33*(Methuselahs!$A$4+1)+$A33,"")</f>
        <v>92</v>
      </c>
      <c r="Y33" s="36">
        <f t="shared" ca="1" si="10"/>
        <v>2</v>
      </c>
      <c r="Z33" s="36">
        <f ca="1">IF(ISNUMBER($A33),VLOOKUP($A33,Methuselahs!$A$7:$X$206,5),"")</f>
        <v>8261671295</v>
      </c>
      <c r="AA33" s="36">
        <f t="shared" ca="1" si="11"/>
        <v>2</v>
      </c>
    </row>
    <row r="34" spans="1:27" ht="12.95" customHeight="1" x14ac:dyDescent="0.2">
      <c r="A34" s="137">
        <f ca="1">IF(ISBLANK('Tournament Info'!$B$11),"",INDIRECT(ADDRESS(ROW(),1,1,1,"Optimal Seating "&amp;'Tournament Info'!$B$11-1&amp;"R+F")))</f>
        <v>27</v>
      </c>
      <c r="B34" s="143">
        <f ca="1">IF(ISNUMBER(A34),VLOOKUP(A34,Methuselahs!$A$7:$E$206,2,0),"")</f>
        <v>0</v>
      </c>
      <c r="C34" s="241">
        <f ca="1">IF(ISNUMBER(A34),VLOOKUP(A34,Methuselahs!$A$7:$E$206,3,0),"")</f>
        <v>0</v>
      </c>
      <c r="D34" s="242">
        <f t="shared" ca="1" si="0"/>
        <v>6</v>
      </c>
      <c r="E34" s="243"/>
      <c r="F34" s="241">
        <f t="shared" si="1"/>
        <v>0</v>
      </c>
      <c r="G34" s="244">
        <f t="shared" ca="1" si="2"/>
        <v>0</v>
      </c>
      <c r="H34" s="245">
        <f ca="1">IF(ISNUMBER(A34),IF(OR($S34=$U34,NOT(ISNA(MATCH($D34*5+$V$4,Override!$C$6:$C$125,0)))),$Q34,0),"")</f>
        <v>18</v>
      </c>
      <c r="I34" s="242">
        <f t="shared" ca="1" si="3"/>
        <v>4</v>
      </c>
      <c r="J34" s="246">
        <f ca="1">COUNT(A32:A36)</f>
        <v>4</v>
      </c>
      <c r="K34" s="247">
        <f ca="1">IF(ISNUMBER(A34),RANK(F34,F32:F36),"")</f>
        <v>3</v>
      </c>
      <c r="L34" s="142">
        <f ca="1">IF(J34=5,VLOOKUP(K34,TPMatrix!$A$6:$B$10,2,0),IF(J34=4,VLOOKUP(K34,TPMatrix!$D$6:$E$9,2,0),0))</f>
        <v>24</v>
      </c>
      <c r="M34" s="142">
        <f ca="1">IF(COUNTIF(K32:K36,K34)&gt;=2,IF(J34=5,VLOOKUP(K34+1,TPMatrix!$A$6:$B$10,2,0),IF(J34=4,VLOOKUP(K34+1,TPMatrix!$D$6:$E$9,2,0),0)),"")</f>
        <v>12</v>
      </c>
      <c r="N34" s="142" t="str">
        <f ca="1">IF(COUNTIF(K32:K36,K34)&gt;=3,IF(J34=5,VLOOKUP(K34+2,TPMatrix!$A$6:$B$10,2,0),IF(J34=4,VLOOKUP(K34+2,TPMatrix!$D$6:$E$9,2,0),0)),"")</f>
        <v/>
      </c>
      <c r="O34" s="142" t="str">
        <f ca="1">IF(COUNTIF(K32:K36,K34)&gt;=4,IF(J34=5,VLOOKUP(K34+3,TPMatrix!$A$6:$B$10,2,0),IF(J34=4,VLOOKUP(K34+3,TPMatrix!$D$6:$E$9,2,0),0)),"")</f>
        <v/>
      </c>
      <c r="P34" s="142" t="str">
        <f ca="1">IF(COUNTIF(K32:K36,K34)&gt;=5,IF(J34=5,VLOOKUP(K34+4,TPMatrix!$A$6:$B$10,2,0),IF(J34=4,VLOOKUP(K34+4,TPMatrix!$D$6:$E$9,2,0),0)),"")</f>
        <v/>
      </c>
      <c r="Q34" s="142">
        <f t="shared" ca="1" si="4"/>
        <v>18</v>
      </c>
      <c r="R34" s="248">
        <f t="shared" ca="1" si="5"/>
        <v>2</v>
      </c>
      <c r="S34" s="247">
        <f t="shared" ca="1" si="6"/>
        <v>4</v>
      </c>
      <c r="T34" s="142">
        <f t="shared" si="7"/>
        <v>0</v>
      </c>
      <c r="U34" s="248">
        <f t="shared" ca="1" si="8"/>
        <v>4</v>
      </c>
      <c r="W34" s="36">
        <f t="shared" ca="1" si="9"/>
        <v>4</v>
      </c>
      <c r="X34" s="36">
        <f ca="1">IF(ISNUMBER($A34),$W34*(Methuselahs!$A$4+1)+$A34,"")</f>
        <v>159</v>
      </c>
      <c r="Y34" s="36">
        <f t="shared" ca="1" si="10"/>
        <v>3</v>
      </c>
      <c r="Z34" s="36">
        <f ca="1">IF(ISNUMBER($A34),VLOOKUP($A34,Methuselahs!$A$7:$X$206,5),"")</f>
        <v>5521202573</v>
      </c>
      <c r="AA34" s="36">
        <f t="shared" ca="1" si="11"/>
        <v>4</v>
      </c>
    </row>
    <row r="35" spans="1:27" ht="12.95" customHeight="1" x14ac:dyDescent="0.2">
      <c r="A35" s="249">
        <f ca="1">IF(ISBLANK('Tournament Info'!$B$11),"",INDIRECT(ADDRESS(ROW(),1,1,1,"Optimal Seating "&amp;'Tournament Info'!$B$11-1&amp;"R+F")))</f>
        <v>28</v>
      </c>
      <c r="B35" s="250">
        <f ca="1">IF(ISNUMBER(A35),VLOOKUP(A35,Methuselahs!$A$7:$E$206,2,0),"")</f>
        <v>0</v>
      </c>
      <c r="C35" s="251">
        <f ca="1">IF(ISNUMBER(A35),VLOOKUP(A35,Methuselahs!$A$7:$E$206,3,0),"")</f>
        <v>0</v>
      </c>
      <c r="D35" s="252">
        <f t="shared" ca="1" si="0"/>
        <v>6</v>
      </c>
      <c r="E35" s="253">
        <v>3</v>
      </c>
      <c r="F35" s="251">
        <f t="shared" si="1"/>
        <v>3</v>
      </c>
      <c r="G35" s="235">
        <f t="shared" ca="1" si="2"/>
        <v>1</v>
      </c>
      <c r="H35" s="236">
        <f ca="1">IF(ISNUMBER(A35),IF(OR($S35=$U35,NOT(ISNA(MATCH($D35*5+$V$4,Override!$C$6:$C$125,0)))),$Q35,0),"")</f>
        <v>60</v>
      </c>
      <c r="I35" s="252">
        <f t="shared" ca="1" si="3"/>
        <v>1</v>
      </c>
      <c r="J35" s="254">
        <f ca="1">COUNT(A32:A36)</f>
        <v>4</v>
      </c>
      <c r="K35" s="238">
        <f ca="1">IF(ISNUMBER(A35),RANK(F35,F32:F36),"")</f>
        <v>1</v>
      </c>
      <c r="L35" s="239">
        <f ca="1">IF(J35=5,VLOOKUP(K35,TPMatrix!$A$6:$B$10,2,0),IF(J35=4,VLOOKUP(K35,TPMatrix!$D$6:$E$9,2,0),0))</f>
        <v>60</v>
      </c>
      <c r="M35" s="239" t="str">
        <f ca="1">IF(COUNTIF(K32:K36,K35)&gt;=2,IF(J35=5,VLOOKUP(K35+1,TPMatrix!$A$6:$B$10,2,0),IF(J35=4,VLOOKUP(K35+1,TPMatrix!$D$6:$E$9,2,0),0)),"")</f>
        <v/>
      </c>
      <c r="N35" s="239" t="str">
        <f ca="1">IF(COUNTIF(K32:K36,K35)&gt;=3,IF(J35=5,VLOOKUP(K35+2,TPMatrix!$A$6:$B$10,2,0),IF(J35=4,VLOOKUP(K35+2,TPMatrix!$D$6:$E$9,2,0),0)),"")</f>
        <v/>
      </c>
      <c r="O35" s="239" t="str">
        <f ca="1">IF(COUNTIF(K32:K36,K35)&gt;=4,IF(J35=5,VLOOKUP(K35+3,TPMatrix!$A$6:$B$10,2,0),IF(J35=4,VLOOKUP(K35+3,TPMatrix!$D$6:$E$9,2,0),0)),"")</f>
        <v/>
      </c>
      <c r="P35" s="239" t="str">
        <f ca="1">IF(COUNTIF(K32:K36,K35)&gt;=5,IF(J35=5,VLOOKUP(K35+4,TPMatrix!$A$6:$B$10,2,0),IF(J35=4,VLOOKUP(K35+4,TPMatrix!$D$6:$E$9,2,0),0)),"")</f>
        <v/>
      </c>
      <c r="Q35" s="239">
        <f t="shared" ca="1" si="4"/>
        <v>60</v>
      </c>
      <c r="R35" s="240">
        <f t="shared" ca="1" si="5"/>
        <v>1</v>
      </c>
      <c r="S35" s="238">
        <f t="shared" ca="1" si="6"/>
        <v>4</v>
      </c>
      <c r="T35" s="239">
        <f t="shared" si="7"/>
        <v>3</v>
      </c>
      <c r="U35" s="240">
        <f t="shared" ca="1" si="8"/>
        <v>4</v>
      </c>
      <c r="W35" s="36">
        <f t="shared" ca="1" si="9"/>
        <v>1</v>
      </c>
      <c r="X35" s="36">
        <f ca="1">IF(ISNUMBER($A35),$W35*(Methuselahs!$A$4+1)+$A35,"")</f>
        <v>61</v>
      </c>
      <c r="Y35" s="36">
        <f t="shared" ca="1" si="10"/>
        <v>1</v>
      </c>
      <c r="Z35" s="36">
        <f ca="1">IF(ISNUMBER($A35),VLOOKUP($A35,Methuselahs!$A$7:$X$206,5),"")</f>
        <v>5521202573</v>
      </c>
      <c r="AA35" s="36">
        <f t="shared" ca="1" si="11"/>
        <v>1</v>
      </c>
    </row>
    <row r="36" spans="1:27" ht="12.95" customHeight="1" x14ac:dyDescent="0.2">
      <c r="A36" s="255" t="str">
        <f ca="1">IF(ISBLANK('Tournament Info'!$B$11),"",INDIRECT(ADDRESS(ROW(),1,1,1,"Optimal Seating "&amp;'Tournament Info'!$B$11-1&amp;"R+F")))</f>
        <v/>
      </c>
      <c r="B36" s="256" t="str">
        <f ca="1">IF(ISNUMBER(A36),VLOOKUP(A36,Methuselahs!$A$7:$E$206,2,0),"")</f>
        <v/>
      </c>
      <c r="C36" s="257" t="str">
        <f ca="1">IF(ISNUMBER(A36),VLOOKUP(A36,Methuselahs!$A$7:$E$206,3,0),"")</f>
        <v/>
      </c>
      <c r="D36" s="258" t="str">
        <f t="shared" ca="1" si="0"/>
        <v/>
      </c>
      <c r="E36" s="259"/>
      <c r="F36" s="257">
        <f t="shared" si="1"/>
        <v>0</v>
      </c>
      <c r="G36" s="244" t="str">
        <f t="shared" ca="1" si="2"/>
        <v/>
      </c>
      <c r="H36" s="245" t="str">
        <f ca="1">IF(ISNUMBER(A36),IF(OR($S36=$U36,NOT(ISNA(MATCH($D36*5+$V$4,Override!$C$6:$C$125,0)))),$Q36,0),"")</f>
        <v/>
      </c>
      <c r="I36" s="258" t="str">
        <f t="shared" ca="1" si="3"/>
        <v/>
      </c>
      <c r="J36" s="260">
        <f ca="1">COUNT(A32:A36)</f>
        <v>4</v>
      </c>
      <c r="K36" s="261" t="str">
        <f ca="1">IF(ISNUMBER(A36),RANK(F36,F32:F36),"")</f>
        <v/>
      </c>
      <c r="L36" s="262" t="e">
        <f ca="1">IF(J36=5,VLOOKUP(K36,TPMatrix!$A$6:$B$10,2,0),IF(J36=4,VLOOKUP(K36,TPMatrix!$D$6:$E$9,2,0),0))</f>
        <v>#N/A</v>
      </c>
      <c r="M36" s="262" t="str">
        <f ca="1">IF(COUNTIF(K32:K36,K36)&gt;=2,IF(J36=5,VLOOKUP(K36+1,TPMatrix!$A$6:$B$10,2,0),IF(J36=4,VLOOKUP(K36+1,TPMatrix!$D$6:$E$9,2,0),0)),"")</f>
        <v/>
      </c>
      <c r="N36" s="262" t="str">
        <f ca="1">IF(COUNTIF(K32:K36,K36)&gt;=3,IF(J36=5,VLOOKUP(K36+2,TPMatrix!$A$6:$B$10,2,0),IF(J36=4,VLOOKUP(K36+2,TPMatrix!$D$6:$E$9,2,0),0)),"")</f>
        <v/>
      </c>
      <c r="O36" s="262" t="str">
        <f ca="1">IF(COUNTIF(K32:K36,K36)&gt;=4,IF(J36=5,VLOOKUP(K36+3,TPMatrix!$A$6:$B$10,2,0),IF(J36=4,VLOOKUP(K36+3,TPMatrix!$D$6:$E$9,2,0),0)),"")</f>
        <v/>
      </c>
      <c r="P36" s="262" t="str">
        <f ca="1">IF(COUNTIF(K32:K36,K36)&gt;=5,IF(J36=5,VLOOKUP(K36+4,TPMatrix!$A$6:$B$10,2,0),IF(J36=4,VLOOKUP(K36+4,TPMatrix!$D$6:$E$9,2,0),0)),"")</f>
        <v/>
      </c>
      <c r="Q36" s="262" t="e">
        <f t="shared" ca="1" si="4"/>
        <v>#N/A</v>
      </c>
      <c r="R36" s="263">
        <f t="shared" ca="1" si="5"/>
        <v>0</v>
      </c>
      <c r="S36" s="261">
        <f t="shared" ca="1" si="6"/>
        <v>0</v>
      </c>
      <c r="T36" s="262">
        <f t="shared" si="7"/>
        <v>0</v>
      </c>
      <c r="U36" s="263">
        <f t="shared" ca="1" si="8"/>
        <v>4</v>
      </c>
      <c r="W36" s="36" t="str">
        <f t="shared" ca="1" si="9"/>
        <v/>
      </c>
      <c r="X36" s="36" t="str">
        <f ca="1">IF(ISNUMBER($A36),$W36*(Methuselahs!$A$4+1)+$A36,"")</f>
        <v/>
      </c>
      <c r="Y36" s="36" t="str">
        <f t="shared" ca="1" si="10"/>
        <v/>
      </c>
      <c r="Z36" s="36" t="str">
        <f ca="1">IF(ISNUMBER($A36),VLOOKUP($A36,Methuselahs!$A$7:$X$206,5),"")</f>
        <v/>
      </c>
      <c r="AA36" s="36" t="str">
        <f t="shared" ca="1" si="11"/>
        <v/>
      </c>
    </row>
    <row r="37" spans="1:27" ht="12.95" customHeight="1" x14ac:dyDescent="0.2">
      <c r="A37" s="219">
        <f ca="1">IF(ISBLANK('Tournament Info'!$B$11),"",INDIRECT(ADDRESS(ROW(),1,1,1,"Optimal Seating "&amp;'Tournament Info'!$B$11-1&amp;"R+F")))</f>
        <v>29</v>
      </c>
      <c r="B37" s="143">
        <f ca="1">IF(ISNUMBER(A37),VLOOKUP(A37,Methuselahs!$A$7:$E$206,2,0),"")</f>
        <v>0</v>
      </c>
      <c r="C37" s="220">
        <f ca="1">IF(ISNUMBER(A37),VLOOKUP(A37,Methuselahs!$A$7:$E$206,3,0),"")</f>
        <v>0</v>
      </c>
      <c r="D37" s="221">
        <f t="shared" ca="1" si="0"/>
        <v>7</v>
      </c>
      <c r="E37" s="222"/>
      <c r="F37" s="220">
        <f t="shared" si="1"/>
        <v>0</v>
      </c>
      <c r="G37" s="223">
        <f t="shared" ca="1" si="2"/>
        <v>0</v>
      </c>
      <c r="H37" s="224">
        <f ca="1">IF(ISNUMBER(A37),IF(OR($S37=$U37,NOT(ISNA(MATCH($D37*5+$V$4,Override!$C$6:$C$125,0)))),$Q37,0),"")</f>
        <v>18</v>
      </c>
      <c r="I37" s="221">
        <f t="shared" ca="1" si="3"/>
        <v>4</v>
      </c>
      <c r="J37" s="225">
        <f ca="1">COUNT(A37:A41)</f>
        <v>4</v>
      </c>
      <c r="K37" s="226">
        <f ca="1">IF(ISNUMBER(A37),RANK(F37,F37:F41),"")</f>
        <v>3</v>
      </c>
      <c r="L37" s="227">
        <f ca="1">IF(J37=5,VLOOKUP(K37,TPMatrix!$A$6:$B$10,2,0),IF(J37=4,VLOOKUP(K37,TPMatrix!$D$6:$E$9,2,0),0))</f>
        <v>24</v>
      </c>
      <c r="M37" s="227">
        <f ca="1">IF(COUNTIF(K37:K41,K37)&gt;=2,IF(J37=5,VLOOKUP(K37+1,TPMatrix!$A$6:$B$10,2,0),IF(J37=4,VLOOKUP(K37+1,TPMatrix!$D$6:$E$9,2,0),0)),"")</f>
        <v>12</v>
      </c>
      <c r="N37" s="227" t="str">
        <f ca="1">IF(COUNTIF(K37:K41,K37)&gt;=3,IF(J37=5,VLOOKUP(K37+2,TPMatrix!$A$6:$B$10,2,0),IF(J37=4,VLOOKUP(K37+2,TPMatrix!$D$6:$E$9,2,0),0)),"")</f>
        <v/>
      </c>
      <c r="O37" s="227" t="str">
        <f ca="1">IF(COUNTIF(K37:K41,K37)&gt;=4,IF(J37=5,VLOOKUP(K37+3,TPMatrix!$A$6:$B$10,2,0),IF(J37=4,VLOOKUP(K37+3,TPMatrix!$D$6:$E$9,2,0),0)),"")</f>
        <v/>
      </c>
      <c r="P37" s="227" t="str">
        <f ca="1">IF(COUNTIF(K37:K41,K37)&gt;=5,IF(J37=5,VLOOKUP(K37+4,TPMatrix!$A$6:$B$10,2,0),IF(J37=4,VLOOKUP(K37+4,TPMatrix!$D$6:$E$9,2,0),0)),"")</f>
        <v/>
      </c>
      <c r="Q37" s="227">
        <f t="shared" ca="1" si="4"/>
        <v>18</v>
      </c>
      <c r="R37" s="228">
        <f t="shared" ca="1" si="5"/>
        <v>2</v>
      </c>
      <c r="S37" s="229">
        <f t="shared" ca="1" si="6"/>
        <v>4</v>
      </c>
      <c r="T37" s="230">
        <f t="shared" si="7"/>
        <v>0</v>
      </c>
      <c r="U37" s="231">
        <f t="shared" ca="1" si="8"/>
        <v>4</v>
      </c>
      <c r="W37" s="36">
        <f t="shared" ca="1" si="9"/>
        <v>4</v>
      </c>
      <c r="X37" s="36">
        <f ca="1">IF(ISNUMBER($A37),$W37*(Methuselahs!$A$4+1)+$A37,"")</f>
        <v>161</v>
      </c>
      <c r="Y37" s="36">
        <f t="shared" ca="1" si="10"/>
        <v>3</v>
      </c>
      <c r="Z37" s="36">
        <f ca="1">IF(ISNUMBER($A37),VLOOKUP($A37,Methuselahs!$A$7:$X$206,5),"")</f>
        <v>5521202573</v>
      </c>
      <c r="AA37" s="36">
        <f t="shared" ca="1" si="11"/>
        <v>4</v>
      </c>
    </row>
    <row r="38" spans="1:27" ht="12.95" customHeight="1" x14ac:dyDescent="0.2">
      <c r="A38" s="111">
        <f ca="1">IF(ISBLANK('Tournament Info'!$B$11),"",INDIRECT(ADDRESS(ROW(),1,1,1,"Optimal Seating "&amp;'Tournament Info'!$B$11-1&amp;"R+F")))</f>
        <v>30</v>
      </c>
      <c r="B38" s="117">
        <f ca="1">IF(ISNUMBER(A38),VLOOKUP(A38,Methuselahs!$A$7:$E$206,2,0),"")</f>
        <v>0</v>
      </c>
      <c r="C38" s="232">
        <f ca="1">IF(ISNUMBER(A38),VLOOKUP(A38,Methuselahs!$A$7:$E$206,3,0),"")</f>
        <v>0</v>
      </c>
      <c r="D38" s="233">
        <f t="shared" ca="1" si="0"/>
        <v>7</v>
      </c>
      <c r="E38" s="234">
        <v>1</v>
      </c>
      <c r="F38" s="232">
        <f t="shared" si="1"/>
        <v>1</v>
      </c>
      <c r="G38" s="235">
        <f t="shared" ca="1" si="2"/>
        <v>0</v>
      </c>
      <c r="H38" s="236">
        <f ca="1">IF(ISNUMBER(A38),IF(OR($S38=$U38,NOT(ISNA(MATCH($D38*5+$V$4,Override!$C$6:$C$125,0)))),$Q38,0),"")</f>
        <v>48</v>
      </c>
      <c r="I38" s="233">
        <f t="shared" ca="1" si="3"/>
        <v>2</v>
      </c>
      <c r="J38" s="237">
        <f ca="1">COUNT(A37:A41)</f>
        <v>4</v>
      </c>
      <c r="K38" s="238">
        <f ca="1">IF(ISNUMBER(A38),RANK(F38,F37:F41),"")</f>
        <v>2</v>
      </c>
      <c r="L38" s="239">
        <f ca="1">IF(J38=5,VLOOKUP(K38,TPMatrix!$A$6:$B$10,2,0),IF(J38=4,VLOOKUP(K38,TPMatrix!$D$6:$E$9,2,0),0))</f>
        <v>48</v>
      </c>
      <c r="M38" s="239" t="str">
        <f ca="1">IF(COUNTIF(K37:K41,K38)&gt;=2,IF(J38=5,VLOOKUP(K38+1,TPMatrix!$A$6:$B$10,2,0),IF(J38=4,VLOOKUP(K38+1,TPMatrix!$D$6:$E$9,2,0),0)),"")</f>
        <v/>
      </c>
      <c r="N38" s="239" t="str">
        <f ca="1">IF(COUNTIF(K37:K41,K38)&gt;=3,IF(J38=5,VLOOKUP(K38+2,TPMatrix!$A$6:$B$10,2,0),IF(J38=4,VLOOKUP(K38+2,TPMatrix!$D$6:$E$9,2,0),0)),"")</f>
        <v/>
      </c>
      <c r="O38" s="239" t="str">
        <f ca="1">IF(COUNTIF(K37:K41,K38)&gt;=4,IF(J38=5,VLOOKUP(K38+3,TPMatrix!$A$6:$B$10,2,0),IF(J38=4,VLOOKUP(K38+3,TPMatrix!$D$6:$E$9,2,0),0)),"")</f>
        <v/>
      </c>
      <c r="P38" s="239" t="str">
        <f ca="1">IF(COUNTIF(K37:K41,K38)&gt;=5,IF(J38=5,VLOOKUP(K38+4,TPMatrix!$A$6:$B$10,2,0),IF(J38=4,VLOOKUP(K38+4,TPMatrix!$D$6:$E$9,2,0),0)),"")</f>
        <v/>
      </c>
      <c r="Q38" s="239">
        <f t="shared" ca="1" si="4"/>
        <v>48</v>
      </c>
      <c r="R38" s="240">
        <f t="shared" ca="1" si="5"/>
        <v>1</v>
      </c>
      <c r="S38" s="238">
        <f t="shared" ca="1" si="6"/>
        <v>4</v>
      </c>
      <c r="T38" s="239">
        <f t="shared" si="7"/>
        <v>1</v>
      </c>
      <c r="U38" s="240">
        <f t="shared" ca="1" si="8"/>
        <v>4</v>
      </c>
      <c r="W38" s="36">
        <f t="shared" ca="1" si="9"/>
        <v>2</v>
      </c>
      <c r="X38" s="36">
        <f ca="1">IF(ISNUMBER($A38),$W38*(Methuselahs!$A$4+1)+$A38,"")</f>
        <v>96</v>
      </c>
      <c r="Y38" s="36">
        <f t="shared" ca="1" si="10"/>
        <v>2</v>
      </c>
      <c r="Z38" s="36">
        <f ca="1">IF(ISNUMBER($A38),VLOOKUP($A38,Methuselahs!$A$7:$X$206,5),"")</f>
        <v>5521202573</v>
      </c>
      <c r="AA38" s="36">
        <f t="shared" ca="1" si="11"/>
        <v>2</v>
      </c>
    </row>
    <row r="39" spans="1:27" ht="12.95" customHeight="1" x14ac:dyDescent="0.2">
      <c r="A39" s="137">
        <f ca="1">IF(ISBLANK('Tournament Info'!$B$11),"",INDIRECT(ADDRESS(ROW(),1,1,1,"Optimal Seating "&amp;'Tournament Info'!$B$11-1&amp;"R+F")))</f>
        <v>31</v>
      </c>
      <c r="B39" s="143">
        <f ca="1">IF(ISNUMBER(A39),VLOOKUP(A39,Methuselahs!$A$7:$E$206,2,0),"")</f>
        <v>0</v>
      </c>
      <c r="C39" s="241">
        <f ca="1">IF(ISNUMBER(A39),VLOOKUP(A39,Methuselahs!$A$7:$E$206,3,0),"")</f>
        <v>0</v>
      </c>
      <c r="D39" s="242">
        <f t="shared" ref="D39:D70" ca="1" si="12">IF(ISNUMBER(A39),FLOOR((ROW()-ROW($A$7))/5,1)+1,"")</f>
        <v>7</v>
      </c>
      <c r="E39" s="243"/>
      <c r="F39" s="241">
        <f t="shared" ref="F39:F70" si="13">IF(ISNUMBER(E39),E39,0)</f>
        <v>0</v>
      </c>
      <c r="G39" s="244">
        <f t="shared" ref="G39:G70" ca="1" si="14">IF(ISNUMBER($A39),IF(AND($F39&gt;=2,$H39=60),1,0),"")</f>
        <v>0</v>
      </c>
      <c r="H39" s="245">
        <f ca="1">IF(ISNUMBER(A39),IF(OR($S39=$U39,NOT(ISNA(MATCH($D39*5+$V$4,Override!$C$6:$C$125,0)))),$Q39,0),"")</f>
        <v>18</v>
      </c>
      <c r="I39" s="242">
        <f t="shared" ref="I39:I70" ca="1" si="15">IF(ISNUMBER(A39),IF(J39=5,K39,IF(AND(J39=4,OR(K39=4,K39=3)),K39+1,K39)),"")</f>
        <v>4</v>
      </c>
      <c r="J39" s="246">
        <f ca="1">COUNT(A37:A41)</f>
        <v>4</v>
      </c>
      <c r="K39" s="247">
        <f ca="1">IF(ISNUMBER(A39),RANK(F39,F37:F41),"")</f>
        <v>3</v>
      </c>
      <c r="L39" s="142">
        <f ca="1">IF(J39=5,VLOOKUP(K39,TPMatrix!$A$6:$B$10,2,0),IF(J39=4,VLOOKUP(K39,TPMatrix!$D$6:$E$9,2,0),0))</f>
        <v>24</v>
      </c>
      <c r="M39" s="142">
        <f ca="1">IF(COUNTIF(K37:K41,K39)&gt;=2,IF(J39=5,VLOOKUP(K39+1,TPMatrix!$A$6:$B$10,2,0),IF(J39=4,VLOOKUP(K39+1,TPMatrix!$D$6:$E$9,2,0),0)),"")</f>
        <v>12</v>
      </c>
      <c r="N39" s="142" t="str">
        <f ca="1">IF(COUNTIF(K37:K41,K39)&gt;=3,IF(J39=5,VLOOKUP(K39+2,TPMatrix!$A$6:$B$10,2,0),IF(J39=4,VLOOKUP(K39+2,TPMatrix!$D$6:$E$9,2,0),0)),"")</f>
        <v/>
      </c>
      <c r="O39" s="142" t="str">
        <f ca="1">IF(COUNTIF(K37:K41,K39)&gt;=4,IF(J39=5,VLOOKUP(K39+3,TPMatrix!$A$6:$B$10,2,0),IF(J39=4,VLOOKUP(K39+3,TPMatrix!$D$6:$E$9,2,0),0)),"")</f>
        <v/>
      </c>
      <c r="P39" s="142" t="str">
        <f ca="1">IF(COUNTIF(K37:K41,K39)&gt;=5,IF(J39=5,VLOOKUP(K39+4,TPMatrix!$A$6:$B$10,2,0),IF(J39=4,VLOOKUP(K39+4,TPMatrix!$D$6:$E$9,2,0),0)),"")</f>
        <v/>
      </c>
      <c r="Q39" s="142">
        <f t="shared" ref="Q39:Q70" ca="1" si="16">SUM(L39:P39)/COUNT(L39:P39)</f>
        <v>18</v>
      </c>
      <c r="R39" s="248">
        <f t="shared" ref="R39:R70" ca="1" si="17">COUNT(L39:P39)</f>
        <v>2</v>
      </c>
      <c r="S39" s="247">
        <f t="shared" ref="S39:S70" ca="1" si="18">IF(ISNUMBER($A39),COUNTIF($D$7:$D$206,$D39),0)</f>
        <v>4</v>
      </c>
      <c r="T39" s="142">
        <f t="shared" ref="T39:T70" si="19">CEILING($F39,1)</f>
        <v>0</v>
      </c>
      <c r="U39" s="248">
        <f t="shared" ref="U39:U70" ca="1" si="20">SUM(OFFSET(T39,-MOD(ROW()-ROW($U$7),5),0,5,1))</f>
        <v>4</v>
      </c>
      <c r="W39" s="36">
        <f t="shared" ref="W39:W70" ca="1" si="21">$I39</f>
        <v>4</v>
      </c>
      <c r="X39" s="36">
        <f ca="1">IF(ISNUMBER($A39),$W39*(Methuselahs!$A$4+1)+$A39,"")</f>
        <v>163</v>
      </c>
      <c r="Y39" s="36">
        <f t="shared" ref="Y39:Y70" ca="1" si="22">IF(ISNUMBER($A39),RANK($X39,$X39:$X43,1),"")</f>
        <v>2</v>
      </c>
      <c r="Z39" s="36">
        <f ca="1">IF(ISNUMBER($A39),VLOOKUP($A39,Methuselahs!$A$7:$X$206,5),"")</f>
        <v>5521202573</v>
      </c>
      <c r="AA39" s="36">
        <f t="shared" ref="AA39:AA70" ca="1" si="23">$I39</f>
        <v>4</v>
      </c>
    </row>
    <row r="40" spans="1:27" ht="12.95" customHeight="1" x14ac:dyDescent="0.2">
      <c r="A40" s="249">
        <f ca="1">IF(ISBLANK('Tournament Info'!$B$11),"",INDIRECT(ADDRESS(ROW(),1,1,1,"Optimal Seating "&amp;'Tournament Info'!$B$11-1&amp;"R+F")))</f>
        <v>32</v>
      </c>
      <c r="B40" s="250">
        <f ca="1">IF(ISNUMBER(A40),VLOOKUP(A40,Methuselahs!$A$7:$E$206,2,0),"")</f>
        <v>0</v>
      </c>
      <c r="C40" s="251">
        <f ca="1">IF(ISNUMBER(A40),VLOOKUP(A40,Methuselahs!$A$7:$E$206,3,0),"")</f>
        <v>0</v>
      </c>
      <c r="D40" s="252">
        <f t="shared" ca="1" si="12"/>
        <v>7</v>
      </c>
      <c r="E40" s="253">
        <v>3</v>
      </c>
      <c r="F40" s="251">
        <f t="shared" si="13"/>
        <v>3</v>
      </c>
      <c r="G40" s="235">
        <f t="shared" ca="1" si="14"/>
        <v>1</v>
      </c>
      <c r="H40" s="236">
        <f ca="1">IF(ISNUMBER(A40),IF(OR($S40=$U40,NOT(ISNA(MATCH($D40*5+$V$4,Override!$C$6:$C$125,0)))),$Q40,0),"")</f>
        <v>60</v>
      </c>
      <c r="I40" s="252">
        <f t="shared" ca="1" si="15"/>
        <v>1</v>
      </c>
      <c r="J40" s="254">
        <f ca="1">COUNT(A37:A41)</f>
        <v>4</v>
      </c>
      <c r="K40" s="238">
        <f ca="1">IF(ISNUMBER(A40),RANK(F40,F37:F41),"")</f>
        <v>1</v>
      </c>
      <c r="L40" s="239">
        <f ca="1">IF(J40=5,VLOOKUP(K40,TPMatrix!$A$6:$B$10,2,0),IF(J40=4,VLOOKUP(K40,TPMatrix!$D$6:$E$9,2,0),0))</f>
        <v>60</v>
      </c>
      <c r="M40" s="239" t="str">
        <f ca="1">IF(COUNTIF(K37:K41,K40)&gt;=2,IF(J40=5,VLOOKUP(K40+1,TPMatrix!$A$6:$B$10,2,0),IF(J40=4,VLOOKUP(K40+1,TPMatrix!$D$6:$E$9,2,0),0)),"")</f>
        <v/>
      </c>
      <c r="N40" s="239" t="str">
        <f ca="1">IF(COUNTIF(K37:K41,K40)&gt;=3,IF(J40=5,VLOOKUP(K40+2,TPMatrix!$A$6:$B$10,2,0),IF(J40=4,VLOOKUP(K40+2,TPMatrix!$D$6:$E$9,2,0),0)),"")</f>
        <v/>
      </c>
      <c r="O40" s="239" t="str">
        <f ca="1">IF(COUNTIF(K37:K41,K40)&gt;=4,IF(J40=5,VLOOKUP(K40+3,TPMatrix!$A$6:$B$10,2,0),IF(J40=4,VLOOKUP(K40+3,TPMatrix!$D$6:$E$9,2,0),0)),"")</f>
        <v/>
      </c>
      <c r="P40" s="239" t="str">
        <f ca="1">IF(COUNTIF(K37:K41,K40)&gt;=5,IF(J40=5,VLOOKUP(K40+4,TPMatrix!$A$6:$B$10,2,0),IF(J40=4,VLOOKUP(K40+4,TPMatrix!$D$6:$E$9,2,0),0)),"")</f>
        <v/>
      </c>
      <c r="Q40" s="239">
        <f t="shared" ca="1" si="16"/>
        <v>60</v>
      </c>
      <c r="R40" s="240">
        <f t="shared" ca="1" si="17"/>
        <v>1</v>
      </c>
      <c r="S40" s="238">
        <f t="shared" ca="1" si="18"/>
        <v>4</v>
      </c>
      <c r="T40" s="239">
        <f t="shared" si="19"/>
        <v>3</v>
      </c>
      <c r="U40" s="240">
        <f t="shared" ca="1" si="20"/>
        <v>4</v>
      </c>
      <c r="W40" s="36">
        <f t="shared" ca="1" si="21"/>
        <v>1</v>
      </c>
      <c r="X40" s="36">
        <f ca="1">IF(ISNUMBER($A40),$W40*(Methuselahs!$A$4+1)+$A40,"")</f>
        <v>65</v>
      </c>
      <c r="Y40" s="36">
        <f t="shared" ca="1" si="22"/>
        <v>1</v>
      </c>
      <c r="Z40" s="36">
        <f ca="1">IF(ISNUMBER($A40),VLOOKUP($A40,Methuselahs!$A$7:$X$206,5),"")</f>
        <v>5521202573</v>
      </c>
      <c r="AA40" s="36">
        <f t="shared" ca="1" si="23"/>
        <v>1</v>
      </c>
    </row>
    <row r="41" spans="1:27" ht="12.95" customHeight="1" x14ac:dyDescent="0.2">
      <c r="A41" s="255" t="str">
        <f ca="1">IF(ISBLANK('Tournament Info'!$B$11),"",INDIRECT(ADDRESS(ROW(),1,1,1,"Optimal Seating "&amp;'Tournament Info'!$B$11-1&amp;"R+F")))</f>
        <v/>
      </c>
      <c r="B41" s="256" t="str">
        <f ca="1">IF(ISNUMBER(A41),VLOOKUP(A41,Methuselahs!$A$7:$E$206,2,0),"")</f>
        <v/>
      </c>
      <c r="C41" s="257" t="str">
        <f ca="1">IF(ISNUMBER(A41),VLOOKUP(A41,Methuselahs!$A$7:$E$206,3,0),"")</f>
        <v/>
      </c>
      <c r="D41" s="258" t="str">
        <f t="shared" ca="1" si="12"/>
        <v/>
      </c>
      <c r="E41" s="259"/>
      <c r="F41" s="257">
        <f t="shared" si="13"/>
        <v>0</v>
      </c>
      <c r="G41" s="244" t="str">
        <f t="shared" ca="1" si="14"/>
        <v/>
      </c>
      <c r="H41" s="245" t="str">
        <f ca="1">IF(ISNUMBER(A41),IF(OR($S41=$U41,NOT(ISNA(MATCH($D41*5+$V$4,Override!$C$6:$C$125,0)))),$Q41,0),"")</f>
        <v/>
      </c>
      <c r="I41" s="258" t="str">
        <f t="shared" ca="1" si="15"/>
        <v/>
      </c>
      <c r="J41" s="260">
        <f ca="1">COUNT(A37:A41)</f>
        <v>4</v>
      </c>
      <c r="K41" s="261" t="str">
        <f ca="1">IF(ISNUMBER(A41),RANK(F41,F37:F41),"")</f>
        <v/>
      </c>
      <c r="L41" s="262" t="e">
        <f ca="1">IF(J41=5,VLOOKUP(K41,TPMatrix!$A$6:$B$10,2,0),IF(J41=4,VLOOKUP(K41,TPMatrix!$D$6:$E$9,2,0),0))</f>
        <v>#N/A</v>
      </c>
      <c r="M41" s="262" t="str">
        <f ca="1">IF(COUNTIF(K37:K41,K41)&gt;=2,IF(J41=5,VLOOKUP(K41+1,TPMatrix!$A$6:$B$10,2,0),IF(J41=4,VLOOKUP(K41+1,TPMatrix!$D$6:$E$9,2,0),0)),"")</f>
        <v/>
      </c>
      <c r="N41" s="262" t="str">
        <f ca="1">IF(COUNTIF(K37:K41,K41)&gt;=3,IF(J41=5,VLOOKUP(K41+2,TPMatrix!$A$6:$B$10,2,0),IF(J41=4,VLOOKUP(K41+2,TPMatrix!$D$6:$E$9,2,0),0)),"")</f>
        <v/>
      </c>
      <c r="O41" s="262" t="str">
        <f ca="1">IF(COUNTIF(K37:K41,K41)&gt;=4,IF(J41=5,VLOOKUP(K41+3,TPMatrix!$A$6:$B$10,2,0),IF(J41=4,VLOOKUP(K41+3,TPMatrix!$D$6:$E$9,2,0),0)),"")</f>
        <v/>
      </c>
      <c r="P41" s="262" t="str">
        <f ca="1">IF(COUNTIF(K37:K41,K41)&gt;=5,IF(J41=5,VLOOKUP(K41+4,TPMatrix!$A$6:$B$10,2,0),IF(J41=4,VLOOKUP(K41+4,TPMatrix!$D$6:$E$9,2,0),0)),"")</f>
        <v/>
      </c>
      <c r="Q41" s="262" t="e">
        <f t="shared" ca="1" si="16"/>
        <v>#N/A</v>
      </c>
      <c r="R41" s="263">
        <f t="shared" ca="1" si="17"/>
        <v>0</v>
      </c>
      <c r="S41" s="261">
        <f t="shared" ca="1" si="18"/>
        <v>0</v>
      </c>
      <c r="T41" s="262">
        <f t="shared" si="19"/>
        <v>0</v>
      </c>
      <c r="U41" s="263">
        <f t="shared" ca="1" si="20"/>
        <v>4</v>
      </c>
      <c r="W41" s="36" t="str">
        <f t="shared" ca="1" si="21"/>
        <v/>
      </c>
      <c r="X41" s="36" t="str">
        <f ca="1">IF(ISNUMBER($A41),$W41*(Methuselahs!$A$4+1)+$A41,"")</f>
        <v/>
      </c>
      <c r="Y41" s="36" t="str">
        <f t="shared" ca="1" si="22"/>
        <v/>
      </c>
      <c r="Z41" s="36" t="str">
        <f ca="1">IF(ISNUMBER($A41),VLOOKUP($A41,Methuselahs!$A$7:$X$206,5),"")</f>
        <v/>
      </c>
      <c r="AA41" s="36" t="str">
        <f t="shared" ca="1" si="23"/>
        <v/>
      </c>
    </row>
    <row r="42" spans="1:27" ht="12.95" customHeight="1" x14ac:dyDescent="0.2">
      <c r="A42" s="219" t="str">
        <f ca="1">IF(ISBLANK('Tournament Info'!$B$11),"",INDIRECT(ADDRESS(ROW(),1,1,1,"Optimal Seating "&amp;'Tournament Info'!$B$11-1&amp;"R+F")))</f>
        <v/>
      </c>
      <c r="B42" s="143" t="str">
        <f ca="1">IF(ISNUMBER(A42),VLOOKUP(A42,Methuselahs!$A$7:$E$206,2,0),"")</f>
        <v/>
      </c>
      <c r="C42" s="220" t="str">
        <f ca="1">IF(ISNUMBER(A42),VLOOKUP(A42,Methuselahs!$A$7:$E$206,3,0),"")</f>
        <v/>
      </c>
      <c r="D42" s="221" t="str">
        <f t="shared" ca="1" si="12"/>
        <v/>
      </c>
      <c r="E42" s="222"/>
      <c r="F42" s="220">
        <f t="shared" si="13"/>
        <v>0</v>
      </c>
      <c r="G42" s="223" t="str">
        <f t="shared" ca="1" si="14"/>
        <v/>
      </c>
      <c r="H42" s="224" t="str">
        <f ca="1">IF(ISNUMBER(A42),IF(OR($S42=$U42,NOT(ISNA(MATCH($D42*5+$V$4,Override!$C$6:$C$125,0)))),$Q42,0),"")</f>
        <v/>
      </c>
      <c r="I42" s="221" t="str">
        <f t="shared" ca="1" si="15"/>
        <v/>
      </c>
      <c r="J42" s="225">
        <f ca="1">COUNT(A42:A46)</f>
        <v>0</v>
      </c>
      <c r="K42" s="226" t="str">
        <f ca="1">IF(ISNUMBER(A42),RANK(F42,F42:F46),"")</f>
        <v/>
      </c>
      <c r="L42" s="227">
        <f ca="1">IF(J42=5,VLOOKUP(K42,TPMatrix!$A$6:$B$10,2,0),IF(J42=4,VLOOKUP(K42,TPMatrix!$D$6:$E$9,2,0),0))</f>
        <v>0</v>
      </c>
      <c r="M42" s="227">
        <f ca="1">IF(COUNTIF(K42:K46,K42)&gt;=2,IF(J42=5,VLOOKUP(K42+1,TPMatrix!$A$6:$B$10,2,0),IF(J42=4,VLOOKUP(K42+1,TPMatrix!$D$6:$E$9,2,0),0)),"")</f>
        <v>0</v>
      </c>
      <c r="N42" s="227">
        <f ca="1">IF(COUNTIF(K42:K46,K42)&gt;=3,IF(J42=5,VLOOKUP(K42+2,TPMatrix!$A$6:$B$10,2,0),IF(J42=4,VLOOKUP(K42+2,TPMatrix!$D$6:$E$9,2,0),0)),"")</f>
        <v>0</v>
      </c>
      <c r="O42" s="227">
        <f ca="1">IF(COUNTIF(K42:K46,K42)&gt;=4,IF(J42=5,VLOOKUP(K42+3,TPMatrix!$A$6:$B$10,2,0),IF(J42=4,VLOOKUP(K42+3,TPMatrix!$D$6:$E$9,2,0),0)),"")</f>
        <v>0</v>
      </c>
      <c r="P42" s="227">
        <f ca="1">IF(COUNTIF(K42:K46,K42)&gt;=5,IF(J42=5,VLOOKUP(K42+4,TPMatrix!$A$6:$B$10,2,0),IF(J42=4,VLOOKUP(K42+4,TPMatrix!$D$6:$E$9,2,0),0)),"")</f>
        <v>0</v>
      </c>
      <c r="Q42" s="227">
        <f t="shared" ca="1" si="16"/>
        <v>0</v>
      </c>
      <c r="R42" s="228">
        <f t="shared" ca="1" si="17"/>
        <v>5</v>
      </c>
      <c r="S42" s="229">
        <f t="shared" ca="1" si="18"/>
        <v>0</v>
      </c>
      <c r="T42" s="230">
        <f t="shared" si="19"/>
        <v>0</v>
      </c>
      <c r="U42" s="231">
        <f t="shared" ca="1" si="20"/>
        <v>0</v>
      </c>
      <c r="W42" s="36" t="str">
        <f t="shared" ca="1" si="21"/>
        <v/>
      </c>
      <c r="X42" s="36" t="str">
        <f ca="1">IF(ISNUMBER($A42),$W42*(Methuselahs!$A$4+1)+$A42,"")</f>
        <v/>
      </c>
      <c r="Y42" s="36" t="str">
        <f t="shared" ca="1" si="22"/>
        <v/>
      </c>
      <c r="Z42" s="36" t="str">
        <f ca="1">IF(ISNUMBER($A42),VLOOKUP($A42,Methuselahs!$A$7:$X$206,5),"")</f>
        <v/>
      </c>
      <c r="AA42" s="36" t="str">
        <f t="shared" ca="1" si="23"/>
        <v/>
      </c>
    </row>
    <row r="43" spans="1:27" ht="12.95" customHeight="1" x14ac:dyDescent="0.2">
      <c r="A43" s="111" t="str">
        <f ca="1">IF(ISBLANK('Tournament Info'!$B$11),"",INDIRECT(ADDRESS(ROW(),1,1,1,"Optimal Seating "&amp;'Tournament Info'!$B$11-1&amp;"R+F")))</f>
        <v/>
      </c>
      <c r="B43" s="117" t="str">
        <f ca="1">IF(ISNUMBER(A43),VLOOKUP(A43,Methuselahs!$A$7:$E$206,2,0),"")</f>
        <v/>
      </c>
      <c r="C43" s="232" t="str">
        <f ca="1">IF(ISNUMBER(A43),VLOOKUP(A43,Methuselahs!$A$7:$E$206,3,0),"")</f>
        <v/>
      </c>
      <c r="D43" s="233" t="str">
        <f t="shared" ca="1" si="12"/>
        <v/>
      </c>
      <c r="E43" s="234"/>
      <c r="F43" s="232">
        <f t="shared" si="13"/>
        <v>0</v>
      </c>
      <c r="G43" s="235" t="str">
        <f t="shared" ca="1" si="14"/>
        <v/>
      </c>
      <c r="H43" s="236" t="str">
        <f ca="1">IF(ISNUMBER(A43),IF(OR($S43=$U43,NOT(ISNA(MATCH($D43*5+$V$4,Override!$C$6:$C$125,0)))),$Q43,0),"")</f>
        <v/>
      </c>
      <c r="I43" s="233" t="str">
        <f t="shared" ca="1" si="15"/>
        <v/>
      </c>
      <c r="J43" s="237">
        <f ca="1">COUNT(A42:A46)</f>
        <v>0</v>
      </c>
      <c r="K43" s="238" t="str">
        <f ca="1">IF(ISNUMBER(A43),RANK(F43,F42:F46),"")</f>
        <v/>
      </c>
      <c r="L43" s="239">
        <f ca="1">IF(J43=5,VLOOKUP(K43,TPMatrix!$A$6:$B$10,2,0),IF(J43=4,VLOOKUP(K43,TPMatrix!$D$6:$E$9,2,0),0))</f>
        <v>0</v>
      </c>
      <c r="M43" s="239">
        <f ca="1">IF(COUNTIF(K42:K46,K43)&gt;=2,IF(J43=5,VLOOKUP(K43+1,TPMatrix!$A$6:$B$10,2,0),IF(J43=4,VLOOKUP(K43+1,TPMatrix!$D$6:$E$9,2,0),0)),"")</f>
        <v>0</v>
      </c>
      <c r="N43" s="239">
        <f ca="1">IF(COUNTIF(K42:K46,K43)&gt;=3,IF(J43=5,VLOOKUP(K43+2,TPMatrix!$A$6:$B$10,2,0),IF(J43=4,VLOOKUP(K43+2,TPMatrix!$D$6:$E$9,2,0),0)),"")</f>
        <v>0</v>
      </c>
      <c r="O43" s="239">
        <f ca="1">IF(COUNTIF(K42:K46,K43)&gt;=4,IF(J43=5,VLOOKUP(K43+3,TPMatrix!$A$6:$B$10,2,0),IF(J43=4,VLOOKUP(K43+3,TPMatrix!$D$6:$E$9,2,0),0)),"")</f>
        <v>0</v>
      </c>
      <c r="P43" s="239">
        <f ca="1">IF(COUNTIF(K42:K46,K43)&gt;=5,IF(J43=5,VLOOKUP(K43+4,TPMatrix!$A$6:$B$10,2,0),IF(J43=4,VLOOKUP(K43+4,TPMatrix!$D$6:$E$9,2,0),0)),"")</f>
        <v>0</v>
      </c>
      <c r="Q43" s="239">
        <f t="shared" ca="1" si="16"/>
        <v>0</v>
      </c>
      <c r="R43" s="240">
        <f t="shared" ca="1" si="17"/>
        <v>5</v>
      </c>
      <c r="S43" s="238">
        <f t="shared" ca="1" si="18"/>
        <v>0</v>
      </c>
      <c r="T43" s="239">
        <f t="shared" si="19"/>
        <v>0</v>
      </c>
      <c r="U43" s="240">
        <f t="shared" ca="1" si="20"/>
        <v>0</v>
      </c>
      <c r="W43" s="36" t="str">
        <f t="shared" ca="1" si="21"/>
        <v/>
      </c>
      <c r="X43" s="36" t="str">
        <f ca="1">IF(ISNUMBER($A43),$W43*(Methuselahs!$A$4+1)+$A43,"")</f>
        <v/>
      </c>
      <c r="Y43" s="36" t="str">
        <f t="shared" ca="1" si="22"/>
        <v/>
      </c>
      <c r="Z43" s="36" t="str">
        <f ca="1">IF(ISNUMBER($A43),VLOOKUP($A43,Methuselahs!$A$7:$X$206,5),"")</f>
        <v/>
      </c>
      <c r="AA43" s="36" t="str">
        <f t="shared" ca="1" si="23"/>
        <v/>
      </c>
    </row>
    <row r="44" spans="1:27" ht="12.95" customHeight="1" x14ac:dyDescent="0.2">
      <c r="A44" s="137" t="str">
        <f ca="1">IF(ISBLANK('Tournament Info'!$B$11),"",INDIRECT(ADDRESS(ROW(),1,1,1,"Optimal Seating "&amp;'Tournament Info'!$B$11-1&amp;"R+F")))</f>
        <v/>
      </c>
      <c r="B44" s="143" t="str">
        <f ca="1">IF(ISNUMBER(A44),VLOOKUP(A44,Methuselahs!$A$7:$E$206,2,0),"")</f>
        <v/>
      </c>
      <c r="C44" s="241" t="str">
        <f ca="1">IF(ISNUMBER(A44),VLOOKUP(A44,Methuselahs!$A$7:$E$206,3,0),"")</f>
        <v/>
      </c>
      <c r="D44" s="242" t="str">
        <f t="shared" ca="1" si="12"/>
        <v/>
      </c>
      <c r="E44" s="243"/>
      <c r="F44" s="241">
        <f t="shared" si="13"/>
        <v>0</v>
      </c>
      <c r="G44" s="244" t="str">
        <f t="shared" ca="1" si="14"/>
        <v/>
      </c>
      <c r="H44" s="245" t="str">
        <f ca="1">IF(ISNUMBER(A44),IF(OR($S44=$U44,NOT(ISNA(MATCH($D44*5+$V$4,Override!$C$6:$C$125,0)))),$Q44,0),"")</f>
        <v/>
      </c>
      <c r="I44" s="242" t="str">
        <f t="shared" ca="1" si="15"/>
        <v/>
      </c>
      <c r="J44" s="246">
        <f ca="1">COUNT(A42:A46)</f>
        <v>0</v>
      </c>
      <c r="K44" s="247" t="str">
        <f ca="1">IF(ISNUMBER(A44),RANK(F44,F42:F46),"")</f>
        <v/>
      </c>
      <c r="L44" s="142">
        <f ca="1">IF(J44=5,VLOOKUP(K44,TPMatrix!$A$6:$B$10,2,0),IF(J44=4,VLOOKUP(K44,TPMatrix!$D$6:$E$9,2,0),0))</f>
        <v>0</v>
      </c>
      <c r="M44" s="142">
        <f ca="1">IF(COUNTIF(K42:K46,K44)&gt;=2,IF(J44=5,VLOOKUP(K44+1,TPMatrix!$A$6:$B$10,2,0),IF(J44=4,VLOOKUP(K44+1,TPMatrix!$D$6:$E$9,2,0),0)),"")</f>
        <v>0</v>
      </c>
      <c r="N44" s="142">
        <f ca="1">IF(COUNTIF(K42:K46,K44)&gt;=3,IF(J44=5,VLOOKUP(K44+2,TPMatrix!$A$6:$B$10,2,0),IF(J44=4,VLOOKUP(K44+2,TPMatrix!$D$6:$E$9,2,0),0)),"")</f>
        <v>0</v>
      </c>
      <c r="O44" s="142">
        <f ca="1">IF(COUNTIF(K42:K46,K44)&gt;=4,IF(J44=5,VLOOKUP(K44+3,TPMatrix!$A$6:$B$10,2,0),IF(J44=4,VLOOKUP(K44+3,TPMatrix!$D$6:$E$9,2,0),0)),"")</f>
        <v>0</v>
      </c>
      <c r="P44" s="142">
        <f ca="1">IF(COUNTIF(K42:K46,K44)&gt;=5,IF(J44=5,VLOOKUP(K44+4,TPMatrix!$A$6:$B$10,2,0),IF(J44=4,VLOOKUP(K44+4,TPMatrix!$D$6:$E$9,2,0),0)),"")</f>
        <v>0</v>
      </c>
      <c r="Q44" s="142">
        <f t="shared" ca="1" si="16"/>
        <v>0</v>
      </c>
      <c r="R44" s="248">
        <f t="shared" ca="1" si="17"/>
        <v>5</v>
      </c>
      <c r="S44" s="247">
        <f t="shared" ca="1" si="18"/>
        <v>0</v>
      </c>
      <c r="T44" s="142">
        <f t="shared" si="19"/>
        <v>0</v>
      </c>
      <c r="U44" s="248">
        <f t="shared" ca="1" si="20"/>
        <v>0</v>
      </c>
      <c r="W44" s="36" t="str">
        <f t="shared" ca="1" si="21"/>
        <v/>
      </c>
      <c r="X44" s="36" t="str">
        <f ca="1">IF(ISNUMBER($A44),$W44*(Methuselahs!$A$4+1)+$A44,"")</f>
        <v/>
      </c>
      <c r="Y44" s="36" t="str">
        <f t="shared" ca="1" si="22"/>
        <v/>
      </c>
      <c r="Z44" s="36" t="str">
        <f ca="1">IF(ISNUMBER($A44),VLOOKUP($A44,Methuselahs!$A$7:$X$206,5),"")</f>
        <v/>
      </c>
      <c r="AA44" s="36" t="str">
        <f t="shared" ca="1" si="23"/>
        <v/>
      </c>
    </row>
    <row r="45" spans="1:27" ht="12.95" customHeight="1" x14ac:dyDescent="0.2">
      <c r="A45" s="249" t="str">
        <f ca="1">IF(ISBLANK('Tournament Info'!$B$11),"",INDIRECT(ADDRESS(ROW(),1,1,1,"Optimal Seating "&amp;'Tournament Info'!$B$11-1&amp;"R+F")))</f>
        <v/>
      </c>
      <c r="B45" s="250" t="str">
        <f ca="1">IF(ISNUMBER(A45),VLOOKUP(A45,Methuselahs!$A$7:$E$206,2,0),"")</f>
        <v/>
      </c>
      <c r="C45" s="251" t="str">
        <f ca="1">IF(ISNUMBER(A45),VLOOKUP(A45,Methuselahs!$A$7:$E$206,3,0),"")</f>
        <v/>
      </c>
      <c r="D45" s="252" t="str">
        <f t="shared" ca="1" si="12"/>
        <v/>
      </c>
      <c r="E45" s="253"/>
      <c r="F45" s="251">
        <f t="shared" si="13"/>
        <v>0</v>
      </c>
      <c r="G45" s="235" t="str">
        <f t="shared" ca="1" si="14"/>
        <v/>
      </c>
      <c r="H45" s="236" t="str">
        <f ca="1">IF(ISNUMBER(A45),IF(OR($S45=$U45,NOT(ISNA(MATCH($D45*5+$V$4,Override!$C$6:$C$125,0)))),$Q45,0),"")</f>
        <v/>
      </c>
      <c r="I45" s="252" t="str">
        <f t="shared" ca="1" si="15"/>
        <v/>
      </c>
      <c r="J45" s="254">
        <f ca="1">COUNT(A42:A46)</f>
        <v>0</v>
      </c>
      <c r="K45" s="238" t="str">
        <f ca="1">IF(ISNUMBER(A45),RANK(F45,F42:F46),"")</f>
        <v/>
      </c>
      <c r="L45" s="239">
        <f ca="1">IF(J45=5,VLOOKUP(K45,TPMatrix!$A$6:$B$10,2,0),IF(J45=4,VLOOKUP(K45,TPMatrix!$D$6:$E$9,2,0),0))</f>
        <v>0</v>
      </c>
      <c r="M45" s="239">
        <f ca="1">IF(COUNTIF(K42:K46,K45)&gt;=2,IF(J45=5,VLOOKUP(K45+1,TPMatrix!$A$6:$B$10,2,0),IF(J45=4,VLOOKUP(K45+1,TPMatrix!$D$6:$E$9,2,0),0)),"")</f>
        <v>0</v>
      </c>
      <c r="N45" s="239">
        <f ca="1">IF(COUNTIF(K42:K46,K45)&gt;=3,IF(J45=5,VLOOKUP(K45+2,TPMatrix!$A$6:$B$10,2,0),IF(J45=4,VLOOKUP(K45+2,TPMatrix!$D$6:$E$9,2,0),0)),"")</f>
        <v>0</v>
      </c>
      <c r="O45" s="239">
        <f ca="1">IF(COUNTIF(K42:K46,K45)&gt;=4,IF(J45=5,VLOOKUP(K45+3,TPMatrix!$A$6:$B$10,2,0),IF(J45=4,VLOOKUP(K45+3,TPMatrix!$D$6:$E$9,2,0),0)),"")</f>
        <v>0</v>
      </c>
      <c r="P45" s="239">
        <f ca="1">IF(COUNTIF(K42:K46,K45)&gt;=5,IF(J45=5,VLOOKUP(K45+4,TPMatrix!$A$6:$B$10,2,0),IF(J45=4,VLOOKUP(K45+4,TPMatrix!$D$6:$E$9,2,0),0)),"")</f>
        <v>0</v>
      </c>
      <c r="Q45" s="239">
        <f t="shared" ca="1" si="16"/>
        <v>0</v>
      </c>
      <c r="R45" s="240">
        <f t="shared" ca="1" si="17"/>
        <v>5</v>
      </c>
      <c r="S45" s="238">
        <f t="shared" ca="1" si="18"/>
        <v>0</v>
      </c>
      <c r="T45" s="239">
        <f t="shared" si="19"/>
        <v>0</v>
      </c>
      <c r="U45" s="240">
        <f t="shared" ca="1" si="20"/>
        <v>0</v>
      </c>
      <c r="W45" s="36" t="str">
        <f t="shared" ca="1" si="21"/>
        <v/>
      </c>
      <c r="X45" s="36" t="str">
        <f ca="1">IF(ISNUMBER($A45),$W45*(Methuselahs!$A$4+1)+$A45,"")</f>
        <v/>
      </c>
      <c r="Y45" s="36" t="str">
        <f t="shared" ca="1" si="22"/>
        <v/>
      </c>
      <c r="Z45" s="36" t="str">
        <f ca="1">IF(ISNUMBER($A45),VLOOKUP($A45,Methuselahs!$A$7:$X$206,5),"")</f>
        <v/>
      </c>
      <c r="AA45" s="36" t="str">
        <f t="shared" ca="1" si="23"/>
        <v/>
      </c>
    </row>
    <row r="46" spans="1:27" ht="12.95" customHeight="1" x14ac:dyDescent="0.2">
      <c r="A46" s="255" t="str">
        <f ca="1">IF(ISBLANK('Tournament Info'!$B$11),"",INDIRECT(ADDRESS(ROW(),1,1,1,"Optimal Seating "&amp;'Tournament Info'!$B$11-1&amp;"R+F")))</f>
        <v/>
      </c>
      <c r="B46" s="256" t="str">
        <f ca="1">IF(ISNUMBER(A46),VLOOKUP(A46,Methuselahs!$A$7:$E$206,2,0),"")</f>
        <v/>
      </c>
      <c r="C46" s="257" t="str">
        <f ca="1">IF(ISNUMBER(A46),VLOOKUP(A46,Methuselahs!$A$7:$E$206,3,0),"")</f>
        <v/>
      </c>
      <c r="D46" s="258" t="str">
        <f t="shared" ca="1" si="12"/>
        <v/>
      </c>
      <c r="E46" s="259"/>
      <c r="F46" s="257">
        <f t="shared" si="13"/>
        <v>0</v>
      </c>
      <c r="G46" s="244" t="str">
        <f t="shared" ca="1" si="14"/>
        <v/>
      </c>
      <c r="H46" s="245" t="str">
        <f ca="1">IF(ISNUMBER(A46),IF(OR($S46=$U46,NOT(ISNA(MATCH($D46*5+$V$4,Override!$C$6:$C$125,0)))),$Q46,0),"")</f>
        <v/>
      </c>
      <c r="I46" s="258" t="str">
        <f t="shared" ca="1" si="15"/>
        <v/>
      </c>
      <c r="J46" s="260">
        <f ca="1">COUNT(A42:A46)</f>
        <v>0</v>
      </c>
      <c r="K46" s="261" t="str">
        <f ca="1">IF(ISNUMBER(A46),RANK(F46,F42:F46),"")</f>
        <v/>
      </c>
      <c r="L46" s="262">
        <f ca="1">IF(J46=5,VLOOKUP(K46,TPMatrix!$A$6:$B$10,2,0),IF(J46=4,VLOOKUP(K46,TPMatrix!$D$6:$E$9,2,0),0))</f>
        <v>0</v>
      </c>
      <c r="M46" s="262">
        <f ca="1">IF(COUNTIF(K42:K46,K46)&gt;=2,IF(J46=5,VLOOKUP(K46+1,TPMatrix!$A$6:$B$10,2,0),IF(J46=4,VLOOKUP(K46+1,TPMatrix!$D$6:$E$9,2,0),0)),"")</f>
        <v>0</v>
      </c>
      <c r="N46" s="262">
        <f ca="1">IF(COUNTIF(K42:K46,K46)&gt;=3,IF(J46=5,VLOOKUP(K46+2,TPMatrix!$A$6:$B$10,2,0),IF(J46=4,VLOOKUP(K46+2,TPMatrix!$D$6:$E$9,2,0),0)),"")</f>
        <v>0</v>
      </c>
      <c r="O46" s="262">
        <f ca="1">IF(COUNTIF(K42:K46,K46)&gt;=4,IF(J46=5,VLOOKUP(K46+3,TPMatrix!$A$6:$B$10,2,0),IF(J46=4,VLOOKUP(K46+3,TPMatrix!$D$6:$E$9,2,0),0)),"")</f>
        <v>0</v>
      </c>
      <c r="P46" s="262">
        <f ca="1">IF(COUNTIF(K42:K46,K46)&gt;=5,IF(J46=5,VLOOKUP(K46+4,TPMatrix!$A$6:$B$10,2,0),IF(J46=4,VLOOKUP(K46+4,TPMatrix!$D$6:$E$9,2,0),0)),"")</f>
        <v>0</v>
      </c>
      <c r="Q46" s="262">
        <f t="shared" ca="1" si="16"/>
        <v>0</v>
      </c>
      <c r="R46" s="263">
        <f t="shared" ca="1" si="17"/>
        <v>5</v>
      </c>
      <c r="S46" s="261">
        <f t="shared" ca="1" si="18"/>
        <v>0</v>
      </c>
      <c r="T46" s="262">
        <f t="shared" si="19"/>
        <v>0</v>
      </c>
      <c r="U46" s="263">
        <f t="shared" ca="1" si="20"/>
        <v>0</v>
      </c>
      <c r="W46" s="36" t="str">
        <f t="shared" ca="1" si="21"/>
        <v/>
      </c>
      <c r="X46" s="36" t="str">
        <f ca="1">IF(ISNUMBER($A46),$W46*(Methuselahs!$A$4+1)+$A46,"")</f>
        <v/>
      </c>
      <c r="Y46" s="36" t="str">
        <f t="shared" ca="1" si="22"/>
        <v/>
      </c>
      <c r="Z46" s="36" t="str">
        <f ca="1">IF(ISNUMBER($A46),VLOOKUP($A46,Methuselahs!$A$7:$X$206,5),"")</f>
        <v/>
      </c>
      <c r="AA46" s="36" t="str">
        <f t="shared" ca="1" si="23"/>
        <v/>
      </c>
    </row>
    <row r="47" spans="1:27" ht="12.95" customHeight="1" x14ac:dyDescent="0.2">
      <c r="A47" s="219" t="str">
        <f ca="1">IF(ISBLANK('Tournament Info'!$B$11),"",INDIRECT(ADDRESS(ROW(),1,1,1,"Optimal Seating "&amp;'Tournament Info'!$B$11-1&amp;"R+F")))</f>
        <v/>
      </c>
      <c r="B47" s="143" t="str">
        <f ca="1">IF(ISNUMBER(A47),VLOOKUP(A47,Methuselahs!$A$7:$E$206,2,0),"")</f>
        <v/>
      </c>
      <c r="C47" s="220" t="str">
        <f ca="1">IF(ISNUMBER(A47),VLOOKUP(A47,Methuselahs!$A$7:$E$206,3,0),"")</f>
        <v/>
      </c>
      <c r="D47" s="221" t="str">
        <f t="shared" ca="1" si="12"/>
        <v/>
      </c>
      <c r="E47" s="222"/>
      <c r="F47" s="220">
        <f t="shared" si="13"/>
        <v>0</v>
      </c>
      <c r="G47" s="223" t="str">
        <f t="shared" ca="1" si="14"/>
        <v/>
      </c>
      <c r="H47" s="224" t="str">
        <f ca="1">IF(ISNUMBER(A47),IF(OR($S47=$U47,NOT(ISNA(MATCH($D47*5+$V$4,Override!$C$6:$C$125,0)))),$Q47,0),"")</f>
        <v/>
      </c>
      <c r="I47" s="221" t="str">
        <f t="shared" ca="1" si="15"/>
        <v/>
      </c>
      <c r="J47" s="225">
        <f ca="1">COUNT(A47:A51)</f>
        <v>0</v>
      </c>
      <c r="K47" s="226" t="str">
        <f ca="1">IF(ISNUMBER(A47),RANK(F47,F47:F51),"")</f>
        <v/>
      </c>
      <c r="L47" s="227">
        <f ca="1">IF(J47=5,VLOOKUP(K47,TPMatrix!$A$6:$B$10,2,0),IF(J47=4,VLOOKUP(K47,TPMatrix!$D$6:$E$9,2,0),0))</f>
        <v>0</v>
      </c>
      <c r="M47" s="227">
        <f ca="1">IF(COUNTIF(K47:K51,K47)&gt;=2,IF(J47=5,VLOOKUP(K47+1,TPMatrix!$A$6:$B$10,2,0),IF(J47=4,VLOOKUP(K47+1,TPMatrix!$D$6:$E$9,2,0),0)),"")</f>
        <v>0</v>
      </c>
      <c r="N47" s="227">
        <f ca="1">IF(COUNTIF(K47:K51,K47)&gt;=3,IF(J47=5,VLOOKUP(K47+2,TPMatrix!$A$6:$B$10,2,0),IF(J47=4,VLOOKUP(K47+2,TPMatrix!$D$6:$E$9,2,0),0)),"")</f>
        <v>0</v>
      </c>
      <c r="O47" s="227">
        <f ca="1">IF(COUNTIF(K47:K51,K47)&gt;=4,IF(J47=5,VLOOKUP(K47+3,TPMatrix!$A$6:$B$10,2,0),IF(J47=4,VLOOKUP(K47+3,TPMatrix!$D$6:$E$9,2,0),0)),"")</f>
        <v>0</v>
      </c>
      <c r="P47" s="227">
        <f ca="1">IF(COUNTIF(K47:K51,K47)&gt;=5,IF(J47=5,VLOOKUP(K47+4,TPMatrix!$A$6:$B$10,2,0),IF(J47=4,VLOOKUP(K47+4,TPMatrix!$D$6:$E$9,2,0),0)),"")</f>
        <v>0</v>
      </c>
      <c r="Q47" s="227">
        <f t="shared" ca="1" si="16"/>
        <v>0</v>
      </c>
      <c r="R47" s="228">
        <f t="shared" ca="1" si="17"/>
        <v>5</v>
      </c>
      <c r="S47" s="229">
        <f t="shared" ca="1" si="18"/>
        <v>0</v>
      </c>
      <c r="T47" s="230">
        <f t="shared" si="19"/>
        <v>0</v>
      </c>
      <c r="U47" s="231">
        <f t="shared" ca="1" si="20"/>
        <v>0</v>
      </c>
      <c r="W47" s="36" t="str">
        <f t="shared" ca="1" si="21"/>
        <v/>
      </c>
      <c r="X47" s="36" t="str">
        <f ca="1">IF(ISNUMBER($A47),$W47*(Methuselahs!$A$4+1)+$A47,"")</f>
        <v/>
      </c>
      <c r="Y47" s="36" t="str">
        <f t="shared" ca="1" si="22"/>
        <v/>
      </c>
      <c r="Z47" s="36" t="str">
        <f ca="1">IF(ISNUMBER($A47),VLOOKUP($A47,Methuselahs!$A$7:$X$206,5),"")</f>
        <v/>
      </c>
      <c r="AA47" s="36" t="str">
        <f t="shared" ca="1" si="23"/>
        <v/>
      </c>
    </row>
    <row r="48" spans="1:27" ht="12.95" customHeight="1" x14ac:dyDescent="0.2">
      <c r="A48" s="111" t="str">
        <f ca="1">IF(ISBLANK('Tournament Info'!$B$11),"",INDIRECT(ADDRESS(ROW(),1,1,1,"Optimal Seating "&amp;'Tournament Info'!$B$11-1&amp;"R+F")))</f>
        <v/>
      </c>
      <c r="B48" s="117" t="str">
        <f ca="1">IF(ISNUMBER(A48),VLOOKUP(A48,Methuselahs!$A$7:$E$206,2,0),"")</f>
        <v/>
      </c>
      <c r="C48" s="232" t="str">
        <f ca="1">IF(ISNUMBER(A48),VLOOKUP(A48,Methuselahs!$A$7:$E$206,3,0),"")</f>
        <v/>
      </c>
      <c r="D48" s="233" t="str">
        <f t="shared" ca="1" si="12"/>
        <v/>
      </c>
      <c r="E48" s="234"/>
      <c r="F48" s="232">
        <f t="shared" si="13"/>
        <v>0</v>
      </c>
      <c r="G48" s="235" t="str">
        <f t="shared" ca="1" si="14"/>
        <v/>
      </c>
      <c r="H48" s="236" t="str">
        <f ca="1">IF(ISNUMBER(A48),IF(OR($S48=$U48,NOT(ISNA(MATCH($D48*5+$V$4,Override!$C$6:$C$125,0)))),$Q48,0),"")</f>
        <v/>
      </c>
      <c r="I48" s="233" t="str">
        <f t="shared" ca="1" si="15"/>
        <v/>
      </c>
      <c r="J48" s="237">
        <f ca="1">COUNT(A47:A51)</f>
        <v>0</v>
      </c>
      <c r="K48" s="238" t="str">
        <f ca="1">IF(ISNUMBER(A48),RANK(F48,F47:F51),"")</f>
        <v/>
      </c>
      <c r="L48" s="239">
        <f ca="1">IF(J48=5,VLOOKUP(K48,TPMatrix!$A$6:$B$10,2,0),IF(J48=4,VLOOKUP(K48,TPMatrix!$D$6:$E$9,2,0),0))</f>
        <v>0</v>
      </c>
      <c r="M48" s="239">
        <f ca="1">IF(COUNTIF(K47:K51,K48)&gt;=2,IF(J48=5,VLOOKUP(K48+1,TPMatrix!$A$6:$B$10,2,0),IF(J48=4,VLOOKUP(K48+1,TPMatrix!$D$6:$E$9,2,0),0)),"")</f>
        <v>0</v>
      </c>
      <c r="N48" s="239">
        <f ca="1">IF(COUNTIF(K47:K51,K48)&gt;=3,IF(J48=5,VLOOKUP(K48+2,TPMatrix!$A$6:$B$10,2,0),IF(J48=4,VLOOKUP(K48+2,TPMatrix!$D$6:$E$9,2,0),0)),"")</f>
        <v>0</v>
      </c>
      <c r="O48" s="239">
        <f ca="1">IF(COUNTIF(K47:K51,K48)&gt;=4,IF(J48=5,VLOOKUP(K48+3,TPMatrix!$A$6:$B$10,2,0),IF(J48=4,VLOOKUP(K48+3,TPMatrix!$D$6:$E$9,2,0),0)),"")</f>
        <v>0</v>
      </c>
      <c r="P48" s="239">
        <f ca="1">IF(COUNTIF(K47:K51,K48)&gt;=5,IF(J48=5,VLOOKUP(K48+4,TPMatrix!$A$6:$B$10,2,0),IF(J48=4,VLOOKUP(K48+4,TPMatrix!$D$6:$E$9,2,0),0)),"")</f>
        <v>0</v>
      </c>
      <c r="Q48" s="239">
        <f t="shared" ca="1" si="16"/>
        <v>0</v>
      </c>
      <c r="R48" s="240">
        <f t="shared" ca="1" si="17"/>
        <v>5</v>
      </c>
      <c r="S48" s="238">
        <f t="shared" ca="1" si="18"/>
        <v>0</v>
      </c>
      <c r="T48" s="239">
        <f t="shared" si="19"/>
        <v>0</v>
      </c>
      <c r="U48" s="240">
        <f t="shared" ca="1" si="20"/>
        <v>0</v>
      </c>
      <c r="W48" s="36" t="str">
        <f t="shared" ca="1" si="21"/>
        <v/>
      </c>
      <c r="X48" s="36" t="str">
        <f ca="1">IF(ISNUMBER($A48),$W48*(Methuselahs!$A$4+1)+$A48,"")</f>
        <v/>
      </c>
      <c r="Y48" s="36" t="str">
        <f t="shared" ca="1" si="22"/>
        <v/>
      </c>
      <c r="Z48" s="36" t="str">
        <f ca="1">IF(ISNUMBER($A48),VLOOKUP($A48,Methuselahs!$A$7:$X$206,5),"")</f>
        <v/>
      </c>
      <c r="AA48" s="36" t="str">
        <f t="shared" ca="1" si="23"/>
        <v/>
      </c>
    </row>
    <row r="49" spans="1:27" ht="12.95" customHeight="1" x14ac:dyDescent="0.2">
      <c r="A49" s="137" t="str">
        <f ca="1">IF(ISBLANK('Tournament Info'!$B$11),"",INDIRECT(ADDRESS(ROW(),1,1,1,"Optimal Seating "&amp;'Tournament Info'!$B$11-1&amp;"R+F")))</f>
        <v/>
      </c>
      <c r="B49" s="143" t="str">
        <f ca="1">IF(ISNUMBER(A49),VLOOKUP(A49,Methuselahs!$A$7:$E$206,2,0),"")</f>
        <v/>
      </c>
      <c r="C49" s="241" t="str">
        <f ca="1">IF(ISNUMBER(A49),VLOOKUP(A49,Methuselahs!$A$7:$E$206,3,0),"")</f>
        <v/>
      </c>
      <c r="D49" s="242" t="str">
        <f t="shared" ca="1" si="12"/>
        <v/>
      </c>
      <c r="E49" s="243"/>
      <c r="F49" s="241">
        <f t="shared" si="13"/>
        <v>0</v>
      </c>
      <c r="G49" s="244" t="str">
        <f t="shared" ca="1" si="14"/>
        <v/>
      </c>
      <c r="H49" s="245" t="str">
        <f ca="1">IF(ISNUMBER(A49),IF(OR($S49=$U49,NOT(ISNA(MATCH($D49*5+$V$4,Override!$C$6:$C$125,0)))),$Q49,0),"")</f>
        <v/>
      </c>
      <c r="I49" s="242" t="str">
        <f t="shared" ca="1" si="15"/>
        <v/>
      </c>
      <c r="J49" s="246">
        <f ca="1">COUNT(A47:A51)</f>
        <v>0</v>
      </c>
      <c r="K49" s="247" t="str">
        <f ca="1">IF(ISNUMBER(A49),RANK(F49,F47:F51),"")</f>
        <v/>
      </c>
      <c r="L49" s="142">
        <f ca="1">IF(J49=5,VLOOKUP(K49,TPMatrix!$A$6:$B$10,2,0),IF(J49=4,VLOOKUP(K49,TPMatrix!$D$6:$E$9,2,0),0))</f>
        <v>0</v>
      </c>
      <c r="M49" s="142">
        <f ca="1">IF(COUNTIF(K47:K51,K49)&gt;=2,IF(J49=5,VLOOKUP(K49+1,TPMatrix!$A$6:$B$10,2,0),IF(J49=4,VLOOKUP(K49+1,TPMatrix!$D$6:$E$9,2,0),0)),"")</f>
        <v>0</v>
      </c>
      <c r="N49" s="142">
        <f ca="1">IF(COUNTIF(K47:K51,K49)&gt;=3,IF(J49=5,VLOOKUP(K49+2,TPMatrix!$A$6:$B$10,2,0),IF(J49=4,VLOOKUP(K49+2,TPMatrix!$D$6:$E$9,2,0),0)),"")</f>
        <v>0</v>
      </c>
      <c r="O49" s="142">
        <f ca="1">IF(COUNTIF(K47:K51,K49)&gt;=4,IF(J49=5,VLOOKUP(K49+3,TPMatrix!$A$6:$B$10,2,0),IF(J49=4,VLOOKUP(K49+3,TPMatrix!$D$6:$E$9,2,0),0)),"")</f>
        <v>0</v>
      </c>
      <c r="P49" s="142">
        <f ca="1">IF(COUNTIF(K47:K51,K49)&gt;=5,IF(J49=5,VLOOKUP(K49+4,TPMatrix!$A$6:$B$10,2,0),IF(J49=4,VLOOKUP(K49+4,TPMatrix!$D$6:$E$9,2,0),0)),"")</f>
        <v>0</v>
      </c>
      <c r="Q49" s="142">
        <f t="shared" ca="1" si="16"/>
        <v>0</v>
      </c>
      <c r="R49" s="248">
        <f t="shared" ca="1" si="17"/>
        <v>5</v>
      </c>
      <c r="S49" s="247">
        <f t="shared" ca="1" si="18"/>
        <v>0</v>
      </c>
      <c r="T49" s="142">
        <f t="shared" si="19"/>
        <v>0</v>
      </c>
      <c r="U49" s="248">
        <f t="shared" ca="1" si="20"/>
        <v>0</v>
      </c>
      <c r="W49" s="36" t="str">
        <f t="shared" ca="1" si="21"/>
        <v/>
      </c>
      <c r="X49" s="36" t="str">
        <f ca="1">IF(ISNUMBER($A49),$W49*(Methuselahs!$A$4+1)+$A49,"")</f>
        <v/>
      </c>
      <c r="Y49" s="36" t="str">
        <f t="shared" ca="1" si="22"/>
        <v/>
      </c>
      <c r="Z49" s="36" t="str">
        <f ca="1">IF(ISNUMBER($A49),VLOOKUP($A49,Methuselahs!$A$7:$X$206,5),"")</f>
        <v/>
      </c>
      <c r="AA49" s="36" t="str">
        <f t="shared" ca="1" si="23"/>
        <v/>
      </c>
    </row>
    <row r="50" spans="1:27" ht="12.95" customHeight="1" x14ac:dyDescent="0.2">
      <c r="A50" s="249" t="str">
        <f ca="1">IF(ISBLANK('Tournament Info'!$B$11),"",INDIRECT(ADDRESS(ROW(),1,1,1,"Optimal Seating "&amp;'Tournament Info'!$B$11-1&amp;"R+F")))</f>
        <v/>
      </c>
      <c r="B50" s="250" t="str">
        <f ca="1">IF(ISNUMBER(A50),VLOOKUP(A50,Methuselahs!$A$7:$E$206,2,0),"")</f>
        <v/>
      </c>
      <c r="C50" s="251" t="str">
        <f ca="1">IF(ISNUMBER(A50),VLOOKUP(A50,Methuselahs!$A$7:$E$206,3,0),"")</f>
        <v/>
      </c>
      <c r="D50" s="252" t="str">
        <f t="shared" ca="1" si="12"/>
        <v/>
      </c>
      <c r="E50" s="253"/>
      <c r="F50" s="251">
        <f t="shared" si="13"/>
        <v>0</v>
      </c>
      <c r="G50" s="235" t="str">
        <f t="shared" ca="1" si="14"/>
        <v/>
      </c>
      <c r="H50" s="236" t="str">
        <f ca="1">IF(ISNUMBER(A50),IF(OR($S50=$U50,NOT(ISNA(MATCH($D50*5+$V$4,Override!$C$6:$C$125,0)))),$Q50,0),"")</f>
        <v/>
      </c>
      <c r="I50" s="252" t="str">
        <f t="shared" ca="1" si="15"/>
        <v/>
      </c>
      <c r="J50" s="254">
        <f ca="1">COUNT(A47:A51)</f>
        <v>0</v>
      </c>
      <c r="K50" s="238" t="str">
        <f ca="1">IF(ISNUMBER(A50),RANK(F50,F47:F51),"")</f>
        <v/>
      </c>
      <c r="L50" s="239">
        <f ca="1">IF(J50=5,VLOOKUP(K50,TPMatrix!$A$6:$B$10,2,0),IF(J50=4,VLOOKUP(K50,TPMatrix!$D$6:$E$9,2,0),0))</f>
        <v>0</v>
      </c>
      <c r="M50" s="239">
        <f ca="1">IF(COUNTIF(K47:K51,K50)&gt;=2,IF(J50=5,VLOOKUP(K50+1,TPMatrix!$A$6:$B$10,2,0),IF(J50=4,VLOOKUP(K50+1,TPMatrix!$D$6:$E$9,2,0),0)),"")</f>
        <v>0</v>
      </c>
      <c r="N50" s="239">
        <f ca="1">IF(COUNTIF(K47:K51,K50)&gt;=3,IF(J50=5,VLOOKUP(K50+2,TPMatrix!$A$6:$B$10,2,0),IF(J50=4,VLOOKUP(K50+2,TPMatrix!$D$6:$E$9,2,0),0)),"")</f>
        <v>0</v>
      </c>
      <c r="O50" s="239">
        <f ca="1">IF(COUNTIF(K47:K51,K50)&gt;=4,IF(J50=5,VLOOKUP(K50+3,TPMatrix!$A$6:$B$10,2,0),IF(J50=4,VLOOKUP(K50+3,TPMatrix!$D$6:$E$9,2,0),0)),"")</f>
        <v>0</v>
      </c>
      <c r="P50" s="239">
        <f ca="1">IF(COUNTIF(K47:K51,K50)&gt;=5,IF(J50=5,VLOOKUP(K50+4,TPMatrix!$A$6:$B$10,2,0),IF(J50=4,VLOOKUP(K50+4,TPMatrix!$D$6:$E$9,2,0),0)),"")</f>
        <v>0</v>
      </c>
      <c r="Q50" s="239">
        <f t="shared" ca="1" si="16"/>
        <v>0</v>
      </c>
      <c r="R50" s="240">
        <f t="shared" ca="1" si="17"/>
        <v>5</v>
      </c>
      <c r="S50" s="238">
        <f t="shared" ca="1" si="18"/>
        <v>0</v>
      </c>
      <c r="T50" s="239">
        <f t="shared" si="19"/>
        <v>0</v>
      </c>
      <c r="U50" s="240">
        <f t="shared" ca="1" si="20"/>
        <v>0</v>
      </c>
      <c r="W50" s="36" t="str">
        <f t="shared" ca="1" si="21"/>
        <v/>
      </c>
      <c r="X50" s="36" t="str">
        <f ca="1">IF(ISNUMBER($A50),$W50*(Methuselahs!$A$4+1)+$A50,"")</f>
        <v/>
      </c>
      <c r="Y50" s="36" t="str">
        <f t="shared" ca="1" si="22"/>
        <v/>
      </c>
      <c r="Z50" s="36" t="str">
        <f ca="1">IF(ISNUMBER($A50),VLOOKUP($A50,Methuselahs!$A$7:$X$206,5),"")</f>
        <v/>
      </c>
      <c r="AA50" s="36" t="str">
        <f t="shared" ca="1" si="23"/>
        <v/>
      </c>
    </row>
    <row r="51" spans="1:27" ht="12.95" customHeight="1" x14ac:dyDescent="0.2">
      <c r="A51" s="255" t="str">
        <f ca="1">IF(ISBLANK('Tournament Info'!$B$11),"",INDIRECT(ADDRESS(ROW(),1,1,1,"Optimal Seating "&amp;'Tournament Info'!$B$11-1&amp;"R+F")))</f>
        <v/>
      </c>
      <c r="B51" s="256" t="str">
        <f ca="1">IF(ISNUMBER(A51),VLOOKUP(A51,Methuselahs!$A$7:$E$206,2,0),"")</f>
        <v/>
      </c>
      <c r="C51" s="257" t="str">
        <f ca="1">IF(ISNUMBER(A51),VLOOKUP(A51,Methuselahs!$A$7:$E$206,3,0),"")</f>
        <v/>
      </c>
      <c r="D51" s="258" t="str">
        <f t="shared" ca="1" si="12"/>
        <v/>
      </c>
      <c r="E51" s="259"/>
      <c r="F51" s="257">
        <f t="shared" si="13"/>
        <v>0</v>
      </c>
      <c r="G51" s="244" t="str">
        <f t="shared" ca="1" si="14"/>
        <v/>
      </c>
      <c r="H51" s="245" t="str">
        <f ca="1">IF(ISNUMBER(A51),IF(OR($S51=$U51,NOT(ISNA(MATCH($D51*5+$V$4,Override!$C$6:$C$125,0)))),$Q51,0),"")</f>
        <v/>
      </c>
      <c r="I51" s="258" t="str">
        <f t="shared" ca="1" si="15"/>
        <v/>
      </c>
      <c r="J51" s="260">
        <f ca="1">COUNT(A47:A51)</f>
        <v>0</v>
      </c>
      <c r="K51" s="261" t="str">
        <f ca="1">IF(ISNUMBER(A51),RANK(F51,F47:F51),"")</f>
        <v/>
      </c>
      <c r="L51" s="262">
        <f ca="1">IF(J51=5,VLOOKUP(K51,TPMatrix!$A$6:$B$10,2,0),IF(J51=4,VLOOKUP(K51,TPMatrix!$D$6:$E$9,2,0),0))</f>
        <v>0</v>
      </c>
      <c r="M51" s="262">
        <f ca="1">IF(COUNTIF(K47:K51,K51)&gt;=2,IF(J51=5,VLOOKUP(K51+1,TPMatrix!$A$6:$B$10,2,0),IF(J51=4,VLOOKUP(K51+1,TPMatrix!$D$6:$E$9,2,0),0)),"")</f>
        <v>0</v>
      </c>
      <c r="N51" s="262">
        <f ca="1">IF(COUNTIF(K47:K51,K51)&gt;=3,IF(J51=5,VLOOKUP(K51+2,TPMatrix!$A$6:$B$10,2,0),IF(J51=4,VLOOKUP(K51+2,TPMatrix!$D$6:$E$9,2,0),0)),"")</f>
        <v>0</v>
      </c>
      <c r="O51" s="262">
        <f ca="1">IF(COUNTIF(K47:K51,K51)&gt;=4,IF(J51=5,VLOOKUP(K51+3,TPMatrix!$A$6:$B$10,2,0),IF(J51=4,VLOOKUP(K51+3,TPMatrix!$D$6:$E$9,2,0),0)),"")</f>
        <v>0</v>
      </c>
      <c r="P51" s="262">
        <f ca="1">IF(COUNTIF(K47:K51,K51)&gt;=5,IF(J51=5,VLOOKUP(K51+4,TPMatrix!$A$6:$B$10,2,0),IF(J51=4,VLOOKUP(K51+4,TPMatrix!$D$6:$E$9,2,0),0)),"")</f>
        <v>0</v>
      </c>
      <c r="Q51" s="262">
        <f t="shared" ca="1" si="16"/>
        <v>0</v>
      </c>
      <c r="R51" s="263">
        <f t="shared" ca="1" si="17"/>
        <v>5</v>
      </c>
      <c r="S51" s="261">
        <f t="shared" ca="1" si="18"/>
        <v>0</v>
      </c>
      <c r="T51" s="262">
        <f t="shared" si="19"/>
        <v>0</v>
      </c>
      <c r="U51" s="263">
        <f t="shared" ca="1" si="20"/>
        <v>0</v>
      </c>
      <c r="W51" s="36" t="str">
        <f t="shared" ca="1" si="21"/>
        <v/>
      </c>
      <c r="X51" s="36" t="str">
        <f ca="1">IF(ISNUMBER($A51),$W51*(Methuselahs!$A$4+1)+$A51,"")</f>
        <v/>
      </c>
      <c r="Y51" s="36" t="str">
        <f t="shared" ca="1" si="22"/>
        <v/>
      </c>
      <c r="Z51" s="36" t="str">
        <f ca="1">IF(ISNUMBER($A51),VLOOKUP($A51,Methuselahs!$A$7:$X$206,5),"")</f>
        <v/>
      </c>
      <c r="AA51" s="36" t="str">
        <f t="shared" ca="1" si="23"/>
        <v/>
      </c>
    </row>
    <row r="52" spans="1:27" ht="12.95" customHeight="1" x14ac:dyDescent="0.2">
      <c r="A52" s="219" t="str">
        <f ca="1">IF(ISBLANK('Tournament Info'!$B$11),"",INDIRECT(ADDRESS(ROW(),1,1,1,"Optimal Seating "&amp;'Tournament Info'!$B$11-1&amp;"R+F")))</f>
        <v/>
      </c>
      <c r="B52" s="143" t="str">
        <f ca="1">IF(ISNUMBER(A52),VLOOKUP(A52,Methuselahs!$A$7:$E$206,2,0),"")</f>
        <v/>
      </c>
      <c r="C52" s="220" t="str">
        <f ca="1">IF(ISNUMBER(A52),VLOOKUP(A52,Methuselahs!$A$7:$E$206,3,0),"")</f>
        <v/>
      </c>
      <c r="D52" s="221" t="str">
        <f t="shared" ca="1" si="12"/>
        <v/>
      </c>
      <c r="E52" s="222"/>
      <c r="F52" s="220">
        <f t="shared" si="13"/>
        <v>0</v>
      </c>
      <c r="G52" s="223" t="str">
        <f t="shared" ca="1" si="14"/>
        <v/>
      </c>
      <c r="H52" s="224" t="str">
        <f ca="1">IF(ISNUMBER(A52),IF(OR($S52=$U52,NOT(ISNA(MATCH($D52*5+$V$4,Override!$C$6:$C$125,0)))),$Q52,0),"")</f>
        <v/>
      </c>
      <c r="I52" s="221" t="str">
        <f t="shared" ca="1" si="15"/>
        <v/>
      </c>
      <c r="J52" s="225">
        <f ca="1">COUNT(A52:A56)</f>
        <v>0</v>
      </c>
      <c r="K52" s="226" t="str">
        <f ca="1">IF(ISNUMBER(A52),RANK(F52,F52:F56),"")</f>
        <v/>
      </c>
      <c r="L52" s="227">
        <f ca="1">IF(J52=5,VLOOKUP(K52,TPMatrix!$A$6:$B$10,2,0),IF(J52=4,VLOOKUP(K52,TPMatrix!$D$6:$E$9,2,0),0))</f>
        <v>0</v>
      </c>
      <c r="M52" s="227">
        <f ca="1">IF(COUNTIF(K52:K56,K52)&gt;=2,IF(J52=5,VLOOKUP(K52+1,TPMatrix!$A$6:$B$10,2,0),IF(J52=4,VLOOKUP(K52+1,TPMatrix!$D$6:$E$9,2,0),0)),"")</f>
        <v>0</v>
      </c>
      <c r="N52" s="227">
        <f ca="1">IF(COUNTIF(K52:K56,K52)&gt;=3,IF(J52=5,VLOOKUP(K52+2,TPMatrix!$A$6:$B$10,2,0),IF(J52=4,VLOOKUP(K52+2,TPMatrix!$D$6:$E$9,2,0),0)),"")</f>
        <v>0</v>
      </c>
      <c r="O52" s="227">
        <f ca="1">IF(COUNTIF(K52:K56,K52)&gt;=4,IF(J52=5,VLOOKUP(K52+3,TPMatrix!$A$6:$B$10,2,0),IF(J52=4,VLOOKUP(K52+3,TPMatrix!$D$6:$E$9,2,0),0)),"")</f>
        <v>0</v>
      </c>
      <c r="P52" s="227">
        <f ca="1">IF(COUNTIF(K52:K56,K52)&gt;=5,IF(J52=5,VLOOKUP(K52+4,TPMatrix!$A$6:$B$10,2,0),IF(J52=4,VLOOKUP(K52+4,TPMatrix!$D$6:$E$9,2,0),0)),"")</f>
        <v>0</v>
      </c>
      <c r="Q52" s="227">
        <f t="shared" ca="1" si="16"/>
        <v>0</v>
      </c>
      <c r="R52" s="228">
        <f t="shared" ca="1" si="17"/>
        <v>5</v>
      </c>
      <c r="S52" s="229">
        <f t="shared" ca="1" si="18"/>
        <v>0</v>
      </c>
      <c r="T52" s="230">
        <f t="shared" si="19"/>
        <v>0</v>
      </c>
      <c r="U52" s="231">
        <f t="shared" ca="1" si="20"/>
        <v>0</v>
      </c>
      <c r="W52" s="36" t="str">
        <f t="shared" ca="1" si="21"/>
        <v/>
      </c>
      <c r="X52" s="36" t="str">
        <f ca="1">IF(ISNUMBER($A52),$W52*(Methuselahs!$A$4+1)+$A52,"")</f>
        <v/>
      </c>
      <c r="Y52" s="36" t="str">
        <f t="shared" ca="1" si="22"/>
        <v/>
      </c>
      <c r="Z52" s="36" t="str">
        <f ca="1">IF(ISNUMBER($A52),VLOOKUP($A52,Methuselahs!$A$7:$X$206,5),"")</f>
        <v/>
      </c>
      <c r="AA52" s="36" t="str">
        <f t="shared" ca="1" si="23"/>
        <v/>
      </c>
    </row>
    <row r="53" spans="1:27" ht="12.95" customHeight="1" x14ac:dyDescent="0.2">
      <c r="A53" s="111" t="str">
        <f ca="1">IF(ISBLANK('Tournament Info'!$B$11),"",INDIRECT(ADDRESS(ROW(),1,1,1,"Optimal Seating "&amp;'Tournament Info'!$B$11-1&amp;"R+F")))</f>
        <v/>
      </c>
      <c r="B53" s="117" t="str">
        <f ca="1">IF(ISNUMBER(A53),VLOOKUP(A53,Methuselahs!$A$7:$E$206,2,0),"")</f>
        <v/>
      </c>
      <c r="C53" s="232" t="str">
        <f ca="1">IF(ISNUMBER(A53),VLOOKUP(A53,Methuselahs!$A$7:$E$206,3,0),"")</f>
        <v/>
      </c>
      <c r="D53" s="233" t="str">
        <f t="shared" ca="1" si="12"/>
        <v/>
      </c>
      <c r="E53" s="234"/>
      <c r="F53" s="232">
        <f t="shared" si="13"/>
        <v>0</v>
      </c>
      <c r="G53" s="235" t="str">
        <f t="shared" ca="1" si="14"/>
        <v/>
      </c>
      <c r="H53" s="236" t="str">
        <f ca="1">IF(ISNUMBER(A53),IF(OR($S53=$U53,NOT(ISNA(MATCH($D53*5+$V$4,Override!$C$6:$C$125,0)))),$Q53,0),"")</f>
        <v/>
      </c>
      <c r="I53" s="233" t="str">
        <f t="shared" ca="1" si="15"/>
        <v/>
      </c>
      <c r="J53" s="237">
        <f ca="1">COUNT(A52:A56)</f>
        <v>0</v>
      </c>
      <c r="K53" s="238" t="str">
        <f ca="1">IF(ISNUMBER(A53),RANK(F53,F52:F56),"")</f>
        <v/>
      </c>
      <c r="L53" s="239">
        <f ca="1">IF(J53=5,VLOOKUP(K53,TPMatrix!$A$6:$B$10,2,0),IF(J53=4,VLOOKUP(K53,TPMatrix!$D$6:$E$9,2,0),0))</f>
        <v>0</v>
      </c>
      <c r="M53" s="239">
        <f ca="1">IF(COUNTIF(K52:K56,K53)&gt;=2,IF(J53=5,VLOOKUP(K53+1,TPMatrix!$A$6:$B$10,2,0),IF(J53=4,VLOOKUP(K53+1,TPMatrix!$D$6:$E$9,2,0),0)),"")</f>
        <v>0</v>
      </c>
      <c r="N53" s="239">
        <f ca="1">IF(COUNTIF(K52:K56,K53)&gt;=3,IF(J53=5,VLOOKUP(K53+2,TPMatrix!$A$6:$B$10,2,0),IF(J53=4,VLOOKUP(K53+2,TPMatrix!$D$6:$E$9,2,0),0)),"")</f>
        <v>0</v>
      </c>
      <c r="O53" s="239">
        <f ca="1">IF(COUNTIF(K52:K56,K53)&gt;=4,IF(J53=5,VLOOKUP(K53+3,TPMatrix!$A$6:$B$10,2,0),IF(J53=4,VLOOKUP(K53+3,TPMatrix!$D$6:$E$9,2,0),0)),"")</f>
        <v>0</v>
      </c>
      <c r="P53" s="239">
        <f ca="1">IF(COUNTIF(K52:K56,K53)&gt;=5,IF(J53=5,VLOOKUP(K53+4,TPMatrix!$A$6:$B$10,2,0),IF(J53=4,VLOOKUP(K53+4,TPMatrix!$D$6:$E$9,2,0),0)),"")</f>
        <v>0</v>
      </c>
      <c r="Q53" s="239">
        <f t="shared" ca="1" si="16"/>
        <v>0</v>
      </c>
      <c r="R53" s="240">
        <f t="shared" ca="1" si="17"/>
        <v>5</v>
      </c>
      <c r="S53" s="238">
        <f t="shared" ca="1" si="18"/>
        <v>0</v>
      </c>
      <c r="T53" s="239">
        <f t="shared" si="19"/>
        <v>0</v>
      </c>
      <c r="U53" s="240">
        <f t="shared" ca="1" si="20"/>
        <v>0</v>
      </c>
      <c r="W53" s="36" t="str">
        <f t="shared" ca="1" si="21"/>
        <v/>
      </c>
      <c r="X53" s="36" t="str">
        <f ca="1">IF(ISNUMBER($A53),$W53*(Methuselahs!$A$4+1)+$A53,"")</f>
        <v/>
      </c>
      <c r="Y53" s="36" t="str">
        <f t="shared" ca="1" si="22"/>
        <v/>
      </c>
      <c r="Z53" s="36" t="str">
        <f ca="1">IF(ISNUMBER($A53),VLOOKUP($A53,Methuselahs!$A$7:$X$206,5),"")</f>
        <v/>
      </c>
      <c r="AA53" s="36" t="str">
        <f t="shared" ca="1" si="23"/>
        <v/>
      </c>
    </row>
    <row r="54" spans="1:27" ht="12.95" customHeight="1" x14ac:dyDescent="0.2">
      <c r="A54" s="137" t="str">
        <f ca="1">IF(ISBLANK('Tournament Info'!$B$11),"",INDIRECT(ADDRESS(ROW(),1,1,1,"Optimal Seating "&amp;'Tournament Info'!$B$11-1&amp;"R+F")))</f>
        <v/>
      </c>
      <c r="B54" s="143" t="str">
        <f ca="1">IF(ISNUMBER(A54),VLOOKUP(A54,Methuselahs!$A$7:$E$206,2,0),"")</f>
        <v/>
      </c>
      <c r="C54" s="241" t="str">
        <f ca="1">IF(ISNUMBER(A54),VLOOKUP(A54,Methuselahs!$A$7:$E$206,3,0),"")</f>
        <v/>
      </c>
      <c r="D54" s="242" t="str">
        <f t="shared" ca="1" si="12"/>
        <v/>
      </c>
      <c r="E54" s="243"/>
      <c r="F54" s="241">
        <f t="shared" si="13"/>
        <v>0</v>
      </c>
      <c r="G54" s="244" t="str">
        <f t="shared" ca="1" si="14"/>
        <v/>
      </c>
      <c r="H54" s="245" t="str">
        <f ca="1">IF(ISNUMBER(A54),IF(OR($S54=$U54,NOT(ISNA(MATCH($D54*5+$V$4,Override!$C$6:$C$125,0)))),$Q54,0),"")</f>
        <v/>
      </c>
      <c r="I54" s="242" t="str">
        <f t="shared" ca="1" si="15"/>
        <v/>
      </c>
      <c r="J54" s="246">
        <f ca="1">COUNT(A52:A56)</f>
        <v>0</v>
      </c>
      <c r="K54" s="247" t="str">
        <f ca="1">IF(ISNUMBER(A54),RANK(F54,F52:F56),"")</f>
        <v/>
      </c>
      <c r="L54" s="142">
        <f ca="1">IF(J54=5,VLOOKUP(K54,TPMatrix!$A$6:$B$10,2,0),IF(J54=4,VLOOKUP(K54,TPMatrix!$D$6:$E$9,2,0),0))</f>
        <v>0</v>
      </c>
      <c r="M54" s="142">
        <f ca="1">IF(COUNTIF(K52:K56,K54)&gt;=2,IF(J54=5,VLOOKUP(K54+1,TPMatrix!$A$6:$B$10,2,0),IF(J54=4,VLOOKUP(K54+1,TPMatrix!$D$6:$E$9,2,0),0)),"")</f>
        <v>0</v>
      </c>
      <c r="N54" s="142">
        <f ca="1">IF(COUNTIF(K52:K56,K54)&gt;=3,IF(J54=5,VLOOKUP(K54+2,TPMatrix!$A$6:$B$10,2,0),IF(J54=4,VLOOKUP(K54+2,TPMatrix!$D$6:$E$9,2,0),0)),"")</f>
        <v>0</v>
      </c>
      <c r="O54" s="142">
        <f ca="1">IF(COUNTIF(K52:K56,K54)&gt;=4,IF(J54=5,VLOOKUP(K54+3,TPMatrix!$A$6:$B$10,2,0),IF(J54=4,VLOOKUP(K54+3,TPMatrix!$D$6:$E$9,2,0),0)),"")</f>
        <v>0</v>
      </c>
      <c r="P54" s="142">
        <f ca="1">IF(COUNTIF(K52:K56,K54)&gt;=5,IF(J54=5,VLOOKUP(K54+4,TPMatrix!$A$6:$B$10,2,0),IF(J54=4,VLOOKUP(K54+4,TPMatrix!$D$6:$E$9,2,0),0)),"")</f>
        <v>0</v>
      </c>
      <c r="Q54" s="142">
        <f t="shared" ca="1" si="16"/>
        <v>0</v>
      </c>
      <c r="R54" s="248">
        <f t="shared" ca="1" si="17"/>
        <v>5</v>
      </c>
      <c r="S54" s="247">
        <f t="shared" ca="1" si="18"/>
        <v>0</v>
      </c>
      <c r="T54" s="142">
        <f t="shared" si="19"/>
        <v>0</v>
      </c>
      <c r="U54" s="248">
        <f t="shared" ca="1" si="20"/>
        <v>0</v>
      </c>
      <c r="W54" s="36" t="str">
        <f t="shared" ca="1" si="21"/>
        <v/>
      </c>
      <c r="X54" s="36" t="str">
        <f ca="1">IF(ISNUMBER($A54),$W54*(Methuselahs!$A$4+1)+$A54,"")</f>
        <v/>
      </c>
      <c r="Y54" s="36" t="str">
        <f t="shared" ca="1" si="22"/>
        <v/>
      </c>
      <c r="Z54" s="36" t="str">
        <f ca="1">IF(ISNUMBER($A54),VLOOKUP($A54,Methuselahs!$A$7:$X$206,5),"")</f>
        <v/>
      </c>
      <c r="AA54" s="36" t="str">
        <f t="shared" ca="1" si="23"/>
        <v/>
      </c>
    </row>
    <row r="55" spans="1:27" ht="12.95" customHeight="1" x14ac:dyDescent="0.2">
      <c r="A55" s="249" t="str">
        <f ca="1">IF(ISBLANK('Tournament Info'!$B$11),"",INDIRECT(ADDRESS(ROW(),1,1,1,"Optimal Seating "&amp;'Tournament Info'!$B$11-1&amp;"R+F")))</f>
        <v/>
      </c>
      <c r="B55" s="250" t="str">
        <f ca="1">IF(ISNUMBER(A55),VLOOKUP(A55,Methuselahs!$A$7:$E$206,2,0),"")</f>
        <v/>
      </c>
      <c r="C55" s="251" t="str">
        <f ca="1">IF(ISNUMBER(A55),VLOOKUP(A55,Methuselahs!$A$7:$E$206,3,0),"")</f>
        <v/>
      </c>
      <c r="D55" s="252" t="str">
        <f t="shared" ca="1" si="12"/>
        <v/>
      </c>
      <c r="E55" s="253"/>
      <c r="F55" s="251">
        <f t="shared" si="13"/>
        <v>0</v>
      </c>
      <c r="G55" s="235" t="str">
        <f t="shared" ca="1" si="14"/>
        <v/>
      </c>
      <c r="H55" s="236" t="str">
        <f ca="1">IF(ISNUMBER(A55),IF(OR($S55=$U55,NOT(ISNA(MATCH($D55*5+$V$4,Override!$C$6:$C$125,0)))),$Q55,0),"")</f>
        <v/>
      </c>
      <c r="I55" s="252" t="str">
        <f t="shared" ca="1" si="15"/>
        <v/>
      </c>
      <c r="J55" s="254">
        <f ca="1">COUNT(A52:A56)</f>
        <v>0</v>
      </c>
      <c r="K55" s="238" t="str">
        <f ca="1">IF(ISNUMBER(A55),RANK(F55,F52:F56),"")</f>
        <v/>
      </c>
      <c r="L55" s="239">
        <f ca="1">IF(J55=5,VLOOKUP(K55,TPMatrix!$A$6:$B$10,2,0),IF(J55=4,VLOOKUP(K55,TPMatrix!$D$6:$E$9,2,0),0))</f>
        <v>0</v>
      </c>
      <c r="M55" s="239">
        <f ca="1">IF(COUNTIF(K52:K56,K55)&gt;=2,IF(J55=5,VLOOKUP(K55+1,TPMatrix!$A$6:$B$10,2,0),IF(J55=4,VLOOKUP(K55+1,TPMatrix!$D$6:$E$9,2,0),0)),"")</f>
        <v>0</v>
      </c>
      <c r="N55" s="239">
        <f ca="1">IF(COUNTIF(K52:K56,K55)&gt;=3,IF(J55=5,VLOOKUP(K55+2,TPMatrix!$A$6:$B$10,2,0),IF(J55=4,VLOOKUP(K55+2,TPMatrix!$D$6:$E$9,2,0),0)),"")</f>
        <v>0</v>
      </c>
      <c r="O55" s="239">
        <f ca="1">IF(COUNTIF(K52:K56,K55)&gt;=4,IF(J55=5,VLOOKUP(K55+3,TPMatrix!$A$6:$B$10,2,0),IF(J55=4,VLOOKUP(K55+3,TPMatrix!$D$6:$E$9,2,0),0)),"")</f>
        <v>0</v>
      </c>
      <c r="P55" s="239">
        <f ca="1">IF(COUNTIF(K52:K56,K55)&gt;=5,IF(J55=5,VLOOKUP(K55+4,TPMatrix!$A$6:$B$10,2,0),IF(J55=4,VLOOKUP(K55+4,TPMatrix!$D$6:$E$9,2,0),0)),"")</f>
        <v>0</v>
      </c>
      <c r="Q55" s="239">
        <f t="shared" ca="1" si="16"/>
        <v>0</v>
      </c>
      <c r="R55" s="240">
        <f t="shared" ca="1" si="17"/>
        <v>5</v>
      </c>
      <c r="S55" s="238">
        <f t="shared" ca="1" si="18"/>
        <v>0</v>
      </c>
      <c r="T55" s="239">
        <f t="shared" si="19"/>
        <v>0</v>
      </c>
      <c r="U55" s="240">
        <f t="shared" ca="1" si="20"/>
        <v>0</v>
      </c>
      <c r="W55" s="36" t="str">
        <f t="shared" ca="1" si="21"/>
        <v/>
      </c>
      <c r="X55" s="36" t="str">
        <f ca="1">IF(ISNUMBER($A55),$W55*(Methuselahs!$A$4+1)+$A55,"")</f>
        <v/>
      </c>
      <c r="Y55" s="36" t="str">
        <f t="shared" ca="1" si="22"/>
        <v/>
      </c>
      <c r="Z55" s="36" t="str">
        <f ca="1">IF(ISNUMBER($A55),VLOOKUP($A55,Methuselahs!$A$7:$X$206,5),"")</f>
        <v/>
      </c>
      <c r="AA55" s="36" t="str">
        <f t="shared" ca="1" si="23"/>
        <v/>
      </c>
    </row>
    <row r="56" spans="1:27" ht="12.95" customHeight="1" x14ac:dyDescent="0.2">
      <c r="A56" s="255" t="str">
        <f ca="1">IF(ISBLANK('Tournament Info'!$B$11),"",INDIRECT(ADDRESS(ROW(),1,1,1,"Optimal Seating "&amp;'Tournament Info'!$B$11-1&amp;"R+F")))</f>
        <v/>
      </c>
      <c r="B56" s="256" t="str">
        <f ca="1">IF(ISNUMBER(A56),VLOOKUP(A56,Methuselahs!$A$7:$E$206,2,0),"")</f>
        <v/>
      </c>
      <c r="C56" s="257" t="str">
        <f ca="1">IF(ISNUMBER(A56),VLOOKUP(A56,Methuselahs!$A$7:$E$206,3,0),"")</f>
        <v/>
      </c>
      <c r="D56" s="258" t="str">
        <f t="shared" ca="1" si="12"/>
        <v/>
      </c>
      <c r="E56" s="259"/>
      <c r="F56" s="257">
        <f t="shared" si="13"/>
        <v>0</v>
      </c>
      <c r="G56" s="244" t="str">
        <f t="shared" ca="1" si="14"/>
        <v/>
      </c>
      <c r="H56" s="245" t="str">
        <f ca="1">IF(ISNUMBER(A56),IF(OR($S56=$U56,NOT(ISNA(MATCH($D56*5+$V$4,Override!$C$6:$C$125,0)))),$Q56,0),"")</f>
        <v/>
      </c>
      <c r="I56" s="258" t="str">
        <f t="shared" ca="1" si="15"/>
        <v/>
      </c>
      <c r="J56" s="260">
        <f ca="1">COUNT(A52:A56)</f>
        <v>0</v>
      </c>
      <c r="K56" s="261" t="str">
        <f ca="1">IF(ISNUMBER(A56),RANK(F56,F52:F56),"")</f>
        <v/>
      </c>
      <c r="L56" s="262">
        <f ca="1">IF(J56=5,VLOOKUP(K56,TPMatrix!$A$6:$B$10,2,0),IF(J56=4,VLOOKUP(K56,TPMatrix!$D$6:$E$9,2,0),0))</f>
        <v>0</v>
      </c>
      <c r="M56" s="262">
        <f ca="1">IF(COUNTIF(K52:K56,K56)&gt;=2,IF(J56=5,VLOOKUP(K56+1,TPMatrix!$A$6:$B$10,2,0),IF(J56=4,VLOOKUP(K56+1,TPMatrix!$D$6:$E$9,2,0),0)),"")</f>
        <v>0</v>
      </c>
      <c r="N56" s="262">
        <f ca="1">IF(COUNTIF(K52:K56,K56)&gt;=3,IF(J56=5,VLOOKUP(K56+2,TPMatrix!$A$6:$B$10,2,0),IF(J56=4,VLOOKUP(K56+2,TPMatrix!$D$6:$E$9,2,0),0)),"")</f>
        <v>0</v>
      </c>
      <c r="O56" s="262">
        <f ca="1">IF(COUNTIF(K52:K56,K56)&gt;=4,IF(J56=5,VLOOKUP(K56+3,TPMatrix!$A$6:$B$10,2,0),IF(J56=4,VLOOKUP(K56+3,TPMatrix!$D$6:$E$9,2,0),0)),"")</f>
        <v>0</v>
      </c>
      <c r="P56" s="262">
        <f ca="1">IF(COUNTIF(K52:K56,K56)&gt;=5,IF(J56=5,VLOOKUP(K56+4,TPMatrix!$A$6:$B$10,2,0),IF(J56=4,VLOOKUP(K56+4,TPMatrix!$D$6:$E$9,2,0),0)),"")</f>
        <v>0</v>
      </c>
      <c r="Q56" s="262">
        <f t="shared" ca="1" si="16"/>
        <v>0</v>
      </c>
      <c r="R56" s="263">
        <f t="shared" ca="1" si="17"/>
        <v>5</v>
      </c>
      <c r="S56" s="261">
        <f t="shared" ca="1" si="18"/>
        <v>0</v>
      </c>
      <c r="T56" s="262">
        <f t="shared" si="19"/>
        <v>0</v>
      </c>
      <c r="U56" s="263">
        <f t="shared" ca="1" si="20"/>
        <v>0</v>
      </c>
      <c r="W56" s="36" t="str">
        <f t="shared" ca="1" si="21"/>
        <v/>
      </c>
      <c r="X56" s="36" t="str">
        <f ca="1">IF(ISNUMBER($A56),$W56*(Methuselahs!$A$4+1)+$A56,"")</f>
        <v/>
      </c>
      <c r="Y56" s="36" t="str">
        <f t="shared" ca="1" si="22"/>
        <v/>
      </c>
      <c r="Z56" s="36" t="str">
        <f ca="1">IF(ISNUMBER($A56),VLOOKUP($A56,Methuselahs!$A$7:$X$206,5),"")</f>
        <v/>
      </c>
      <c r="AA56" s="36" t="str">
        <f t="shared" ca="1" si="23"/>
        <v/>
      </c>
    </row>
    <row r="57" spans="1:27" ht="12.95" customHeight="1" x14ac:dyDescent="0.2">
      <c r="A57" s="219" t="str">
        <f ca="1">IF(ISBLANK('Tournament Info'!$B$11),"",INDIRECT(ADDRESS(ROW(),1,1,1,"Optimal Seating "&amp;'Tournament Info'!$B$11-1&amp;"R+F")))</f>
        <v/>
      </c>
      <c r="B57" s="143" t="str">
        <f ca="1">IF(ISNUMBER(A57),VLOOKUP(A57,Methuselahs!$A$7:$E$206,2,0),"")</f>
        <v/>
      </c>
      <c r="C57" s="220" t="str">
        <f ca="1">IF(ISNUMBER(A57),VLOOKUP(A57,Methuselahs!$A$7:$E$206,3,0),"")</f>
        <v/>
      </c>
      <c r="D57" s="221" t="str">
        <f t="shared" ca="1" si="12"/>
        <v/>
      </c>
      <c r="E57" s="222"/>
      <c r="F57" s="220">
        <f t="shared" si="13"/>
        <v>0</v>
      </c>
      <c r="G57" s="223" t="str">
        <f t="shared" ca="1" si="14"/>
        <v/>
      </c>
      <c r="H57" s="224" t="str">
        <f ca="1">IF(ISNUMBER(A57),IF(OR($S57=$U57,NOT(ISNA(MATCH($D57*5+$V$4,Override!$C$6:$C$125,0)))),$Q57,0),"")</f>
        <v/>
      </c>
      <c r="I57" s="221" t="str">
        <f t="shared" ca="1" si="15"/>
        <v/>
      </c>
      <c r="J57" s="225">
        <f ca="1">COUNT(A57:A61)</f>
        <v>0</v>
      </c>
      <c r="K57" s="226" t="str">
        <f ca="1">IF(ISNUMBER(A57),RANK(F57,F57:F61),"")</f>
        <v/>
      </c>
      <c r="L57" s="227">
        <f ca="1">IF(J57=5,VLOOKUP(K57,TPMatrix!$A$6:$B$10,2,0),IF(J57=4,VLOOKUP(K57,TPMatrix!$D$6:$E$9,2,0),0))</f>
        <v>0</v>
      </c>
      <c r="M57" s="227">
        <f ca="1">IF(COUNTIF(K57:K61,K57)&gt;=2,IF(J57=5,VLOOKUP(K57+1,TPMatrix!$A$6:$B$10,2,0),IF(J57=4,VLOOKUP(K57+1,TPMatrix!$D$6:$E$9,2,0),0)),"")</f>
        <v>0</v>
      </c>
      <c r="N57" s="227">
        <f ca="1">IF(COUNTIF(K57:K61,K57)&gt;=3,IF(J57=5,VLOOKUP(K57+2,TPMatrix!$A$6:$B$10,2,0),IF(J57=4,VLOOKUP(K57+2,TPMatrix!$D$6:$E$9,2,0),0)),"")</f>
        <v>0</v>
      </c>
      <c r="O57" s="227">
        <f ca="1">IF(COUNTIF(K57:K61,K57)&gt;=4,IF(J57=5,VLOOKUP(K57+3,TPMatrix!$A$6:$B$10,2,0),IF(J57=4,VLOOKUP(K57+3,TPMatrix!$D$6:$E$9,2,0),0)),"")</f>
        <v>0</v>
      </c>
      <c r="P57" s="227">
        <f ca="1">IF(COUNTIF(K57:K61,K57)&gt;=5,IF(J57=5,VLOOKUP(K57+4,TPMatrix!$A$6:$B$10,2,0),IF(J57=4,VLOOKUP(K57+4,TPMatrix!$D$6:$E$9,2,0),0)),"")</f>
        <v>0</v>
      </c>
      <c r="Q57" s="227">
        <f t="shared" ca="1" si="16"/>
        <v>0</v>
      </c>
      <c r="R57" s="228">
        <f t="shared" ca="1" si="17"/>
        <v>5</v>
      </c>
      <c r="S57" s="229">
        <f t="shared" ca="1" si="18"/>
        <v>0</v>
      </c>
      <c r="T57" s="230">
        <f t="shared" si="19"/>
        <v>0</v>
      </c>
      <c r="U57" s="231">
        <f t="shared" ca="1" si="20"/>
        <v>0</v>
      </c>
      <c r="W57" s="36" t="str">
        <f t="shared" ca="1" si="21"/>
        <v/>
      </c>
      <c r="X57" s="36" t="str">
        <f ca="1">IF(ISNUMBER($A57),$W57*(Methuselahs!$A$4+1)+$A57,"")</f>
        <v/>
      </c>
      <c r="Y57" s="36" t="str">
        <f t="shared" ca="1" si="22"/>
        <v/>
      </c>
      <c r="Z57" s="36" t="str">
        <f ca="1">IF(ISNUMBER($A57),VLOOKUP($A57,Methuselahs!$A$7:$X$206,5),"")</f>
        <v/>
      </c>
      <c r="AA57" s="36" t="str">
        <f t="shared" ca="1" si="23"/>
        <v/>
      </c>
    </row>
    <row r="58" spans="1:27" ht="12.95" customHeight="1" x14ac:dyDescent="0.2">
      <c r="A58" s="111" t="str">
        <f ca="1">IF(ISBLANK('Tournament Info'!$B$11),"",INDIRECT(ADDRESS(ROW(),1,1,1,"Optimal Seating "&amp;'Tournament Info'!$B$11-1&amp;"R+F")))</f>
        <v/>
      </c>
      <c r="B58" s="117" t="str">
        <f ca="1">IF(ISNUMBER(A58),VLOOKUP(A58,Methuselahs!$A$7:$E$206,2,0),"")</f>
        <v/>
      </c>
      <c r="C58" s="232" t="str">
        <f ca="1">IF(ISNUMBER(A58),VLOOKUP(A58,Methuselahs!$A$7:$E$206,3,0),"")</f>
        <v/>
      </c>
      <c r="D58" s="233" t="str">
        <f t="shared" ca="1" si="12"/>
        <v/>
      </c>
      <c r="E58" s="234"/>
      <c r="F58" s="232">
        <f t="shared" si="13"/>
        <v>0</v>
      </c>
      <c r="G58" s="235" t="str">
        <f t="shared" ca="1" si="14"/>
        <v/>
      </c>
      <c r="H58" s="236" t="str">
        <f ca="1">IF(ISNUMBER(A58),IF(OR($S58=$U58,NOT(ISNA(MATCH($D58*5+$V$4,Override!$C$6:$C$125,0)))),$Q58,0),"")</f>
        <v/>
      </c>
      <c r="I58" s="233" t="str">
        <f t="shared" ca="1" si="15"/>
        <v/>
      </c>
      <c r="J58" s="237">
        <f ca="1">COUNT(A57:A61)</f>
        <v>0</v>
      </c>
      <c r="K58" s="238" t="str">
        <f ca="1">IF(ISNUMBER(A58),RANK(F58,F57:F61),"")</f>
        <v/>
      </c>
      <c r="L58" s="239">
        <f ca="1">IF(J58=5,VLOOKUP(K58,TPMatrix!$A$6:$B$10,2,0),IF(J58=4,VLOOKUP(K58,TPMatrix!$D$6:$E$9,2,0),0))</f>
        <v>0</v>
      </c>
      <c r="M58" s="239">
        <f ca="1">IF(COUNTIF(K57:K61,K58)&gt;=2,IF(J58=5,VLOOKUP(K58+1,TPMatrix!$A$6:$B$10,2,0),IF(J58=4,VLOOKUP(K58+1,TPMatrix!$D$6:$E$9,2,0),0)),"")</f>
        <v>0</v>
      </c>
      <c r="N58" s="239">
        <f ca="1">IF(COUNTIF(K57:K61,K58)&gt;=3,IF(J58=5,VLOOKUP(K58+2,TPMatrix!$A$6:$B$10,2,0),IF(J58=4,VLOOKUP(K58+2,TPMatrix!$D$6:$E$9,2,0),0)),"")</f>
        <v>0</v>
      </c>
      <c r="O58" s="239">
        <f ca="1">IF(COUNTIF(K57:K61,K58)&gt;=4,IF(J58=5,VLOOKUP(K58+3,TPMatrix!$A$6:$B$10,2,0),IF(J58=4,VLOOKUP(K58+3,TPMatrix!$D$6:$E$9,2,0),0)),"")</f>
        <v>0</v>
      </c>
      <c r="P58" s="239">
        <f ca="1">IF(COUNTIF(K57:K61,K58)&gt;=5,IF(J58=5,VLOOKUP(K58+4,TPMatrix!$A$6:$B$10,2,0),IF(J58=4,VLOOKUP(K58+4,TPMatrix!$D$6:$E$9,2,0),0)),"")</f>
        <v>0</v>
      </c>
      <c r="Q58" s="239">
        <f t="shared" ca="1" si="16"/>
        <v>0</v>
      </c>
      <c r="R58" s="240">
        <f t="shared" ca="1" si="17"/>
        <v>5</v>
      </c>
      <c r="S58" s="238">
        <f t="shared" ca="1" si="18"/>
        <v>0</v>
      </c>
      <c r="T58" s="239">
        <f t="shared" si="19"/>
        <v>0</v>
      </c>
      <c r="U58" s="240">
        <f t="shared" ca="1" si="20"/>
        <v>0</v>
      </c>
      <c r="W58" s="36" t="str">
        <f t="shared" ca="1" si="21"/>
        <v/>
      </c>
      <c r="X58" s="36" t="str">
        <f ca="1">IF(ISNUMBER($A58),$W58*(Methuselahs!$A$4+1)+$A58,"")</f>
        <v/>
      </c>
      <c r="Y58" s="36" t="str">
        <f t="shared" ca="1" si="22"/>
        <v/>
      </c>
      <c r="Z58" s="36" t="str">
        <f ca="1">IF(ISNUMBER($A58),VLOOKUP($A58,Methuselahs!$A$7:$X$206,5),"")</f>
        <v/>
      </c>
      <c r="AA58" s="36" t="str">
        <f t="shared" ca="1" si="23"/>
        <v/>
      </c>
    </row>
    <row r="59" spans="1:27" ht="12.95" customHeight="1" x14ac:dyDescent="0.2">
      <c r="A59" s="137" t="str">
        <f ca="1">IF(ISBLANK('Tournament Info'!$B$11),"",INDIRECT(ADDRESS(ROW(),1,1,1,"Optimal Seating "&amp;'Tournament Info'!$B$11-1&amp;"R+F")))</f>
        <v/>
      </c>
      <c r="B59" s="143" t="str">
        <f ca="1">IF(ISNUMBER(A59),VLOOKUP(A59,Methuselahs!$A$7:$E$206,2,0),"")</f>
        <v/>
      </c>
      <c r="C59" s="241" t="str">
        <f ca="1">IF(ISNUMBER(A59),VLOOKUP(A59,Methuselahs!$A$7:$E$206,3,0),"")</f>
        <v/>
      </c>
      <c r="D59" s="242" t="str">
        <f t="shared" ca="1" si="12"/>
        <v/>
      </c>
      <c r="E59" s="243"/>
      <c r="F59" s="241">
        <f t="shared" si="13"/>
        <v>0</v>
      </c>
      <c r="G59" s="244" t="str">
        <f t="shared" ca="1" si="14"/>
        <v/>
      </c>
      <c r="H59" s="245" t="str">
        <f ca="1">IF(ISNUMBER(A59),IF(OR($S59=$U59,NOT(ISNA(MATCH($D59*5+$V$4,Override!$C$6:$C$125,0)))),$Q59,0),"")</f>
        <v/>
      </c>
      <c r="I59" s="242" t="str">
        <f t="shared" ca="1" si="15"/>
        <v/>
      </c>
      <c r="J59" s="246">
        <f ca="1">COUNT(A57:A61)</f>
        <v>0</v>
      </c>
      <c r="K59" s="247" t="str">
        <f ca="1">IF(ISNUMBER(A59),RANK(F59,F57:F61),"")</f>
        <v/>
      </c>
      <c r="L59" s="142">
        <f ca="1">IF(J59=5,VLOOKUP(K59,TPMatrix!$A$6:$B$10,2,0),IF(J59=4,VLOOKUP(K59,TPMatrix!$D$6:$E$9,2,0),0))</f>
        <v>0</v>
      </c>
      <c r="M59" s="142">
        <f ca="1">IF(COUNTIF(K57:K61,K59)&gt;=2,IF(J59=5,VLOOKUP(K59+1,TPMatrix!$A$6:$B$10,2,0),IF(J59=4,VLOOKUP(K59+1,TPMatrix!$D$6:$E$9,2,0),0)),"")</f>
        <v>0</v>
      </c>
      <c r="N59" s="142">
        <f ca="1">IF(COUNTIF(K57:K61,K59)&gt;=3,IF(J59=5,VLOOKUP(K59+2,TPMatrix!$A$6:$B$10,2,0),IF(J59=4,VLOOKUP(K59+2,TPMatrix!$D$6:$E$9,2,0),0)),"")</f>
        <v>0</v>
      </c>
      <c r="O59" s="142">
        <f ca="1">IF(COUNTIF(K57:K61,K59)&gt;=4,IF(J59=5,VLOOKUP(K59+3,TPMatrix!$A$6:$B$10,2,0),IF(J59=4,VLOOKUP(K59+3,TPMatrix!$D$6:$E$9,2,0),0)),"")</f>
        <v>0</v>
      </c>
      <c r="P59" s="142">
        <f ca="1">IF(COUNTIF(K57:K61,K59)&gt;=5,IF(J59=5,VLOOKUP(K59+4,TPMatrix!$A$6:$B$10,2,0),IF(J59=4,VLOOKUP(K59+4,TPMatrix!$D$6:$E$9,2,0),0)),"")</f>
        <v>0</v>
      </c>
      <c r="Q59" s="142">
        <f t="shared" ca="1" si="16"/>
        <v>0</v>
      </c>
      <c r="R59" s="248">
        <f t="shared" ca="1" si="17"/>
        <v>5</v>
      </c>
      <c r="S59" s="247">
        <f t="shared" ca="1" si="18"/>
        <v>0</v>
      </c>
      <c r="T59" s="142">
        <f t="shared" si="19"/>
        <v>0</v>
      </c>
      <c r="U59" s="248">
        <f t="shared" ca="1" si="20"/>
        <v>0</v>
      </c>
      <c r="W59" s="36" t="str">
        <f t="shared" ca="1" si="21"/>
        <v/>
      </c>
      <c r="X59" s="36" t="str">
        <f ca="1">IF(ISNUMBER($A59),$W59*(Methuselahs!$A$4+1)+$A59,"")</f>
        <v/>
      </c>
      <c r="Y59" s="36" t="str">
        <f t="shared" ca="1" si="22"/>
        <v/>
      </c>
      <c r="Z59" s="36" t="str">
        <f ca="1">IF(ISNUMBER($A59),VLOOKUP($A59,Methuselahs!$A$7:$X$206,5),"")</f>
        <v/>
      </c>
      <c r="AA59" s="36" t="str">
        <f t="shared" ca="1" si="23"/>
        <v/>
      </c>
    </row>
    <row r="60" spans="1:27" ht="12.95" customHeight="1" x14ac:dyDescent="0.2">
      <c r="A60" s="249" t="str">
        <f ca="1">IF(ISBLANK('Tournament Info'!$B$11),"",INDIRECT(ADDRESS(ROW(),1,1,1,"Optimal Seating "&amp;'Tournament Info'!$B$11-1&amp;"R+F")))</f>
        <v/>
      </c>
      <c r="B60" s="250" t="str">
        <f ca="1">IF(ISNUMBER(A60),VLOOKUP(A60,Methuselahs!$A$7:$E$206,2,0),"")</f>
        <v/>
      </c>
      <c r="C60" s="251" t="str">
        <f ca="1">IF(ISNUMBER(A60),VLOOKUP(A60,Methuselahs!$A$7:$E$206,3,0),"")</f>
        <v/>
      </c>
      <c r="D60" s="252" t="str">
        <f t="shared" ca="1" si="12"/>
        <v/>
      </c>
      <c r="E60" s="253"/>
      <c r="F60" s="251">
        <f t="shared" si="13"/>
        <v>0</v>
      </c>
      <c r="G60" s="235" t="str">
        <f t="shared" ca="1" si="14"/>
        <v/>
      </c>
      <c r="H60" s="236" t="str">
        <f ca="1">IF(ISNUMBER(A60),IF(OR($S60=$U60,NOT(ISNA(MATCH($D60*5+$V$4,Override!$C$6:$C$125,0)))),$Q60,0),"")</f>
        <v/>
      </c>
      <c r="I60" s="252" t="str">
        <f t="shared" ca="1" si="15"/>
        <v/>
      </c>
      <c r="J60" s="254">
        <f ca="1">COUNT(A57:A61)</f>
        <v>0</v>
      </c>
      <c r="K60" s="238" t="str">
        <f ca="1">IF(ISNUMBER(A60),RANK(F60,F57:F61),"")</f>
        <v/>
      </c>
      <c r="L60" s="239">
        <f ca="1">IF(J60=5,VLOOKUP(K60,TPMatrix!$A$6:$B$10,2,0),IF(J60=4,VLOOKUP(K60,TPMatrix!$D$6:$E$9,2,0),0))</f>
        <v>0</v>
      </c>
      <c r="M60" s="239">
        <f ca="1">IF(COUNTIF(K57:K61,K60)&gt;=2,IF(J60=5,VLOOKUP(K60+1,TPMatrix!$A$6:$B$10,2,0),IF(J60=4,VLOOKUP(K60+1,TPMatrix!$D$6:$E$9,2,0),0)),"")</f>
        <v>0</v>
      </c>
      <c r="N60" s="239">
        <f ca="1">IF(COUNTIF(K57:K61,K60)&gt;=3,IF(J60=5,VLOOKUP(K60+2,TPMatrix!$A$6:$B$10,2,0),IF(J60=4,VLOOKUP(K60+2,TPMatrix!$D$6:$E$9,2,0),0)),"")</f>
        <v>0</v>
      </c>
      <c r="O60" s="239">
        <f ca="1">IF(COUNTIF(K57:K61,K60)&gt;=4,IF(J60=5,VLOOKUP(K60+3,TPMatrix!$A$6:$B$10,2,0),IF(J60=4,VLOOKUP(K60+3,TPMatrix!$D$6:$E$9,2,0),0)),"")</f>
        <v>0</v>
      </c>
      <c r="P60" s="239">
        <f ca="1">IF(COUNTIF(K57:K61,K60)&gt;=5,IF(J60=5,VLOOKUP(K60+4,TPMatrix!$A$6:$B$10,2,0),IF(J60=4,VLOOKUP(K60+4,TPMatrix!$D$6:$E$9,2,0),0)),"")</f>
        <v>0</v>
      </c>
      <c r="Q60" s="239">
        <f t="shared" ca="1" si="16"/>
        <v>0</v>
      </c>
      <c r="R60" s="240">
        <f t="shared" ca="1" si="17"/>
        <v>5</v>
      </c>
      <c r="S60" s="238">
        <f t="shared" ca="1" si="18"/>
        <v>0</v>
      </c>
      <c r="T60" s="239">
        <f t="shared" si="19"/>
        <v>0</v>
      </c>
      <c r="U60" s="240">
        <f t="shared" ca="1" si="20"/>
        <v>0</v>
      </c>
      <c r="W60" s="36" t="str">
        <f t="shared" ca="1" si="21"/>
        <v/>
      </c>
      <c r="X60" s="36" t="str">
        <f ca="1">IF(ISNUMBER($A60),$W60*(Methuselahs!$A$4+1)+$A60,"")</f>
        <v/>
      </c>
      <c r="Y60" s="36" t="str">
        <f t="shared" ca="1" si="22"/>
        <v/>
      </c>
      <c r="Z60" s="36" t="str">
        <f ca="1">IF(ISNUMBER($A60),VLOOKUP($A60,Methuselahs!$A$7:$X$206,5),"")</f>
        <v/>
      </c>
      <c r="AA60" s="36" t="str">
        <f t="shared" ca="1" si="23"/>
        <v/>
      </c>
    </row>
    <row r="61" spans="1:27" ht="12.95" customHeight="1" x14ac:dyDescent="0.2">
      <c r="A61" s="255" t="str">
        <f ca="1">IF(ISBLANK('Tournament Info'!$B$11),"",INDIRECT(ADDRESS(ROW(),1,1,1,"Optimal Seating "&amp;'Tournament Info'!$B$11-1&amp;"R+F")))</f>
        <v/>
      </c>
      <c r="B61" s="256" t="str">
        <f ca="1">IF(ISNUMBER(A61),VLOOKUP(A61,Methuselahs!$A$7:$E$206,2,0),"")</f>
        <v/>
      </c>
      <c r="C61" s="257" t="str">
        <f ca="1">IF(ISNUMBER(A61),VLOOKUP(A61,Methuselahs!$A$7:$E$206,3,0),"")</f>
        <v/>
      </c>
      <c r="D61" s="258" t="str">
        <f t="shared" ca="1" si="12"/>
        <v/>
      </c>
      <c r="E61" s="259"/>
      <c r="F61" s="257">
        <f t="shared" si="13"/>
        <v>0</v>
      </c>
      <c r="G61" s="244" t="str">
        <f t="shared" ca="1" si="14"/>
        <v/>
      </c>
      <c r="H61" s="245" t="str">
        <f ca="1">IF(ISNUMBER(A61),IF(OR($S61=$U61,NOT(ISNA(MATCH($D61*5+$V$4,Override!$C$6:$C$125,0)))),$Q61,0),"")</f>
        <v/>
      </c>
      <c r="I61" s="258" t="str">
        <f t="shared" ca="1" si="15"/>
        <v/>
      </c>
      <c r="J61" s="260">
        <f ca="1">COUNT(A57:A61)</f>
        <v>0</v>
      </c>
      <c r="K61" s="261" t="str">
        <f ca="1">IF(ISNUMBER(A61),RANK(F61,F57:F61),"")</f>
        <v/>
      </c>
      <c r="L61" s="262">
        <f ca="1">IF(J61=5,VLOOKUP(K61,TPMatrix!$A$6:$B$10,2,0),IF(J61=4,VLOOKUP(K61,TPMatrix!$D$6:$E$9,2,0),0))</f>
        <v>0</v>
      </c>
      <c r="M61" s="262">
        <f ca="1">IF(COUNTIF(K57:K61,K61)&gt;=2,IF(J61=5,VLOOKUP(K61+1,TPMatrix!$A$6:$B$10,2,0),IF(J61=4,VLOOKUP(K61+1,TPMatrix!$D$6:$E$9,2,0),0)),"")</f>
        <v>0</v>
      </c>
      <c r="N61" s="262">
        <f ca="1">IF(COUNTIF(K57:K61,K61)&gt;=3,IF(J61=5,VLOOKUP(K61+2,TPMatrix!$A$6:$B$10,2,0),IF(J61=4,VLOOKUP(K61+2,TPMatrix!$D$6:$E$9,2,0),0)),"")</f>
        <v>0</v>
      </c>
      <c r="O61" s="262">
        <f ca="1">IF(COUNTIF(K57:K61,K61)&gt;=4,IF(J61=5,VLOOKUP(K61+3,TPMatrix!$A$6:$B$10,2,0),IF(J61=4,VLOOKUP(K61+3,TPMatrix!$D$6:$E$9,2,0),0)),"")</f>
        <v>0</v>
      </c>
      <c r="P61" s="262">
        <f ca="1">IF(COUNTIF(K57:K61,K61)&gt;=5,IF(J61=5,VLOOKUP(K61+4,TPMatrix!$A$6:$B$10,2,0),IF(J61=4,VLOOKUP(K61+4,TPMatrix!$D$6:$E$9,2,0),0)),"")</f>
        <v>0</v>
      </c>
      <c r="Q61" s="262">
        <f t="shared" ca="1" si="16"/>
        <v>0</v>
      </c>
      <c r="R61" s="263">
        <f t="shared" ca="1" si="17"/>
        <v>5</v>
      </c>
      <c r="S61" s="261">
        <f t="shared" ca="1" si="18"/>
        <v>0</v>
      </c>
      <c r="T61" s="262">
        <f t="shared" si="19"/>
        <v>0</v>
      </c>
      <c r="U61" s="263">
        <f t="shared" ca="1" si="20"/>
        <v>0</v>
      </c>
      <c r="W61" s="36" t="str">
        <f t="shared" ca="1" si="21"/>
        <v/>
      </c>
      <c r="X61" s="36" t="str">
        <f ca="1">IF(ISNUMBER($A61),$W61*(Methuselahs!$A$4+1)+$A61,"")</f>
        <v/>
      </c>
      <c r="Y61" s="36" t="str">
        <f t="shared" ca="1" si="22"/>
        <v/>
      </c>
      <c r="Z61" s="36" t="str">
        <f ca="1">IF(ISNUMBER($A61),VLOOKUP($A61,Methuselahs!$A$7:$X$206,5),"")</f>
        <v/>
      </c>
      <c r="AA61" s="36" t="str">
        <f t="shared" ca="1" si="23"/>
        <v/>
      </c>
    </row>
    <row r="62" spans="1:27" ht="12.95" customHeight="1" x14ac:dyDescent="0.2">
      <c r="A62" s="219" t="str">
        <f ca="1">IF(ISBLANK('Tournament Info'!$B$11),"",INDIRECT(ADDRESS(ROW(),1,1,1,"Optimal Seating "&amp;'Tournament Info'!$B$11-1&amp;"R+F")))</f>
        <v/>
      </c>
      <c r="B62" s="143" t="str">
        <f ca="1">IF(ISNUMBER(A62),VLOOKUP(A62,Methuselahs!$A$7:$E$206,2,0),"")</f>
        <v/>
      </c>
      <c r="C62" s="220" t="str">
        <f ca="1">IF(ISNUMBER(A62),VLOOKUP(A62,Methuselahs!$A$7:$E$206,3,0),"")</f>
        <v/>
      </c>
      <c r="D62" s="221" t="str">
        <f t="shared" ca="1" si="12"/>
        <v/>
      </c>
      <c r="E62" s="222"/>
      <c r="F62" s="220">
        <f t="shared" si="13"/>
        <v>0</v>
      </c>
      <c r="G62" s="223" t="str">
        <f t="shared" ca="1" si="14"/>
        <v/>
      </c>
      <c r="H62" s="224" t="str">
        <f ca="1">IF(ISNUMBER(A62),IF(OR($S62=$U62,NOT(ISNA(MATCH($D62*5+$V$4,Override!$C$6:$C$125,0)))),$Q62,0),"")</f>
        <v/>
      </c>
      <c r="I62" s="221" t="str">
        <f t="shared" ca="1" si="15"/>
        <v/>
      </c>
      <c r="J62" s="225">
        <f ca="1">COUNT(A62:A66)</f>
        <v>0</v>
      </c>
      <c r="K62" s="226" t="str">
        <f ca="1">IF(ISNUMBER(A62),RANK(F62,F62:F66),"")</f>
        <v/>
      </c>
      <c r="L62" s="227">
        <f ca="1">IF(J62=5,VLOOKUP(K62,TPMatrix!$A$6:$B$10,2,0),IF(J62=4,VLOOKUP(K62,TPMatrix!$D$6:$E$9,2,0),0))</f>
        <v>0</v>
      </c>
      <c r="M62" s="227">
        <f ca="1">IF(COUNTIF(K62:K66,K62)&gt;=2,IF(J62=5,VLOOKUP(K62+1,TPMatrix!$A$6:$B$10,2,0),IF(J62=4,VLOOKUP(K62+1,TPMatrix!$D$6:$E$9,2,0),0)),"")</f>
        <v>0</v>
      </c>
      <c r="N62" s="227">
        <f ca="1">IF(COUNTIF(K62:K66,K62)&gt;=3,IF(J62=5,VLOOKUP(K62+2,TPMatrix!$A$6:$B$10,2,0),IF(J62=4,VLOOKUP(K62+2,TPMatrix!$D$6:$E$9,2,0),0)),"")</f>
        <v>0</v>
      </c>
      <c r="O62" s="227">
        <f ca="1">IF(COUNTIF(K62:K66,K62)&gt;=4,IF(J62=5,VLOOKUP(K62+3,TPMatrix!$A$6:$B$10,2,0),IF(J62=4,VLOOKUP(K62+3,TPMatrix!$D$6:$E$9,2,0),0)),"")</f>
        <v>0</v>
      </c>
      <c r="P62" s="227">
        <f ca="1">IF(COUNTIF(K62:K66,K62)&gt;=5,IF(J62=5,VLOOKUP(K62+4,TPMatrix!$A$6:$B$10,2,0),IF(J62=4,VLOOKUP(K62+4,TPMatrix!$D$6:$E$9,2,0),0)),"")</f>
        <v>0</v>
      </c>
      <c r="Q62" s="227">
        <f t="shared" ca="1" si="16"/>
        <v>0</v>
      </c>
      <c r="R62" s="228">
        <f t="shared" ca="1" si="17"/>
        <v>5</v>
      </c>
      <c r="S62" s="229">
        <f t="shared" ca="1" si="18"/>
        <v>0</v>
      </c>
      <c r="T62" s="230">
        <f t="shared" si="19"/>
        <v>0</v>
      </c>
      <c r="U62" s="231">
        <f t="shared" ca="1" si="20"/>
        <v>0</v>
      </c>
      <c r="W62" s="36" t="str">
        <f t="shared" ca="1" si="21"/>
        <v/>
      </c>
      <c r="X62" s="36" t="str">
        <f ca="1">IF(ISNUMBER($A62),$W62*(Methuselahs!$A$4+1)+$A62,"")</f>
        <v/>
      </c>
      <c r="Y62" s="36" t="str">
        <f t="shared" ca="1" si="22"/>
        <v/>
      </c>
      <c r="Z62" s="36" t="str">
        <f ca="1">IF(ISNUMBER($A62),VLOOKUP($A62,Methuselahs!$A$7:$X$206,5),"")</f>
        <v/>
      </c>
      <c r="AA62" s="36" t="str">
        <f t="shared" ca="1" si="23"/>
        <v/>
      </c>
    </row>
    <row r="63" spans="1:27" ht="12.95" customHeight="1" x14ac:dyDescent="0.2">
      <c r="A63" s="111" t="str">
        <f ca="1">IF(ISBLANK('Tournament Info'!$B$11),"",INDIRECT(ADDRESS(ROW(),1,1,1,"Optimal Seating "&amp;'Tournament Info'!$B$11-1&amp;"R+F")))</f>
        <v/>
      </c>
      <c r="B63" s="117" t="str">
        <f ca="1">IF(ISNUMBER(A63),VLOOKUP(A63,Methuselahs!$A$7:$E$206,2,0),"")</f>
        <v/>
      </c>
      <c r="C63" s="232" t="str">
        <f ca="1">IF(ISNUMBER(A63),VLOOKUP(A63,Methuselahs!$A$7:$E$206,3,0),"")</f>
        <v/>
      </c>
      <c r="D63" s="233" t="str">
        <f t="shared" ca="1" si="12"/>
        <v/>
      </c>
      <c r="E63" s="234"/>
      <c r="F63" s="232">
        <f t="shared" si="13"/>
        <v>0</v>
      </c>
      <c r="G63" s="235" t="str">
        <f t="shared" ca="1" si="14"/>
        <v/>
      </c>
      <c r="H63" s="236" t="str">
        <f ca="1">IF(ISNUMBER(A63),IF(OR($S63=$U63,NOT(ISNA(MATCH($D63*5+$V$4,Override!$C$6:$C$125,0)))),$Q63,0),"")</f>
        <v/>
      </c>
      <c r="I63" s="233" t="str">
        <f t="shared" ca="1" si="15"/>
        <v/>
      </c>
      <c r="J63" s="237">
        <f ca="1">COUNT(A62:A66)</f>
        <v>0</v>
      </c>
      <c r="K63" s="238" t="str">
        <f ca="1">IF(ISNUMBER(A63),RANK(F63,F62:F66),"")</f>
        <v/>
      </c>
      <c r="L63" s="239">
        <f ca="1">IF(J63=5,VLOOKUP(K63,TPMatrix!$A$6:$B$10,2,0),IF(J63=4,VLOOKUP(K63,TPMatrix!$D$6:$E$9,2,0),0))</f>
        <v>0</v>
      </c>
      <c r="M63" s="239">
        <f ca="1">IF(COUNTIF(K62:K66,K63)&gt;=2,IF(J63=5,VLOOKUP(K63+1,TPMatrix!$A$6:$B$10,2,0),IF(J63=4,VLOOKUP(K63+1,TPMatrix!$D$6:$E$9,2,0),0)),"")</f>
        <v>0</v>
      </c>
      <c r="N63" s="239">
        <f ca="1">IF(COUNTIF(K62:K66,K63)&gt;=3,IF(J63=5,VLOOKUP(K63+2,TPMatrix!$A$6:$B$10,2,0),IF(J63=4,VLOOKUP(K63+2,TPMatrix!$D$6:$E$9,2,0),0)),"")</f>
        <v>0</v>
      </c>
      <c r="O63" s="239">
        <f ca="1">IF(COUNTIF(K62:K66,K63)&gt;=4,IF(J63=5,VLOOKUP(K63+3,TPMatrix!$A$6:$B$10,2,0),IF(J63=4,VLOOKUP(K63+3,TPMatrix!$D$6:$E$9,2,0),0)),"")</f>
        <v>0</v>
      </c>
      <c r="P63" s="239">
        <f ca="1">IF(COUNTIF(K62:K66,K63)&gt;=5,IF(J63=5,VLOOKUP(K63+4,TPMatrix!$A$6:$B$10,2,0),IF(J63=4,VLOOKUP(K63+4,TPMatrix!$D$6:$E$9,2,0),0)),"")</f>
        <v>0</v>
      </c>
      <c r="Q63" s="239">
        <f t="shared" ca="1" si="16"/>
        <v>0</v>
      </c>
      <c r="R63" s="240">
        <f t="shared" ca="1" si="17"/>
        <v>5</v>
      </c>
      <c r="S63" s="238">
        <f t="shared" ca="1" si="18"/>
        <v>0</v>
      </c>
      <c r="T63" s="239">
        <f t="shared" si="19"/>
        <v>0</v>
      </c>
      <c r="U63" s="240">
        <f t="shared" ca="1" si="20"/>
        <v>0</v>
      </c>
      <c r="W63" s="36" t="str">
        <f t="shared" ca="1" si="21"/>
        <v/>
      </c>
      <c r="X63" s="36" t="str">
        <f ca="1">IF(ISNUMBER($A63),$W63*(Methuselahs!$A$4+1)+$A63,"")</f>
        <v/>
      </c>
      <c r="Y63" s="36" t="str">
        <f t="shared" ca="1" si="22"/>
        <v/>
      </c>
      <c r="Z63" s="36" t="str">
        <f ca="1">IF(ISNUMBER($A63),VLOOKUP($A63,Methuselahs!$A$7:$X$206,5),"")</f>
        <v/>
      </c>
      <c r="AA63" s="36" t="str">
        <f t="shared" ca="1" si="23"/>
        <v/>
      </c>
    </row>
    <row r="64" spans="1:27" ht="12.95" customHeight="1" x14ac:dyDescent="0.2">
      <c r="A64" s="137" t="str">
        <f ca="1">IF(ISBLANK('Tournament Info'!$B$11),"",INDIRECT(ADDRESS(ROW(),1,1,1,"Optimal Seating "&amp;'Tournament Info'!$B$11-1&amp;"R+F")))</f>
        <v/>
      </c>
      <c r="B64" s="143" t="str">
        <f ca="1">IF(ISNUMBER(A64),VLOOKUP(A64,Methuselahs!$A$7:$E$206,2,0),"")</f>
        <v/>
      </c>
      <c r="C64" s="241" t="str">
        <f ca="1">IF(ISNUMBER(A64),VLOOKUP(A64,Methuselahs!$A$7:$E$206,3,0),"")</f>
        <v/>
      </c>
      <c r="D64" s="242" t="str">
        <f t="shared" ca="1" si="12"/>
        <v/>
      </c>
      <c r="E64" s="243"/>
      <c r="F64" s="241">
        <f t="shared" si="13"/>
        <v>0</v>
      </c>
      <c r="G64" s="244" t="str">
        <f t="shared" ca="1" si="14"/>
        <v/>
      </c>
      <c r="H64" s="245" t="str">
        <f ca="1">IF(ISNUMBER(A64),IF(OR($S64=$U64,NOT(ISNA(MATCH($D64*5+$V$4,Override!$C$6:$C$125,0)))),$Q64,0),"")</f>
        <v/>
      </c>
      <c r="I64" s="242" t="str">
        <f t="shared" ca="1" si="15"/>
        <v/>
      </c>
      <c r="J64" s="246">
        <f ca="1">COUNT(A62:A66)</f>
        <v>0</v>
      </c>
      <c r="K64" s="247" t="str">
        <f ca="1">IF(ISNUMBER(A64),RANK(F64,F62:F66),"")</f>
        <v/>
      </c>
      <c r="L64" s="142">
        <f ca="1">IF(J64=5,VLOOKUP(K64,TPMatrix!$A$6:$B$10,2,0),IF(J64=4,VLOOKUP(K64,TPMatrix!$D$6:$E$9,2,0),0))</f>
        <v>0</v>
      </c>
      <c r="M64" s="142">
        <f ca="1">IF(COUNTIF(K62:K66,K64)&gt;=2,IF(J64=5,VLOOKUP(K64+1,TPMatrix!$A$6:$B$10,2,0),IF(J64=4,VLOOKUP(K64+1,TPMatrix!$D$6:$E$9,2,0),0)),"")</f>
        <v>0</v>
      </c>
      <c r="N64" s="142">
        <f ca="1">IF(COUNTIF(K62:K66,K64)&gt;=3,IF(J64=5,VLOOKUP(K64+2,TPMatrix!$A$6:$B$10,2,0),IF(J64=4,VLOOKUP(K64+2,TPMatrix!$D$6:$E$9,2,0),0)),"")</f>
        <v>0</v>
      </c>
      <c r="O64" s="142">
        <f ca="1">IF(COUNTIF(K62:K66,K64)&gt;=4,IF(J64=5,VLOOKUP(K64+3,TPMatrix!$A$6:$B$10,2,0),IF(J64=4,VLOOKUP(K64+3,TPMatrix!$D$6:$E$9,2,0),0)),"")</f>
        <v>0</v>
      </c>
      <c r="P64" s="142">
        <f ca="1">IF(COUNTIF(K62:K66,K64)&gt;=5,IF(J64=5,VLOOKUP(K64+4,TPMatrix!$A$6:$B$10,2,0),IF(J64=4,VLOOKUP(K64+4,TPMatrix!$D$6:$E$9,2,0),0)),"")</f>
        <v>0</v>
      </c>
      <c r="Q64" s="142">
        <f t="shared" ca="1" si="16"/>
        <v>0</v>
      </c>
      <c r="R64" s="248">
        <f t="shared" ca="1" si="17"/>
        <v>5</v>
      </c>
      <c r="S64" s="247">
        <f t="shared" ca="1" si="18"/>
        <v>0</v>
      </c>
      <c r="T64" s="142">
        <f t="shared" si="19"/>
        <v>0</v>
      </c>
      <c r="U64" s="248">
        <f t="shared" ca="1" si="20"/>
        <v>0</v>
      </c>
      <c r="W64" s="36" t="str">
        <f t="shared" ca="1" si="21"/>
        <v/>
      </c>
      <c r="X64" s="36" t="str">
        <f ca="1">IF(ISNUMBER($A64),$W64*(Methuselahs!$A$4+1)+$A64,"")</f>
        <v/>
      </c>
      <c r="Y64" s="36" t="str">
        <f t="shared" ca="1" si="22"/>
        <v/>
      </c>
      <c r="Z64" s="36" t="str">
        <f ca="1">IF(ISNUMBER($A64),VLOOKUP($A64,Methuselahs!$A$7:$X$206,5),"")</f>
        <v/>
      </c>
      <c r="AA64" s="36" t="str">
        <f t="shared" ca="1" si="23"/>
        <v/>
      </c>
    </row>
    <row r="65" spans="1:27" ht="12.95" customHeight="1" x14ac:dyDescent="0.2">
      <c r="A65" s="249" t="str">
        <f ca="1">IF(ISBLANK('Tournament Info'!$B$11),"",INDIRECT(ADDRESS(ROW(),1,1,1,"Optimal Seating "&amp;'Tournament Info'!$B$11-1&amp;"R+F")))</f>
        <v/>
      </c>
      <c r="B65" s="250" t="str">
        <f ca="1">IF(ISNUMBER(A65),VLOOKUP(A65,Methuselahs!$A$7:$E$206,2,0),"")</f>
        <v/>
      </c>
      <c r="C65" s="251" t="str">
        <f ca="1">IF(ISNUMBER(A65),VLOOKUP(A65,Methuselahs!$A$7:$E$206,3,0),"")</f>
        <v/>
      </c>
      <c r="D65" s="252" t="str">
        <f t="shared" ca="1" si="12"/>
        <v/>
      </c>
      <c r="E65" s="253"/>
      <c r="F65" s="251">
        <f t="shared" si="13"/>
        <v>0</v>
      </c>
      <c r="G65" s="235" t="str">
        <f t="shared" ca="1" si="14"/>
        <v/>
      </c>
      <c r="H65" s="236" t="str">
        <f ca="1">IF(ISNUMBER(A65),IF(OR($S65=$U65,NOT(ISNA(MATCH($D65*5+$V$4,Override!$C$6:$C$125,0)))),$Q65,0),"")</f>
        <v/>
      </c>
      <c r="I65" s="252" t="str">
        <f t="shared" ca="1" si="15"/>
        <v/>
      </c>
      <c r="J65" s="254">
        <f ca="1">COUNT(A62:A66)</f>
        <v>0</v>
      </c>
      <c r="K65" s="238" t="str">
        <f ca="1">IF(ISNUMBER(A65),RANK(F65,F62:F66),"")</f>
        <v/>
      </c>
      <c r="L65" s="239">
        <f ca="1">IF(J65=5,VLOOKUP(K65,TPMatrix!$A$6:$B$10,2,0),IF(J65=4,VLOOKUP(K65,TPMatrix!$D$6:$E$9,2,0),0))</f>
        <v>0</v>
      </c>
      <c r="M65" s="239">
        <f ca="1">IF(COUNTIF(K62:K66,K65)&gt;=2,IF(J65=5,VLOOKUP(K65+1,TPMatrix!$A$6:$B$10,2,0),IF(J65=4,VLOOKUP(K65+1,TPMatrix!$D$6:$E$9,2,0),0)),"")</f>
        <v>0</v>
      </c>
      <c r="N65" s="239">
        <f ca="1">IF(COUNTIF(K62:K66,K65)&gt;=3,IF(J65=5,VLOOKUP(K65+2,TPMatrix!$A$6:$B$10,2,0),IF(J65=4,VLOOKUP(K65+2,TPMatrix!$D$6:$E$9,2,0),0)),"")</f>
        <v>0</v>
      </c>
      <c r="O65" s="239">
        <f ca="1">IF(COUNTIF(K62:K66,K65)&gt;=4,IF(J65=5,VLOOKUP(K65+3,TPMatrix!$A$6:$B$10,2,0),IF(J65=4,VLOOKUP(K65+3,TPMatrix!$D$6:$E$9,2,0),0)),"")</f>
        <v>0</v>
      </c>
      <c r="P65" s="239">
        <f ca="1">IF(COUNTIF(K62:K66,K65)&gt;=5,IF(J65=5,VLOOKUP(K65+4,TPMatrix!$A$6:$B$10,2,0),IF(J65=4,VLOOKUP(K65+4,TPMatrix!$D$6:$E$9,2,0),0)),"")</f>
        <v>0</v>
      </c>
      <c r="Q65" s="239">
        <f t="shared" ca="1" si="16"/>
        <v>0</v>
      </c>
      <c r="R65" s="240">
        <f t="shared" ca="1" si="17"/>
        <v>5</v>
      </c>
      <c r="S65" s="238">
        <f t="shared" ca="1" si="18"/>
        <v>0</v>
      </c>
      <c r="T65" s="239">
        <f t="shared" si="19"/>
        <v>0</v>
      </c>
      <c r="U65" s="240">
        <f t="shared" ca="1" si="20"/>
        <v>0</v>
      </c>
      <c r="W65" s="36" t="str">
        <f t="shared" ca="1" si="21"/>
        <v/>
      </c>
      <c r="X65" s="36" t="str">
        <f ca="1">IF(ISNUMBER($A65),$W65*(Methuselahs!$A$4+1)+$A65,"")</f>
        <v/>
      </c>
      <c r="Y65" s="36" t="str">
        <f t="shared" ca="1" si="22"/>
        <v/>
      </c>
      <c r="Z65" s="36" t="str">
        <f ca="1">IF(ISNUMBER($A65),VLOOKUP($A65,Methuselahs!$A$7:$X$206,5),"")</f>
        <v/>
      </c>
      <c r="AA65" s="36" t="str">
        <f t="shared" ca="1" si="23"/>
        <v/>
      </c>
    </row>
    <row r="66" spans="1:27" ht="12.95" customHeight="1" x14ac:dyDescent="0.2">
      <c r="A66" s="255" t="str">
        <f ca="1">IF(ISBLANK('Tournament Info'!$B$11),"",INDIRECT(ADDRESS(ROW(),1,1,1,"Optimal Seating "&amp;'Tournament Info'!$B$11-1&amp;"R+F")))</f>
        <v/>
      </c>
      <c r="B66" s="256" t="str">
        <f ca="1">IF(ISNUMBER(A66),VLOOKUP(A66,Methuselahs!$A$7:$E$206,2,0),"")</f>
        <v/>
      </c>
      <c r="C66" s="257" t="str">
        <f ca="1">IF(ISNUMBER(A66),VLOOKUP(A66,Methuselahs!$A$7:$E$206,3,0),"")</f>
        <v/>
      </c>
      <c r="D66" s="258" t="str">
        <f t="shared" ca="1" si="12"/>
        <v/>
      </c>
      <c r="E66" s="259"/>
      <c r="F66" s="257">
        <f t="shared" si="13"/>
        <v>0</v>
      </c>
      <c r="G66" s="244" t="str">
        <f t="shared" ca="1" si="14"/>
        <v/>
      </c>
      <c r="H66" s="245" t="str">
        <f ca="1">IF(ISNUMBER(A66),IF(OR($S66=$U66,NOT(ISNA(MATCH($D66*5+$V$4,Override!$C$6:$C$125,0)))),$Q66,0),"")</f>
        <v/>
      </c>
      <c r="I66" s="258" t="str">
        <f t="shared" ca="1" si="15"/>
        <v/>
      </c>
      <c r="J66" s="260">
        <f ca="1">COUNT(A62:A66)</f>
        <v>0</v>
      </c>
      <c r="K66" s="261" t="str">
        <f ca="1">IF(ISNUMBER(A66),RANK(F66,F62:F66),"")</f>
        <v/>
      </c>
      <c r="L66" s="262">
        <f ca="1">IF(J66=5,VLOOKUP(K66,TPMatrix!$A$6:$B$10,2,0),IF(J66=4,VLOOKUP(K66,TPMatrix!$D$6:$E$9,2,0),0))</f>
        <v>0</v>
      </c>
      <c r="M66" s="262">
        <f ca="1">IF(COUNTIF(K62:K66,K66)&gt;=2,IF(J66=5,VLOOKUP(K66+1,TPMatrix!$A$6:$B$10,2,0),IF(J66=4,VLOOKUP(K66+1,TPMatrix!$D$6:$E$9,2,0),0)),"")</f>
        <v>0</v>
      </c>
      <c r="N66" s="262">
        <f ca="1">IF(COUNTIF(K62:K66,K66)&gt;=3,IF(J66=5,VLOOKUP(K66+2,TPMatrix!$A$6:$B$10,2,0),IF(J66=4,VLOOKUP(K66+2,TPMatrix!$D$6:$E$9,2,0),0)),"")</f>
        <v>0</v>
      </c>
      <c r="O66" s="262">
        <f ca="1">IF(COUNTIF(K62:K66,K66)&gt;=4,IF(J66=5,VLOOKUP(K66+3,TPMatrix!$A$6:$B$10,2,0),IF(J66=4,VLOOKUP(K66+3,TPMatrix!$D$6:$E$9,2,0),0)),"")</f>
        <v>0</v>
      </c>
      <c r="P66" s="262">
        <f ca="1">IF(COUNTIF(K62:K66,K66)&gt;=5,IF(J66=5,VLOOKUP(K66+4,TPMatrix!$A$6:$B$10,2,0),IF(J66=4,VLOOKUP(K66+4,TPMatrix!$D$6:$E$9,2,0),0)),"")</f>
        <v>0</v>
      </c>
      <c r="Q66" s="262">
        <f t="shared" ca="1" si="16"/>
        <v>0</v>
      </c>
      <c r="R66" s="263">
        <f t="shared" ca="1" si="17"/>
        <v>5</v>
      </c>
      <c r="S66" s="261">
        <f t="shared" ca="1" si="18"/>
        <v>0</v>
      </c>
      <c r="T66" s="262">
        <f t="shared" si="19"/>
        <v>0</v>
      </c>
      <c r="U66" s="263">
        <f t="shared" ca="1" si="20"/>
        <v>0</v>
      </c>
      <c r="W66" s="36" t="str">
        <f t="shared" ca="1" si="21"/>
        <v/>
      </c>
      <c r="X66" s="36" t="str">
        <f ca="1">IF(ISNUMBER($A66),$W66*(Methuselahs!$A$4+1)+$A66,"")</f>
        <v/>
      </c>
      <c r="Y66" s="36" t="str">
        <f t="shared" ca="1" si="22"/>
        <v/>
      </c>
      <c r="Z66" s="36" t="str">
        <f ca="1">IF(ISNUMBER($A66),VLOOKUP($A66,Methuselahs!$A$7:$X$206,5),"")</f>
        <v/>
      </c>
      <c r="AA66" s="36" t="str">
        <f t="shared" ca="1" si="23"/>
        <v/>
      </c>
    </row>
    <row r="67" spans="1:27" ht="12.95" customHeight="1" x14ac:dyDescent="0.2">
      <c r="A67" s="219" t="str">
        <f ca="1">IF(ISBLANK('Tournament Info'!$B$11),"",INDIRECT(ADDRESS(ROW(),1,1,1,"Optimal Seating "&amp;'Tournament Info'!$B$11-1&amp;"R+F")))</f>
        <v/>
      </c>
      <c r="B67" s="143" t="str">
        <f ca="1">IF(ISNUMBER(A67),VLOOKUP(A67,Methuselahs!$A$7:$E$206,2,0),"")</f>
        <v/>
      </c>
      <c r="C67" s="220" t="str">
        <f ca="1">IF(ISNUMBER(A67),VLOOKUP(A67,Methuselahs!$A$7:$E$206,3,0),"")</f>
        <v/>
      </c>
      <c r="D67" s="221" t="str">
        <f t="shared" ca="1" si="12"/>
        <v/>
      </c>
      <c r="E67" s="222"/>
      <c r="F67" s="220">
        <f t="shared" si="13"/>
        <v>0</v>
      </c>
      <c r="G67" s="223" t="str">
        <f t="shared" ca="1" si="14"/>
        <v/>
      </c>
      <c r="H67" s="224" t="str">
        <f ca="1">IF(ISNUMBER(A67),IF(OR($S67=$U67,NOT(ISNA(MATCH($D67*5+$V$4,Override!$C$6:$C$125,0)))),$Q67,0),"")</f>
        <v/>
      </c>
      <c r="I67" s="221" t="str">
        <f t="shared" ca="1" si="15"/>
        <v/>
      </c>
      <c r="J67" s="225">
        <f ca="1">COUNT(A67:A71)</f>
        <v>0</v>
      </c>
      <c r="K67" s="226" t="str">
        <f ca="1">IF(ISNUMBER(A67),RANK(F67,F67:F71),"")</f>
        <v/>
      </c>
      <c r="L67" s="227">
        <f ca="1">IF(J67=5,VLOOKUP(K67,TPMatrix!$A$6:$B$10,2,0),IF(J67=4,VLOOKUP(K67,TPMatrix!$D$6:$E$9,2,0),0))</f>
        <v>0</v>
      </c>
      <c r="M67" s="227">
        <f ca="1">IF(COUNTIF(K67:K71,K67)&gt;=2,IF(J67=5,VLOOKUP(K67+1,TPMatrix!$A$6:$B$10,2,0),IF(J67=4,VLOOKUP(K67+1,TPMatrix!$D$6:$E$9,2,0),0)),"")</f>
        <v>0</v>
      </c>
      <c r="N67" s="227">
        <f ca="1">IF(COUNTIF(K67:K71,K67)&gt;=3,IF(J67=5,VLOOKUP(K67+2,TPMatrix!$A$6:$B$10,2,0),IF(J67=4,VLOOKUP(K67+2,TPMatrix!$D$6:$E$9,2,0),0)),"")</f>
        <v>0</v>
      </c>
      <c r="O67" s="227">
        <f ca="1">IF(COUNTIF(K67:K71,K67)&gt;=4,IF(J67=5,VLOOKUP(K67+3,TPMatrix!$A$6:$B$10,2,0),IF(J67=4,VLOOKUP(K67+3,TPMatrix!$D$6:$E$9,2,0),0)),"")</f>
        <v>0</v>
      </c>
      <c r="P67" s="227">
        <f ca="1">IF(COUNTIF(K67:K71,K67)&gt;=5,IF(J67=5,VLOOKUP(K67+4,TPMatrix!$A$6:$B$10,2,0),IF(J67=4,VLOOKUP(K67+4,TPMatrix!$D$6:$E$9,2,0),0)),"")</f>
        <v>0</v>
      </c>
      <c r="Q67" s="227">
        <f t="shared" ca="1" si="16"/>
        <v>0</v>
      </c>
      <c r="R67" s="228">
        <f t="shared" ca="1" si="17"/>
        <v>5</v>
      </c>
      <c r="S67" s="229">
        <f t="shared" ca="1" si="18"/>
        <v>0</v>
      </c>
      <c r="T67" s="230">
        <f t="shared" si="19"/>
        <v>0</v>
      </c>
      <c r="U67" s="231">
        <f t="shared" ca="1" si="20"/>
        <v>0</v>
      </c>
      <c r="W67" s="36" t="str">
        <f t="shared" ca="1" si="21"/>
        <v/>
      </c>
      <c r="X67" s="36" t="str">
        <f ca="1">IF(ISNUMBER($A67),$W67*(Methuselahs!$A$4+1)+$A67,"")</f>
        <v/>
      </c>
      <c r="Y67" s="36" t="str">
        <f t="shared" ca="1" si="22"/>
        <v/>
      </c>
      <c r="Z67" s="36" t="str">
        <f ca="1">IF(ISNUMBER($A67),VLOOKUP($A67,Methuselahs!$A$7:$X$206,5),"")</f>
        <v/>
      </c>
      <c r="AA67" s="36" t="str">
        <f t="shared" ca="1" si="23"/>
        <v/>
      </c>
    </row>
    <row r="68" spans="1:27" ht="12.95" customHeight="1" x14ac:dyDescent="0.2">
      <c r="A68" s="111" t="str">
        <f ca="1">IF(ISBLANK('Tournament Info'!$B$11),"",INDIRECT(ADDRESS(ROW(),1,1,1,"Optimal Seating "&amp;'Tournament Info'!$B$11-1&amp;"R+F")))</f>
        <v/>
      </c>
      <c r="B68" s="117" t="str">
        <f ca="1">IF(ISNUMBER(A68),VLOOKUP(A68,Methuselahs!$A$7:$E$206,2,0),"")</f>
        <v/>
      </c>
      <c r="C68" s="232" t="str">
        <f ca="1">IF(ISNUMBER(A68),VLOOKUP(A68,Methuselahs!$A$7:$E$206,3,0),"")</f>
        <v/>
      </c>
      <c r="D68" s="233" t="str">
        <f t="shared" ca="1" si="12"/>
        <v/>
      </c>
      <c r="E68" s="234"/>
      <c r="F68" s="232">
        <f t="shared" si="13"/>
        <v>0</v>
      </c>
      <c r="G68" s="235" t="str">
        <f t="shared" ca="1" si="14"/>
        <v/>
      </c>
      <c r="H68" s="236" t="str">
        <f ca="1">IF(ISNUMBER(A68),IF(OR($S68=$U68,NOT(ISNA(MATCH($D68*5+$V$4,Override!$C$6:$C$125,0)))),$Q68,0),"")</f>
        <v/>
      </c>
      <c r="I68" s="233" t="str">
        <f t="shared" ca="1" si="15"/>
        <v/>
      </c>
      <c r="J68" s="237">
        <f ca="1">COUNT(A67:A71)</f>
        <v>0</v>
      </c>
      <c r="K68" s="238" t="str">
        <f ca="1">IF(ISNUMBER(A68),RANK(F68,F67:F71),"")</f>
        <v/>
      </c>
      <c r="L68" s="239">
        <f ca="1">IF(J68=5,VLOOKUP(K68,TPMatrix!$A$6:$B$10,2,0),IF(J68=4,VLOOKUP(K68,TPMatrix!$D$6:$E$9,2,0),0))</f>
        <v>0</v>
      </c>
      <c r="M68" s="239">
        <f ca="1">IF(COUNTIF(K67:K71,K68)&gt;=2,IF(J68=5,VLOOKUP(K68+1,TPMatrix!$A$6:$B$10,2,0),IF(J68=4,VLOOKUP(K68+1,TPMatrix!$D$6:$E$9,2,0),0)),"")</f>
        <v>0</v>
      </c>
      <c r="N68" s="239">
        <f ca="1">IF(COUNTIF(K67:K71,K68)&gt;=3,IF(J68=5,VLOOKUP(K68+2,TPMatrix!$A$6:$B$10,2,0),IF(J68=4,VLOOKUP(K68+2,TPMatrix!$D$6:$E$9,2,0),0)),"")</f>
        <v>0</v>
      </c>
      <c r="O68" s="239">
        <f ca="1">IF(COUNTIF(K67:K71,K68)&gt;=4,IF(J68=5,VLOOKUP(K68+3,TPMatrix!$A$6:$B$10,2,0),IF(J68=4,VLOOKUP(K68+3,TPMatrix!$D$6:$E$9,2,0),0)),"")</f>
        <v>0</v>
      </c>
      <c r="P68" s="239">
        <f ca="1">IF(COUNTIF(K67:K71,K68)&gt;=5,IF(J68=5,VLOOKUP(K68+4,TPMatrix!$A$6:$B$10,2,0),IF(J68=4,VLOOKUP(K68+4,TPMatrix!$D$6:$E$9,2,0),0)),"")</f>
        <v>0</v>
      </c>
      <c r="Q68" s="239">
        <f t="shared" ca="1" si="16"/>
        <v>0</v>
      </c>
      <c r="R68" s="240">
        <f t="shared" ca="1" si="17"/>
        <v>5</v>
      </c>
      <c r="S68" s="238">
        <f t="shared" ca="1" si="18"/>
        <v>0</v>
      </c>
      <c r="T68" s="239">
        <f t="shared" si="19"/>
        <v>0</v>
      </c>
      <c r="U68" s="240">
        <f t="shared" ca="1" si="20"/>
        <v>0</v>
      </c>
      <c r="W68" s="36" t="str">
        <f t="shared" ca="1" si="21"/>
        <v/>
      </c>
      <c r="X68" s="36" t="str">
        <f ca="1">IF(ISNUMBER($A68),$W68*(Methuselahs!$A$4+1)+$A68,"")</f>
        <v/>
      </c>
      <c r="Y68" s="36" t="str">
        <f t="shared" ca="1" si="22"/>
        <v/>
      </c>
      <c r="Z68" s="36" t="str">
        <f ca="1">IF(ISNUMBER($A68),VLOOKUP($A68,Methuselahs!$A$7:$X$206,5),"")</f>
        <v/>
      </c>
      <c r="AA68" s="36" t="str">
        <f t="shared" ca="1" si="23"/>
        <v/>
      </c>
    </row>
    <row r="69" spans="1:27" ht="12.95" customHeight="1" x14ac:dyDescent="0.2">
      <c r="A69" s="137" t="str">
        <f ca="1">IF(ISBLANK('Tournament Info'!$B$11),"",INDIRECT(ADDRESS(ROW(),1,1,1,"Optimal Seating "&amp;'Tournament Info'!$B$11-1&amp;"R+F")))</f>
        <v/>
      </c>
      <c r="B69" s="143" t="str">
        <f ca="1">IF(ISNUMBER(A69),VLOOKUP(A69,Methuselahs!$A$7:$E$206,2,0),"")</f>
        <v/>
      </c>
      <c r="C69" s="241" t="str">
        <f ca="1">IF(ISNUMBER(A69),VLOOKUP(A69,Methuselahs!$A$7:$E$206,3,0),"")</f>
        <v/>
      </c>
      <c r="D69" s="242" t="str">
        <f t="shared" ca="1" si="12"/>
        <v/>
      </c>
      <c r="E69" s="243"/>
      <c r="F69" s="241">
        <f t="shared" si="13"/>
        <v>0</v>
      </c>
      <c r="G69" s="244" t="str">
        <f t="shared" ca="1" si="14"/>
        <v/>
      </c>
      <c r="H69" s="245" t="str">
        <f ca="1">IF(ISNUMBER(A69),IF(OR($S69=$U69,NOT(ISNA(MATCH($D69*5+$V$4,Override!$C$6:$C$125,0)))),$Q69,0),"")</f>
        <v/>
      </c>
      <c r="I69" s="242" t="str">
        <f t="shared" ca="1" si="15"/>
        <v/>
      </c>
      <c r="J69" s="246">
        <f ca="1">COUNT(A67:A71)</f>
        <v>0</v>
      </c>
      <c r="K69" s="247" t="str">
        <f ca="1">IF(ISNUMBER(A69),RANK(F69,F67:F71),"")</f>
        <v/>
      </c>
      <c r="L69" s="142">
        <f ca="1">IF(J69=5,VLOOKUP(K69,TPMatrix!$A$6:$B$10,2,0),IF(J69=4,VLOOKUP(K69,TPMatrix!$D$6:$E$9,2,0),0))</f>
        <v>0</v>
      </c>
      <c r="M69" s="142">
        <f ca="1">IF(COUNTIF(K67:K71,K69)&gt;=2,IF(J69=5,VLOOKUP(K69+1,TPMatrix!$A$6:$B$10,2,0),IF(J69=4,VLOOKUP(K69+1,TPMatrix!$D$6:$E$9,2,0),0)),"")</f>
        <v>0</v>
      </c>
      <c r="N69" s="142">
        <f ca="1">IF(COUNTIF(K67:K71,K69)&gt;=3,IF(J69=5,VLOOKUP(K69+2,TPMatrix!$A$6:$B$10,2,0),IF(J69=4,VLOOKUP(K69+2,TPMatrix!$D$6:$E$9,2,0),0)),"")</f>
        <v>0</v>
      </c>
      <c r="O69" s="142">
        <f ca="1">IF(COUNTIF(K67:K71,K69)&gt;=4,IF(J69=5,VLOOKUP(K69+3,TPMatrix!$A$6:$B$10,2,0),IF(J69=4,VLOOKUP(K69+3,TPMatrix!$D$6:$E$9,2,0),0)),"")</f>
        <v>0</v>
      </c>
      <c r="P69" s="142">
        <f ca="1">IF(COUNTIF(K67:K71,K69)&gt;=5,IF(J69=5,VLOOKUP(K69+4,TPMatrix!$A$6:$B$10,2,0),IF(J69=4,VLOOKUP(K69+4,TPMatrix!$D$6:$E$9,2,0),0)),"")</f>
        <v>0</v>
      </c>
      <c r="Q69" s="142">
        <f t="shared" ca="1" si="16"/>
        <v>0</v>
      </c>
      <c r="R69" s="248">
        <f t="shared" ca="1" si="17"/>
        <v>5</v>
      </c>
      <c r="S69" s="247">
        <f t="shared" ca="1" si="18"/>
        <v>0</v>
      </c>
      <c r="T69" s="142">
        <f t="shared" si="19"/>
        <v>0</v>
      </c>
      <c r="U69" s="248">
        <f t="shared" ca="1" si="20"/>
        <v>0</v>
      </c>
      <c r="W69" s="36" t="str">
        <f t="shared" ca="1" si="21"/>
        <v/>
      </c>
      <c r="X69" s="36" t="str">
        <f ca="1">IF(ISNUMBER($A69),$W69*(Methuselahs!$A$4+1)+$A69,"")</f>
        <v/>
      </c>
      <c r="Y69" s="36" t="str">
        <f t="shared" ca="1" si="22"/>
        <v/>
      </c>
      <c r="Z69" s="36" t="str">
        <f ca="1">IF(ISNUMBER($A69),VLOOKUP($A69,Methuselahs!$A$7:$X$206,5),"")</f>
        <v/>
      </c>
      <c r="AA69" s="36" t="str">
        <f t="shared" ca="1" si="23"/>
        <v/>
      </c>
    </row>
    <row r="70" spans="1:27" ht="12.95" customHeight="1" x14ac:dyDescent="0.2">
      <c r="A70" s="249" t="str">
        <f ca="1">IF(ISBLANK('Tournament Info'!$B$11),"",INDIRECT(ADDRESS(ROW(),1,1,1,"Optimal Seating "&amp;'Tournament Info'!$B$11-1&amp;"R+F")))</f>
        <v/>
      </c>
      <c r="B70" s="250" t="str">
        <f ca="1">IF(ISNUMBER(A70),VLOOKUP(A70,Methuselahs!$A$7:$E$206,2,0),"")</f>
        <v/>
      </c>
      <c r="C70" s="251" t="str">
        <f ca="1">IF(ISNUMBER(A70),VLOOKUP(A70,Methuselahs!$A$7:$E$206,3,0),"")</f>
        <v/>
      </c>
      <c r="D70" s="252" t="str">
        <f t="shared" ca="1" si="12"/>
        <v/>
      </c>
      <c r="E70" s="253"/>
      <c r="F70" s="251">
        <f t="shared" si="13"/>
        <v>0</v>
      </c>
      <c r="G70" s="235" t="str">
        <f t="shared" ca="1" si="14"/>
        <v/>
      </c>
      <c r="H70" s="236" t="str">
        <f ca="1">IF(ISNUMBER(A70),IF(OR($S70=$U70,NOT(ISNA(MATCH($D70*5+$V$4,Override!$C$6:$C$125,0)))),$Q70,0),"")</f>
        <v/>
      </c>
      <c r="I70" s="252" t="str">
        <f t="shared" ca="1" si="15"/>
        <v/>
      </c>
      <c r="J70" s="254">
        <f ca="1">COUNT(A67:A71)</f>
        <v>0</v>
      </c>
      <c r="K70" s="238" t="str">
        <f ca="1">IF(ISNUMBER(A70),RANK(F70,F67:F71),"")</f>
        <v/>
      </c>
      <c r="L70" s="239">
        <f ca="1">IF(J70=5,VLOOKUP(K70,TPMatrix!$A$6:$B$10,2,0),IF(J70=4,VLOOKUP(K70,TPMatrix!$D$6:$E$9,2,0),0))</f>
        <v>0</v>
      </c>
      <c r="M70" s="239">
        <f ca="1">IF(COUNTIF(K67:K71,K70)&gt;=2,IF(J70=5,VLOOKUP(K70+1,TPMatrix!$A$6:$B$10,2,0),IF(J70=4,VLOOKUP(K70+1,TPMatrix!$D$6:$E$9,2,0),0)),"")</f>
        <v>0</v>
      </c>
      <c r="N70" s="239">
        <f ca="1">IF(COUNTIF(K67:K71,K70)&gt;=3,IF(J70=5,VLOOKUP(K70+2,TPMatrix!$A$6:$B$10,2,0),IF(J70=4,VLOOKUP(K70+2,TPMatrix!$D$6:$E$9,2,0),0)),"")</f>
        <v>0</v>
      </c>
      <c r="O70" s="239">
        <f ca="1">IF(COUNTIF(K67:K71,K70)&gt;=4,IF(J70=5,VLOOKUP(K70+3,TPMatrix!$A$6:$B$10,2,0),IF(J70=4,VLOOKUP(K70+3,TPMatrix!$D$6:$E$9,2,0),0)),"")</f>
        <v>0</v>
      </c>
      <c r="P70" s="239">
        <f ca="1">IF(COUNTIF(K67:K71,K70)&gt;=5,IF(J70=5,VLOOKUP(K70+4,TPMatrix!$A$6:$B$10,2,0),IF(J70=4,VLOOKUP(K70+4,TPMatrix!$D$6:$E$9,2,0),0)),"")</f>
        <v>0</v>
      </c>
      <c r="Q70" s="239">
        <f t="shared" ca="1" si="16"/>
        <v>0</v>
      </c>
      <c r="R70" s="240">
        <f t="shared" ca="1" si="17"/>
        <v>5</v>
      </c>
      <c r="S70" s="238">
        <f t="shared" ca="1" si="18"/>
        <v>0</v>
      </c>
      <c r="T70" s="239">
        <f t="shared" si="19"/>
        <v>0</v>
      </c>
      <c r="U70" s="240">
        <f t="shared" ca="1" si="20"/>
        <v>0</v>
      </c>
      <c r="W70" s="36" t="str">
        <f t="shared" ca="1" si="21"/>
        <v/>
      </c>
      <c r="X70" s="36" t="str">
        <f ca="1">IF(ISNUMBER($A70),$W70*(Methuselahs!$A$4+1)+$A70,"")</f>
        <v/>
      </c>
      <c r="Y70" s="36" t="str">
        <f t="shared" ca="1" si="22"/>
        <v/>
      </c>
      <c r="Z70" s="36" t="str">
        <f ca="1">IF(ISNUMBER($A70),VLOOKUP($A70,Methuselahs!$A$7:$X$206,5),"")</f>
        <v/>
      </c>
      <c r="AA70" s="36" t="str">
        <f t="shared" ca="1" si="23"/>
        <v/>
      </c>
    </row>
    <row r="71" spans="1:27" ht="12.95" customHeight="1" x14ac:dyDescent="0.2">
      <c r="A71" s="255" t="str">
        <f ca="1">IF(ISBLANK('Tournament Info'!$B$11),"",INDIRECT(ADDRESS(ROW(),1,1,1,"Optimal Seating "&amp;'Tournament Info'!$B$11-1&amp;"R+F")))</f>
        <v/>
      </c>
      <c r="B71" s="256" t="str">
        <f ca="1">IF(ISNUMBER(A71),VLOOKUP(A71,Methuselahs!$A$7:$E$206,2,0),"")</f>
        <v/>
      </c>
      <c r="C71" s="257" t="str">
        <f ca="1">IF(ISNUMBER(A71),VLOOKUP(A71,Methuselahs!$A$7:$E$206,3,0),"")</f>
        <v/>
      </c>
      <c r="D71" s="258" t="str">
        <f t="shared" ref="D71:D102" ca="1" si="24">IF(ISNUMBER(A71),FLOOR((ROW()-ROW($A$7))/5,1)+1,"")</f>
        <v/>
      </c>
      <c r="E71" s="259"/>
      <c r="F71" s="257">
        <f t="shared" ref="F71:F102" si="25">IF(ISNUMBER(E71),E71,0)</f>
        <v>0</v>
      </c>
      <c r="G71" s="244" t="str">
        <f t="shared" ref="G71:G102" ca="1" si="26">IF(ISNUMBER($A71),IF(AND($F71&gt;=2,$H71=60),1,0),"")</f>
        <v/>
      </c>
      <c r="H71" s="245" t="str">
        <f ca="1">IF(ISNUMBER(A71),IF(OR($S71=$U71,NOT(ISNA(MATCH($D71*5+$V$4,Override!$C$6:$C$125,0)))),$Q71,0),"")</f>
        <v/>
      </c>
      <c r="I71" s="258" t="str">
        <f t="shared" ref="I71:I102" ca="1" si="27">IF(ISNUMBER(A71),IF(J71=5,K71,IF(AND(J71=4,OR(K71=4,K71=3)),K71+1,K71)),"")</f>
        <v/>
      </c>
      <c r="J71" s="260">
        <f ca="1">COUNT(A67:A71)</f>
        <v>0</v>
      </c>
      <c r="K71" s="261" t="str">
        <f ca="1">IF(ISNUMBER(A71),RANK(F71,F67:F71),"")</f>
        <v/>
      </c>
      <c r="L71" s="262">
        <f ca="1">IF(J71=5,VLOOKUP(K71,TPMatrix!$A$6:$B$10,2,0),IF(J71=4,VLOOKUP(K71,TPMatrix!$D$6:$E$9,2,0),0))</f>
        <v>0</v>
      </c>
      <c r="M71" s="262">
        <f ca="1">IF(COUNTIF(K67:K71,K71)&gt;=2,IF(J71=5,VLOOKUP(K71+1,TPMatrix!$A$6:$B$10,2,0),IF(J71=4,VLOOKUP(K71+1,TPMatrix!$D$6:$E$9,2,0),0)),"")</f>
        <v>0</v>
      </c>
      <c r="N71" s="262">
        <f ca="1">IF(COUNTIF(K67:K71,K71)&gt;=3,IF(J71=5,VLOOKUP(K71+2,TPMatrix!$A$6:$B$10,2,0),IF(J71=4,VLOOKUP(K71+2,TPMatrix!$D$6:$E$9,2,0),0)),"")</f>
        <v>0</v>
      </c>
      <c r="O71" s="262">
        <f ca="1">IF(COUNTIF(K67:K71,K71)&gt;=4,IF(J71=5,VLOOKUP(K71+3,TPMatrix!$A$6:$B$10,2,0),IF(J71=4,VLOOKUP(K71+3,TPMatrix!$D$6:$E$9,2,0),0)),"")</f>
        <v>0</v>
      </c>
      <c r="P71" s="262">
        <f ca="1">IF(COUNTIF(K67:K71,K71)&gt;=5,IF(J71=5,VLOOKUP(K71+4,TPMatrix!$A$6:$B$10,2,0),IF(J71=4,VLOOKUP(K71+4,TPMatrix!$D$6:$E$9,2,0),0)),"")</f>
        <v>0</v>
      </c>
      <c r="Q71" s="262">
        <f t="shared" ref="Q71:Q102" ca="1" si="28">SUM(L71:P71)/COUNT(L71:P71)</f>
        <v>0</v>
      </c>
      <c r="R71" s="263">
        <f t="shared" ref="R71:R102" ca="1" si="29">COUNT(L71:P71)</f>
        <v>5</v>
      </c>
      <c r="S71" s="261">
        <f t="shared" ref="S71:S102" ca="1" si="30">IF(ISNUMBER($A71),COUNTIF($D$7:$D$206,$D71),0)</f>
        <v>0</v>
      </c>
      <c r="T71" s="262">
        <f t="shared" ref="T71:T102" si="31">CEILING($F71,1)</f>
        <v>0</v>
      </c>
      <c r="U71" s="263">
        <f t="shared" ref="U71:U102" ca="1" si="32">SUM(OFFSET(T71,-MOD(ROW()-ROW($U$7),5),0,5,1))</f>
        <v>0</v>
      </c>
      <c r="W71" s="36" t="str">
        <f t="shared" ref="W71:W102" ca="1" si="33">$I71</f>
        <v/>
      </c>
      <c r="X71" s="36" t="str">
        <f ca="1">IF(ISNUMBER($A71),$W71*(Methuselahs!$A$4+1)+$A71,"")</f>
        <v/>
      </c>
      <c r="Y71" s="36" t="str">
        <f t="shared" ref="Y71:Y102" ca="1" si="34">IF(ISNUMBER($A71),RANK($X71,$X71:$X75,1),"")</f>
        <v/>
      </c>
      <c r="Z71" s="36" t="str">
        <f ca="1">IF(ISNUMBER($A71),VLOOKUP($A71,Methuselahs!$A$7:$X$206,5),"")</f>
        <v/>
      </c>
      <c r="AA71" s="36" t="str">
        <f t="shared" ref="AA71:AA102" ca="1" si="35">$I71</f>
        <v/>
      </c>
    </row>
    <row r="72" spans="1:27" ht="12.95" customHeight="1" x14ac:dyDescent="0.2">
      <c r="A72" s="219" t="str">
        <f ca="1">IF(ISBLANK('Tournament Info'!$B$11),"",INDIRECT(ADDRESS(ROW(),1,1,1,"Optimal Seating "&amp;'Tournament Info'!$B$11-1&amp;"R+F")))</f>
        <v/>
      </c>
      <c r="B72" s="143" t="str">
        <f ca="1">IF(ISNUMBER(A72),VLOOKUP(A72,Methuselahs!$A$7:$E$206,2,0),"")</f>
        <v/>
      </c>
      <c r="C72" s="220" t="str">
        <f ca="1">IF(ISNUMBER(A72),VLOOKUP(A72,Methuselahs!$A$7:$E$206,3,0),"")</f>
        <v/>
      </c>
      <c r="D72" s="221" t="str">
        <f t="shared" ca="1" si="24"/>
        <v/>
      </c>
      <c r="E72" s="222"/>
      <c r="F72" s="220">
        <f t="shared" si="25"/>
        <v>0</v>
      </c>
      <c r="G72" s="223" t="str">
        <f t="shared" ca="1" si="26"/>
        <v/>
      </c>
      <c r="H72" s="224" t="str">
        <f ca="1">IF(ISNUMBER(A72),IF(OR($S72=$U72,NOT(ISNA(MATCH($D72*5+$V$4,Override!$C$6:$C$125,0)))),$Q72,0),"")</f>
        <v/>
      </c>
      <c r="I72" s="221" t="str">
        <f t="shared" ca="1" si="27"/>
        <v/>
      </c>
      <c r="J72" s="225">
        <f ca="1">COUNT(A72:A76)</f>
        <v>0</v>
      </c>
      <c r="K72" s="226" t="str">
        <f ca="1">IF(ISNUMBER(A72),RANK(F72,F72:F76),"")</f>
        <v/>
      </c>
      <c r="L72" s="227">
        <f ca="1">IF(J72=5,VLOOKUP(K72,TPMatrix!$A$6:$B$10,2,0),IF(J72=4,VLOOKUP(K72,TPMatrix!$D$6:$E$9,2,0),0))</f>
        <v>0</v>
      </c>
      <c r="M72" s="227">
        <f ca="1">IF(COUNTIF(K72:K76,K72)&gt;=2,IF(J72=5,VLOOKUP(K72+1,TPMatrix!$A$6:$B$10,2,0),IF(J72=4,VLOOKUP(K72+1,TPMatrix!$D$6:$E$9,2,0),0)),"")</f>
        <v>0</v>
      </c>
      <c r="N72" s="227">
        <f ca="1">IF(COUNTIF(K72:K76,K72)&gt;=3,IF(J72=5,VLOOKUP(K72+2,TPMatrix!$A$6:$B$10,2,0),IF(J72=4,VLOOKUP(K72+2,TPMatrix!$D$6:$E$9,2,0),0)),"")</f>
        <v>0</v>
      </c>
      <c r="O72" s="227">
        <f ca="1">IF(COUNTIF(K72:K76,K72)&gt;=4,IF(J72=5,VLOOKUP(K72+3,TPMatrix!$A$6:$B$10,2,0),IF(J72=4,VLOOKUP(K72+3,TPMatrix!$D$6:$E$9,2,0),0)),"")</f>
        <v>0</v>
      </c>
      <c r="P72" s="227">
        <f ca="1">IF(COUNTIF(K72:K76,K72)&gt;=5,IF(J72=5,VLOOKUP(K72+4,TPMatrix!$A$6:$B$10,2,0),IF(J72=4,VLOOKUP(K72+4,TPMatrix!$D$6:$E$9,2,0),0)),"")</f>
        <v>0</v>
      </c>
      <c r="Q72" s="227">
        <f t="shared" ca="1" si="28"/>
        <v>0</v>
      </c>
      <c r="R72" s="228">
        <f t="shared" ca="1" si="29"/>
        <v>5</v>
      </c>
      <c r="S72" s="229">
        <f t="shared" ca="1" si="30"/>
        <v>0</v>
      </c>
      <c r="T72" s="230">
        <f t="shared" si="31"/>
        <v>0</v>
      </c>
      <c r="U72" s="231">
        <f t="shared" ca="1" si="32"/>
        <v>0</v>
      </c>
      <c r="W72" s="36" t="str">
        <f t="shared" ca="1" si="33"/>
        <v/>
      </c>
      <c r="X72" s="36" t="str">
        <f ca="1">IF(ISNUMBER($A72),$W72*(Methuselahs!$A$4+1)+$A72,"")</f>
        <v/>
      </c>
      <c r="Y72" s="36" t="str">
        <f t="shared" ca="1" si="34"/>
        <v/>
      </c>
      <c r="Z72" s="36" t="str">
        <f ca="1">IF(ISNUMBER($A72),VLOOKUP($A72,Methuselahs!$A$7:$X$206,5),"")</f>
        <v/>
      </c>
      <c r="AA72" s="36" t="str">
        <f t="shared" ca="1" si="35"/>
        <v/>
      </c>
    </row>
    <row r="73" spans="1:27" ht="12.95" customHeight="1" x14ac:dyDescent="0.2">
      <c r="A73" s="111" t="str">
        <f ca="1">IF(ISBLANK('Tournament Info'!$B$11),"",INDIRECT(ADDRESS(ROW(),1,1,1,"Optimal Seating "&amp;'Tournament Info'!$B$11-1&amp;"R+F")))</f>
        <v/>
      </c>
      <c r="B73" s="117" t="str">
        <f ca="1">IF(ISNUMBER(A73),VLOOKUP(A73,Methuselahs!$A$7:$E$206,2,0),"")</f>
        <v/>
      </c>
      <c r="C73" s="232" t="str">
        <f ca="1">IF(ISNUMBER(A73),VLOOKUP(A73,Methuselahs!$A$7:$E$206,3,0),"")</f>
        <v/>
      </c>
      <c r="D73" s="233" t="str">
        <f t="shared" ca="1" si="24"/>
        <v/>
      </c>
      <c r="E73" s="234"/>
      <c r="F73" s="232">
        <f t="shared" si="25"/>
        <v>0</v>
      </c>
      <c r="G73" s="235" t="str">
        <f t="shared" ca="1" si="26"/>
        <v/>
      </c>
      <c r="H73" s="236" t="str">
        <f ca="1">IF(ISNUMBER(A73),IF(OR($S73=$U73,NOT(ISNA(MATCH($D73*5+$V$4,Override!$C$6:$C$125,0)))),$Q73,0),"")</f>
        <v/>
      </c>
      <c r="I73" s="233" t="str">
        <f t="shared" ca="1" si="27"/>
        <v/>
      </c>
      <c r="J73" s="237">
        <f ca="1">COUNT(A72:A76)</f>
        <v>0</v>
      </c>
      <c r="K73" s="238" t="str">
        <f ca="1">IF(ISNUMBER(A73),RANK(F73,F72:F76),"")</f>
        <v/>
      </c>
      <c r="L73" s="239">
        <f ca="1">IF(J73=5,VLOOKUP(K73,TPMatrix!$A$6:$B$10,2,0),IF(J73=4,VLOOKUP(K73,TPMatrix!$D$6:$E$9,2,0),0))</f>
        <v>0</v>
      </c>
      <c r="M73" s="239">
        <f ca="1">IF(COUNTIF(K72:K76,K73)&gt;=2,IF(J73=5,VLOOKUP(K73+1,TPMatrix!$A$6:$B$10,2,0),IF(J73=4,VLOOKUP(K73+1,TPMatrix!$D$6:$E$9,2,0),0)),"")</f>
        <v>0</v>
      </c>
      <c r="N73" s="239">
        <f ca="1">IF(COUNTIF(K72:K76,K73)&gt;=3,IF(J73=5,VLOOKUP(K73+2,TPMatrix!$A$6:$B$10,2,0),IF(J73=4,VLOOKUP(K73+2,TPMatrix!$D$6:$E$9,2,0),0)),"")</f>
        <v>0</v>
      </c>
      <c r="O73" s="239">
        <f ca="1">IF(COUNTIF(K72:K76,K73)&gt;=4,IF(J73=5,VLOOKUP(K73+3,TPMatrix!$A$6:$B$10,2,0),IF(J73=4,VLOOKUP(K73+3,TPMatrix!$D$6:$E$9,2,0),0)),"")</f>
        <v>0</v>
      </c>
      <c r="P73" s="239">
        <f ca="1">IF(COUNTIF(K72:K76,K73)&gt;=5,IF(J73=5,VLOOKUP(K73+4,TPMatrix!$A$6:$B$10,2,0),IF(J73=4,VLOOKUP(K73+4,TPMatrix!$D$6:$E$9,2,0),0)),"")</f>
        <v>0</v>
      </c>
      <c r="Q73" s="239">
        <f t="shared" ca="1" si="28"/>
        <v>0</v>
      </c>
      <c r="R73" s="240">
        <f t="shared" ca="1" si="29"/>
        <v>5</v>
      </c>
      <c r="S73" s="238">
        <f t="shared" ca="1" si="30"/>
        <v>0</v>
      </c>
      <c r="T73" s="239">
        <f t="shared" si="31"/>
        <v>0</v>
      </c>
      <c r="U73" s="240">
        <f t="shared" ca="1" si="32"/>
        <v>0</v>
      </c>
      <c r="W73" s="36" t="str">
        <f t="shared" ca="1" si="33"/>
        <v/>
      </c>
      <c r="X73" s="36" t="str">
        <f ca="1">IF(ISNUMBER($A73),$W73*(Methuselahs!$A$4+1)+$A73,"")</f>
        <v/>
      </c>
      <c r="Y73" s="36" t="str">
        <f t="shared" ca="1" si="34"/>
        <v/>
      </c>
      <c r="Z73" s="36" t="str">
        <f ca="1">IF(ISNUMBER($A73),VLOOKUP($A73,Methuselahs!$A$7:$X$206,5),"")</f>
        <v/>
      </c>
      <c r="AA73" s="36" t="str">
        <f t="shared" ca="1" si="35"/>
        <v/>
      </c>
    </row>
    <row r="74" spans="1:27" ht="12.95" customHeight="1" x14ac:dyDescent="0.2">
      <c r="A74" s="137" t="str">
        <f ca="1">IF(ISBLANK('Tournament Info'!$B$11),"",INDIRECT(ADDRESS(ROW(),1,1,1,"Optimal Seating "&amp;'Tournament Info'!$B$11-1&amp;"R+F")))</f>
        <v/>
      </c>
      <c r="B74" s="143" t="str">
        <f ca="1">IF(ISNUMBER(A74),VLOOKUP(A74,Methuselahs!$A$7:$E$206,2,0),"")</f>
        <v/>
      </c>
      <c r="C74" s="241" t="str">
        <f ca="1">IF(ISNUMBER(A74),VLOOKUP(A74,Methuselahs!$A$7:$E$206,3,0),"")</f>
        <v/>
      </c>
      <c r="D74" s="242" t="str">
        <f t="shared" ca="1" si="24"/>
        <v/>
      </c>
      <c r="E74" s="243"/>
      <c r="F74" s="241">
        <f t="shared" si="25"/>
        <v>0</v>
      </c>
      <c r="G74" s="244" t="str">
        <f t="shared" ca="1" si="26"/>
        <v/>
      </c>
      <c r="H74" s="245" t="str">
        <f ca="1">IF(ISNUMBER(A74),IF(OR($S74=$U74,NOT(ISNA(MATCH($D74*5+$V$4,Override!$C$6:$C$125,0)))),$Q74,0),"")</f>
        <v/>
      </c>
      <c r="I74" s="242" t="str">
        <f t="shared" ca="1" si="27"/>
        <v/>
      </c>
      <c r="J74" s="246">
        <f ca="1">COUNT(A72:A76)</f>
        <v>0</v>
      </c>
      <c r="K74" s="247" t="str">
        <f ca="1">IF(ISNUMBER(A74),RANK(F74,F72:F76),"")</f>
        <v/>
      </c>
      <c r="L74" s="142">
        <f ca="1">IF(J74=5,VLOOKUP(K74,TPMatrix!$A$6:$B$10,2,0),IF(J74=4,VLOOKUP(K74,TPMatrix!$D$6:$E$9,2,0),0))</f>
        <v>0</v>
      </c>
      <c r="M74" s="142">
        <f ca="1">IF(COUNTIF(K72:K76,K74)&gt;=2,IF(J74=5,VLOOKUP(K74+1,TPMatrix!$A$6:$B$10,2,0),IF(J74=4,VLOOKUP(K74+1,TPMatrix!$D$6:$E$9,2,0),0)),"")</f>
        <v>0</v>
      </c>
      <c r="N74" s="142">
        <f ca="1">IF(COUNTIF(K72:K76,K74)&gt;=3,IF(J74=5,VLOOKUP(K74+2,TPMatrix!$A$6:$B$10,2,0),IF(J74=4,VLOOKUP(K74+2,TPMatrix!$D$6:$E$9,2,0),0)),"")</f>
        <v>0</v>
      </c>
      <c r="O74" s="142">
        <f ca="1">IF(COUNTIF(K72:K76,K74)&gt;=4,IF(J74=5,VLOOKUP(K74+3,TPMatrix!$A$6:$B$10,2,0),IF(J74=4,VLOOKUP(K74+3,TPMatrix!$D$6:$E$9,2,0),0)),"")</f>
        <v>0</v>
      </c>
      <c r="P74" s="142">
        <f ca="1">IF(COUNTIF(K72:K76,K74)&gt;=5,IF(J74=5,VLOOKUP(K74+4,TPMatrix!$A$6:$B$10,2,0),IF(J74=4,VLOOKUP(K74+4,TPMatrix!$D$6:$E$9,2,0),0)),"")</f>
        <v>0</v>
      </c>
      <c r="Q74" s="142">
        <f t="shared" ca="1" si="28"/>
        <v>0</v>
      </c>
      <c r="R74" s="248">
        <f t="shared" ca="1" si="29"/>
        <v>5</v>
      </c>
      <c r="S74" s="247">
        <f t="shared" ca="1" si="30"/>
        <v>0</v>
      </c>
      <c r="T74" s="142">
        <f t="shared" si="31"/>
        <v>0</v>
      </c>
      <c r="U74" s="248">
        <f t="shared" ca="1" si="32"/>
        <v>0</v>
      </c>
      <c r="W74" s="36" t="str">
        <f t="shared" ca="1" si="33"/>
        <v/>
      </c>
      <c r="X74" s="36" t="str">
        <f ca="1">IF(ISNUMBER($A74),$W74*(Methuselahs!$A$4+1)+$A74,"")</f>
        <v/>
      </c>
      <c r="Y74" s="36" t="str">
        <f t="shared" ca="1" si="34"/>
        <v/>
      </c>
      <c r="Z74" s="36" t="str">
        <f ca="1">IF(ISNUMBER($A74),VLOOKUP($A74,Methuselahs!$A$7:$X$206,5),"")</f>
        <v/>
      </c>
      <c r="AA74" s="36" t="str">
        <f t="shared" ca="1" si="35"/>
        <v/>
      </c>
    </row>
    <row r="75" spans="1:27" ht="12.95" customHeight="1" x14ac:dyDescent="0.2">
      <c r="A75" s="249" t="str">
        <f ca="1">IF(ISBLANK('Tournament Info'!$B$11),"",INDIRECT(ADDRESS(ROW(),1,1,1,"Optimal Seating "&amp;'Tournament Info'!$B$11-1&amp;"R+F")))</f>
        <v/>
      </c>
      <c r="B75" s="250" t="str">
        <f ca="1">IF(ISNUMBER(A75),VLOOKUP(A75,Methuselahs!$A$7:$E$206,2,0),"")</f>
        <v/>
      </c>
      <c r="C75" s="251" t="str">
        <f ca="1">IF(ISNUMBER(A75),VLOOKUP(A75,Methuselahs!$A$7:$E$206,3,0),"")</f>
        <v/>
      </c>
      <c r="D75" s="252" t="str">
        <f t="shared" ca="1" si="24"/>
        <v/>
      </c>
      <c r="E75" s="253"/>
      <c r="F75" s="251">
        <f t="shared" si="25"/>
        <v>0</v>
      </c>
      <c r="G75" s="235" t="str">
        <f t="shared" ca="1" si="26"/>
        <v/>
      </c>
      <c r="H75" s="236" t="str">
        <f ca="1">IF(ISNUMBER(A75),IF(OR($S75=$U75,NOT(ISNA(MATCH($D75*5+$V$4,Override!$C$6:$C$125,0)))),$Q75,0),"")</f>
        <v/>
      </c>
      <c r="I75" s="252" t="str">
        <f t="shared" ca="1" si="27"/>
        <v/>
      </c>
      <c r="J75" s="254">
        <f ca="1">COUNT(A72:A76)</f>
        <v>0</v>
      </c>
      <c r="K75" s="238" t="str">
        <f ca="1">IF(ISNUMBER(A75),RANK(F75,F72:F76),"")</f>
        <v/>
      </c>
      <c r="L75" s="239">
        <f ca="1">IF(J75=5,VLOOKUP(K75,TPMatrix!$A$6:$B$10,2,0),IF(J75=4,VLOOKUP(K75,TPMatrix!$D$6:$E$9,2,0),0))</f>
        <v>0</v>
      </c>
      <c r="M75" s="239">
        <f ca="1">IF(COUNTIF(K72:K76,K75)&gt;=2,IF(J75=5,VLOOKUP(K75+1,TPMatrix!$A$6:$B$10,2,0),IF(J75=4,VLOOKUP(K75+1,TPMatrix!$D$6:$E$9,2,0),0)),"")</f>
        <v>0</v>
      </c>
      <c r="N75" s="239">
        <f ca="1">IF(COUNTIF(K72:K76,K75)&gt;=3,IF(J75=5,VLOOKUP(K75+2,TPMatrix!$A$6:$B$10,2,0),IF(J75=4,VLOOKUP(K75+2,TPMatrix!$D$6:$E$9,2,0),0)),"")</f>
        <v>0</v>
      </c>
      <c r="O75" s="239">
        <f ca="1">IF(COUNTIF(K72:K76,K75)&gt;=4,IF(J75=5,VLOOKUP(K75+3,TPMatrix!$A$6:$B$10,2,0),IF(J75=4,VLOOKUP(K75+3,TPMatrix!$D$6:$E$9,2,0),0)),"")</f>
        <v>0</v>
      </c>
      <c r="P75" s="239">
        <f ca="1">IF(COUNTIF(K72:K76,K75)&gt;=5,IF(J75=5,VLOOKUP(K75+4,TPMatrix!$A$6:$B$10,2,0),IF(J75=4,VLOOKUP(K75+4,TPMatrix!$D$6:$E$9,2,0),0)),"")</f>
        <v>0</v>
      </c>
      <c r="Q75" s="239">
        <f t="shared" ca="1" si="28"/>
        <v>0</v>
      </c>
      <c r="R75" s="240">
        <f t="shared" ca="1" si="29"/>
        <v>5</v>
      </c>
      <c r="S75" s="238">
        <f t="shared" ca="1" si="30"/>
        <v>0</v>
      </c>
      <c r="T75" s="239">
        <f t="shared" si="31"/>
        <v>0</v>
      </c>
      <c r="U75" s="240">
        <f t="shared" ca="1" si="32"/>
        <v>0</v>
      </c>
      <c r="W75" s="36" t="str">
        <f t="shared" ca="1" si="33"/>
        <v/>
      </c>
      <c r="X75" s="36" t="str">
        <f ca="1">IF(ISNUMBER($A75),$W75*(Methuselahs!$A$4+1)+$A75,"")</f>
        <v/>
      </c>
      <c r="Y75" s="36" t="str">
        <f t="shared" ca="1" si="34"/>
        <v/>
      </c>
      <c r="Z75" s="36" t="str">
        <f ca="1">IF(ISNUMBER($A75),VLOOKUP($A75,Methuselahs!$A$7:$X$206,5),"")</f>
        <v/>
      </c>
      <c r="AA75" s="36" t="str">
        <f t="shared" ca="1" si="35"/>
        <v/>
      </c>
    </row>
    <row r="76" spans="1:27" ht="12.95" customHeight="1" x14ac:dyDescent="0.2">
      <c r="A76" s="255" t="str">
        <f ca="1">IF(ISBLANK('Tournament Info'!$B$11),"",INDIRECT(ADDRESS(ROW(),1,1,1,"Optimal Seating "&amp;'Tournament Info'!$B$11-1&amp;"R+F")))</f>
        <v/>
      </c>
      <c r="B76" s="256" t="str">
        <f ca="1">IF(ISNUMBER(A76),VLOOKUP(A76,Methuselahs!$A$7:$E$206,2,0),"")</f>
        <v/>
      </c>
      <c r="C76" s="257" t="str">
        <f ca="1">IF(ISNUMBER(A76),VLOOKUP(A76,Methuselahs!$A$7:$E$206,3,0),"")</f>
        <v/>
      </c>
      <c r="D76" s="258" t="str">
        <f t="shared" ca="1" si="24"/>
        <v/>
      </c>
      <c r="E76" s="259"/>
      <c r="F76" s="257">
        <f t="shared" si="25"/>
        <v>0</v>
      </c>
      <c r="G76" s="244" t="str">
        <f t="shared" ca="1" si="26"/>
        <v/>
      </c>
      <c r="H76" s="245" t="str">
        <f ca="1">IF(ISNUMBER(A76),IF(OR($S76=$U76,NOT(ISNA(MATCH($D76*5+$V$4,Override!$C$6:$C$125,0)))),$Q76,0),"")</f>
        <v/>
      </c>
      <c r="I76" s="258" t="str">
        <f t="shared" ca="1" si="27"/>
        <v/>
      </c>
      <c r="J76" s="260">
        <f ca="1">COUNT(A72:A76)</f>
        <v>0</v>
      </c>
      <c r="K76" s="261" t="str">
        <f ca="1">IF(ISNUMBER(A76),RANK(F76,F72:F76),"")</f>
        <v/>
      </c>
      <c r="L76" s="262">
        <f ca="1">IF(J76=5,VLOOKUP(K76,TPMatrix!$A$6:$B$10,2,0),IF(J76=4,VLOOKUP(K76,TPMatrix!$D$6:$E$9,2,0),0))</f>
        <v>0</v>
      </c>
      <c r="M76" s="262">
        <f ca="1">IF(COUNTIF(K72:K76,K76)&gt;=2,IF(J76=5,VLOOKUP(K76+1,TPMatrix!$A$6:$B$10,2,0),IF(J76=4,VLOOKUP(K76+1,TPMatrix!$D$6:$E$9,2,0),0)),"")</f>
        <v>0</v>
      </c>
      <c r="N76" s="262">
        <f ca="1">IF(COUNTIF(K72:K76,K76)&gt;=3,IF(J76=5,VLOOKUP(K76+2,TPMatrix!$A$6:$B$10,2,0),IF(J76=4,VLOOKUP(K76+2,TPMatrix!$D$6:$E$9,2,0),0)),"")</f>
        <v>0</v>
      </c>
      <c r="O76" s="262">
        <f ca="1">IF(COUNTIF(K72:K76,K76)&gt;=4,IF(J76=5,VLOOKUP(K76+3,TPMatrix!$A$6:$B$10,2,0),IF(J76=4,VLOOKUP(K76+3,TPMatrix!$D$6:$E$9,2,0),0)),"")</f>
        <v>0</v>
      </c>
      <c r="P76" s="262">
        <f ca="1">IF(COUNTIF(K72:K76,K76)&gt;=5,IF(J76=5,VLOOKUP(K76+4,TPMatrix!$A$6:$B$10,2,0),IF(J76=4,VLOOKUP(K76+4,TPMatrix!$D$6:$E$9,2,0),0)),"")</f>
        <v>0</v>
      </c>
      <c r="Q76" s="262">
        <f t="shared" ca="1" si="28"/>
        <v>0</v>
      </c>
      <c r="R76" s="263">
        <f t="shared" ca="1" si="29"/>
        <v>5</v>
      </c>
      <c r="S76" s="261">
        <f t="shared" ca="1" si="30"/>
        <v>0</v>
      </c>
      <c r="T76" s="262">
        <f t="shared" si="31"/>
        <v>0</v>
      </c>
      <c r="U76" s="263">
        <f t="shared" ca="1" si="32"/>
        <v>0</v>
      </c>
      <c r="W76" s="36" t="str">
        <f t="shared" ca="1" si="33"/>
        <v/>
      </c>
      <c r="X76" s="36" t="str">
        <f ca="1">IF(ISNUMBER($A76),$W76*(Methuselahs!$A$4+1)+$A76,"")</f>
        <v/>
      </c>
      <c r="Y76" s="36" t="str">
        <f t="shared" ca="1" si="34"/>
        <v/>
      </c>
      <c r="Z76" s="36" t="str">
        <f ca="1">IF(ISNUMBER($A76),VLOOKUP($A76,Methuselahs!$A$7:$X$206,5),"")</f>
        <v/>
      </c>
      <c r="AA76" s="36" t="str">
        <f t="shared" ca="1" si="35"/>
        <v/>
      </c>
    </row>
    <row r="77" spans="1:27" ht="12.95" customHeight="1" x14ac:dyDescent="0.2">
      <c r="A77" s="219" t="str">
        <f ca="1">IF(ISBLANK('Tournament Info'!$B$11),"",INDIRECT(ADDRESS(ROW(),1,1,1,"Optimal Seating "&amp;'Tournament Info'!$B$11-1&amp;"R+F")))</f>
        <v/>
      </c>
      <c r="B77" s="143" t="str">
        <f ca="1">IF(ISNUMBER(A77),VLOOKUP(A77,Methuselahs!$A$7:$E$206,2,0),"")</f>
        <v/>
      </c>
      <c r="C77" s="220" t="str">
        <f ca="1">IF(ISNUMBER(A77),VLOOKUP(A77,Methuselahs!$A$7:$E$206,3,0),"")</f>
        <v/>
      </c>
      <c r="D77" s="221" t="str">
        <f t="shared" ca="1" si="24"/>
        <v/>
      </c>
      <c r="E77" s="222"/>
      <c r="F77" s="220">
        <f t="shared" si="25"/>
        <v>0</v>
      </c>
      <c r="G77" s="223" t="str">
        <f t="shared" ca="1" si="26"/>
        <v/>
      </c>
      <c r="H77" s="224" t="str">
        <f ca="1">IF(ISNUMBER(A77),IF(OR($S77=$U77,NOT(ISNA(MATCH($D77*5+$V$4,Override!$C$6:$C$125,0)))),$Q77,0),"")</f>
        <v/>
      </c>
      <c r="I77" s="221" t="str">
        <f t="shared" ca="1" si="27"/>
        <v/>
      </c>
      <c r="J77" s="225">
        <f ca="1">COUNT(A77:A81)</f>
        <v>0</v>
      </c>
      <c r="K77" s="226" t="str">
        <f ca="1">IF(ISNUMBER(A77),RANK(F77,F77:F81),"")</f>
        <v/>
      </c>
      <c r="L77" s="227">
        <f ca="1">IF(J77=5,VLOOKUP(K77,TPMatrix!$A$6:$B$10,2,0),IF(J77=4,VLOOKUP(K77,TPMatrix!$D$6:$E$9,2,0),0))</f>
        <v>0</v>
      </c>
      <c r="M77" s="227">
        <f ca="1">IF(COUNTIF(K77:K81,K77)&gt;=2,IF(J77=5,VLOOKUP(K77+1,TPMatrix!$A$6:$B$10,2,0),IF(J77=4,VLOOKUP(K77+1,TPMatrix!$D$6:$E$9,2,0),0)),"")</f>
        <v>0</v>
      </c>
      <c r="N77" s="227">
        <f ca="1">IF(COUNTIF(K77:K81,K77)&gt;=3,IF(J77=5,VLOOKUP(K77+2,TPMatrix!$A$6:$B$10,2,0),IF(J77=4,VLOOKUP(K77+2,TPMatrix!$D$6:$E$9,2,0),0)),"")</f>
        <v>0</v>
      </c>
      <c r="O77" s="227">
        <f ca="1">IF(COUNTIF(K77:K81,K77)&gt;=4,IF(J77=5,VLOOKUP(K77+3,TPMatrix!$A$6:$B$10,2,0),IF(J77=4,VLOOKUP(K77+3,TPMatrix!$D$6:$E$9,2,0),0)),"")</f>
        <v>0</v>
      </c>
      <c r="P77" s="227">
        <f ca="1">IF(COUNTIF(K77:K81,K77)&gt;=5,IF(J77=5,VLOOKUP(K77+4,TPMatrix!$A$6:$B$10,2,0),IF(J77=4,VLOOKUP(K77+4,TPMatrix!$D$6:$E$9,2,0),0)),"")</f>
        <v>0</v>
      </c>
      <c r="Q77" s="227">
        <f t="shared" ca="1" si="28"/>
        <v>0</v>
      </c>
      <c r="R77" s="228">
        <f t="shared" ca="1" si="29"/>
        <v>5</v>
      </c>
      <c r="S77" s="229">
        <f t="shared" ca="1" si="30"/>
        <v>0</v>
      </c>
      <c r="T77" s="230">
        <f t="shared" si="31"/>
        <v>0</v>
      </c>
      <c r="U77" s="231">
        <f t="shared" ca="1" si="32"/>
        <v>0</v>
      </c>
      <c r="W77" s="36" t="str">
        <f t="shared" ca="1" si="33"/>
        <v/>
      </c>
      <c r="X77" s="36" t="str">
        <f ca="1">IF(ISNUMBER($A77),$W77*(Methuselahs!$A$4+1)+$A77,"")</f>
        <v/>
      </c>
      <c r="Y77" s="36" t="str">
        <f t="shared" ca="1" si="34"/>
        <v/>
      </c>
      <c r="Z77" s="36" t="str">
        <f ca="1">IF(ISNUMBER($A77),VLOOKUP($A77,Methuselahs!$A$7:$X$206,5),"")</f>
        <v/>
      </c>
      <c r="AA77" s="36" t="str">
        <f t="shared" ca="1" si="35"/>
        <v/>
      </c>
    </row>
    <row r="78" spans="1:27" ht="12.95" customHeight="1" x14ac:dyDescent="0.2">
      <c r="A78" s="111" t="str">
        <f ca="1">IF(ISBLANK('Tournament Info'!$B$11),"",INDIRECT(ADDRESS(ROW(),1,1,1,"Optimal Seating "&amp;'Tournament Info'!$B$11-1&amp;"R+F")))</f>
        <v/>
      </c>
      <c r="B78" s="117" t="str">
        <f ca="1">IF(ISNUMBER(A78),VLOOKUP(A78,Methuselahs!$A$7:$E$206,2,0),"")</f>
        <v/>
      </c>
      <c r="C78" s="232" t="str">
        <f ca="1">IF(ISNUMBER(A78),VLOOKUP(A78,Methuselahs!$A$7:$E$206,3,0),"")</f>
        <v/>
      </c>
      <c r="D78" s="233" t="str">
        <f t="shared" ca="1" si="24"/>
        <v/>
      </c>
      <c r="E78" s="234"/>
      <c r="F78" s="232">
        <f t="shared" si="25"/>
        <v>0</v>
      </c>
      <c r="G78" s="235" t="str">
        <f t="shared" ca="1" si="26"/>
        <v/>
      </c>
      <c r="H78" s="236" t="str">
        <f ca="1">IF(ISNUMBER(A78),IF(OR($S78=$U78,NOT(ISNA(MATCH($D78*5+$V$4,Override!$C$6:$C$125,0)))),$Q78,0),"")</f>
        <v/>
      </c>
      <c r="I78" s="233" t="str">
        <f t="shared" ca="1" si="27"/>
        <v/>
      </c>
      <c r="J78" s="237">
        <f ca="1">COUNT(A77:A81)</f>
        <v>0</v>
      </c>
      <c r="K78" s="238" t="str">
        <f ca="1">IF(ISNUMBER(A78),RANK(F78,F77:F81),"")</f>
        <v/>
      </c>
      <c r="L78" s="239">
        <f ca="1">IF(J78=5,VLOOKUP(K78,TPMatrix!$A$6:$B$10,2,0),IF(J78=4,VLOOKUP(K78,TPMatrix!$D$6:$E$9,2,0),0))</f>
        <v>0</v>
      </c>
      <c r="M78" s="239">
        <f ca="1">IF(COUNTIF(K77:K81,K78)&gt;=2,IF(J78=5,VLOOKUP(K78+1,TPMatrix!$A$6:$B$10,2,0),IF(J78=4,VLOOKUP(K78+1,TPMatrix!$D$6:$E$9,2,0),0)),"")</f>
        <v>0</v>
      </c>
      <c r="N78" s="239">
        <f ca="1">IF(COUNTIF(K77:K81,K78)&gt;=3,IF(J78=5,VLOOKUP(K78+2,TPMatrix!$A$6:$B$10,2,0),IF(J78=4,VLOOKUP(K78+2,TPMatrix!$D$6:$E$9,2,0),0)),"")</f>
        <v>0</v>
      </c>
      <c r="O78" s="239">
        <f ca="1">IF(COUNTIF(K77:K81,K78)&gt;=4,IF(J78=5,VLOOKUP(K78+3,TPMatrix!$A$6:$B$10,2,0),IF(J78=4,VLOOKUP(K78+3,TPMatrix!$D$6:$E$9,2,0),0)),"")</f>
        <v>0</v>
      </c>
      <c r="P78" s="239">
        <f ca="1">IF(COUNTIF(K77:K81,K78)&gt;=5,IF(J78=5,VLOOKUP(K78+4,TPMatrix!$A$6:$B$10,2,0),IF(J78=4,VLOOKUP(K78+4,TPMatrix!$D$6:$E$9,2,0),0)),"")</f>
        <v>0</v>
      </c>
      <c r="Q78" s="239">
        <f t="shared" ca="1" si="28"/>
        <v>0</v>
      </c>
      <c r="R78" s="240">
        <f t="shared" ca="1" si="29"/>
        <v>5</v>
      </c>
      <c r="S78" s="238">
        <f t="shared" ca="1" si="30"/>
        <v>0</v>
      </c>
      <c r="T78" s="239">
        <f t="shared" si="31"/>
        <v>0</v>
      </c>
      <c r="U78" s="240">
        <f t="shared" ca="1" si="32"/>
        <v>0</v>
      </c>
      <c r="W78" s="36" t="str">
        <f t="shared" ca="1" si="33"/>
        <v/>
      </c>
      <c r="X78" s="36" t="str">
        <f ca="1">IF(ISNUMBER($A78),$W78*(Methuselahs!$A$4+1)+$A78,"")</f>
        <v/>
      </c>
      <c r="Y78" s="36" t="str">
        <f t="shared" ca="1" si="34"/>
        <v/>
      </c>
      <c r="Z78" s="36" t="str">
        <f ca="1">IF(ISNUMBER($A78),VLOOKUP($A78,Methuselahs!$A$7:$X$206,5),"")</f>
        <v/>
      </c>
      <c r="AA78" s="36" t="str">
        <f t="shared" ca="1" si="35"/>
        <v/>
      </c>
    </row>
    <row r="79" spans="1:27" ht="12.95" customHeight="1" x14ac:dyDescent="0.2">
      <c r="A79" s="137" t="str">
        <f ca="1">IF(ISBLANK('Tournament Info'!$B$11),"",INDIRECT(ADDRESS(ROW(),1,1,1,"Optimal Seating "&amp;'Tournament Info'!$B$11-1&amp;"R+F")))</f>
        <v/>
      </c>
      <c r="B79" s="143" t="str">
        <f ca="1">IF(ISNUMBER(A79),VLOOKUP(A79,Methuselahs!$A$7:$E$206,2,0),"")</f>
        <v/>
      </c>
      <c r="C79" s="241" t="str">
        <f ca="1">IF(ISNUMBER(A79),VLOOKUP(A79,Methuselahs!$A$7:$E$206,3,0),"")</f>
        <v/>
      </c>
      <c r="D79" s="242" t="str">
        <f t="shared" ca="1" si="24"/>
        <v/>
      </c>
      <c r="E79" s="243"/>
      <c r="F79" s="241">
        <f t="shared" si="25"/>
        <v>0</v>
      </c>
      <c r="G79" s="244" t="str">
        <f t="shared" ca="1" si="26"/>
        <v/>
      </c>
      <c r="H79" s="245" t="str">
        <f ca="1">IF(ISNUMBER(A79),IF(OR($S79=$U79,NOT(ISNA(MATCH($D79*5+$V$4,Override!$C$6:$C$125,0)))),$Q79,0),"")</f>
        <v/>
      </c>
      <c r="I79" s="242" t="str">
        <f t="shared" ca="1" si="27"/>
        <v/>
      </c>
      <c r="J79" s="246">
        <f ca="1">COUNT(A77:A81)</f>
        <v>0</v>
      </c>
      <c r="K79" s="247" t="str">
        <f ca="1">IF(ISNUMBER(A79),RANK(F79,F77:F81),"")</f>
        <v/>
      </c>
      <c r="L79" s="142">
        <f ca="1">IF(J79=5,VLOOKUP(K79,TPMatrix!$A$6:$B$10,2,0),IF(J79=4,VLOOKUP(K79,TPMatrix!$D$6:$E$9,2,0),0))</f>
        <v>0</v>
      </c>
      <c r="M79" s="142">
        <f ca="1">IF(COUNTIF(K77:K81,K79)&gt;=2,IF(J79=5,VLOOKUP(K79+1,TPMatrix!$A$6:$B$10,2,0),IF(J79=4,VLOOKUP(K79+1,TPMatrix!$D$6:$E$9,2,0),0)),"")</f>
        <v>0</v>
      </c>
      <c r="N79" s="142">
        <f ca="1">IF(COUNTIF(K77:K81,K79)&gt;=3,IF(J79=5,VLOOKUP(K79+2,TPMatrix!$A$6:$B$10,2,0),IF(J79=4,VLOOKUP(K79+2,TPMatrix!$D$6:$E$9,2,0),0)),"")</f>
        <v>0</v>
      </c>
      <c r="O79" s="142">
        <f ca="1">IF(COUNTIF(K77:K81,K79)&gt;=4,IF(J79=5,VLOOKUP(K79+3,TPMatrix!$A$6:$B$10,2,0),IF(J79=4,VLOOKUP(K79+3,TPMatrix!$D$6:$E$9,2,0),0)),"")</f>
        <v>0</v>
      </c>
      <c r="P79" s="142">
        <f ca="1">IF(COUNTIF(K77:K81,K79)&gt;=5,IF(J79=5,VLOOKUP(K79+4,TPMatrix!$A$6:$B$10,2,0),IF(J79=4,VLOOKUP(K79+4,TPMatrix!$D$6:$E$9,2,0),0)),"")</f>
        <v>0</v>
      </c>
      <c r="Q79" s="142">
        <f t="shared" ca="1" si="28"/>
        <v>0</v>
      </c>
      <c r="R79" s="248">
        <f t="shared" ca="1" si="29"/>
        <v>5</v>
      </c>
      <c r="S79" s="247">
        <f t="shared" ca="1" si="30"/>
        <v>0</v>
      </c>
      <c r="T79" s="142">
        <f t="shared" si="31"/>
        <v>0</v>
      </c>
      <c r="U79" s="248">
        <f t="shared" ca="1" si="32"/>
        <v>0</v>
      </c>
      <c r="W79" s="36" t="str">
        <f t="shared" ca="1" si="33"/>
        <v/>
      </c>
      <c r="X79" s="36" t="str">
        <f ca="1">IF(ISNUMBER($A79),$W79*(Methuselahs!$A$4+1)+$A79,"")</f>
        <v/>
      </c>
      <c r="Y79" s="36" t="str">
        <f t="shared" ca="1" si="34"/>
        <v/>
      </c>
      <c r="Z79" s="36" t="str">
        <f ca="1">IF(ISNUMBER($A79),VLOOKUP($A79,Methuselahs!$A$7:$X$206,5),"")</f>
        <v/>
      </c>
      <c r="AA79" s="36" t="str">
        <f t="shared" ca="1" si="35"/>
        <v/>
      </c>
    </row>
    <row r="80" spans="1:27" ht="12.95" customHeight="1" x14ac:dyDescent="0.2">
      <c r="A80" s="249" t="str">
        <f ca="1">IF(ISBLANK('Tournament Info'!$B$11),"",INDIRECT(ADDRESS(ROW(),1,1,1,"Optimal Seating "&amp;'Tournament Info'!$B$11-1&amp;"R+F")))</f>
        <v/>
      </c>
      <c r="B80" s="250" t="str">
        <f ca="1">IF(ISNUMBER(A80),VLOOKUP(A80,Methuselahs!$A$7:$E$206,2,0),"")</f>
        <v/>
      </c>
      <c r="C80" s="251" t="str">
        <f ca="1">IF(ISNUMBER(A80),VLOOKUP(A80,Methuselahs!$A$7:$E$206,3,0),"")</f>
        <v/>
      </c>
      <c r="D80" s="252" t="str">
        <f t="shared" ca="1" si="24"/>
        <v/>
      </c>
      <c r="E80" s="253"/>
      <c r="F80" s="251">
        <f t="shared" si="25"/>
        <v>0</v>
      </c>
      <c r="G80" s="235" t="str">
        <f t="shared" ca="1" si="26"/>
        <v/>
      </c>
      <c r="H80" s="236" t="str">
        <f ca="1">IF(ISNUMBER(A80),IF(OR($S80=$U80,NOT(ISNA(MATCH($D80*5+$V$4,Override!$C$6:$C$125,0)))),$Q80,0),"")</f>
        <v/>
      </c>
      <c r="I80" s="252" t="str">
        <f t="shared" ca="1" si="27"/>
        <v/>
      </c>
      <c r="J80" s="254">
        <f ca="1">COUNT(A77:A81)</f>
        <v>0</v>
      </c>
      <c r="K80" s="238" t="str">
        <f ca="1">IF(ISNUMBER(A80),RANK(F80,F77:F81),"")</f>
        <v/>
      </c>
      <c r="L80" s="239">
        <f ca="1">IF(J80=5,VLOOKUP(K80,TPMatrix!$A$6:$B$10,2,0),IF(J80=4,VLOOKUP(K80,TPMatrix!$D$6:$E$9,2,0),0))</f>
        <v>0</v>
      </c>
      <c r="M80" s="239">
        <f ca="1">IF(COUNTIF(K77:K81,K80)&gt;=2,IF(J80=5,VLOOKUP(K80+1,TPMatrix!$A$6:$B$10,2,0),IF(J80=4,VLOOKUP(K80+1,TPMatrix!$D$6:$E$9,2,0),0)),"")</f>
        <v>0</v>
      </c>
      <c r="N80" s="239">
        <f ca="1">IF(COUNTIF(K77:K81,K80)&gt;=3,IF(J80=5,VLOOKUP(K80+2,TPMatrix!$A$6:$B$10,2,0),IF(J80=4,VLOOKUP(K80+2,TPMatrix!$D$6:$E$9,2,0),0)),"")</f>
        <v>0</v>
      </c>
      <c r="O80" s="239">
        <f ca="1">IF(COUNTIF(K77:K81,K80)&gt;=4,IF(J80=5,VLOOKUP(K80+3,TPMatrix!$A$6:$B$10,2,0),IF(J80=4,VLOOKUP(K80+3,TPMatrix!$D$6:$E$9,2,0),0)),"")</f>
        <v>0</v>
      </c>
      <c r="P80" s="239">
        <f ca="1">IF(COUNTIF(K77:K81,K80)&gt;=5,IF(J80=5,VLOOKUP(K80+4,TPMatrix!$A$6:$B$10,2,0),IF(J80=4,VLOOKUP(K80+4,TPMatrix!$D$6:$E$9,2,0),0)),"")</f>
        <v>0</v>
      </c>
      <c r="Q80" s="239">
        <f t="shared" ca="1" si="28"/>
        <v>0</v>
      </c>
      <c r="R80" s="240">
        <f t="shared" ca="1" si="29"/>
        <v>5</v>
      </c>
      <c r="S80" s="238">
        <f t="shared" ca="1" si="30"/>
        <v>0</v>
      </c>
      <c r="T80" s="239">
        <f t="shared" si="31"/>
        <v>0</v>
      </c>
      <c r="U80" s="240">
        <f t="shared" ca="1" si="32"/>
        <v>0</v>
      </c>
      <c r="W80" s="36" t="str">
        <f t="shared" ca="1" si="33"/>
        <v/>
      </c>
      <c r="X80" s="36" t="str">
        <f ca="1">IF(ISNUMBER($A80),$W80*(Methuselahs!$A$4+1)+$A80,"")</f>
        <v/>
      </c>
      <c r="Y80" s="36" t="str">
        <f t="shared" ca="1" si="34"/>
        <v/>
      </c>
      <c r="Z80" s="36" t="str">
        <f ca="1">IF(ISNUMBER($A80),VLOOKUP($A80,Methuselahs!$A$7:$X$206,5),"")</f>
        <v/>
      </c>
      <c r="AA80" s="36" t="str">
        <f t="shared" ca="1" si="35"/>
        <v/>
      </c>
    </row>
    <row r="81" spans="1:27" ht="12.95" customHeight="1" x14ac:dyDescent="0.2">
      <c r="A81" s="255" t="str">
        <f ca="1">IF(ISBLANK('Tournament Info'!$B$11),"",INDIRECT(ADDRESS(ROW(),1,1,1,"Optimal Seating "&amp;'Tournament Info'!$B$11-1&amp;"R+F")))</f>
        <v/>
      </c>
      <c r="B81" s="256" t="str">
        <f ca="1">IF(ISNUMBER(A81),VLOOKUP(A81,Methuselahs!$A$7:$E$206,2,0),"")</f>
        <v/>
      </c>
      <c r="C81" s="257" t="str">
        <f ca="1">IF(ISNUMBER(A81),VLOOKUP(A81,Methuselahs!$A$7:$E$206,3,0),"")</f>
        <v/>
      </c>
      <c r="D81" s="258" t="str">
        <f t="shared" ca="1" si="24"/>
        <v/>
      </c>
      <c r="E81" s="259"/>
      <c r="F81" s="257">
        <f t="shared" si="25"/>
        <v>0</v>
      </c>
      <c r="G81" s="244" t="str">
        <f t="shared" ca="1" si="26"/>
        <v/>
      </c>
      <c r="H81" s="245" t="str">
        <f ca="1">IF(ISNUMBER(A81),IF(OR($S81=$U81,NOT(ISNA(MATCH($D81*5+$V$4,Override!$C$6:$C$125,0)))),$Q81,0),"")</f>
        <v/>
      </c>
      <c r="I81" s="258" t="str">
        <f t="shared" ca="1" si="27"/>
        <v/>
      </c>
      <c r="J81" s="260">
        <f ca="1">COUNT(A77:A81)</f>
        <v>0</v>
      </c>
      <c r="K81" s="261" t="str">
        <f ca="1">IF(ISNUMBER(A81),RANK(F81,F77:F81),"")</f>
        <v/>
      </c>
      <c r="L81" s="262">
        <f ca="1">IF(J81=5,VLOOKUP(K81,TPMatrix!$A$6:$B$10,2,0),IF(J81=4,VLOOKUP(K81,TPMatrix!$D$6:$E$9,2,0),0))</f>
        <v>0</v>
      </c>
      <c r="M81" s="262">
        <f ca="1">IF(COUNTIF(K77:K81,K81)&gt;=2,IF(J81=5,VLOOKUP(K81+1,TPMatrix!$A$6:$B$10,2,0),IF(J81=4,VLOOKUP(K81+1,TPMatrix!$D$6:$E$9,2,0),0)),"")</f>
        <v>0</v>
      </c>
      <c r="N81" s="262">
        <f ca="1">IF(COUNTIF(K77:K81,K81)&gt;=3,IF(J81=5,VLOOKUP(K81+2,TPMatrix!$A$6:$B$10,2,0),IF(J81=4,VLOOKUP(K81+2,TPMatrix!$D$6:$E$9,2,0),0)),"")</f>
        <v>0</v>
      </c>
      <c r="O81" s="262">
        <f ca="1">IF(COUNTIF(K77:K81,K81)&gt;=4,IF(J81=5,VLOOKUP(K81+3,TPMatrix!$A$6:$B$10,2,0),IF(J81=4,VLOOKUP(K81+3,TPMatrix!$D$6:$E$9,2,0),0)),"")</f>
        <v>0</v>
      </c>
      <c r="P81" s="262">
        <f ca="1">IF(COUNTIF(K77:K81,K81)&gt;=5,IF(J81=5,VLOOKUP(K81+4,TPMatrix!$A$6:$B$10,2,0),IF(J81=4,VLOOKUP(K81+4,TPMatrix!$D$6:$E$9,2,0),0)),"")</f>
        <v>0</v>
      </c>
      <c r="Q81" s="262">
        <f t="shared" ca="1" si="28"/>
        <v>0</v>
      </c>
      <c r="R81" s="263">
        <f t="shared" ca="1" si="29"/>
        <v>5</v>
      </c>
      <c r="S81" s="261">
        <f t="shared" ca="1" si="30"/>
        <v>0</v>
      </c>
      <c r="T81" s="262">
        <f t="shared" si="31"/>
        <v>0</v>
      </c>
      <c r="U81" s="263">
        <f t="shared" ca="1" si="32"/>
        <v>0</v>
      </c>
      <c r="W81" s="36" t="str">
        <f t="shared" ca="1" si="33"/>
        <v/>
      </c>
      <c r="X81" s="36" t="str">
        <f ca="1">IF(ISNUMBER($A81),$W81*(Methuselahs!$A$4+1)+$A81,"")</f>
        <v/>
      </c>
      <c r="Y81" s="36" t="str">
        <f t="shared" ca="1" si="34"/>
        <v/>
      </c>
      <c r="Z81" s="36" t="str">
        <f ca="1">IF(ISNUMBER($A81),VLOOKUP($A81,Methuselahs!$A$7:$X$206,5),"")</f>
        <v/>
      </c>
      <c r="AA81" s="36" t="str">
        <f t="shared" ca="1" si="35"/>
        <v/>
      </c>
    </row>
    <row r="82" spans="1:27" ht="12.95" customHeight="1" x14ac:dyDescent="0.2">
      <c r="A82" s="219" t="str">
        <f ca="1">IF(ISBLANK('Tournament Info'!$B$11),"",INDIRECT(ADDRESS(ROW(),1,1,1,"Optimal Seating "&amp;'Tournament Info'!$B$11-1&amp;"R+F")))</f>
        <v/>
      </c>
      <c r="B82" s="143" t="str">
        <f ca="1">IF(ISNUMBER(A82),VLOOKUP(A82,Methuselahs!$A$7:$E$206,2,0),"")</f>
        <v/>
      </c>
      <c r="C82" s="220" t="str">
        <f ca="1">IF(ISNUMBER(A82),VLOOKUP(A82,Methuselahs!$A$7:$E$206,3,0),"")</f>
        <v/>
      </c>
      <c r="D82" s="221" t="str">
        <f t="shared" ca="1" si="24"/>
        <v/>
      </c>
      <c r="E82" s="222"/>
      <c r="F82" s="220">
        <f t="shared" si="25"/>
        <v>0</v>
      </c>
      <c r="G82" s="223" t="str">
        <f t="shared" ca="1" si="26"/>
        <v/>
      </c>
      <c r="H82" s="224" t="str">
        <f ca="1">IF(ISNUMBER(A82),IF(OR($S82=$U82,NOT(ISNA(MATCH($D82*5+$V$4,Override!$C$6:$C$125,0)))),$Q82,0),"")</f>
        <v/>
      </c>
      <c r="I82" s="221" t="str">
        <f t="shared" ca="1" si="27"/>
        <v/>
      </c>
      <c r="J82" s="225">
        <f ca="1">COUNT(A82:A86)</f>
        <v>0</v>
      </c>
      <c r="K82" s="226" t="str">
        <f ca="1">IF(ISNUMBER(A82),RANK(F82,F82:F86),"")</f>
        <v/>
      </c>
      <c r="L82" s="227">
        <f ca="1">IF(J82=5,VLOOKUP(K82,TPMatrix!$A$6:$B$10,2,0),IF(J82=4,VLOOKUP(K82,TPMatrix!$D$6:$E$9,2,0),0))</f>
        <v>0</v>
      </c>
      <c r="M82" s="227">
        <f ca="1">IF(COUNTIF(K82:K86,K82)&gt;=2,IF(J82=5,VLOOKUP(K82+1,TPMatrix!$A$6:$B$10,2,0),IF(J82=4,VLOOKUP(K82+1,TPMatrix!$D$6:$E$9,2,0),0)),"")</f>
        <v>0</v>
      </c>
      <c r="N82" s="227">
        <f ca="1">IF(COUNTIF(K82:K86,K82)&gt;=3,IF(J82=5,VLOOKUP(K82+2,TPMatrix!$A$6:$B$10,2,0),IF(J82=4,VLOOKUP(K82+2,TPMatrix!$D$6:$E$9,2,0),0)),"")</f>
        <v>0</v>
      </c>
      <c r="O82" s="227">
        <f ca="1">IF(COUNTIF(K82:K86,K82)&gt;=4,IF(J82=5,VLOOKUP(K82+3,TPMatrix!$A$6:$B$10,2,0),IF(J82=4,VLOOKUP(K82+3,TPMatrix!$D$6:$E$9,2,0),0)),"")</f>
        <v>0</v>
      </c>
      <c r="P82" s="227">
        <f ca="1">IF(COUNTIF(K82:K86,K82)&gt;=5,IF(J82=5,VLOOKUP(K82+4,TPMatrix!$A$6:$B$10,2,0),IF(J82=4,VLOOKUP(K82+4,TPMatrix!$D$6:$E$9,2,0),0)),"")</f>
        <v>0</v>
      </c>
      <c r="Q82" s="227">
        <f t="shared" ca="1" si="28"/>
        <v>0</v>
      </c>
      <c r="R82" s="228">
        <f t="shared" ca="1" si="29"/>
        <v>5</v>
      </c>
      <c r="S82" s="229">
        <f t="shared" ca="1" si="30"/>
        <v>0</v>
      </c>
      <c r="T82" s="230">
        <f t="shared" si="31"/>
        <v>0</v>
      </c>
      <c r="U82" s="231">
        <f t="shared" ca="1" si="32"/>
        <v>0</v>
      </c>
      <c r="W82" s="36" t="str">
        <f t="shared" ca="1" si="33"/>
        <v/>
      </c>
      <c r="X82" s="36" t="str">
        <f ca="1">IF(ISNUMBER($A82),$W82*(Methuselahs!$A$4+1)+$A82,"")</f>
        <v/>
      </c>
      <c r="Y82" s="36" t="str">
        <f t="shared" ca="1" si="34"/>
        <v/>
      </c>
      <c r="Z82" s="36" t="str">
        <f ca="1">IF(ISNUMBER($A82),VLOOKUP($A82,Methuselahs!$A$7:$X$206,5),"")</f>
        <v/>
      </c>
      <c r="AA82" s="36" t="str">
        <f t="shared" ca="1" si="35"/>
        <v/>
      </c>
    </row>
    <row r="83" spans="1:27" ht="12.95" customHeight="1" x14ac:dyDescent="0.2">
      <c r="A83" s="111" t="str">
        <f ca="1">IF(ISBLANK('Tournament Info'!$B$11),"",INDIRECT(ADDRESS(ROW(),1,1,1,"Optimal Seating "&amp;'Tournament Info'!$B$11-1&amp;"R+F")))</f>
        <v/>
      </c>
      <c r="B83" s="117" t="str">
        <f ca="1">IF(ISNUMBER(A83),VLOOKUP(A83,Methuselahs!$A$7:$E$206,2,0),"")</f>
        <v/>
      </c>
      <c r="C83" s="232" t="str">
        <f ca="1">IF(ISNUMBER(A83),VLOOKUP(A83,Methuselahs!$A$7:$E$206,3,0),"")</f>
        <v/>
      </c>
      <c r="D83" s="233" t="str">
        <f t="shared" ca="1" si="24"/>
        <v/>
      </c>
      <c r="E83" s="234"/>
      <c r="F83" s="232">
        <f t="shared" si="25"/>
        <v>0</v>
      </c>
      <c r="G83" s="235" t="str">
        <f t="shared" ca="1" si="26"/>
        <v/>
      </c>
      <c r="H83" s="236" t="str">
        <f ca="1">IF(ISNUMBER(A83),IF(OR($S83=$U83,NOT(ISNA(MATCH($D83*5+$V$4,Override!$C$6:$C$125,0)))),$Q83,0),"")</f>
        <v/>
      </c>
      <c r="I83" s="233" t="str">
        <f t="shared" ca="1" si="27"/>
        <v/>
      </c>
      <c r="J83" s="237">
        <f ca="1">COUNT(A82:A86)</f>
        <v>0</v>
      </c>
      <c r="K83" s="238" t="str">
        <f ca="1">IF(ISNUMBER(A83),RANK(F83,F82:F86),"")</f>
        <v/>
      </c>
      <c r="L83" s="239">
        <f ca="1">IF(J83=5,VLOOKUP(K83,TPMatrix!$A$6:$B$10,2,0),IF(J83=4,VLOOKUP(K83,TPMatrix!$D$6:$E$9,2,0),0))</f>
        <v>0</v>
      </c>
      <c r="M83" s="239">
        <f ca="1">IF(COUNTIF(K82:K86,K83)&gt;=2,IF(J83=5,VLOOKUP(K83+1,TPMatrix!$A$6:$B$10,2,0),IF(J83=4,VLOOKUP(K83+1,TPMatrix!$D$6:$E$9,2,0),0)),"")</f>
        <v>0</v>
      </c>
      <c r="N83" s="239">
        <f ca="1">IF(COUNTIF(K82:K86,K83)&gt;=3,IF(J83=5,VLOOKUP(K83+2,TPMatrix!$A$6:$B$10,2,0),IF(J83=4,VLOOKUP(K83+2,TPMatrix!$D$6:$E$9,2,0),0)),"")</f>
        <v>0</v>
      </c>
      <c r="O83" s="239">
        <f ca="1">IF(COUNTIF(K82:K86,K83)&gt;=4,IF(J83=5,VLOOKUP(K83+3,TPMatrix!$A$6:$B$10,2,0),IF(J83=4,VLOOKUP(K83+3,TPMatrix!$D$6:$E$9,2,0),0)),"")</f>
        <v>0</v>
      </c>
      <c r="P83" s="239">
        <f ca="1">IF(COUNTIF(K82:K86,K83)&gt;=5,IF(J83=5,VLOOKUP(K83+4,TPMatrix!$A$6:$B$10,2,0),IF(J83=4,VLOOKUP(K83+4,TPMatrix!$D$6:$E$9,2,0),0)),"")</f>
        <v>0</v>
      </c>
      <c r="Q83" s="239">
        <f t="shared" ca="1" si="28"/>
        <v>0</v>
      </c>
      <c r="R83" s="240">
        <f t="shared" ca="1" si="29"/>
        <v>5</v>
      </c>
      <c r="S83" s="238">
        <f t="shared" ca="1" si="30"/>
        <v>0</v>
      </c>
      <c r="T83" s="239">
        <f t="shared" si="31"/>
        <v>0</v>
      </c>
      <c r="U83" s="240">
        <f t="shared" ca="1" si="32"/>
        <v>0</v>
      </c>
      <c r="W83" s="36" t="str">
        <f t="shared" ca="1" si="33"/>
        <v/>
      </c>
      <c r="X83" s="36" t="str">
        <f ca="1">IF(ISNUMBER($A83),$W83*(Methuselahs!$A$4+1)+$A83,"")</f>
        <v/>
      </c>
      <c r="Y83" s="36" t="str">
        <f t="shared" ca="1" si="34"/>
        <v/>
      </c>
      <c r="Z83" s="36" t="str">
        <f ca="1">IF(ISNUMBER($A83),VLOOKUP($A83,Methuselahs!$A$7:$X$206,5),"")</f>
        <v/>
      </c>
      <c r="AA83" s="36" t="str">
        <f t="shared" ca="1" si="35"/>
        <v/>
      </c>
    </row>
    <row r="84" spans="1:27" ht="12.95" customHeight="1" x14ac:dyDescent="0.2">
      <c r="A84" s="137" t="str">
        <f ca="1">IF(ISBLANK('Tournament Info'!$B$11),"",INDIRECT(ADDRESS(ROW(),1,1,1,"Optimal Seating "&amp;'Tournament Info'!$B$11-1&amp;"R+F")))</f>
        <v/>
      </c>
      <c r="B84" s="143" t="str">
        <f ca="1">IF(ISNUMBER(A84),VLOOKUP(A84,Methuselahs!$A$7:$E$206,2,0),"")</f>
        <v/>
      </c>
      <c r="C84" s="241" t="str">
        <f ca="1">IF(ISNUMBER(A84),VLOOKUP(A84,Methuselahs!$A$7:$E$206,3,0),"")</f>
        <v/>
      </c>
      <c r="D84" s="242" t="str">
        <f t="shared" ca="1" si="24"/>
        <v/>
      </c>
      <c r="E84" s="243"/>
      <c r="F84" s="241">
        <f t="shared" si="25"/>
        <v>0</v>
      </c>
      <c r="G84" s="244" t="str">
        <f t="shared" ca="1" si="26"/>
        <v/>
      </c>
      <c r="H84" s="245" t="str">
        <f ca="1">IF(ISNUMBER(A84),IF(OR($S84=$U84,NOT(ISNA(MATCH($D84*5+$V$4,Override!$C$6:$C$125,0)))),$Q84,0),"")</f>
        <v/>
      </c>
      <c r="I84" s="242" t="str">
        <f t="shared" ca="1" si="27"/>
        <v/>
      </c>
      <c r="J84" s="246">
        <f ca="1">COUNT(A82:A86)</f>
        <v>0</v>
      </c>
      <c r="K84" s="247" t="str">
        <f ca="1">IF(ISNUMBER(A84),RANK(F84,F82:F86),"")</f>
        <v/>
      </c>
      <c r="L84" s="142">
        <f ca="1">IF(J84=5,VLOOKUP(K84,TPMatrix!$A$6:$B$10,2,0),IF(J84=4,VLOOKUP(K84,TPMatrix!$D$6:$E$9,2,0),0))</f>
        <v>0</v>
      </c>
      <c r="M84" s="142">
        <f ca="1">IF(COUNTIF(K82:K86,K84)&gt;=2,IF(J84=5,VLOOKUP(K84+1,TPMatrix!$A$6:$B$10,2,0),IF(J84=4,VLOOKUP(K84+1,TPMatrix!$D$6:$E$9,2,0),0)),"")</f>
        <v>0</v>
      </c>
      <c r="N84" s="142">
        <f ca="1">IF(COUNTIF(K82:K86,K84)&gt;=3,IF(J84=5,VLOOKUP(K84+2,TPMatrix!$A$6:$B$10,2,0),IF(J84=4,VLOOKUP(K84+2,TPMatrix!$D$6:$E$9,2,0),0)),"")</f>
        <v>0</v>
      </c>
      <c r="O84" s="142">
        <f ca="1">IF(COUNTIF(K82:K86,K84)&gt;=4,IF(J84=5,VLOOKUP(K84+3,TPMatrix!$A$6:$B$10,2,0),IF(J84=4,VLOOKUP(K84+3,TPMatrix!$D$6:$E$9,2,0),0)),"")</f>
        <v>0</v>
      </c>
      <c r="P84" s="142">
        <f ca="1">IF(COUNTIF(K82:K86,K84)&gt;=5,IF(J84=5,VLOOKUP(K84+4,TPMatrix!$A$6:$B$10,2,0),IF(J84=4,VLOOKUP(K84+4,TPMatrix!$D$6:$E$9,2,0),0)),"")</f>
        <v>0</v>
      </c>
      <c r="Q84" s="142">
        <f t="shared" ca="1" si="28"/>
        <v>0</v>
      </c>
      <c r="R84" s="248">
        <f t="shared" ca="1" si="29"/>
        <v>5</v>
      </c>
      <c r="S84" s="247">
        <f t="shared" ca="1" si="30"/>
        <v>0</v>
      </c>
      <c r="T84" s="142">
        <f t="shared" si="31"/>
        <v>0</v>
      </c>
      <c r="U84" s="248">
        <f t="shared" ca="1" si="32"/>
        <v>0</v>
      </c>
      <c r="W84" s="36" t="str">
        <f t="shared" ca="1" si="33"/>
        <v/>
      </c>
      <c r="X84" s="36" t="str">
        <f ca="1">IF(ISNUMBER($A84),$W84*(Methuselahs!$A$4+1)+$A84,"")</f>
        <v/>
      </c>
      <c r="Y84" s="36" t="str">
        <f t="shared" ca="1" si="34"/>
        <v/>
      </c>
      <c r="Z84" s="36" t="str">
        <f ca="1">IF(ISNUMBER($A84),VLOOKUP($A84,Methuselahs!$A$7:$X$206,5),"")</f>
        <v/>
      </c>
      <c r="AA84" s="36" t="str">
        <f t="shared" ca="1" si="35"/>
        <v/>
      </c>
    </row>
    <row r="85" spans="1:27" ht="12.95" customHeight="1" x14ac:dyDescent="0.2">
      <c r="A85" s="249" t="str">
        <f ca="1">IF(ISBLANK('Tournament Info'!$B$11),"",INDIRECT(ADDRESS(ROW(),1,1,1,"Optimal Seating "&amp;'Tournament Info'!$B$11-1&amp;"R+F")))</f>
        <v/>
      </c>
      <c r="B85" s="250" t="str">
        <f ca="1">IF(ISNUMBER(A85),VLOOKUP(A85,Methuselahs!$A$7:$E$206,2,0),"")</f>
        <v/>
      </c>
      <c r="C85" s="251" t="str">
        <f ca="1">IF(ISNUMBER(A85),VLOOKUP(A85,Methuselahs!$A$7:$E$206,3,0),"")</f>
        <v/>
      </c>
      <c r="D85" s="252" t="str">
        <f t="shared" ca="1" si="24"/>
        <v/>
      </c>
      <c r="E85" s="253"/>
      <c r="F85" s="251">
        <f t="shared" si="25"/>
        <v>0</v>
      </c>
      <c r="G85" s="235" t="str">
        <f t="shared" ca="1" si="26"/>
        <v/>
      </c>
      <c r="H85" s="236" t="str">
        <f ca="1">IF(ISNUMBER(A85),IF(OR($S85=$U85,NOT(ISNA(MATCH($D85*5+$V$4,Override!$C$6:$C$125,0)))),$Q85,0),"")</f>
        <v/>
      </c>
      <c r="I85" s="252" t="str">
        <f t="shared" ca="1" si="27"/>
        <v/>
      </c>
      <c r="J85" s="254">
        <f ca="1">COUNT(A82:A86)</f>
        <v>0</v>
      </c>
      <c r="K85" s="238" t="str">
        <f ca="1">IF(ISNUMBER(A85),RANK(F85,F82:F86),"")</f>
        <v/>
      </c>
      <c r="L85" s="239">
        <f ca="1">IF(J85=5,VLOOKUP(K85,TPMatrix!$A$6:$B$10,2,0),IF(J85=4,VLOOKUP(K85,TPMatrix!$D$6:$E$9,2,0),0))</f>
        <v>0</v>
      </c>
      <c r="M85" s="239">
        <f ca="1">IF(COUNTIF(K82:K86,K85)&gt;=2,IF(J85=5,VLOOKUP(K85+1,TPMatrix!$A$6:$B$10,2,0),IF(J85=4,VLOOKUP(K85+1,TPMatrix!$D$6:$E$9,2,0),0)),"")</f>
        <v>0</v>
      </c>
      <c r="N85" s="239">
        <f ca="1">IF(COUNTIF(K82:K86,K85)&gt;=3,IF(J85=5,VLOOKUP(K85+2,TPMatrix!$A$6:$B$10,2,0),IF(J85=4,VLOOKUP(K85+2,TPMatrix!$D$6:$E$9,2,0),0)),"")</f>
        <v>0</v>
      </c>
      <c r="O85" s="239">
        <f ca="1">IF(COUNTIF(K82:K86,K85)&gt;=4,IF(J85=5,VLOOKUP(K85+3,TPMatrix!$A$6:$B$10,2,0),IF(J85=4,VLOOKUP(K85+3,TPMatrix!$D$6:$E$9,2,0),0)),"")</f>
        <v>0</v>
      </c>
      <c r="P85" s="239">
        <f ca="1">IF(COUNTIF(K82:K86,K85)&gt;=5,IF(J85=5,VLOOKUP(K85+4,TPMatrix!$A$6:$B$10,2,0),IF(J85=4,VLOOKUP(K85+4,TPMatrix!$D$6:$E$9,2,0),0)),"")</f>
        <v>0</v>
      </c>
      <c r="Q85" s="239">
        <f t="shared" ca="1" si="28"/>
        <v>0</v>
      </c>
      <c r="R85" s="240">
        <f t="shared" ca="1" si="29"/>
        <v>5</v>
      </c>
      <c r="S85" s="238">
        <f t="shared" ca="1" si="30"/>
        <v>0</v>
      </c>
      <c r="T85" s="239">
        <f t="shared" si="31"/>
        <v>0</v>
      </c>
      <c r="U85" s="240">
        <f t="shared" ca="1" si="32"/>
        <v>0</v>
      </c>
      <c r="W85" s="36" t="str">
        <f t="shared" ca="1" si="33"/>
        <v/>
      </c>
      <c r="X85" s="36" t="str">
        <f ca="1">IF(ISNUMBER($A85),$W85*(Methuselahs!$A$4+1)+$A85,"")</f>
        <v/>
      </c>
      <c r="Y85" s="36" t="str">
        <f t="shared" ca="1" si="34"/>
        <v/>
      </c>
      <c r="Z85" s="36" t="str">
        <f ca="1">IF(ISNUMBER($A85),VLOOKUP($A85,Methuselahs!$A$7:$X$206,5),"")</f>
        <v/>
      </c>
      <c r="AA85" s="36" t="str">
        <f t="shared" ca="1" si="35"/>
        <v/>
      </c>
    </row>
    <row r="86" spans="1:27" ht="12.95" customHeight="1" x14ac:dyDescent="0.2">
      <c r="A86" s="255" t="str">
        <f ca="1">IF(ISBLANK('Tournament Info'!$B$11),"",INDIRECT(ADDRESS(ROW(),1,1,1,"Optimal Seating "&amp;'Tournament Info'!$B$11-1&amp;"R+F")))</f>
        <v/>
      </c>
      <c r="B86" s="256" t="str">
        <f ca="1">IF(ISNUMBER(A86),VLOOKUP(A86,Methuselahs!$A$7:$E$206,2,0),"")</f>
        <v/>
      </c>
      <c r="C86" s="257" t="str">
        <f ca="1">IF(ISNUMBER(A86),VLOOKUP(A86,Methuselahs!$A$7:$E$206,3,0),"")</f>
        <v/>
      </c>
      <c r="D86" s="258" t="str">
        <f t="shared" ca="1" si="24"/>
        <v/>
      </c>
      <c r="E86" s="259"/>
      <c r="F86" s="257">
        <f t="shared" si="25"/>
        <v>0</v>
      </c>
      <c r="G86" s="244" t="str">
        <f t="shared" ca="1" si="26"/>
        <v/>
      </c>
      <c r="H86" s="245" t="str">
        <f ca="1">IF(ISNUMBER(A86),IF(OR($S86=$U86,NOT(ISNA(MATCH($D86*5+$V$4,Override!$C$6:$C$125,0)))),$Q86,0),"")</f>
        <v/>
      </c>
      <c r="I86" s="258" t="str">
        <f t="shared" ca="1" si="27"/>
        <v/>
      </c>
      <c r="J86" s="260">
        <f ca="1">COUNT(A82:A86)</f>
        <v>0</v>
      </c>
      <c r="K86" s="261" t="str">
        <f ca="1">IF(ISNUMBER(A86),RANK(F86,F82:F86),"")</f>
        <v/>
      </c>
      <c r="L86" s="262">
        <f ca="1">IF(J86=5,VLOOKUP(K86,TPMatrix!$A$6:$B$10,2,0),IF(J86=4,VLOOKUP(K86,TPMatrix!$D$6:$E$9,2,0),0))</f>
        <v>0</v>
      </c>
      <c r="M86" s="262">
        <f ca="1">IF(COUNTIF(K82:K86,K86)&gt;=2,IF(J86=5,VLOOKUP(K86+1,TPMatrix!$A$6:$B$10,2,0),IF(J86=4,VLOOKUP(K86+1,TPMatrix!$D$6:$E$9,2,0),0)),"")</f>
        <v>0</v>
      </c>
      <c r="N86" s="262">
        <f ca="1">IF(COUNTIF(K82:K86,K86)&gt;=3,IF(J86=5,VLOOKUP(K86+2,TPMatrix!$A$6:$B$10,2,0),IF(J86=4,VLOOKUP(K86+2,TPMatrix!$D$6:$E$9,2,0),0)),"")</f>
        <v>0</v>
      </c>
      <c r="O86" s="262">
        <f ca="1">IF(COUNTIF(K82:K86,K86)&gt;=4,IF(J86=5,VLOOKUP(K86+3,TPMatrix!$A$6:$B$10,2,0),IF(J86=4,VLOOKUP(K86+3,TPMatrix!$D$6:$E$9,2,0),0)),"")</f>
        <v>0</v>
      </c>
      <c r="P86" s="262">
        <f ca="1">IF(COUNTIF(K82:K86,K86)&gt;=5,IF(J86=5,VLOOKUP(K86+4,TPMatrix!$A$6:$B$10,2,0),IF(J86=4,VLOOKUP(K86+4,TPMatrix!$D$6:$E$9,2,0),0)),"")</f>
        <v>0</v>
      </c>
      <c r="Q86" s="262">
        <f t="shared" ca="1" si="28"/>
        <v>0</v>
      </c>
      <c r="R86" s="263">
        <f t="shared" ca="1" si="29"/>
        <v>5</v>
      </c>
      <c r="S86" s="261">
        <f t="shared" ca="1" si="30"/>
        <v>0</v>
      </c>
      <c r="T86" s="262">
        <f t="shared" si="31"/>
        <v>0</v>
      </c>
      <c r="U86" s="263">
        <f t="shared" ca="1" si="32"/>
        <v>0</v>
      </c>
      <c r="W86" s="36" t="str">
        <f t="shared" ca="1" si="33"/>
        <v/>
      </c>
      <c r="X86" s="36" t="str">
        <f ca="1">IF(ISNUMBER($A86),$W86*(Methuselahs!$A$4+1)+$A86,"")</f>
        <v/>
      </c>
      <c r="Y86" s="36" t="str">
        <f t="shared" ca="1" si="34"/>
        <v/>
      </c>
      <c r="Z86" s="36" t="str">
        <f ca="1">IF(ISNUMBER($A86),VLOOKUP($A86,Methuselahs!$A$7:$X$206,5),"")</f>
        <v/>
      </c>
      <c r="AA86" s="36" t="str">
        <f t="shared" ca="1" si="35"/>
        <v/>
      </c>
    </row>
    <row r="87" spans="1:27" ht="12.95" customHeight="1" x14ac:dyDescent="0.2">
      <c r="A87" s="219" t="str">
        <f ca="1">IF(ISBLANK('Tournament Info'!$B$11),"",INDIRECT(ADDRESS(ROW(),1,1,1,"Optimal Seating "&amp;'Tournament Info'!$B$11-1&amp;"R+F")))</f>
        <v/>
      </c>
      <c r="B87" s="143" t="str">
        <f ca="1">IF(ISNUMBER(A87),VLOOKUP(A87,Methuselahs!$A$7:$E$206,2,0),"")</f>
        <v/>
      </c>
      <c r="C87" s="220" t="str">
        <f ca="1">IF(ISNUMBER(A87),VLOOKUP(A87,Methuselahs!$A$7:$E$206,3,0),"")</f>
        <v/>
      </c>
      <c r="D87" s="221" t="str">
        <f t="shared" ca="1" si="24"/>
        <v/>
      </c>
      <c r="E87" s="222"/>
      <c r="F87" s="220">
        <f t="shared" si="25"/>
        <v>0</v>
      </c>
      <c r="G87" s="223" t="str">
        <f t="shared" ca="1" si="26"/>
        <v/>
      </c>
      <c r="H87" s="224" t="str">
        <f ca="1">IF(ISNUMBER(A87),IF(OR($S87=$U87,NOT(ISNA(MATCH($D87*5+$V$4,Override!$C$6:$C$125,0)))),$Q87,0),"")</f>
        <v/>
      </c>
      <c r="I87" s="221" t="str">
        <f t="shared" ca="1" si="27"/>
        <v/>
      </c>
      <c r="J87" s="225">
        <f ca="1">COUNT(A87:A91)</f>
        <v>0</v>
      </c>
      <c r="K87" s="226" t="str">
        <f ca="1">IF(ISNUMBER(A87),RANK(F87,F87:F91),"")</f>
        <v/>
      </c>
      <c r="L87" s="227">
        <f ca="1">IF(J87=5,VLOOKUP(K87,TPMatrix!$A$6:$B$10,2,0),IF(J87=4,VLOOKUP(K87,TPMatrix!$D$6:$E$9,2,0),0))</f>
        <v>0</v>
      </c>
      <c r="M87" s="227">
        <f ca="1">IF(COUNTIF(K87:K91,K87)&gt;=2,IF(J87=5,VLOOKUP(K87+1,TPMatrix!$A$6:$B$10,2,0),IF(J87=4,VLOOKUP(K87+1,TPMatrix!$D$6:$E$9,2,0),0)),"")</f>
        <v>0</v>
      </c>
      <c r="N87" s="227">
        <f ca="1">IF(COUNTIF(K87:K91,K87)&gt;=3,IF(J87=5,VLOOKUP(K87+2,TPMatrix!$A$6:$B$10,2,0),IF(J87=4,VLOOKUP(K87+2,TPMatrix!$D$6:$E$9,2,0),0)),"")</f>
        <v>0</v>
      </c>
      <c r="O87" s="227">
        <f ca="1">IF(COUNTIF(K87:K91,K87)&gt;=4,IF(J87=5,VLOOKUP(K87+3,TPMatrix!$A$6:$B$10,2,0),IF(J87=4,VLOOKUP(K87+3,TPMatrix!$D$6:$E$9,2,0),0)),"")</f>
        <v>0</v>
      </c>
      <c r="P87" s="227">
        <f ca="1">IF(COUNTIF(K87:K91,K87)&gt;=5,IF(J87=5,VLOOKUP(K87+4,TPMatrix!$A$6:$B$10,2,0),IF(J87=4,VLOOKUP(K87+4,TPMatrix!$D$6:$E$9,2,0),0)),"")</f>
        <v>0</v>
      </c>
      <c r="Q87" s="227">
        <f t="shared" ca="1" si="28"/>
        <v>0</v>
      </c>
      <c r="R87" s="228">
        <f t="shared" ca="1" si="29"/>
        <v>5</v>
      </c>
      <c r="S87" s="229">
        <f t="shared" ca="1" si="30"/>
        <v>0</v>
      </c>
      <c r="T87" s="230">
        <f t="shared" si="31"/>
        <v>0</v>
      </c>
      <c r="U87" s="231">
        <f t="shared" ca="1" si="32"/>
        <v>0</v>
      </c>
      <c r="W87" s="36" t="str">
        <f t="shared" ca="1" si="33"/>
        <v/>
      </c>
      <c r="X87" s="36" t="str">
        <f ca="1">IF(ISNUMBER($A87),$W87*(Methuselahs!$A$4+1)+$A87,"")</f>
        <v/>
      </c>
      <c r="Y87" s="36" t="str">
        <f t="shared" ca="1" si="34"/>
        <v/>
      </c>
      <c r="Z87" s="36" t="str">
        <f ca="1">IF(ISNUMBER($A87),VLOOKUP($A87,Methuselahs!$A$7:$X$206,5),"")</f>
        <v/>
      </c>
      <c r="AA87" s="36" t="str">
        <f t="shared" ca="1" si="35"/>
        <v/>
      </c>
    </row>
    <row r="88" spans="1:27" ht="12.95" customHeight="1" x14ac:dyDescent="0.2">
      <c r="A88" s="111" t="str">
        <f ca="1">IF(ISBLANK('Tournament Info'!$B$11),"",INDIRECT(ADDRESS(ROW(),1,1,1,"Optimal Seating "&amp;'Tournament Info'!$B$11-1&amp;"R+F")))</f>
        <v/>
      </c>
      <c r="B88" s="117" t="str">
        <f ca="1">IF(ISNUMBER(A88),VLOOKUP(A88,Methuselahs!$A$7:$E$206,2,0),"")</f>
        <v/>
      </c>
      <c r="C88" s="232" t="str">
        <f ca="1">IF(ISNUMBER(A88),VLOOKUP(A88,Methuselahs!$A$7:$E$206,3,0),"")</f>
        <v/>
      </c>
      <c r="D88" s="233" t="str">
        <f t="shared" ca="1" si="24"/>
        <v/>
      </c>
      <c r="E88" s="234"/>
      <c r="F88" s="232">
        <f t="shared" si="25"/>
        <v>0</v>
      </c>
      <c r="G88" s="235" t="str">
        <f t="shared" ca="1" si="26"/>
        <v/>
      </c>
      <c r="H88" s="236" t="str">
        <f ca="1">IF(ISNUMBER(A88),IF(OR($S88=$U88,NOT(ISNA(MATCH($D88*5+$V$4,Override!$C$6:$C$125,0)))),$Q88,0),"")</f>
        <v/>
      </c>
      <c r="I88" s="233" t="str">
        <f t="shared" ca="1" si="27"/>
        <v/>
      </c>
      <c r="J88" s="237">
        <f ca="1">COUNT(A87:A91)</f>
        <v>0</v>
      </c>
      <c r="K88" s="238" t="str">
        <f ca="1">IF(ISNUMBER(A88),RANK(F88,F87:F91),"")</f>
        <v/>
      </c>
      <c r="L88" s="239">
        <f ca="1">IF(J88=5,VLOOKUP(K88,TPMatrix!$A$6:$B$10,2,0),IF(J88=4,VLOOKUP(K88,TPMatrix!$D$6:$E$9,2,0),0))</f>
        <v>0</v>
      </c>
      <c r="M88" s="239">
        <f ca="1">IF(COUNTIF(K87:K91,K88)&gt;=2,IF(J88=5,VLOOKUP(K88+1,TPMatrix!$A$6:$B$10,2,0),IF(J88=4,VLOOKUP(K88+1,TPMatrix!$D$6:$E$9,2,0),0)),"")</f>
        <v>0</v>
      </c>
      <c r="N88" s="239">
        <f ca="1">IF(COUNTIF(K87:K91,K88)&gt;=3,IF(J88=5,VLOOKUP(K88+2,TPMatrix!$A$6:$B$10,2,0),IF(J88=4,VLOOKUP(K88+2,TPMatrix!$D$6:$E$9,2,0),0)),"")</f>
        <v>0</v>
      </c>
      <c r="O88" s="239">
        <f ca="1">IF(COUNTIF(K87:K91,K88)&gt;=4,IF(J88=5,VLOOKUP(K88+3,TPMatrix!$A$6:$B$10,2,0),IF(J88=4,VLOOKUP(K88+3,TPMatrix!$D$6:$E$9,2,0),0)),"")</f>
        <v>0</v>
      </c>
      <c r="P88" s="239">
        <f ca="1">IF(COUNTIF(K87:K91,K88)&gt;=5,IF(J88=5,VLOOKUP(K88+4,TPMatrix!$A$6:$B$10,2,0),IF(J88=4,VLOOKUP(K88+4,TPMatrix!$D$6:$E$9,2,0),0)),"")</f>
        <v>0</v>
      </c>
      <c r="Q88" s="239">
        <f t="shared" ca="1" si="28"/>
        <v>0</v>
      </c>
      <c r="R88" s="240">
        <f t="shared" ca="1" si="29"/>
        <v>5</v>
      </c>
      <c r="S88" s="238">
        <f t="shared" ca="1" si="30"/>
        <v>0</v>
      </c>
      <c r="T88" s="239">
        <f t="shared" si="31"/>
        <v>0</v>
      </c>
      <c r="U88" s="240">
        <f t="shared" ca="1" si="32"/>
        <v>0</v>
      </c>
      <c r="W88" s="36" t="str">
        <f t="shared" ca="1" si="33"/>
        <v/>
      </c>
      <c r="X88" s="36" t="str">
        <f ca="1">IF(ISNUMBER($A88),$W88*(Methuselahs!$A$4+1)+$A88,"")</f>
        <v/>
      </c>
      <c r="Y88" s="36" t="str">
        <f t="shared" ca="1" si="34"/>
        <v/>
      </c>
      <c r="Z88" s="36" t="str">
        <f ca="1">IF(ISNUMBER($A88),VLOOKUP($A88,Methuselahs!$A$7:$X$206,5),"")</f>
        <v/>
      </c>
      <c r="AA88" s="36" t="str">
        <f t="shared" ca="1" si="35"/>
        <v/>
      </c>
    </row>
    <row r="89" spans="1:27" ht="12.95" customHeight="1" x14ac:dyDescent="0.2">
      <c r="A89" s="137" t="str">
        <f ca="1">IF(ISBLANK('Tournament Info'!$B$11),"",INDIRECT(ADDRESS(ROW(),1,1,1,"Optimal Seating "&amp;'Tournament Info'!$B$11-1&amp;"R+F")))</f>
        <v/>
      </c>
      <c r="B89" s="143" t="str">
        <f ca="1">IF(ISNUMBER(A89),VLOOKUP(A89,Methuselahs!$A$7:$E$206,2,0),"")</f>
        <v/>
      </c>
      <c r="C89" s="241" t="str">
        <f ca="1">IF(ISNUMBER(A89),VLOOKUP(A89,Methuselahs!$A$7:$E$206,3,0),"")</f>
        <v/>
      </c>
      <c r="D89" s="242" t="str">
        <f t="shared" ca="1" si="24"/>
        <v/>
      </c>
      <c r="E89" s="243"/>
      <c r="F89" s="241">
        <f t="shared" si="25"/>
        <v>0</v>
      </c>
      <c r="G89" s="244" t="str">
        <f t="shared" ca="1" si="26"/>
        <v/>
      </c>
      <c r="H89" s="245" t="str">
        <f ca="1">IF(ISNUMBER(A89),IF(OR($S89=$U89,NOT(ISNA(MATCH($D89*5+$V$4,Override!$C$6:$C$125,0)))),$Q89,0),"")</f>
        <v/>
      </c>
      <c r="I89" s="242" t="str">
        <f t="shared" ca="1" si="27"/>
        <v/>
      </c>
      <c r="J89" s="246">
        <f ca="1">COUNT(A87:A91)</f>
        <v>0</v>
      </c>
      <c r="K89" s="247" t="str">
        <f ca="1">IF(ISNUMBER(A89),RANK(F89,F87:F91),"")</f>
        <v/>
      </c>
      <c r="L89" s="142">
        <f ca="1">IF(J89=5,VLOOKUP(K89,TPMatrix!$A$6:$B$10,2,0),IF(J89=4,VLOOKUP(K89,TPMatrix!$D$6:$E$9,2,0),0))</f>
        <v>0</v>
      </c>
      <c r="M89" s="142">
        <f ca="1">IF(COUNTIF(K87:K91,K89)&gt;=2,IF(J89=5,VLOOKUP(K89+1,TPMatrix!$A$6:$B$10,2,0),IF(J89=4,VLOOKUP(K89+1,TPMatrix!$D$6:$E$9,2,0),0)),"")</f>
        <v>0</v>
      </c>
      <c r="N89" s="142">
        <f ca="1">IF(COUNTIF(K87:K91,K89)&gt;=3,IF(J89=5,VLOOKUP(K89+2,TPMatrix!$A$6:$B$10,2,0),IF(J89=4,VLOOKUP(K89+2,TPMatrix!$D$6:$E$9,2,0),0)),"")</f>
        <v>0</v>
      </c>
      <c r="O89" s="142">
        <f ca="1">IF(COUNTIF(K87:K91,K89)&gt;=4,IF(J89=5,VLOOKUP(K89+3,TPMatrix!$A$6:$B$10,2,0),IF(J89=4,VLOOKUP(K89+3,TPMatrix!$D$6:$E$9,2,0),0)),"")</f>
        <v>0</v>
      </c>
      <c r="P89" s="142">
        <f ca="1">IF(COUNTIF(K87:K91,K89)&gt;=5,IF(J89=5,VLOOKUP(K89+4,TPMatrix!$A$6:$B$10,2,0),IF(J89=4,VLOOKUP(K89+4,TPMatrix!$D$6:$E$9,2,0),0)),"")</f>
        <v>0</v>
      </c>
      <c r="Q89" s="142">
        <f t="shared" ca="1" si="28"/>
        <v>0</v>
      </c>
      <c r="R89" s="248">
        <f t="shared" ca="1" si="29"/>
        <v>5</v>
      </c>
      <c r="S89" s="247">
        <f t="shared" ca="1" si="30"/>
        <v>0</v>
      </c>
      <c r="T89" s="142">
        <f t="shared" si="31"/>
        <v>0</v>
      </c>
      <c r="U89" s="248">
        <f t="shared" ca="1" si="32"/>
        <v>0</v>
      </c>
      <c r="W89" s="36" t="str">
        <f t="shared" ca="1" si="33"/>
        <v/>
      </c>
      <c r="X89" s="36" t="str">
        <f ca="1">IF(ISNUMBER($A89),$W89*(Methuselahs!$A$4+1)+$A89,"")</f>
        <v/>
      </c>
      <c r="Y89" s="36" t="str">
        <f t="shared" ca="1" si="34"/>
        <v/>
      </c>
      <c r="Z89" s="36" t="str">
        <f ca="1">IF(ISNUMBER($A89),VLOOKUP($A89,Methuselahs!$A$7:$X$206,5),"")</f>
        <v/>
      </c>
      <c r="AA89" s="36" t="str">
        <f t="shared" ca="1" si="35"/>
        <v/>
      </c>
    </row>
    <row r="90" spans="1:27" ht="12.95" customHeight="1" x14ac:dyDescent="0.2">
      <c r="A90" s="249" t="str">
        <f ca="1">IF(ISBLANK('Tournament Info'!$B$11),"",INDIRECT(ADDRESS(ROW(),1,1,1,"Optimal Seating "&amp;'Tournament Info'!$B$11-1&amp;"R+F")))</f>
        <v/>
      </c>
      <c r="B90" s="250" t="str">
        <f ca="1">IF(ISNUMBER(A90),VLOOKUP(A90,Methuselahs!$A$7:$E$206,2,0),"")</f>
        <v/>
      </c>
      <c r="C90" s="251" t="str">
        <f ca="1">IF(ISNUMBER(A90),VLOOKUP(A90,Methuselahs!$A$7:$E$206,3,0),"")</f>
        <v/>
      </c>
      <c r="D90" s="252" t="str">
        <f t="shared" ca="1" si="24"/>
        <v/>
      </c>
      <c r="E90" s="253"/>
      <c r="F90" s="251">
        <f t="shared" si="25"/>
        <v>0</v>
      </c>
      <c r="G90" s="235" t="str">
        <f t="shared" ca="1" si="26"/>
        <v/>
      </c>
      <c r="H90" s="236" t="str">
        <f ca="1">IF(ISNUMBER(A90),IF(OR($S90=$U90,NOT(ISNA(MATCH($D90*5+$V$4,Override!$C$6:$C$125,0)))),$Q90,0),"")</f>
        <v/>
      </c>
      <c r="I90" s="252" t="str">
        <f t="shared" ca="1" si="27"/>
        <v/>
      </c>
      <c r="J90" s="254">
        <f ca="1">COUNT(A87:A91)</f>
        <v>0</v>
      </c>
      <c r="K90" s="238" t="str">
        <f ca="1">IF(ISNUMBER(A90),RANK(F90,F87:F91),"")</f>
        <v/>
      </c>
      <c r="L90" s="239">
        <f ca="1">IF(J90=5,VLOOKUP(K90,TPMatrix!$A$6:$B$10,2,0),IF(J90=4,VLOOKUP(K90,TPMatrix!$D$6:$E$9,2,0),0))</f>
        <v>0</v>
      </c>
      <c r="M90" s="239">
        <f ca="1">IF(COUNTIF(K87:K91,K90)&gt;=2,IF(J90=5,VLOOKUP(K90+1,TPMatrix!$A$6:$B$10,2,0),IF(J90=4,VLOOKUP(K90+1,TPMatrix!$D$6:$E$9,2,0),0)),"")</f>
        <v>0</v>
      </c>
      <c r="N90" s="239">
        <f ca="1">IF(COUNTIF(K87:K91,K90)&gt;=3,IF(J90=5,VLOOKUP(K90+2,TPMatrix!$A$6:$B$10,2,0),IF(J90=4,VLOOKUP(K90+2,TPMatrix!$D$6:$E$9,2,0),0)),"")</f>
        <v>0</v>
      </c>
      <c r="O90" s="239">
        <f ca="1">IF(COUNTIF(K87:K91,K90)&gt;=4,IF(J90=5,VLOOKUP(K90+3,TPMatrix!$A$6:$B$10,2,0),IF(J90=4,VLOOKUP(K90+3,TPMatrix!$D$6:$E$9,2,0),0)),"")</f>
        <v>0</v>
      </c>
      <c r="P90" s="239">
        <f ca="1">IF(COUNTIF(K87:K91,K90)&gt;=5,IF(J90=5,VLOOKUP(K90+4,TPMatrix!$A$6:$B$10,2,0),IF(J90=4,VLOOKUP(K90+4,TPMatrix!$D$6:$E$9,2,0),0)),"")</f>
        <v>0</v>
      </c>
      <c r="Q90" s="239">
        <f t="shared" ca="1" si="28"/>
        <v>0</v>
      </c>
      <c r="R90" s="240">
        <f t="shared" ca="1" si="29"/>
        <v>5</v>
      </c>
      <c r="S90" s="238">
        <f t="shared" ca="1" si="30"/>
        <v>0</v>
      </c>
      <c r="T90" s="239">
        <f t="shared" si="31"/>
        <v>0</v>
      </c>
      <c r="U90" s="240">
        <f t="shared" ca="1" si="32"/>
        <v>0</v>
      </c>
      <c r="W90" s="36" t="str">
        <f t="shared" ca="1" si="33"/>
        <v/>
      </c>
      <c r="X90" s="36" t="str">
        <f ca="1">IF(ISNUMBER($A90),$W90*(Methuselahs!$A$4+1)+$A90,"")</f>
        <v/>
      </c>
      <c r="Y90" s="36" t="str">
        <f t="shared" ca="1" si="34"/>
        <v/>
      </c>
      <c r="Z90" s="36" t="str">
        <f ca="1">IF(ISNUMBER($A90),VLOOKUP($A90,Methuselahs!$A$7:$X$206,5),"")</f>
        <v/>
      </c>
      <c r="AA90" s="36" t="str">
        <f t="shared" ca="1" si="35"/>
        <v/>
      </c>
    </row>
    <row r="91" spans="1:27" ht="12.95" customHeight="1" x14ac:dyDescent="0.2">
      <c r="A91" s="255" t="str">
        <f ca="1">IF(ISBLANK('Tournament Info'!$B$11),"",INDIRECT(ADDRESS(ROW(),1,1,1,"Optimal Seating "&amp;'Tournament Info'!$B$11-1&amp;"R+F")))</f>
        <v/>
      </c>
      <c r="B91" s="256" t="str">
        <f ca="1">IF(ISNUMBER(A91),VLOOKUP(A91,Methuselahs!$A$7:$E$206,2,0),"")</f>
        <v/>
      </c>
      <c r="C91" s="257" t="str">
        <f ca="1">IF(ISNUMBER(A91),VLOOKUP(A91,Methuselahs!$A$7:$E$206,3,0),"")</f>
        <v/>
      </c>
      <c r="D91" s="258" t="str">
        <f t="shared" ca="1" si="24"/>
        <v/>
      </c>
      <c r="E91" s="259"/>
      <c r="F91" s="257">
        <f t="shared" si="25"/>
        <v>0</v>
      </c>
      <c r="G91" s="244" t="str">
        <f t="shared" ca="1" si="26"/>
        <v/>
      </c>
      <c r="H91" s="245" t="str">
        <f ca="1">IF(ISNUMBER(A91),IF(OR($S91=$U91,NOT(ISNA(MATCH($D91*5+$V$4,Override!$C$6:$C$125,0)))),$Q91,0),"")</f>
        <v/>
      </c>
      <c r="I91" s="258" t="str">
        <f t="shared" ca="1" si="27"/>
        <v/>
      </c>
      <c r="J91" s="260">
        <f ca="1">COUNT(A87:A91)</f>
        <v>0</v>
      </c>
      <c r="K91" s="261" t="str">
        <f ca="1">IF(ISNUMBER(A91),RANK(F91,F87:F91),"")</f>
        <v/>
      </c>
      <c r="L91" s="262">
        <f ca="1">IF(J91=5,VLOOKUP(K91,TPMatrix!$A$6:$B$10,2,0),IF(J91=4,VLOOKUP(K91,TPMatrix!$D$6:$E$9,2,0),0))</f>
        <v>0</v>
      </c>
      <c r="M91" s="262">
        <f ca="1">IF(COUNTIF(K87:K91,K91)&gt;=2,IF(J91=5,VLOOKUP(K91+1,TPMatrix!$A$6:$B$10,2,0),IF(J91=4,VLOOKUP(K91+1,TPMatrix!$D$6:$E$9,2,0),0)),"")</f>
        <v>0</v>
      </c>
      <c r="N91" s="262">
        <f ca="1">IF(COUNTIF(K87:K91,K91)&gt;=3,IF(J91=5,VLOOKUP(K91+2,TPMatrix!$A$6:$B$10,2,0),IF(J91=4,VLOOKUP(K91+2,TPMatrix!$D$6:$E$9,2,0),0)),"")</f>
        <v>0</v>
      </c>
      <c r="O91" s="262">
        <f ca="1">IF(COUNTIF(K87:K91,K91)&gt;=4,IF(J91=5,VLOOKUP(K91+3,TPMatrix!$A$6:$B$10,2,0),IF(J91=4,VLOOKUP(K91+3,TPMatrix!$D$6:$E$9,2,0),0)),"")</f>
        <v>0</v>
      </c>
      <c r="P91" s="262">
        <f ca="1">IF(COUNTIF(K87:K91,K91)&gt;=5,IF(J91=5,VLOOKUP(K91+4,TPMatrix!$A$6:$B$10,2,0),IF(J91=4,VLOOKUP(K91+4,TPMatrix!$D$6:$E$9,2,0),0)),"")</f>
        <v>0</v>
      </c>
      <c r="Q91" s="262">
        <f t="shared" ca="1" si="28"/>
        <v>0</v>
      </c>
      <c r="R91" s="263">
        <f t="shared" ca="1" si="29"/>
        <v>5</v>
      </c>
      <c r="S91" s="261">
        <f t="shared" ca="1" si="30"/>
        <v>0</v>
      </c>
      <c r="T91" s="262">
        <f t="shared" si="31"/>
        <v>0</v>
      </c>
      <c r="U91" s="263">
        <f t="shared" ca="1" si="32"/>
        <v>0</v>
      </c>
      <c r="W91" s="36" t="str">
        <f t="shared" ca="1" si="33"/>
        <v/>
      </c>
      <c r="X91" s="36" t="str">
        <f ca="1">IF(ISNUMBER($A91),$W91*(Methuselahs!$A$4+1)+$A91,"")</f>
        <v/>
      </c>
      <c r="Y91" s="36" t="str">
        <f t="shared" ca="1" si="34"/>
        <v/>
      </c>
      <c r="Z91" s="36" t="str">
        <f ca="1">IF(ISNUMBER($A91),VLOOKUP($A91,Methuselahs!$A$7:$X$206,5),"")</f>
        <v/>
      </c>
      <c r="AA91" s="36" t="str">
        <f t="shared" ca="1" si="35"/>
        <v/>
      </c>
    </row>
    <row r="92" spans="1:27" ht="12.95" customHeight="1" x14ac:dyDescent="0.2">
      <c r="A92" s="219" t="str">
        <f ca="1">IF(ISBLANK('Tournament Info'!$B$11),"",INDIRECT(ADDRESS(ROW(),1,1,1,"Optimal Seating "&amp;'Tournament Info'!$B$11-1&amp;"R+F")))</f>
        <v/>
      </c>
      <c r="B92" s="143" t="str">
        <f ca="1">IF(ISNUMBER(A92),VLOOKUP(A92,Methuselahs!$A$7:$E$206,2,0),"")</f>
        <v/>
      </c>
      <c r="C92" s="220" t="str">
        <f ca="1">IF(ISNUMBER(A92),VLOOKUP(A92,Methuselahs!$A$7:$E$206,3,0),"")</f>
        <v/>
      </c>
      <c r="D92" s="221" t="str">
        <f t="shared" ca="1" si="24"/>
        <v/>
      </c>
      <c r="E92" s="222"/>
      <c r="F92" s="220">
        <f t="shared" si="25"/>
        <v>0</v>
      </c>
      <c r="G92" s="223" t="str">
        <f t="shared" ca="1" si="26"/>
        <v/>
      </c>
      <c r="H92" s="224" t="str">
        <f ca="1">IF(ISNUMBER(A92),IF(OR($S92=$U92,NOT(ISNA(MATCH($D92*5+$V$4,Override!$C$6:$C$125,0)))),$Q92,0),"")</f>
        <v/>
      </c>
      <c r="I92" s="221" t="str">
        <f t="shared" ca="1" si="27"/>
        <v/>
      </c>
      <c r="J92" s="225">
        <f ca="1">COUNT(A92:A96)</f>
        <v>0</v>
      </c>
      <c r="K92" s="226" t="str">
        <f ca="1">IF(ISNUMBER(A92),RANK(F92,F92:F96),"")</f>
        <v/>
      </c>
      <c r="L92" s="227">
        <f ca="1">IF(J92=5,VLOOKUP(K92,TPMatrix!$A$6:$B$10,2,0),IF(J92=4,VLOOKUP(K92,TPMatrix!$D$6:$E$9,2,0),0))</f>
        <v>0</v>
      </c>
      <c r="M92" s="227">
        <f ca="1">IF(COUNTIF(K92:K96,K92)&gt;=2,IF(J92=5,VLOOKUP(K92+1,TPMatrix!$A$6:$B$10,2,0),IF(J92=4,VLOOKUP(K92+1,TPMatrix!$D$6:$E$9,2,0),0)),"")</f>
        <v>0</v>
      </c>
      <c r="N92" s="227">
        <f ca="1">IF(COUNTIF(K92:K96,K92)&gt;=3,IF(J92=5,VLOOKUP(K92+2,TPMatrix!$A$6:$B$10,2,0),IF(J92=4,VLOOKUP(K92+2,TPMatrix!$D$6:$E$9,2,0),0)),"")</f>
        <v>0</v>
      </c>
      <c r="O92" s="227">
        <f ca="1">IF(COUNTIF(K92:K96,K92)&gt;=4,IF(J92=5,VLOOKUP(K92+3,TPMatrix!$A$6:$B$10,2,0),IF(J92=4,VLOOKUP(K92+3,TPMatrix!$D$6:$E$9,2,0),0)),"")</f>
        <v>0</v>
      </c>
      <c r="P92" s="227">
        <f ca="1">IF(COUNTIF(K92:K96,K92)&gt;=5,IF(J92=5,VLOOKUP(K92+4,TPMatrix!$A$6:$B$10,2,0),IF(J92=4,VLOOKUP(K92+4,TPMatrix!$D$6:$E$9,2,0),0)),"")</f>
        <v>0</v>
      </c>
      <c r="Q92" s="227">
        <f t="shared" ca="1" si="28"/>
        <v>0</v>
      </c>
      <c r="R92" s="228">
        <f t="shared" ca="1" si="29"/>
        <v>5</v>
      </c>
      <c r="S92" s="229">
        <f t="shared" ca="1" si="30"/>
        <v>0</v>
      </c>
      <c r="T92" s="230">
        <f t="shared" si="31"/>
        <v>0</v>
      </c>
      <c r="U92" s="231">
        <f t="shared" ca="1" si="32"/>
        <v>0</v>
      </c>
      <c r="W92" s="36" t="str">
        <f t="shared" ca="1" si="33"/>
        <v/>
      </c>
      <c r="X92" s="36" t="str">
        <f ca="1">IF(ISNUMBER($A92),$W92*(Methuselahs!$A$4+1)+$A92,"")</f>
        <v/>
      </c>
      <c r="Y92" s="36" t="str">
        <f t="shared" ca="1" si="34"/>
        <v/>
      </c>
      <c r="Z92" s="36" t="str">
        <f ca="1">IF(ISNUMBER($A92),VLOOKUP($A92,Methuselahs!$A$7:$X$206,5),"")</f>
        <v/>
      </c>
      <c r="AA92" s="36" t="str">
        <f t="shared" ca="1" si="35"/>
        <v/>
      </c>
    </row>
    <row r="93" spans="1:27" ht="12.95" customHeight="1" x14ac:dyDescent="0.2">
      <c r="A93" s="111" t="str">
        <f ca="1">IF(ISBLANK('Tournament Info'!$B$11),"",INDIRECT(ADDRESS(ROW(),1,1,1,"Optimal Seating "&amp;'Tournament Info'!$B$11-1&amp;"R+F")))</f>
        <v/>
      </c>
      <c r="B93" s="117" t="str">
        <f ca="1">IF(ISNUMBER(A93),VLOOKUP(A93,Methuselahs!$A$7:$E$206,2,0),"")</f>
        <v/>
      </c>
      <c r="C93" s="232" t="str">
        <f ca="1">IF(ISNUMBER(A93),VLOOKUP(A93,Methuselahs!$A$7:$E$206,3,0),"")</f>
        <v/>
      </c>
      <c r="D93" s="233" t="str">
        <f t="shared" ca="1" si="24"/>
        <v/>
      </c>
      <c r="E93" s="234"/>
      <c r="F93" s="232">
        <f t="shared" si="25"/>
        <v>0</v>
      </c>
      <c r="G93" s="235" t="str">
        <f t="shared" ca="1" si="26"/>
        <v/>
      </c>
      <c r="H93" s="236" t="str">
        <f ca="1">IF(ISNUMBER(A93),IF(OR($S93=$U93,NOT(ISNA(MATCH($D93*5+$V$4,Override!$C$6:$C$125,0)))),$Q93,0),"")</f>
        <v/>
      </c>
      <c r="I93" s="233" t="str">
        <f t="shared" ca="1" si="27"/>
        <v/>
      </c>
      <c r="J93" s="237">
        <f ca="1">COUNT(A92:A96)</f>
        <v>0</v>
      </c>
      <c r="K93" s="238" t="str">
        <f ca="1">IF(ISNUMBER(A93),RANK(F93,F92:F96),"")</f>
        <v/>
      </c>
      <c r="L93" s="239">
        <f ca="1">IF(J93=5,VLOOKUP(K93,TPMatrix!$A$6:$B$10,2,0),IF(J93=4,VLOOKUP(K93,TPMatrix!$D$6:$E$9,2,0),0))</f>
        <v>0</v>
      </c>
      <c r="M93" s="239">
        <f ca="1">IF(COUNTIF(K92:K96,K93)&gt;=2,IF(J93=5,VLOOKUP(K93+1,TPMatrix!$A$6:$B$10,2,0),IF(J93=4,VLOOKUP(K93+1,TPMatrix!$D$6:$E$9,2,0),0)),"")</f>
        <v>0</v>
      </c>
      <c r="N93" s="239">
        <f ca="1">IF(COUNTIF(K92:K96,K93)&gt;=3,IF(J93=5,VLOOKUP(K93+2,TPMatrix!$A$6:$B$10,2,0),IF(J93=4,VLOOKUP(K93+2,TPMatrix!$D$6:$E$9,2,0),0)),"")</f>
        <v>0</v>
      </c>
      <c r="O93" s="239">
        <f ca="1">IF(COUNTIF(K92:K96,K93)&gt;=4,IF(J93=5,VLOOKUP(K93+3,TPMatrix!$A$6:$B$10,2,0),IF(J93=4,VLOOKUP(K93+3,TPMatrix!$D$6:$E$9,2,0),0)),"")</f>
        <v>0</v>
      </c>
      <c r="P93" s="239">
        <f ca="1">IF(COUNTIF(K92:K96,K93)&gt;=5,IF(J93=5,VLOOKUP(K93+4,TPMatrix!$A$6:$B$10,2,0),IF(J93=4,VLOOKUP(K93+4,TPMatrix!$D$6:$E$9,2,0),0)),"")</f>
        <v>0</v>
      </c>
      <c r="Q93" s="239">
        <f t="shared" ca="1" si="28"/>
        <v>0</v>
      </c>
      <c r="R93" s="240">
        <f t="shared" ca="1" si="29"/>
        <v>5</v>
      </c>
      <c r="S93" s="238">
        <f t="shared" ca="1" si="30"/>
        <v>0</v>
      </c>
      <c r="T93" s="239">
        <f t="shared" si="31"/>
        <v>0</v>
      </c>
      <c r="U93" s="240">
        <f t="shared" ca="1" si="32"/>
        <v>0</v>
      </c>
      <c r="W93" s="36" t="str">
        <f t="shared" ca="1" si="33"/>
        <v/>
      </c>
      <c r="X93" s="36" t="str">
        <f ca="1">IF(ISNUMBER($A93),$W93*(Methuselahs!$A$4+1)+$A93,"")</f>
        <v/>
      </c>
      <c r="Y93" s="36" t="str">
        <f t="shared" ca="1" si="34"/>
        <v/>
      </c>
      <c r="Z93" s="36" t="str">
        <f ca="1">IF(ISNUMBER($A93),VLOOKUP($A93,Methuselahs!$A$7:$X$206,5),"")</f>
        <v/>
      </c>
      <c r="AA93" s="36" t="str">
        <f t="shared" ca="1" si="35"/>
        <v/>
      </c>
    </row>
    <row r="94" spans="1:27" ht="12.95" customHeight="1" x14ac:dyDescent="0.2">
      <c r="A94" s="137" t="str">
        <f ca="1">IF(ISBLANK('Tournament Info'!$B$11),"",INDIRECT(ADDRESS(ROW(),1,1,1,"Optimal Seating "&amp;'Tournament Info'!$B$11-1&amp;"R+F")))</f>
        <v/>
      </c>
      <c r="B94" s="143" t="str">
        <f ca="1">IF(ISNUMBER(A94),VLOOKUP(A94,Methuselahs!$A$7:$E$206,2,0),"")</f>
        <v/>
      </c>
      <c r="C94" s="241" t="str">
        <f ca="1">IF(ISNUMBER(A94),VLOOKUP(A94,Methuselahs!$A$7:$E$206,3,0),"")</f>
        <v/>
      </c>
      <c r="D94" s="242" t="str">
        <f t="shared" ca="1" si="24"/>
        <v/>
      </c>
      <c r="E94" s="243"/>
      <c r="F94" s="241">
        <f t="shared" si="25"/>
        <v>0</v>
      </c>
      <c r="G94" s="244" t="str">
        <f t="shared" ca="1" si="26"/>
        <v/>
      </c>
      <c r="H94" s="245" t="str">
        <f ca="1">IF(ISNUMBER(A94),IF(OR($S94=$U94,NOT(ISNA(MATCH($D94*5+$V$4,Override!$C$6:$C$125,0)))),$Q94,0),"")</f>
        <v/>
      </c>
      <c r="I94" s="242" t="str">
        <f t="shared" ca="1" si="27"/>
        <v/>
      </c>
      <c r="J94" s="246">
        <f ca="1">COUNT(A92:A96)</f>
        <v>0</v>
      </c>
      <c r="K94" s="247" t="str">
        <f ca="1">IF(ISNUMBER(A94),RANK(F94,F92:F96),"")</f>
        <v/>
      </c>
      <c r="L94" s="142">
        <f ca="1">IF(J94=5,VLOOKUP(K94,TPMatrix!$A$6:$B$10,2,0),IF(J94=4,VLOOKUP(K94,TPMatrix!$D$6:$E$9,2,0),0))</f>
        <v>0</v>
      </c>
      <c r="M94" s="142">
        <f ca="1">IF(COUNTIF(K92:K96,K94)&gt;=2,IF(J94=5,VLOOKUP(K94+1,TPMatrix!$A$6:$B$10,2,0),IF(J94=4,VLOOKUP(K94+1,TPMatrix!$D$6:$E$9,2,0),0)),"")</f>
        <v>0</v>
      </c>
      <c r="N94" s="142">
        <f ca="1">IF(COUNTIF(K92:K96,K94)&gt;=3,IF(J94=5,VLOOKUP(K94+2,TPMatrix!$A$6:$B$10,2,0),IF(J94=4,VLOOKUP(K94+2,TPMatrix!$D$6:$E$9,2,0),0)),"")</f>
        <v>0</v>
      </c>
      <c r="O94" s="142">
        <f ca="1">IF(COUNTIF(K92:K96,K94)&gt;=4,IF(J94=5,VLOOKUP(K94+3,TPMatrix!$A$6:$B$10,2,0),IF(J94=4,VLOOKUP(K94+3,TPMatrix!$D$6:$E$9,2,0),0)),"")</f>
        <v>0</v>
      </c>
      <c r="P94" s="142">
        <f ca="1">IF(COUNTIF(K92:K96,K94)&gt;=5,IF(J94=5,VLOOKUP(K94+4,TPMatrix!$A$6:$B$10,2,0),IF(J94=4,VLOOKUP(K94+4,TPMatrix!$D$6:$E$9,2,0),0)),"")</f>
        <v>0</v>
      </c>
      <c r="Q94" s="142">
        <f t="shared" ca="1" si="28"/>
        <v>0</v>
      </c>
      <c r="R94" s="248">
        <f t="shared" ca="1" si="29"/>
        <v>5</v>
      </c>
      <c r="S94" s="247">
        <f t="shared" ca="1" si="30"/>
        <v>0</v>
      </c>
      <c r="T94" s="142">
        <f t="shared" si="31"/>
        <v>0</v>
      </c>
      <c r="U94" s="248">
        <f t="shared" ca="1" si="32"/>
        <v>0</v>
      </c>
      <c r="W94" s="36" t="str">
        <f t="shared" ca="1" si="33"/>
        <v/>
      </c>
      <c r="X94" s="36" t="str">
        <f ca="1">IF(ISNUMBER($A94),$W94*(Methuselahs!$A$4+1)+$A94,"")</f>
        <v/>
      </c>
      <c r="Y94" s="36" t="str">
        <f t="shared" ca="1" si="34"/>
        <v/>
      </c>
      <c r="Z94" s="36" t="str">
        <f ca="1">IF(ISNUMBER($A94),VLOOKUP($A94,Methuselahs!$A$7:$X$206,5),"")</f>
        <v/>
      </c>
      <c r="AA94" s="36" t="str">
        <f t="shared" ca="1" si="35"/>
        <v/>
      </c>
    </row>
    <row r="95" spans="1:27" ht="12.95" customHeight="1" x14ac:dyDescent="0.2">
      <c r="A95" s="249" t="str">
        <f ca="1">IF(ISBLANK('Tournament Info'!$B$11),"",INDIRECT(ADDRESS(ROW(),1,1,1,"Optimal Seating "&amp;'Tournament Info'!$B$11-1&amp;"R+F")))</f>
        <v/>
      </c>
      <c r="B95" s="250" t="str">
        <f ca="1">IF(ISNUMBER(A95),VLOOKUP(A95,Methuselahs!$A$7:$E$206,2,0),"")</f>
        <v/>
      </c>
      <c r="C95" s="251" t="str">
        <f ca="1">IF(ISNUMBER(A95),VLOOKUP(A95,Methuselahs!$A$7:$E$206,3,0),"")</f>
        <v/>
      </c>
      <c r="D95" s="252" t="str">
        <f t="shared" ca="1" si="24"/>
        <v/>
      </c>
      <c r="E95" s="253"/>
      <c r="F95" s="251">
        <f t="shared" si="25"/>
        <v>0</v>
      </c>
      <c r="G95" s="235" t="str">
        <f t="shared" ca="1" si="26"/>
        <v/>
      </c>
      <c r="H95" s="236" t="str">
        <f ca="1">IF(ISNUMBER(A95),IF(OR($S95=$U95,NOT(ISNA(MATCH($D95*5+$V$4,Override!$C$6:$C$125,0)))),$Q95,0),"")</f>
        <v/>
      </c>
      <c r="I95" s="252" t="str">
        <f t="shared" ca="1" si="27"/>
        <v/>
      </c>
      <c r="J95" s="254">
        <f ca="1">COUNT(A92:A96)</f>
        <v>0</v>
      </c>
      <c r="K95" s="238" t="str">
        <f ca="1">IF(ISNUMBER(A95),RANK(F95,F92:F96),"")</f>
        <v/>
      </c>
      <c r="L95" s="239">
        <f ca="1">IF(J95=5,VLOOKUP(K95,TPMatrix!$A$6:$B$10,2,0),IF(J95=4,VLOOKUP(K95,TPMatrix!$D$6:$E$9,2,0),0))</f>
        <v>0</v>
      </c>
      <c r="M95" s="239">
        <f ca="1">IF(COUNTIF(K92:K96,K95)&gt;=2,IF(J95=5,VLOOKUP(K95+1,TPMatrix!$A$6:$B$10,2,0),IF(J95=4,VLOOKUP(K95+1,TPMatrix!$D$6:$E$9,2,0),0)),"")</f>
        <v>0</v>
      </c>
      <c r="N95" s="239">
        <f ca="1">IF(COUNTIF(K92:K96,K95)&gt;=3,IF(J95=5,VLOOKUP(K95+2,TPMatrix!$A$6:$B$10,2,0),IF(J95=4,VLOOKUP(K95+2,TPMatrix!$D$6:$E$9,2,0),0)),"")</f>
        <v>0</v>
      </c>
      <c r="O95" s="239">
        <f ca="1">IF(COUNTIF(K92:K96,K95)&gt;=4,IF(J95=5,VLOOKUP(K95+3,TPMatrix!$A$6:$B$10,2,0),IF(J95=4,VLOOKUP(K95+3,TPMatrix!$D$6:$E$9,2,0),0)),"")</f>
        <v>0</v>
      </c>
      <c r="P95" s="239">
        <f ca="1">IF(COUNTIF(K92:K96,K95)&gt;=5,IF(J95=5,VLOOKUP(K95+4,TPMatrix!$A$6:$B$10,2,0),IF(J95=4,VLOOKUP(K95+4,TPMatrix!$D$6:$E$9,2,0),0)),"")</f>
        <v>0</v>
      </c>
      <c r="Q95" s="239">
        <f t="shared" ca="1" si="28"/>
        <v>0</v>
      </c>
      <c r="R95" s="240">
        <f t="shared" ca="1" si="29"/>
        <v>5</v>
      </c>
      <c r="S95" s="238">
        <f t="shared" ca="1" si="30"/>
        <v>0</v>
      </c>
      <c r="T95" s="239">
        <f t="shared" si="31"/>
        <v>0</v>
      </c>
      <c r="U95" s="240">
        <f t="shared" ca="1" si="32"/>
        <v>0</v>
      </c>
      <c r="W95" s="36" t="str">
        <f t="shared" ca="1" si="33"/>
        <v/>
      </c>
      <c r="X95" s="36" t="str">
        <f ca="1">IF(ISNUMBER($A95),$W95*(Methuselahs!$A$4+1)+$A95,"")</f>
        <v/>
      </c>
      <c r="Y95" s="36" t="str">
        <f t="shared" ca="1" si="34"/>
        <v/>
      </c>
      <c r="Z95" s="36" t="str">
        <f ca="1">IF(ISNUMBER($A95),VLOOKUP($A95,Methuselahs!$A$7:$X$206,5),"")</f>
        <v/>
      </c>
      <c r="AA95" s="36" t="str">
        <f t="shared" ca="1" si="35"/>
        <v/>
      </c>
    </row>
    <row r="96" spans="1:27" ht="12.95" customHeight="1" x14ac:dyDescent="0.2">
      <c r="A96" s="255" t="str">
        <f ca="1">IF(ISBLANK('Tournament Info'!$B$11),"",INDIRECT(ADDRESS(ROW(),1,1,1,"Optimal Seating "&amp;'Tournament Info'!$B$11-1&amp;"R+F")))</f>
        <v/>
      </c>
      <c r="B96" s="256" t="str">
        <f ca="1">IF(ISNUMBER(A96),VLOOKUP(A96,Methuselahs!$A$7:$E$206,2,0),"")</f>
        <v/>
      </c>
      <c r="C96" s="257" t="str">
        <f ca="1">IF(ISNUMBER(A96),VLOOKUP(A96,Methuselahs!$A$7:$E$206,3,0),"")</f>
        <v/>
      </c>
      <c r="D96" s="258" t="str">
        <f t="shared" ca="1" si="24"/>
        <v/>
      </c>
      <c r="E96" s="259"/>
      <c r="F96" s="257">
        <f t="shared" si="25"/>
        <v>0</v>
      </c>
      <c r="G96" s="244" t="str">
        <f t="shared" ca="1" si="26"/>
        <v/>
      </c>
      <c r="H96" s="245" t="str">
        <f ca="1">IF(ISNUMBER(A96),IF(OR($S96=$U96,NOT(ISNA(MATCH($D96*5+$V$4,Override!$C$6:$C$125,0)))),$Q96,0),"")</f>
        <v/>
      </c>
      <c r="I96" s="258" t="str">
        <f t="shared" ca="1" si="27"/>
        <v/>
      </c>
      <c r="J96" s="260">
        <f ca="1">COUNT(A92:A96)</f>
        <v>0</v>
      </c>
      <c r="K96" s="261" t="str">
        <f ca="1">IF(ISNUMBER(A96),RANK(F96,F92:F96),"")</f>
        <v/>
      </c>
      <c r="L96" s="262">
        <f ca="1">IF(J96=5,VLOOKUP(K96,TPMatrix!$A$6:$B$10,2,0),IF(J96=4,VLOOKUP(K96,TPMatrix!$D$6:$E$9,2,0),0))</f>
        <v>0</v>
      </c>
      <c r="M96" s="262">
        <f ca="1">IF(COUNTIF(K92:K96,K96)&gt;=2,IF(J96=5,VLOOKUP(K96+1,TPMatrix!$A$6:$B$10,2,0),IF(J96=4,VLOOKUP(K96+1,TPMatrix!$D$6:$E$9,2,0),0)),"")</f>
        <v>0</v>
      </c>
      <c r="N96" s="262">
        <f ca="1">IF(COUNTIF(K92:K96,K96)&gt;=3,IF(J96=5,VLOOKUP(K96+2,TPMatrix!$A$6:$B$10,2,0),IF(J96=4,VLOOKUP(K96+2,TPMatrix!$D$6:$E$9,2,0),0)),"")</f>
        <v>0</v>
      </c>
      <c r="O96" s="262">
        <f ca="1">IF(COUNTIF(K92:K96,K96)&gt;=4,IF(J96=5,VLOOKUP(K96+3,TPMatrix!$A$6:$B$10,2,0),IF(J96=4,VLOOKUP(K96+3,TPMatrix!$D$6:$E$9,2,0),0)),"")</f>
        <v>0</v>
      </c>
      <c r="P96" s="262">
        <f ca="1">IF(COUNTIF(K92:K96,K96)&gt;=5,IF(J96=5,VLOOKUP(K96+4,TPMatrix!$A$6:$B$10,2,0),IF(J96=4,VLOOKUP(K96+4,TPMatrix!$D$6:$E$9,2,0),0)),"")</f>
        <v>0</v>
      </c>
      <c r="Q96" s="262">
        <f t="shared" ca="1" si="28"/>
        <v>0</v>
      </c>
      <c r="R96" s="263">
        <f t="shared" ca="1" si="29"/>
        <v>5</v>
      </c>
      <c r="S96" s="261">
        <f t="shared" ca="1" si="30"/>
        <v>0</v>
      </c>
      <c r="T96" s="262">
        <f t="shared" si="31"/>
        <v>0</v>
      </c>
      <c r="U96" s="263">
        <f t="shared" ca="1" si="32"/>
        <v>0</v>
      </c>
      <c r="W96" s="36" t="str">
        <f t="shared" ca="1" si="33"/>
        <v/>
      </c>
      <c r="X96" s="36" t="str">
        <f ca="1">IF(ISNUMBER($A96),$W96*(Methuselahs!$A$4+1)+$A96,"")</f>
        <v/>
      </c>
      <c r="Y96" s="36" t="str">
        <f t="shared" ca="1" si="34"/>
        <v/>
      </c>
      <c r="Z96" s="36" t="str">
        <f ca="1">IF(ISNUMBER($A96),VLOOKUP($A96,Methuselahs!$A$7:$X$206,5),"")</f>
        <v/>
      </c>
      <c r="AA96" s="36" t="str">
        <f t="shared" ca="1" si="35"/>
        <v/>
      </c>
    </row>
    <row r="97" spans="1:27" ht="12.95" customHeight="1" x14ac:dyDescent="0.2">
      <c r="A97" s="219" t="str">
        <f ca="1">IF(ISBLANK('Tournament Info'!$B$11),"",INDIRECT(ADDRESS(ROW(),1,1,1,"Optimal Seating "&amp;'Tournament Info'!$B$11-1&amp;"R+F")))</f>
        <v/>
      </c>
      <c r="B97" s="143" t="str">
        <f ca="1">IF(ISNUMBER(A97),VLOOKUP(A97,Methuselahs!$A$7:$E$206,2,0),"")</f>
        <v/>
      </c>
      <c r="C97" s="220" t="str">
        <f ca="1">IF(ISNUMBER(A97),VLOOKUP(A97,Methuselahs!$A$7:$E$206,3,0),"")</f>
        <v/>
      </c>
      <c r="D97" s="221" t="str">
        <f t="shared" ca="1" si="24"/>
        <v/>
      </c>
      <c r="E97" s="222"/>
      <c r="F97" s="220">
        <f t="shared" si="25"/>
        <v>0</v>
      </c>
      <c r="G97" s="223" t="str">
        <f t="shared" ca="1" si="26"/>
        <v/>
      </c>
      <c r="H97" s="224" t="str">
        <f ca="1">IF(ISNUMBER(A97),IF(OR($S97=$U97,NOT(ISNA(MATCH($D97*5+$V$4,Override!$C$6:$C$125,0)))),$Q97,0),"")</f>
        <v/>
      </c>
      <c r="I97" s="221" t="str">
        <f t="shared" ca="1" si="27"/>
        <v/>
      </c>
      <c r="J97" s="225">
        <f ca="1">COUNT(A97:A101)</f>
        <v>0</v>
      </c>
      <c r="K97" s="226" t="str">
        <f ca="1">IF(ISNUMBER(A97),RANK(F97,F97:F101),"")</f>
        <v/>
      </c>
      <c r="L97" s="227">
        <f ca="1">IF(J97=5,VLOOKUP(K97,TPMatrix!$A$6:$B$10,2,0),IF(J97=4,VLOOKUP(K97,TPMatrix!$D$6:$E$9,2,0),0))</f>
        <v>0</v>
      </c>
      <c r="M97" s="227">
        <f ca="1">IF(COUNTIF(K97:K101,K97)&gt;=2,IF(J97=5,VLOOKUP(K97+1,TPMatrix!$A$6:$B$10,2,0),IF(J97=4,VLOOKUP(K97+1,TPMatrix!$D$6:$E$9,2,0),0)),"")</f>
        <v>0</v>
      </c>
      <c r="N97" s="227">
        <f ca="1">IF(COUNTIF(K97:K101,K97)&gt;=3,IF(J97=5,VLOOKUP(K97+2,TPMatrix!$A$6:$B$10,2,0),IF(J97=4,VLOOKUP(K97+2,TPMatrix!$D$6:$E$9,2,0),0)),"")</f>
        <v>0</v>
      </c>
      <c r="O97" s="227">
        <f ca="1">IF(COUNTIF(K97:K101,K97)&gt;=4,IF(J97=5,VLOOKUP(K97+3,TPMatrix!$A$6:$B$10,2,0),IF(J97=4,VLOOKUP(K97+3,TPMatrix!$D$6:$E$9,2,0),0)),"")</f>
        <v>0</v>
      </c>
      <c r="P97" s="227">
        <f ca="1">IF(COUNTIF(K97:K101,K97)&gt;=5,IF(J97=5,VLOOKUP(K97+4,TPMatrix!$A$6:$B$10,2,0),IF(J97=4,VLOOKUP(K97+4,TPMatrix!$D$6:$E$9,2,0),0)),"")</f>
        <v>0</v>
      </c>
      <c r="Q97" s="227">
        <f t="shared" ca="1" si="28"/>
        <v>0</v>
      </c>
      <c r="R97" s="228">
        <f t="shared" ca="1" si="29"/>
        <v>5</v>
      </c>
      <c r="S97" s="229">
        <f t="shared" ca="1" si="30"/>
        <v>0</v>
      </c>
      <c r="T97" s="230">
        <f t="shared" si="31"/>
        <v>0</v>
      </c>
      <c r="U97" s="231">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2.95" customHeight="1" x14ac:dyDescent="0.2">
      <c r="A98" s="111" t="str">
        <f ca="1">IF(ISBLANK('Tournament Info'!$B$11),"",INDIRECT(ADDRESS(ROW(),1,1,1,"Optimal Seating "&amp;'Tournament Info'!$B$11-1&amp;"R+F")))</f>
        <v/>
      </c>
      <c r="B98" s="117" t="str">
        <f ca="1">IF(ISNUMBER(A98),VLOOKUP(A98,Methuselahs!$A$7:$E$206,2,0),"")</f>
        <v/>
      </c>
      <c r="C98" s="232" t="str">
        <f ca="1">IF(ISNUMBER(A98),VLOOKUP(A98,Methuselahs!$A$7:$E$206,3,0),"")</f>
        <v/>
      </c>
      <c r="D98" s="233" t="str">
        <f t="shared" ca="1" si="24"/>
        <v/>
      </c>
      <c r="E98" s="234"/>
      <c r="F98" s="232">
        <f t="shared" si="25"/>
        <v>0</v>
      </c>
      <c r="G98" s="235" t="str">
        <f t="shared" ca="1" si="26"/>
        <v/>
      </c>
      <c r="H98" s="236" t="str">
        <f ca="1">IF(ISNUMBER(A98),IF(OR($S98=$U98,NOT(ISNA(MATCH($D98*5+$V$4,Override!$C$6:$C$125,0)))),$Q98,0),"")</f>
        <v/>
      </c>
      <c r="I98" s="233" t="str">
        <f t="shared" ca="1" si="27"/>
        <v/>
      </c>
      <c r="J98" s="237">
        <f ca="1">COUNT(A97:A101)</f>
        <v>0</v>
      </c>
      <c r="K98" s="238" t="str">
        <f ca="1">IF(ISNUMBER(A98),RANK(F98,F97:F101),"")</f>
        <v/>
      </c>
      <c r="L98" s="239">
        <f ca="1">IF(J98=5,VLOOKUP(K98,TPMatrix!$A$6:$B$10,2,0),IF(J98=4,VLOOKUP(K98,TPMatrix!$D$6:$E$9,2,0),0))</f>
        <v>0</v>
      </c>
      <c r="M98" s="239">
        <f ca="1">IF(COUNTIF(K97:K101,K98)&gt;=2,IF(J98=5,VLOOKUP(K98+1,TPMatrix!$A$6:$B$10,2,0),IF(J98=4,VLOOKUP(K98+1,TPMatrix!$D$6:$E$9,2,0),0)),"")</f>
        <v>0</v>
      </c>
      <c r="N98" s="239">
        <f ca="1">IF(COUNTIF(K97:K101,K98)&gt;=3,IF(J98=5,VLOOKUP(K98+2,TPMatrix!$A$6:$B$10,2,0),IF(J98=4,VLOOKUP(K98+2,TPMatrix!$D$6:$E$9,2,0),0)),"")</f>
        <v>0</v>
      </c>
      <c r="O98" s="239">
        <f ca="1">IF(COUNTIF(K97:K101,K98)&gt;=4,IF(J98=5,VLOOKUP(K98+3,TPMatrix!$A$6:$B$10,2,0),IF(J98=4,VLOOKUP(K98+3,TPMatrix!$D$6:$E$9,2,0),0)),"")</f>
        <v>0</v>
      </c>
      <c r="P98" s="239">
        <f ca="1">IF(COUNTIF(K97:K101,K98)&gt;=5,IF(J98=5,VLOOKUP(K98+4,TPMatrix!$A$6:$B$10,2,0),IF(J98=4,VLOOKUP(K98+4,TPMatrix!$D$6:$E$9,2,0),0)),"")</f>
        <v>0</v>
      </c>
      <c r="Q98" s="239">
        <f t="shared" ca="1" si="28"/>
        <v>0</v>
      </c>
      <c r="R98" s="240">
        <f t="shared" ca="1" si="29"/>
        <v>5</v>
      </c>
      <c r="S98" s="238">
        <f t="shared" ca="1" si="30"/>
        <v>0</v>
      </c>
      <c r="T98" s="239">
        <f t="shared" si="31"/>
        <v>0</v>
      </c>
      <c r="U98" s="240">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2.95" customHeight="1" x14ac:dyDescent="0.2">
      <c r="A99" s="137" t="str">
        <f ca="1">IF(ISBLANK('Tournament Info'!$B$11),"",INDIRECT(ADDRESS(ROW(),1,1,1,"Optimal Seating "&amp;'Tournament Info'!$B$11-1&amp;"R+F")))</f>
        <v/>
      </c>
      <c r="B99" s="143" t="str">
        <f ca="1">IF(ISNUMBER(A99),VLOOKUP(A99,Methuselahs!$A$7:$E$206,2,0),"")</f>
        <v/>
      </c>
      <c r="C99" s="241" t="str">
        <f ca="1">IF(ISNUMBER(A99),VLOOKUP(A99,Methuselahs!$A$7:$E$206,3,0),"")</f>
        <v/>
      </c>
      <c r="D99" s="242" t="str">
        <f t="shared" ca="1" si="24"/>
        <v/>
      </c>
      <c r="E99" s="243"/>
      <c r="F99" s="241">
        <f t="shared" si="25"/>
        <v>0</v>
      </c>
      <c r="G99" s="244" t="str">
        <f t="shared" ca="1" si="26"/>
        <v/>
      </c>
      <c r="H99" s="245" t="str">
        <f ca="1">IF(ISNUMBER(A99),IF(OR($S99=$U99,NOT(ISNA(MATCH($D99*5+$V$4,Override!$C$6:$C$125,0)))),$Q99,0),"")</f>
        <v/>
      </c>
      <c r="I99" s="242" t="str">
        <f t="shared" ca="1" si="27"/>
        <v/>
      </c>
      <c r="J99" s="246">
        <f ca="1">COUNT(A97:A101)</f>
        <v>0</v>
      </c>
      <c r="K99" s="247" t="str">
        <f ca="1">IF(ISNUMBER(A99),RANK(F99,F97:F101),"")</f>
        <v/>
      </c>
      <c r="L99" s="142">
        <f ca="1">IF(J99=5,VLOOKUP(K99,TPMatrix!$A$6:$B$10,2,0),IF(J99=4,VLOOKUP(K99,TPMatrix!$D$6:$E$9,2,0),0))</f>
        <v>0</v>
      </c>
      <c r="M99" s="142">
        <f ca="1">IF(COUNTIF(K97:K101,K99)&gt;=2,IF(J99=5,VLOOKUP(K99+1,TPMatrix!$A$6:$B$10,2,0),IF(J99=4,VLOOKUP(K99+1,TPMatrix!$D$6:$E$9,2,0),0)),"")</f>
        <v>0</v>
      </c>
      <c r="N99" s="142">
        <f ca="1">IF(COUNTIF(K97:K101,K99)&gt;=3,IF(J99=5,VLOOKUP(K99+2,TPMatrix!$A$6:$B$10,2,0),IF(J99=4,VLOOKUP(K99+2,TPMatrix!$D$6:$E$9,2,0),0)),"")</f>
        <v>0</v>
      </c>
      <c r="O99" s="142">
        <f ca="1">IF(COUNTIF(K97:K101,K99)&gt;=4,IF(J99=5,VLOOKUP(K99+3,TPMatrix!$A$6:$B$10,2,0),IF(J99=4,VLOOKUP(K99+3,TPMatrix!$D$6:$E$9,2,0),0)),"")</f>
        <v>0</v>
      </c>
      <c r="P99" s="142">
        <f ca="1">IF(COUNTIF(K97:K101,K99)&gt;=5,IF(J99=5,VLOOKUP(K99+4,TPMatrix!$A$6:$B$10,2,0),IF(J99=4,VLOOKUP(K99+4,TPMatrix!$D$6:$E$9,2,0),0)),"")</f>
        <v>0</v>
      </c>
      <c r="Q99" s="142">
        <f t="shared" ca="1" si="28"/>
        <v>0</v>
      </c>
      <c r="R99" s="248">
        <f t="shared" ca="1" si="29"/>
        <v>5</v>
      </c>
      <c r="S99" s="247">
        <f t="shared" ca="1" si="30"/>
        <v>0</v>
      </c>
      <c r="T99" s="142">
        <f t="shared" si="31"/>
        <v>0</v>
      </c>
      <c r="U99" s="248">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2.95" customHeight="1" x14ac:dyDescent="0.2">
      <c r="A100" s="249" t="str">
        <f ca="1">IF(ISBLANK('Tournament Info'!$B$11),"",INDIRECT(ADDRESS(ROW(),1,1,1,"Optimal Seating "&amp;'Tournament Info'!$B$11-1&amp;"R+F")))</f>
        <v/>
      </c>
      <c r="B100" s="250" t="str">
        <f ca="1">IF(ISNUMBER(A100),VLOOKUP(A100,Methuselahs!$A$7:$E$206,2,0),"")</f>
        <v/>
      </c>
      <c r="C100" s="251" t="str">
        <f ca="1">IF(ISNUMBER(A100),VLOOKUP(A100,Methuselahs!$A$7:$E$206,3,0),"")</f>
        <v/>
      </c>
      <c r="D100" s="252" t="str">
        <f t="shared" ca="1" si="24"/>
        <v/>
      </c>
      <c r="E100" s="253"/>
      <c r="F100" s="251">
        <f t="shared" si="25"/>
        <v>0</v>
      </c>
      <c r="G100" s="235" t="str">
        <f t="shared" ca="1" si="26"/>
        <v/>
      </c>
      <c r="H100" s="236" t="str">
        <f ca="1">IF(ISNUMBER(A100),IF(OR($S100=$U100,NOT(ISNA(MATCH($D100*5+$V$4,Override!$C$6:$C$125,0)))),$Q100,0),"")</f>
        <v/>
      </c>
      <c r="I100" s="252" t="str">
        <f t="shared" ca="1" si="27"/>
        <v/>
      </c>
      <c r="J100" s="254">
        <f ca="1">COUNT(A97:A101)</f>
        <v>0</v>
      </c>
      <c r="K100" s="238" t="str">
        <f ca="1">IF(ISNUMBER(A100),RANK(F100,F97:F101),"")</f>
        <v/>
      </c>
      <c r="L100" s="239">
        <f ca="1">IF(J100=5,VLOOKUP(K100,TPMatrix!$A$6:$B$10,2,0),IF(J100=4,VLOOKUP(K100,TPMatrix!$D$6:$E$9,2,0),0))</f>
        <v>0</v>
      </c>
      <c r="M100" s="239">
        <f ca="1">IF(COUNTIF(K97:K101,K100)&gt;=2,IF(J100=5,VLOOKUP(K100+1,TPMatrix!$A$6:$B$10,2,0),IF(J100=4,VLOOKUP(K100+1,TPMatrix!$D$6:$E$9,2,0),0)),"")</f>
        <v>0</v>
      </c>
      <c r="N100" s="239">
        <f ca="1">IF(COUNTIF(K97:K101,K100)&gt;=3,IF(J100=5,VLOOKUP(K100+2,TPMatrix!$A$6:$B$10,2,0),IF(J100=4,VLOOKUP(K100+2,TPMatrix!$D$6:$E$9,2,0),0)),"")</f>
        <v>0</v>
      </c>
      <c r="O100" s="239">
        <f ca="1">IF(COUNTIF(K97:K101,K100)&gt;=4,IF(J100=5,VLOOKUP(K100+3,TPMatrix!$A$6:$B$10,2,0),IF(J100=4,VLOOKUP(K100+3,TPMatrix!$D$6:$E$9,2,0),0)),"")</f>
        <v>0</v>
      </c>
      <c r="P100" s="239">
        <f ca="1">IF(COUNTIF(K97:K101,K100)&gt;=5,IF(J100=5,VLOOKUP(K100+4,TPMatrix!$A$6:$B$10,2,0),IF(J100=4,VLOOKUP(K100+4,TPMatrix!$D$6:$E$9,2,0),0)),"")</f>
        <v>0</v>
      </c>
      <c r="Q100" s="239">
        <f t="shared" ca="1" si="28"/>
        <v>0</v>
      </c>
      <c r="R100" s="240">
        <f t="shared" ca="1" si="29"/>
        <v>5</v>
      </c>
      <c r="S100" s="238">
        <f t="shared" ca="1" si="30"/>
        <v>0</v>
      </c>
      <c r="T100" s="239">
        <f t="shared" si="31"/>
        <v>0</v>
      </c>
      <c r="U100" s="240">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2.95" customHeight="1" x14ac:dyDescent="0.2">
      <c r="A101" s="255" t="str">
        <f ca="1">IF(ISBLANK('Tournament Info'!$B$11),"",INDIRECT(ADDRESS(ROW(),1,1,1,"Optimal Seating "&amp;'Tournament Info'!$B$11-1&amp;"R+F")))</f>
        <v/>
      </c>
      <c r="B101" s="256" t="str">
        <f ca="1">IF(ISNUMBER(A101),VLOOKUP(A101,Methuselahs!$A$7:$E$206,2,0),"")</f>
        <v/>
      </c>
      <c r="C101" s="257" t="str">
        <f ca="1">IF(ISNUMBER(A101),VLOOKUP(A101,Methuselahs!$A$7:$E$206,3,0),"")</f>
        <v/>
      </c>
      <c r="D101" s="258" t="str">
        <f t="shared" ca="1" si="24"/>
        <v/>
      </c>
      <c r="E101" s="259"/>
      <c r="F101" s="257">
        <f t="shared" si="25"/>
        <v>0</v>
      </c>
      <c r="G101" s="244" t="str">
        <f t="shared" ca="1" si="26"/>
        <v/>
      </c>
      <c r="H101" s="245" t="str">
        <f ca="1">IF(ISNUMBER(A101),IF(OR($S101=$U101,NOT(ISNA(MATCH($D101*5+$V$4,Override!$C$6:$C$125,0)))),$Q101,0),"")</f>
        <v/>
      </c>
      <c r="I101" s="258" t="str">
        <f t="shared" ca="1" si="27"/>
        <v/>
      </c>
      <c r="J101" s="260">
        <f ca="1">COUNT(A97:A101)</f>
        <v>0</v>
      </c>
      <c r="K101" s="261" t="str">
        <f ca="1">IF(ISNUMBER(A101),RANK(F101,F97:F101),"")</f>
        <v/>
      </c>
      <c r="L101" s="262">
        <f ca="1">IF(J101=5,VLOOKUP(K101,TPMatrix!$A$6:$B$10,2,0),IF(J101=4,VLOOKUP(K101,TPMatrix!$D$6:$E$9,2,0),0))</f>
        <v>0</v>
      </c>
      <c r="M101" s="262">
        <f ca="1">IF(COUNTIF(K97:K101,K101)&gt;=2,IF(J101=5,VLOOKUP(K101+1,TPMatrix!$A$6:$B$10,2,0),IF(J101=4,VLOOKUP(K101+1,TPMatrix!$D$6:$E$9,2,0),0)),"")</f>
        <v>0</v>
      </c>
      <c r="N101" s="262">
        <f ca="1">IF(COUNTIF(K97:K101,K101)&gt;=3,IF(J101=5,VLOOKUP(K101+2,TPMatrix!$A$6:$B$10,2,0),IF(J101=4,VLOOKUP(K101+2,TPMatrix!$D$6:$E$9,2,0),0)),"")</f>
        <v>0</v>
      </c>
      <c r="O101" s="262">
        <f ca="1">IF(COUNTIF(K97:K101,K101)&gt;=4,IF(J101=5,VLOOKUP(K101+3,TPMatrix!$A$6:$B$10,2,0),IF(J101=4,VLOOKUP(K101+3,TPMatrix!$D$6:$E$9,2,0),0)),"")</f>
        <v>0</v>
      </c>
      <c r="P101" s="262">
        <f ca="1">IF(COUNTIF(K97:K101,K101)&gt;=5,IF(J101=5,VLOOKUP(K101+4,TPMatrix!$A$6:$B$10,2,0),IF(J101=4,VLOOKUP(K101+4,TPMatrix!$D$6:$E$9,2,0),0)),"")</f>
        <v>0</v>
      </c>
      <c r="Q101" s="262">
        <f t="shared" ca="1" si="28"/>
        <v>0</v>
      </c>
      <c r="R101" s="263">
        <f t="shared" ca="1" si="29"/>
        <v>5</v>
      </c>
      <c r="S101" s="261">
        <f t="shared" ca="1" si="30"/>
        <v>0</v>
      </c>
      <c r="T101" s="262">
        <f t="shared" si="31"/>
        <v>0</v>
      </c>
      <c r="U101" s="263">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2.95" customHeight="1" x14ac:dyDescent="0.2">
      <c r="A102" s="219" t="str">
        <f ca="1">IF(ISBLANK('Tournament Info'!$B$11),"",INDIRECT(ADDRESS(ROW(),1,1,1,"Optimal Seating "&amp;'Tournament Info'!$B$11-1&amp;"R+F")))</f>
        <v/>
      </c>
      <c r="B102" s="143" t="str">
        <f ca="1">IF(ISNUMBER(A102),VLOOKUP(A102,Methuselahs!$A$7:$E$206,2,0),"")</f>
        <v/>
      </c>
      <c r="C102" s="220" t="str">
        <f ca="1">IF(ISNUMBER(A102),VLOOKUP(A102,Methuselahs!$A$7:$E$206,3,0),"")</f>
        <v/>
      </c>
      <c r="D102" s="221" t="str">
        <f t="shared" ca="1" si="24"/>
        <v/>
      </c>
      <c r="E102" s="222"/>
      <c r="F102" s="220">
        <f t="shared" si="25"/>
        <v>0</v>
      </c>
      <c r="G102" s="223" t="str">
        <f t="shared" ca="1" si="26"/>
        <v/>
      </c>
      <c r="H102" s="224" t="str">
        <f ca="1">IF(ISNUMBER(A102),IF(OR($S102=$U102,NOT(ISNA(MATCH($D102*5+$V$4,Override!$C$6:$C$125,0)))),$Q102,0),"")</f>
        <v/>
      </c>
      <c r="I102" s="221" t="str">
        <f t="shared" ca="1" si="27"/>
        <v/>
      </c>
      <c r="J102" s="225">
        <f ca="1">COUNT(A102:A106)</f>
        <v>0</v>
      </c>
      <c r="K102" s="226" t="str">
        <f ca="1">IF(ISNUMBER(A102),RANK(F102,F102:F106),"")</f>
        <v/>
      </c>
      <c r="L102" s="227">
        <f ca="1">IF(J102=5,VLOOKUP(K102,TPMatrix!$A$6:$B$10,2,0),IF(J102=4,VLOOKUP(K102,TPMatrix!$D$6:$E$9,2,0),0))</f>
        <v>0</v>
      </c>
      <c r="M102" s="227">
        <f ca="1">IF(COUNTIF(K102:K106,K102)&gt;=2,IF(J102=5,VLOOKUP(K102+1,TPMatrix!$A$6:$B$10,2,0),IF(J102=4,VLOOKUP(K102+1,TPMatrix!$D$6:$E$9,2,0),0)),"")</f>
        <v>0</v>
      </c>
      <c r="N102" s="227">
        <f ca="1">IF(COUNTIF(K102:K106,K102)&gt;=3,IF(J102=5,VLOOKUP(K102+2,TPMatrix!$A$6:$B$10,2,0),IF(J102=4,VLOOKUP(K102+2,TPMatrix!$D$6:$E$9,2,0),0)),"")</f>
        <v>0</v>
      </c>
      <c r="O102" s="227">
        <f ca="1">IF(COUNTIF(K102:K106,K102)&gt;=4,IF(J102=5,VLOOKUP(K102+3,TPMatrix!$A$6:$B$10,2,0),IF(J102=4,VLOOKUP(K102+3,TPMatrix!$D$6:$E$9,2,0),0)),"")</f>
        <v>0</v>
      </c>
      <c r="P102" s="227">
        <f ca="1">IF(COUNTIF(K102:K106,K102)&gt;=5,IF(J102=5,VLOOKUP(K102+4,TPMatrix!$A$6:$B$10,2,0),IF(J102=4,VLOOKUP(K102+4,TPMatrix!$D$6:$E$9,2,0),0)),"")</f>
        <v>0</v>
      </c>
      <c r="Q102" s="227">
        <f t="shared" ca="1" si="28"/>
        <v>0</v>
      </c>
      <c r="R102" s="228">
        <f t="shared" ca="1" si="29"/>
        <v>5</v>
      </c>
      <c r="S102" s="229">
        <f t="shared" ca="1" si="30"/>
        <v>0</v>
      </c>
      <c r="T102" s="230">
        <f t="shared" si="31"/>
        <v>0</v>
      </c>
      <c r="U102" s="231">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2.95" customHeight="1" x14ac:dyDescent="0.2">
      <c r="A103" s="111" t="str">
        <f ca="1">IF(ISBLANK('Tournament Info'!$B$11),"",INDIRECT(ADDRESS(ROW(),1,1,1,"Optimal Seating "&amp;'Tournament Info'!$B$11-1&amp;"R+F")))</f>
        <v/>
      </c>
      <c r="B103" s="117" t="str">
        <f ca="1">IF(ISNUMBER(A103),VLOOKUP(A103,Methuselahs!$A$7:$E$206,2,0),"")</f>
        <v/>
      </c>
      <c r="C103" s="232" t="str">
        <f ca="1">IF(ISNUMBER(A103),VLOOKUP(A103,Methuselahs!$A$7:$E$206,3,0),"")</f>
        <v/>
      </c>
      <c r="D103" s="233" t="str">
        <f t="shared" ref="D103:D134" ca="1" si="36">IF(ISNUMBER(A103),FLOOR((ROW()-ROW($A$7))/5,1)+1,"")</f>
        <v/>
      </c>
      <c r="E103" s="234"/>
      <c r="F103" s="232">
        <f t="shared" ref="F103:F134" si="37">IF(ISNUMBER(E103),E103,0)</f>
        <v>0</v>
      </c>
      <c r="G103" s="235" t="str">
        <f t="shared" ref="G103:G134" ca="1" si="38">IF(ISNUMBER($A103),IF(AND($F103&gt;=2,$H103=60),1,0),"")</f>
        <v/>
      </c>
      <c r="H103" s="236" t="str">
        <f ca="1">IF(ISNUMBER(A103),IF(OR($S103=$U103,NOT(ISNA(MATCH($D103*5+$V$4,Override!$C$6:$C$125,0)))),$Q103,0),"")</f>
        <v/>
      </c>
      <c r="I103" s="233" t="str">
        <f t="shared" ref="I103:I134" ca="1" si="39">IF(ISNUMBER(A103),IF(J103=5,K103,IF(AND(J103=4,OR(K103=4,K103=3)),K103+1,K103)),"")</f>
        <v/>
      </c>
      <c r="J103" s="237">
        <f ca="1">COUNT(A102:A106)</f>
        <v>0</v>
      </c>
      <c r="K103" s="238" t="str">
        <f ca="1">IF(ISNUMBER(A103),RANK(F103,F102:F106),"")</f>
        <v/>
      </c>
      <c r="L103" s="239">
        <f ca="1">IF(J103=5,VLOOKUP(K103,TPMatrix!$A$6:$B$10,2,0),IF(J103=4,VLOOKUP(K103,TPMatrix!$D$6:$E$9,2,0),0))</f>
        <v>0</v>
      </c>
      <c r="M103" s="239">
        <f ca="1">IF(COUNTIF(K102:K106,K103)&gt;=2,IF(J103=5,VLOOKUP(K103+1,TPMatrix!$A$6:$B$10,2,0),IF(J103=4,VLOOKUP(K103+1,TPMatrix!$D$6:$E$9,2,0),0)),"")</f>
        <v>0</v>
      </c>
      <c r="N103" s="239">
        <f ca="1">IF(COUNTIF(K102:K106,K103)&gt;=3,IF(J103=5,VLOOKUP(K103+2,TPMatrix!$A$6:$B$10,2,0),IF(J103=4,VLOOKUP(K103+2,TPMatrix!$D$6:$E$9,2,0),0)),"")</f>
        <v>0</v>
      </c>
      <c r="O103" s="239">
        <f ca="1">IF(COUNTIF(K102:K106,K103)&gt;=4,IF(J103=5,VLOOKUP(K103+3,TPMatrix!$A$6:$B$10,2,0),IF(J103=4,VLOOKUP(K103+3,TPMatrix!$D$6:$E$9,2,0),0)),"")</f>
        <v>0</v>
      </c>
      <c r="P103" s="239">
        <f ca="1">IF(COUNTIF(K102:K106,K103)&gt;=5,IF(J103=5,VLOOKUP(K103+4,TPMatrix!$A$6:$B$10,2,0),IF(J103=4,VLOOKUP(K103+4,TPMatrix!$D$6:$E$9,2,0),0)),"")</f>
        <v>0</v>
      </c>
      <c r="Q103" s="239">
        <f t="shared" ref="Q103:Q134" ca="1" si="40">SUM(L103:P103)/COUNT(L103:P103)</f>
        <v>0</v>
      </c>
      <c r="R103" s="240">
        <f t="shared" ref="R103:R134" ca="1" si="41">COUNT(L103:P103)</f>
        <v>5</v>
      </c>
      <c r="S103" s="238">
        <f t="shared" ref="S103:S134" ca="1" si="42">IF(ISNUMBER($A103),COUNTIF($D$7:$D$206,$D103),0)</f>
        <v>0</v>
      </c>
      <c r="T103" s="239">
        <f t="shared" ref="T103:T134" si="43">CEILING($F103,1)</f>
        <v>0</v>
      </c>
      <c r="U103" s="240">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2.95" customHeight="1" x14ac:dyDescent="0.2">
      <c r="A104" s="137" t="str">
        <f ca="1">IF(ISBLANK('Tournament Info'!$B$11),"",INDIRECT(ADDRESS(ROW(),1,1,1,"Optimal Seating "&amp;'Tournament Info'!$B$11-1&amp;"R+F")))</f>
        <v/>
      </c>
      <c r="B104" s="143" t="str">
        <f ca="1">IF(ISNUMBER(A104),VLOOKUP(A104,Methuselahs!$A$7:$E$206,2,0),"")</f>
        <v/>
      </c>
      <c r="C104" s="241" t="str">
        <f ca="1">IF(ISNUMBER(A104),VLOOKUP(A104,Methuselahs!$A$7:$E$206,3,0),"")</f>
        <v/>
      </c>
      <c r="D104" s="242" t="str">
        <f t="shared" ca="1" si="36"/>
        <v/>
      </c>
      <c r="E104" s="243"/>
      <c r="F104" s="241">
        <f t="shared" si="37"/>
        <v>0</v>
      </c>
      <c r="G104" s="244" t="str">
        <f t="shared" ca="1" si="38"/>
        <v/>
      </c>
      <c r="H104" s="245" t="str">
        <f ca="1">IF(ISNUMBER(A104),IF(OR($S104=$U104,NOT(ISNA(MATCH($D104*5+$V$4,Override!$C$6:$C$125,0)))),$Q104,0),"")</f>
        <v/>
      </c>
      <c r="I104" s="242" t="str">
        <f t="shared" ca="1" si="39"/>
        <v/>
      </c>
      <c r="J104" s="246">
        <f ca="1">COUNT(A102:A106)</f>
        <v>0</v>
      </c>
      <c r="K104" s="247" t="str">
        <f ca="1">IF(ISNUMBER(A104),RANK(F104,F102:F106),"")</f>
        <v/>
      </c>
      <c r="L104" s="142">
        <f ca="1">IF(J104=5,VLOOKUP(K104,TPMatrix!$A$6:$B$10,2,0),IF(J104=4,VLOOKUP(K104,TPMatrix!$D$6:$E$9,2,0),0))</f>
        <v>0</v>
      </c>
      <c r="M104" s="142">
        <f ca="1">IF(COUNTIF(K102:K106,K104)&gt;=2,IF(J104=5,VLOOKUP(K104+1,TPMatrix!$A$6:$B$10,2,0),IF(J104=4,VLOOKUP(K104+1,TPMatrix!$D$6:$E$9,2,0),0)),"")</f>
        <v>0</v>
      </c>
      <c r="N104" s="142">
        <f ca="1">IF(COUNTIF(K102:K106,K104)&gt;=3,IF(J104=5,VLOOKUP(K104+2,TPMatrix!$A$6:$B$10,2,0),IF(J104=4,VLOOKUP(K104+2,TPMatrix!$D$6:$E$9,2,0),0)),"")</f>
        <v>0</v>
      </c>
      <c r="O104" s="142">
        <f ca="1">IF(COUNTIF(K102:K106,K104)&gt;=4,IF(J104=5,VLOOKUP(K104+3,TPMatrix!$A$6:$B$10,2,0),IF(J104=4,VLOOKUP(K104+3,TPMatrix!$D$6:$E$9,2,0),0)),"")</f>
        <v>0</v>
      </c>
      <c r="P104" s="142">
        <f ca="1">IF(COUNTIF(K102:K106,K104)&gt;=5,IF(J104=5,VLOOKUP(K104+4,TPMatrix!$A$6:$B$10,2,0),IF(J104=4,VLOOKUP(K104+4,TPMatrix!$D$6:$E$9,2,0),0)),"")</f>
        <v>0</v>
      </c>
      <c r="Q104" s="142">
        <f t="shared" ca="1" si="40"/>
        <v>0</v>
      </c>
      <c r="R104" s="248">
        <f t="shared" ca="1" si="41"/>
        <v>5</v>
      </c>
      <c r="S104" s="247">
        <f t="shared" ca="1" si="42"/>
        <v>0</v>
      </c>
      <c r="T104" s="142">
        <f t="shared" si="43"/>
        <v>0</v>
      </c>
      <c r="U104" s="248">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2.95" customHeight="1" x14ac:dyDescent="0.2">
      <c r="A105" s="249" t="str">
        <f ca="1">IF(ISBLANK('Tournament Info'!$B$11),"",INDIRECT(ADDRESS(ROW(),1,1,1,"Optimal Seating "&amp;'Tournament Info'!$B$11-1&amp;"R+F")))</f>
        <v/>
      </c>
      <c r="B105" s="250" t="str">
        <f ca="1">IF(ISNUMBER(A105),VLOOKUP(A105,Methuselahs!$A$7:$E$206,2,0),"")</f>
        <v/>
      </c>
      <c r="C105" s="251" t="str">
        <f ca="1">IF(ISNUMBER(A105),VLOOKUP(A105,Methuselahs!$A$7:$E$206,3,0),"")</f>
        <v/>
      </c>
      <c r="D105" s="252" t="str">
        <f t="shared" ca="1" si="36"/>
        <v/>
      </c>
      <c r="E105" s="253"/>
      <c r="F105" s="251">
        <f t="shared" si="37"/>
        <v>0</v>
      </c>
      <c r="G105" s="235" t="str">
        <f t="shared" ca="1" si="38"/>
        <v/>
      </c>
      <c r="H105" s="236" t="str">
        <f ca="1">IF(ISNUMBER(A105),IF(OR($S105=$U105,NOT(ISNA(MATCH($D105*5+$V$4,Override!$C$6:$C$125,0)))),$Q105,0),"")</f>
        <v/>
      </c>
      <c r="I105" s="252" t="str">
        <f t="shared" ca="1" si="39"/>
        <v/>
      </c>
      <c r="J105" s="254">
        <f ca="1">COUNT(A102:A106)</f>
        <v>0</v>
      </c>
      <c r="K105" s="238" t="str">
        <f ca="1">IF(ISNUMBER(A105),RANK(F105,F102:F106),"")</f>
        <v/>
      </c>
      <c r="L105" s="239">
        <f ca="1">IF(J105=5,VLOOKUP(K105,TPMatrix!$A$6:$B$10,2,0),IF(J105=4,VLOOKUP(K105,TPMatrix!$D$6:$E$9,2,0),0))</f>
        <v>0</v>
      </c>
      <c r="M105" s="239">
        <f ca="1">IF(COUNTIF(K102:K106,K105)&gt;=2,IF(J105=5,VLOOKUP(K105+1,TPMatrix!$A$6:$B$10,2,0),IF(J105=4,VLOOKUP(K105+1,TPMatrix!$D$6:$E$9,2,0),0)),"")</f>
        <v>0</v>
      </c>
      <c r="N105" s="239">
        <f ca="1">IF(COUNTIF(K102:K106,K105)&gt;=3,IF(J105=5,VLOOKUP(K105+2,TPMatrix!$A$6:$B$10,2,0),IF(J105=4,VLOOKUP(K105+2,TPMatrix!$D$6:$E$9,2,0),0)),"")</f>
        <v>0</v>
      </c>
      <c r="O105" s="239">
        <f ca="1">IF(COUNTIF(K102:K106,K105)&gt;=4,IF(J105=5,VLOOKUP(K105+3,TPMatrix!$A$6:$B$10,2,0),IF(J105=4,VLOOKUP(K105+3,TPMatrix!$D$6:$E$9,2,0),0)),"")</f>
        <v>0</v>
      </c>
      <c r="P105" s="239">
        <f ca="1">IF(COUNTIF(K102:K106,K105)&gt;=5,IF(J105=5,VLOOKUP(K105+4,TPMatrix!$A$6:$B$10,2,0),IF(J105=4,VLOOKUP(K105+4,TPMatrix!$D$6:$E$9,2,0),0)),"")</f>
        <v>0</v>
      </c>
      <c r="Q105" s="239">
        <f t="shared" ca="1" si="40"/>
        <v>0</v>
      </c>
      <c r="R105" s="240">
        <f t="shared" ca="1" si="41"/>
        <v>5</v>
      </c>
      <c r="S105" s="238">
        <f t="shared" ca="1" si="42"/>
        <v>0</v>
      </c>
      <c r="T105" s="239">
        <f t="shared" si="43"/>
        <v>0</v>
      </c>
      <c r="U105" s="240">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2.95" customHeight="1" x14ac:dyDescent="0.2">
      <c r="A106" s="255" t="str">
        <f ca="1">IF(ISBLANK('Tournament Info'!$B$11),"",INDIRECT(ADDRESS(ROW(),1,1,1,"Optimal Seating "&amp;'Tournament Info'!$B$11-1&amp;"R+F")))</f>
        <v/>
      </c>
      <c r="B106" s="256" t="str">
        <f ca="1">IF(ISNUMBER(A106),VLOOKUP(A106,Methuselahs!$A$7:$E$206,2,0),"")</f>
        <v/>
      </c>
      <c r="C106" s="257" t="str">
        <f ca="1">IF(ISNUMBER(A106),VLOOKUP(A106,Methuselahs!$A$7:$E$206,3,0),"")</f>
        <v/>
      </c>
      <c r="D106" s="258" t="str">
        <f t="shared" ca="1" si="36"/>
        <v/>
      </c>
      <c r="E106" s="259"/>
      <c r="F106" s="257">
        <f t="shared" si="37"/>
        <v>0</v>
      </c>
      <c r="G106" s="244" t="str">
        <f t="shared" ca="1" si="38"/>
        <v/>
      </c>
      <c r="H106" s="245" t="str">
        <f ca="1">IF(ISNUMBER(A106),IF(OR($S106=$U106,NOT(ISNA(MATCH($D106*5+$V$4,Override!$C$6:$C$125,0)))),$Q106,0),"")</f>
        <v/>
      </c>
      <c r="I106" s="258" t="str">
        <f t="shared" ca="1" si="39"/>
        <v/>
      </c>
      <c r="J106" s="260">
        <f ca="1">COUNT(A102:A106)</f>
        <v>0</v>
      </c>
      <c r="K106" s="261" t="str">
        <f ca="1">IF(ISNUMBER(A106),RANK(F106,F102:F106),"")</f>
        <v/>
      </c>
      <c r="L106" s="262">
        <f ca="1">IF(J106=5,VLOOKUP(K106,TPMatrix!$A$6:$B$10,2,0),IF(J106=4,VLOOKUP(K106,TPMatrix!$D$6:$E$9,2,0),0))</f>
        <v>0</v>
      </c>
      <c r="M106" s="262">
        <f ca="1">IF(COUNTIF(K102:K106,K106)&gt;=2,IF(J106=5,VLOOKUP(K106+1,TPMatrix!$A$6:$B$10,2,0),IF(J106=4,VLOOKUP(K106+1,TPMatrix!$D$6:$E$9,2,0),0)),"")</f>
        <v>0</v>
      </c>
      <c r="N106" s="262">
        <f ca="1">IF(COUNTIF(K102:K106,K106)&gt;=3,IF(J106=5,VLOOKUP(K106+2,TPMatrix!$A$6:$B$10,2,0),IF(J106=4,VLOOKUP(K106+2,TPMatrix!$D$6:$E$9,2,0),0)),"")</f>
        <v>0</v>
      </c>
      <c r="O106" s="262">
        <f ca="1">IF(COUNTIF(K102:K106,K106)&gt;=4,IF(J106=5,VLOOKUP(K106+3,TPMatrix!$A$6:$B$10,2,0),IF(J106=4,VLOOKUP(K106+3,TPMatrix!$D$6:$E$9,2,0),0)),"")</f>
        <v>0</v>
      </c>
      <c r="P106" s="262">
        <f ca="1">IF(COUNTIF(K102:K106,K106)&gt;=5,IF(J106=5,VLOOKUP(K106+4,TPMatrix!$A$6:$B$10,2,0),IF(J106=4,VLOOKUP(K106+4,TPMatrix!$D$6:$E$9,2,0),0)),"")</f>
        <v>0</v>
      </c>
      <c r="Q106" s="262">
        <f t="shared" ca="1" si="40"/>
        <v>0</v>
      </c>
      <c r="R106" s="263">
        <f t="shared" ca="1" si="41"/>
        <v>5</v>
      </c>
      <c r="S106" s="261">
        <f t="shared" ca="1" si="42"/>
        <v>0</v>
      </c>
      <c r="T106" s="262">
        <f t="shared" si="43"/>
        <v>0</v>
      </c>
      <c r="U106" s="263">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2.95" customHeight="1" x14ac:dyDescent="0.2">
      <c r="A107" s="219" t="str">
        <f ca="1">IF(ISBLANK('Tournament Info'!$B$11),"",INDIRECT(ADDRESS(ROW(),1,1,1,"Optimal Seating "&amp;'Tournament Info'!$B$11-1&amp;"R+F")))</f>
        <v/>
      </c>
      <c r="B107" s="143" t="str">
        <f ca="1">IF(ISNUMBER(A107),VLOOKUP(A107,Methuselahs!$A$7:$E$206,2,0),"")</f>
        <v/>
      </c>
      <c r="C107" s="220" t="str">
        <f ca="1">IF(ISNUMBER(A107),VLOOKUP(A107,Methuselahs!$A$7:$E$206,3,0),"")</f>
        <v/>
      </c>
      <c r="D107" s="221" t="str">
        <f t="shared" ca="1" si="36"/>
        <v/>
      </c>
      <c r="E107" s="222"/>
      <c r="F107" s="220">
        <f t="shared" si="37"/>
        <v>0</v>
      </c>
      <c r="G107" s="223" t="str">
        <f t="shared" ca="1" si="38"/>
        <v/>
      </c>
      <c r="H107" s="224" t="str">
        <f ca="1">IF(ISNUMBER(A107),IF(OR($S107=$U107,NOT(ISNA(MATCH($D107*5+$V$4,Override!$C$6:$C$125,0)))),$Q107,0),"")</f>
        <v/>
      </c>
      <c r="I107" s="221" t="str">
        <f t="shared" ca="1" si="39"/>
        <v/>
      </c>
      <c r="J107" s="225">
        <f ca="1">COUNT(A107:A111)</f>
        <v>0</v>
      </c>
      <c r="K107" s="226" t="str">
        <f ca="1">IF(ISNUMBER(A107),RANK(F107,F107:F111),"")</f>
        <v/>
      </c>
      <c r="L107" s="227">
        <f ca="1">IF(J107=5,VLOOKUP(K107,TPMatrix!$A$6:$B$10,2,0),IF(J107=4,VLOOKUP(K107,TPMatrix!$D$6:$E$9,2,0),0))</f>
        <v>0</v>
      </c>
      <c r="M107" s="227">
        <f ca="1">IF(COUNTIF(K107:K111,K107)&gt;=2,IF(J107=5,VLOOKUP(K107+1,TPMatrix!$A$6:$B$10,2,0),IF(J107=4,VLOOKUP(K107+1,TPMatrix!$D$6:$E$9,2,0),0)),"")</f>
        <v>0</v>
      </c>
      <c r="N107" s="227">
        <f ca="1">IF(COUNTIF(K107:K111,K107)&gt;=3,IF(J107=5,VLOOKUP(K107+2,TPMatrix!$A$6:$B$10,2,0),IF(J107=4,VLOOKUP(K107+2,TPMatrix!$D$6:$E$9,2,0),0)),"")</f>
        <v>0</v>
      </c>
      <c r="O107" s="227">
        <f ca="1">IF(COUNTIF(K107:K111,K107)&gt;=4,IF(J107=5,VLOOKUP(K107+3,TPMatrix!$A$6:$B$10,2,0),IF(J107=4,VLOOKUP(K107+3,TPMatrix!$D$6:$E$9,2,0),0)),"")</f>
        <v>0</v>
      </c>
      <c r="P107" s="227">
        <f ca="1">IF(COUNTIF(K107:K111,K107)&gt;=5,IF(J107=5,VLOOKUP(K107+4,TPMatrix!$A$6:$B$10,2,0),IF(J107=4,VLOOKUP(K107+4,TPMatrix!$D$6:$E$9,2,0),0)),"")</f>
        <v>0</v>
      </c>
      <c r="Q107" s="227">
        <f t="shared" ca="1" si="40"/>
        <v>0</v>
      </c>
      <c r="R107" s="228">
        <f t="shared" ca="1" si="41"/>
        <v>5</v>
      </c>
      <c r="S107" s="229">
        <f t="shared" ca="1" si="42"/>
        <v>0</v>
      </c>
      <c r="T107" s="230">
        <f t="shared" si="43"/>
        <v>0</v>
      </c>
      <c r="U107" s="231">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2.95" customHeight="1" x14ac:dyDescent="0.2">
      <c r="A108" s="111" t="str">
        <f ca="1">IF(ISBLANK('Tournament Info'!$B$11),"",INDIRECT(ADDRESS(ROW(),1,1,1,"Optimal Seating "&amp;'Tournament Info'!$B$11-1&amp;"R+F")))</f>
        <v/>
      </c>
      <c r="B108" s="117" t="str">
        <f ca="1">IF(ISNUMBER(A108),VLOOKUP(A108,Methuselahs!$A$7:$E$206,2,0),"")</f>
        <v/>
      </c>
      <c r="C108" s="232" t="str">
        <f ca="1">IF(ISNUMBER(A108),VLOOKUP(A108,Methuselahs!$A$7:$E$206,3,0),"")</f>
        <v/>
      </c>
      <c r="D108" s="233" t="str">
        <f t="shared" ca="1" si="36"/>
        <v/>
      </c>
      <c r="E108" s="234"/>
      <c r="F108" s="232">
        <f t="shared" si="37"/>
        <v>0</v>
      </c>
      <c r="G108" s="235" t="str">
        <f t="shared" ca="1" si="38"/>
        <v/>
      </c>
      <c r="H108" s="236" t="str">
        <f ca="1">IF(ISNUMBER(A108),IF(OR($S108=$U108,NOT(ISNA(MATCH($D108*5+$V$4,Override!$C$6:$C$125,0)))),$Q108,0),"")</f>
        <v/>
      </c>
      <c r="I108" s="233" t="str">
        <f t="shared" ca="1" si="39"/>
        <v/>
      </c>
      <c r="J108" s="237">
        <f ca="1">COUNT(A107:A111)</f>
        <v>0</v>
      </c>
      <c r="K108" s="238" t="str">
        <f ca="1">IF(ISNUMBER(A108),RANK(F108,F107:F111),"")</f>
        <v/>
      </c>
      <c r="L108" s="239">
        <f ca="1">IF(J108=5,VLOOKUP(K108,TPMatrix!$A$6:$B$10,2,0),IF(J108=4,VLOOKUP(K108,TPMatrix!$D$6:$E$9,2,0),0))</f>
        <v>0</v>
      </c>
      <c r="M108" s="239">
        <f ca="1">IF(COUNTIF(K107:K111,K108)&gt;=2,IF(J108=5,VLOOKUP(K108+1,TPMatrix!$A$6:$B$10,2,0),IF(J108=4,VLOOKUP(K108+1,TPMatrix!$D$6:$E$9,2,0),0)),"")</f>
        <v>0</v>
      </c>
      <c r="N108" s="239">
        <f ca="1">IF(COUNTIF(K107:K111,K108)&gt;=3,IF(J108=5,VLOOKUP(K108+2,TPMatrix!$A$6:$B$10,2,0),IF(J108=4,VLOOKUP(K108+2,TPMatrix!$D$6:$E$9,2,0),0)),"")</f>
        <v>0</v>
      </c>
      <c r="O108" s="239">
        <f ca="1">IF(COUNTIF(K107:K111,K108)&gt;=4,IF(J108=5,VLOOKUP(K108+3,TPMatrix!$A$6:$B$10,2,0),IF(J108=4,VLOOKUP(K108+3,TPMatrix!$D$6:$E$9,2,0),0)),"")</f>
        <v>0</v>
      </c>
      <c r="P108" s="239">
        <f ca="1">IF(COUNTIF(K107:K111,K108)&gt;=5,IF(J108=5,VLOOKUP(K108+4,TPMatrix!$A$6:$B$10,2,0),IF(J108=4,VLOOKUP(K108+4,TPMatrix!$D$6:$E$9,2,0),0)),"")</f>
        <v>0</v>
      </c>
      <c r="Q108" s="239">
        <f t="shared" ca="1" si="40"/>
        <v>0</v>
      </c>
      <c r="R108" s="240">
        <f t="shared" ca="1" si="41"/>
        <v>5</v>
      </c>
      <c r="S108" s="238">
        <f t="shared" ca="1" si="42"/>
        <v>0</v>
      </c>
      <c r="T108" s="239">
        <f t="shared" si="43"/>
        <v>0</v>
      </c>
      <c r="U108" s="240">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2.95" customHeight="1" x14ac:dyDescent="0.2">
      <c r="A109" s="137" t="str">
        <f ca="1">IF(ISBLANK('Tournament Info'!$B$11),"",INDIRECT(ADDRESS(ROW(),1,1,1,"Optimal Seating "&amp;'Tournament Info'!$B$11-1&amp;"R+F")))</f>
        <v/>
      </c>
      <c r="B109" s="143" t="str">
        <f ca="1">IF(ISNUMBER(A109),VLOOKUP(A109,Methuselahs!$A$7:$E$206,2,0),"")</f>
        <v/>
      </c>
      <c r="C109" s="241" t="str">
        <f ca="1">IF(ISNUMBER(A109),VLOOKUP(A109,Methuselahs!$A$7:$E$206,3,0),"")</f>
        <v/>
      </c>
      <c r="D109" s="242" t="str">
        <f t="shared" ca="1" si="36"/>
        <v/>
      </c>
      <c r="E109" s="243"/>
      <c r="F109" s="241">
        <f t="shared" si="37"/>
        <v>0</v>
      </c>
      <c r="G109" s="244" t="str">
        <f t="shared" ca="1" si="38"/>
        <v/>
      </c>
      <c r="H109" s="245" t="str">
        <f ca="1">IF(ISNUMBER(A109),IF(OR($S109=$U109,NOT(ISNA(MATCH($D109*5+$V$4,Override!$C$6:$C$125,0)))),$Q109,0),"")</f>
        <v/>
      </c>
      <c r="I109" s="242" t="str">
        <f t="shared" ca="1" si="39"/>
        <v/>
      </c>
      <c r="J109" s="246">
        <f ca="1">COUNT(A107:A111)</f>
        <v>0</v>
      </c>
      <c r="K109" s="247" t="str">
        <f ca="1">IF(ISNUMBER(A109),RANK(F109,F107:F111),"")</f>
        <v/>
      </c>
      <c r="L109" s="142">
        <f ca="1">IF(J109=5,VLOOKUP(K109,TPMatrix!$A$6:$B$10,2,0),IF(J109=4,VLOOKUP(K109,TPMatrix!$D$6:$E$9,2,0),0))</f>
        <v>0</v>
      </c>
      <c r="M109" s="142">
        <f ca="1">IF(COUNTIF(K107:K111,K109)&gt;=2,IF(J109=5,VLOOKUP(K109+1,TPMatrix!$A$6:$B$10,2,0),IF(J109=4,VLOOKUP(K109+1,TPMatrix!$D$6:$E$9,2,0),0)),"")</f>
        <v>0</v>
      </c>
      <c r="N109" s="142">
        <f ca="1">IF(COUNTIF(K107:K111,K109)&gt;=3,IF(J109=5,VLOOKUP(K109+2,TPMatrix!$A$6:$B$10,2,0),IF(J109=4,VLOOKUP(K109+2,TPMatrix!$D$6:$E$9,2,0),0)),"")</f>
        <v>0</v>
      </c>
      <c r="O109" s="142">
        <f ca="1">IF(COUNTIF(K107:K111,K109)&gt;=4,IF(J109=5,VLOOKUP(K109+3,TPMatrix!$A$6:$B$10,2,0),IF(J109=4,VLOOKUP(K109+3,TPMatrix!$D$6:$E$9,2,0),0)),"")</f>
        <v>0</v>
      </c>
      <c r="P109" s="142">
        <f ca="1">IF(COUNTIF(K107:K111,K109)&gt;=5,IF(J109=5,VLOOKUP(K109+4,TPMatrix!$A$6:$B$10,2,0),IF(J109=4,VLOOKUP(K109+4,TPMatrix!$D$6:$E$9,2,0),0)),"")</f>
        <v>0</v>
      </c>
      <c r="Q109" s="142">
        <f t="shared" ca="1" si="40"/>
        <v>0</v>
      </c>
      <c r="R109" s="248">
        <f t="shared" ca="1" si="41"/>
        <v>5</v>
      </c>
      <c r="S109" s="247">
        <f t="shared" ca="1" si="42"/>
        <v>0</v>
      </c>
      <c r="T109" s="142">
        <f t="shared" si="43"/>
        <v>0</v>
      </c>
      <c r="U109" s="248">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2.95" customHeight="1" x14ac:dyDescent="0.2">
      <c r="A110" s="249" t="str">
        <f ca="1">IF(ISBLANK('Tournament Info'!$B$11),"",INDIRECT(ADDRESS(ROW(),1,1,1,"Optimal Seating "&amp;'Tournament Info'!$B$11-1&amp;"R+F")))</f>
        <v/>
      </c>
      <c r="B110" s="250" t="str">
        <f ca="1">IF(ISNUMBER(A110),VLOOKUP(A110,Methuselahs!$A$7:$E$206,2,0),"")</f>
        <v/>
      </c>
      <c r="C110" s="251" t="str">
        <f ca="1">IF(ISNUMBER(A110),VLOOKUP(A110,Methuselahs!$A$7:$E$206,3,0),"")</f>
        <v/>
      </c>
      <c r="D110" s="252" t="str">
        <f t="shared" ca="1" si="36"/>
        <v/>
      </c>
      <c r="E110" s="253"/>
      <c r="F110" s="251">
        <f t="shared" si="37"/>
        <v>0</v>
      </c>
      <c r="G110" s="235" t="str">
        <f t="shared" ca="1" si="38"/>
        <v/>
      </c>
      <c r="H110" s="236" t="str">
        <f ca="1">IF(ISNUMBER(A110),IF(OR($S110=$U110,NOT(ISNA(MATCH($D110*5+$V$4,Override!$C$6:$C$125,0)))),$Q110,0),"")</f>
        <v/>
      </c>
      <c r="I110" s="252" t="str">
        <f t="shared" ca="1" si="39"/>
        <v/>
      </c>
      <c r="J110" s="254">
        <f ca="1">COUNT(A107:A111)</f>
        <v>0</v>
      </c>
      <c r="K110" s="238" t="str">
        <f ca="1">IF(ISNUMBER(A110),RANK(F110,F107:F111),"")</f>
        <v/>
      </c>
      <c r="L110" s="239">
        <f ca="1">IF(J110=5,VLOOKUP(K110,TPMatrix!$A$6:$B$10,2,0),IF(J110=4,VLOOKUP(K110,TPMatrix!$D$6:$E$9,2,0),0))</f>
        <v>0</v>
      </c>
      <c r="M110" s="239">
        <f ca="1">IF(COUNTIF(K107:K111,K110)&gt;=2,IF(J110=5,VLOOKUP(K110+1,TPMatrix!$A$6:$B$10,2,0),IF(J110=4,VLOOKUP(K110+1,TPMatrix!$D$6:$E$9,2,0),0)),"")</f>
        <v>0</v>
      </c>
      <c r="N110" s="239">
        <f ca="1">IF(COUNTIF(K107:K111,K110)&gt;=3,IF(J110=5,VLOOKUP(K110+2,TPMatrix!$A$6:$B$10,2,0),IF(J110=4,VLOOKUP(K110+2,TPMatrix!$D$6:$E$9,2,0),0)),"")</f>
        <v>0</v>
      </c>
      <c r="O110" s="239">
        <f ca="1">IF(COUNTIF(K107:K111,K110)&gt;=4,IF(J110=5,VLOOKUP(K110+3,TPMatrix!$A$6:$B$10,2,0),IF(J110=4,VLOOKUP(K110+3,TPMatrix!$D$6:$E$9,2,0),0)),"")</f>
        <v>0</v>
      </c>
      <c r="P110" s="239">
        <f ca="1">IF(COUNTIF(K107:K111,K110)&gt;=5,IF(J110=5,VLOOKUP(K110+4,TPMatrix!$A$6:$B$10,2,0),IF(J110=4,VLOOKUP(K110+4,TPMatrix!$D$6:$E$9,2,0),0)),"")</f>
        <v>0</v>
      </c>
      <c r="Q110" s="239">
        <f t="shared" ca="1" si="40"/>
        <v>0</v>
      </c>
      <c r="R110" s="240">
        <f t="shared" ca="1" si="41"/>
        <v>5</v>
      </c>
      <c r="S110" s="238">
        <f t="shared" ca="1" si="42"/>
        <v>0</v>
      </c>
      <c r="T110" s="239">
        <f t="shared" si="43"/>
        <v>0</v>
      </c>
      <c r="U110" s="240">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2.95" customHeight="1" x14ac:dyDescent="0.2">
      <c r="A111" s="255" t="str">
        <f ca="1">IF(ISBLANK('Tournament Info'!$B$11),"",INDIRECT(ADDRESS(ROW(),1,1,1,"Optimal Seating "&amp;'Tournament Info'!$B$11-1&amp;"R+F")))</f>
        <v/>
      </c>
      <c r="B111" s="256" t="str">
        <f ca="1">IF(ISNUMBER(A111),VLOOKUP(A111,Methuselahs!$A$7:$E$206,2,0),"")</f>
        <v/>
      </c>
      <c r="C111" s="257" t="str">
        <f ca="1">IF(ISNUMBER(A111),VLOOKUP(A111,Methuselahs!$A$7:$E$206,3,0),"")</f>
        <v/>
      </c>
      <c r="D111" s="258" t="str">
        <f t="shared" ca="1" si="36"/>
        <v/>
      </c>
      <c r="E111" s="259"/>
      <c r="F111" s="257">
        <f t="shared" si="37"/>
        <v>0</v>
      </c>
      <c r="G111" s="244" t="str">
        <f t="shared" ca="1" si="38"/>
        <v/>
      </c>
      <c r="H111" s="245" t="str">
        <f ca="1">IF(ISNUMBER(A111),IF(OR($S111=$U111,NOT(ISNA(MATCH($D111*5+$V$4,Override!$C$6:$C$125,0)))),$Q111,0),"")</f>
        <v/>
      </c>
      <c r="I111" s="258" t="str">
        <f t="shared" ca="1" si="39"/>
        <v/>
      </c>
      <c r="J111" s="260">
        <f ca="1">COUNT(A107:A111)</f>
        <v>0</v>
      </c>
      <c r="K111" s="261" t="str">
        <f ca="1">IF(ISNUMBER(A111),RANK(F111,F107:F111),"")</f>
        <v/>
      </c>
      <c r="L111" s="262">
        <f ca="1">IF(J111=5,VLOOKUP(K111,TPMatrix!$A$6:$B$10,2,0),IF(J111=4,VLOOKUP(K111,TPMatrix!$D$6:$E$9,2,0),0))</f>
        <v>0</v>
      </c>
      <c r="M111" s="262">
        <f ca="1">IF(COUNTIF(K107:K111,K111)&gt;=2,IF(J111=5,VLOOKUP(K111+1,TPMatrix!$A$6:$B$10,2,0),IF(J111=4,VLOOKUP(K111+1,TPMatrix!$D$6:$E$9,2,0),0)),"")</f>
        <v>0</v>
      </c>
      <c r="N111" s="262">
        <f ca="1">IF(COUNTIF(K107:K111,K111)&gt;=3,IF(J111=5,VLOOKUP(K111+2,TPMatrix!$A$6:$B$10,2,0),IF(J111=4,VLOOKUP(K111+2,TPMatrix!$D$6:$E$9,2,0),0)),"")</f>
        <v>0</v>
      </c>
      <c r="O111" s="262">
        <f ca="1">IF(COUNTIF(K107:K111,K111)&gt;=4,IF(J111=5,VLOOKUP(K111+3,TPMatrix!$A$6:$B$10,2,0),IF(J111=4,VLOOKUP(K111+3,TPMatrix!$D$6:$E$9,2,0),0)),"")</f>
        <v>0</v>
      </c>
      <c r="P111" s="262">
        <f ca="1">IF(COUNTIF(K107:K111,K111)&gt;=5,IF(J111=5,VLOOKUP(K111+4,TPMatrix!$A$6:$B$10,2,0),IF(J111=4,VLOOKUP(K111+4,TPMatrix!$D$6:$E$9,2,0),0)),"")</f>
        <v>0</v>
      </c>
      <c r="Q111" s="262">
        <f t="shared" ca="1" si="40"/>
        <v>0</v>
      </c>
      <c r="R111" s="263">
        <f t="shared" ca="1" si="41"/>
        <v>5</v>
      </c>
      <c r="S111" s="261">
        <f t="shared" ca="1" si="42"/>
        <v>0</v>
      </c>
      <c r="T111" s="262">
        <f t="shared" si="43"/>
        <v>0</v>
      </c>
      <c r="U111" s="263">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2.95" customHeight="1" x14ac:dyDescent="0.2">
      <c r="A112" s="219" t="str">
        <f ca="1">IF(ISBLANK('Tournament Info'!$B$11),"",INDIRECT(ADDRESS(ROW(),1,1,1,"Optimal Seating "&amp;'Tournament Info'!$B$11-1&amp;"R+F")))</f>
        <v/>
      </c>
      <c r="B112" s="143" t="str">
        <f ca="1">IF(ISNUMBER(A112),VLOOKUP(A112,Methuselahs!$A$7:$E$206,2,0),"")</f>
        <v/>
      </c>
      <c r="C112" s="220" t="str">
        <f ca="1">IF(ISNUMBER(A112),VLOOKUP(A112,Methuselahs!$A$7:$E$206,3,0),"")</f>
        <v/>
      </c>
      <c r="D112" s="221" t="str">
        <f t="shared" ca="1" si="36"/>
        <v/>
      </c>
      <c r="E112" s="222"/>
      <c r="F112" s="220">
        <f t="shared" si="37"/>
        <v>0</v>
      </c>
      <c r="G112" s="223" t="str">
        <f t="shared" ca="1" si="38"/>
        <v/>
      </c>
      <c r="H112" s="224" t="str">
        <f ca="1">IF(ISNUMBER(A112),IF(OR($S112=$U112,NOT(ISNA(MATCH($D112*5+$V$4,Override!$C$6:$C$125,0)))),$Q112,0),"")</f>
        <v/>
      </c>
      <c r="I112" s="221" t="str">
        <f t="shared" ca="1" si="39"/>
        <v/>
      </c>
      <c r="J112" s="225">
        <f ca="1">COUNT(A112:A116)</f>
        <v>0</v>
      </c>
      <c r="K112" s="226" t="str">
        <f ca="1">IF(ISNUMBER(A112),RANK(F112,F112:F116),"")</f>
        <v/>
      </c>
      <c r="L112" s="227">
        <f ca="1">IF(J112=5,VLOOKUP(K112,TPMatrix!$A$6:$B$10,2,0),IF(J112=4,VLOOKUP(K112,TPMatrix!$D$6:$E$9,2,0),0))</f>
        <v>0</v>
      </c>
      <c r="M112" s="227">
        <f ca="1">IF(COUNTIF(K112:K116,K112)&gt;=2,IF(J112=5,VLOOKUP(K112+1,TPMatrix!$A$6:$B$10,2,0),IF(J112=4,VLOOKUP(K112+1,TPMatrix!$D$6:$E$9,2,0),0)),"")</f>
        <v>0</v>
      </c>
      <c r="N112" s="227">
        <f ca="1">IF(COUNTIF(K112:K116,K112)&gt;=3,IF(J112=5,VLOOKUP(K112+2,TPMatrix!$A$6:$B$10,2,0),IF(J112=4,VLOOKUP(K112+2,TPMatrix!$D$6:$E$9,2,0),0)),"")</f>
        <v>0</v>
      </c>
      <c r="O112" s="227">
        <f ca="1">IF(COUNTIF(K112:K116,K112)&gt;=4,IF(J112=5,VLOOKUP(K112+3,TPMatrix!$A$6:$B$10,2,0),IF(J112=4,VLOOKUP(K112+3,TPMatrix!$D$6:$E$9,2,0),0)),"")</f>
        <v>0</v>
      </c>
      <c r="P112" s="227">
        <f ca="1">IF(COUNTIF(K112:K116,K112)&gt;=5,IF(J112=5,VLOOKUP(K112+4,TPMatrix!$A$6:$B$10,2,0),IF(J112=4,VLOOKUP(K112+4,TPMatrix!$D$6:$E$9,2,0),0)),"")</f>
        <v>0</v>
      </c>
      <c r="Q112" s="227">
        <f t="shared" ca="1" si="40"/>
        <v>0</v>
      </c>
      <c r="R112" s="228">
        <f t="shared" ca="1" si="41"/>
        <v>5</v>
      </c>
      <c r="S112" s="229">
        <f t="shared" ca="1" si="42"/>
        <v>0</v>
      </c>
      <c r="T112" s="230">
        <f t="shared" si="43"/>
        <v>0</v>
      </c>
      <c r="U112" s="231">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2.95" customHeight="1" x14ac:dyDescent="0.2">
      <c r="A113" s="111" t="str">
        <f ca="1">IF(ISBLANK('Tournament Info'!$B$11),"",INDIRECT(ADDRESS(ROW(),1,1,1,"Optimal Seating "&amp;'Tournament Info'!$B$11-1&amp;"R+F")))</f>
        <v/>
      </c>
      <c r="B113" s="117" t="str">
        <f ca="1">IF(ISNUMBER(A113),VLOOKUP(A113,Methuselahs!$A$7:$E$206,2,0),"")</f>
        <v/>
      </c>
      <c r="C113" s="232" t="str">
        <f ca="1">IF(ISNUMBER(A113),VLOOKUP(A113,Methuselahs!$A$7:$E$206,3,0),"")</f>
        <v/>
      </c>
      <c r="D113" s="233" t="str">
        <f t="shared" ca="1" si="36"/>
        <v/>
      </c>
      <c r="E113" s="234"/>
      <c r="F113" s="232">
        <f t="shared" si="37"/>
        <v>0</v>
      </c>
      <c r="G113" s="235" t="str">
        <f t="shared" ca="1" si="38"/>
        <v/>
      </c>
      <c r="H113" s="236" t="str">
        <f ca="1">IF(ISNUMBER(A113),IF(OR($S113=$U113,NOT(ISNA(MATCH($D113*5+$V$4,Override!$C$6:$C$125,0)))),$Q113,0),"")</f>
        <v/>
      </c>
      <c r="I113" s="233" t="str">
        <f t="shared" ca="1" si="39"/>
        <v/>
      </c>
      <c r="J113" s="237">
        <f ca="1">COUNT(A112:A116)</f>
        <v>0</v>
      </c>
      <c r="K113" s="238" t="str">
        <f ca="1">IF(ISNUMBER(A113),RANK(F113,F112:F116),"")</f>
        <v/>
      </c>
      <c r="L113" s="239">
        <f ca="1">IF(J113=5,VLOOKUP(K113,TPMatrix!$A$6:$B$10,2,0),IF(J113=4,VLOOKUP(K113,TPMatrix!$D$6:$E$9,2,0),0))</f>
        <v>0</v>
      </c>
      <c r="M113" s="239">
        <f ca="1">IF(COUNTIF(K112:K116,K113)&gt;=2,IF(J113=5,VLOOKUP(K113+1,TPMatrix!$A$6:$B$10,2,0),IF(J113=4,VLOOKUP(K113+1,TPMatrix!$D$6:$E$9,2,0),0)),"")</f>
        <v>0</v>
      </c>
      <c r="N113" s="239">
        <f ca="1">IF(COUNTIF(K112:K116,K113)&gt;=3,IF(J113=5,VLOOKUP(K113+2,TPMatrix!$A$6:$B$10,2,0),IF(J113=4,VLOOKUP(K113+2,TPMatrix!$D$6:$E$9,2,0),0)),"")</f>
        <v>0</v>
      </c>
      <c r="O113" s="239">
        <f ca="1">IF(COUNTIF(K112:K116,K113)&gt;=4,IF(J113=5,VLOOKUP(K113+3,TPMatrix!$A$6:$B$10,2,0),IF(J113=4,VLOOKUP(K113+3,TPMatrix!$D$6:$E$9,2,0),0)),"")</f>
        <v>0</v>
      </c>
      <c r="P113" s="239">
        <f ca="1">IF(COUNTIF(K112:K116,K113)&gt;=5,IF(J113=5,VLOOKUP(K113+4,TPMatrix!$A$6:$B$10,2,0),IF(J113=4,VLOOKUP(K113+4,TPMatrix!$D$6:$E$9,2,0),0)),"")</f>
        <v>0</v>
      </c>
      <c r="Q113" s="239">
        <f t="shared" ca="1" si="40"/>
        <v>0</v>
      </c>
      <c r="R113" s="240">
        <f t="shared" ca="1" si="41"/>
        <v>5</v>
      </c>
      <c r="S113" s="238">
        <f t="shared" ca="1" si="42"/>
        <v>0</v>
      </c>
      <c r="T113" s="239">
        <f t="shared" si="43"/>
        <v>0</v>
      </c>
      <c r="U113" s="240">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2.95" customHeight="1" x14ac:dyDescent="0.2">
      <c r="A114" s="137" t="str">
        <f ca="1">IF(ISBLANK('Tournament Info'!$B$11),"",INDIRECT(ADDRESS(ROW(),1,1,1,"Optimal Seating "&amp;'Tournament Info'!$B$11-1&amp;"R+F")))</f>
        <v/>
      </c>
      <c r="B114" s="143" t="str">
        <f ca="1">IF(ISNUMBER(A114),VLOOKUP(A114,Methuselahs!$A$7:$E$206,2,0),"")</f>
        <v/>
      </c>
      <c r="C114" s="241" t="str">
        <f ca="1">IF(ISNUMBER(A114),VLOOKUP(A114,Methuselahs!$A$7:$E$206,3,0),"")</f>
        <v/>
      </c>
      <c r="D114" s="242" t="str">
        <f t="shared" ca="1" si="36"/>
        <v/>
      </c>
      <c r="E114" s="243"/>
      <c r="F114" s="241">
        <f t="shared" si="37"/>
        <v>0</v>
      </c>
      <c r="G114" s="244" t="str">
        <f t="shared" ca="1" si="38"/>
        <v/>
      </c>
      <c r="H114" s="245" t="str">
        <f ca="1">IF(ISNUMBER(A114),IF(OR($S114=$U114,NOT(ISNA(MATCH($D114*5+$V$4,Override!$C$6:$C$125,0)))),$Q114,0),"")</f>
        <v/>
      </c>
      <c r="I114" s="242" t="str">
        <f t="shared" ca="1" si="39"/>
        <v/>
      </c>
      <c r="J114" s="246">
        <f ca="1">COUNT(A112:A116)</f>
        <v>0</v>
      </c>
      <c r="K114" s="247" t="str">
        <f ca="1">IF(ISNUMBER(A114),RANK(F114,F112:F116),"")</f>
        <v/>
      </c>
      <c r="L114" s="142">
        <f ca="1">IF(J114=5,VLOOKUP(K114,TPMatrix!$A$6:$B$10,2,0),IF(J114=4,VLOOKUP(K114,TPMatrix!$D$6:$E$9,2,0),0))</f>
        <v>0</v>
      </c>
      <c r="M114" s="142">
        <f ca="1">IF(COUNTIF(K112:K116,K114)&gt;=2,IF(J114=5,VLOOKUP(K114+1,TPMatrix!$A$6:$B$10,2,0),IF(J114=4,VLOOKUP(K114+1,TPMatrix!$D$6:$E$9,2,0),0)),"")</f>
        <v>0</v>
      </c>
      <c r="N114" s="142">
        <f ca="1">IF(COUNTIF(K112:K116,K114)&gt;=3,IF(J114=5,VLOOKUP(K114+2,TPMatrix!$A$6:$B$10,2,0),IF(J114=4,VLOOKUP(K114+2,TPMatrix!$D$6:$E$9,2,0),0)),"")</f>
        <v>0</v>
      </c>
      <c r="O114" s="142">
        <f ca="1">IF(COUNTIF(K112:K116,K114)&gt;=4,IF(J114=5,VLOOKUP(K114+3,TPMatrix!$A$6:$B$10,2,0),IF(J114=4,VLOOKUP(K114+3,TPMatrix!$D$6:$E$9,2,0),0)),"")</f>
        <v>0</v>
      </c>
      <c r="P114" s="142">
        <f ca="1">IF(COUNTIF(K112:K116,K114)&gt;=5,IF(J114=5,VLOOKUP(K114+4,TPMatrix!$A$6:$B$10,2,0),IF(J114=4,VLOOKUP(K114+4,TPMatrix!$D$6:$E$9,2,0),0)),"")</f>
        <v>0</v>
      </c>
      <c r="Q114" s="142">
        <f t="shared" ca="1" si="40"/>
        <v>0</v>
      </c>
      <c r="R114" s="248">
        <f t="shared" ca="1" si="41"/>
        <v>5</v>
      </c>
      <c r="S114" s="247">
        <f t="shared" ca="1" si="42"/>
        <v>0</v>
      </c>
      <c r="T114" s="142">
        <f t="shared" si="43"/>
        <v>0</v>
      </c>
      <c r="U114" s="248">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2.95" customHeight="1" x14ac:dyDescent="0.2">
      <c r="A115" s="249" t="str">
        <f ca="1">IF(ISBLANK('Tournament Info'!$B$11),"",INDIRECT(ADDRESS(ROW(),1,1,1,"Optimal Seating "&amp;'Tournament Info'!$B$11-1&amp;"R+F")))</f>
        <v/>
      </c>
      <c r="B115" s="250" t="str">
        <f ca="1">IF(ISNUMBER(A115),VLOOKUP(A115,Methuselahs!$A$7:$E$206,2,0),"")</f>
        <v/>
      </c>
      <c r="C115" s="251" t="str">
        <f ca="1">IF(ISNUMBER(A115),VLOOKUP(A115,Methuselahs!$A$7:$E$206,3,0),"")</f>
        <v/>
      </c>
      <c r="D115" s="252" t="str">
        <f t="shared" ca="1" si="36"/>
        <v/>
      </c>
      <c r="E115" s="253"/>
      <c r="F115" s="251">
        <f t="shared" si="37"/>
        <v>0</v>
      </c>
      <c r="G115" s="235" t="str">
        <f t="shared" ca="1" si="38"/>
        <v/>
      </c>
      <c r="H115" s="236" t="str">
        <f ca="1">IF(ISNUMBER(A115),IF(OR($S115=$U115,NOT(ISNA(MATCH($D115*5+$V$4,Override!$C$6:$C$125,0)))),$Q115,0),"")</f>
        <v/>
      </c>
      <c r="I115" s="252" t="str">
        <f t="shared" ca="1" si="39"/>
        <v/>
      </c>
      <c r="J115" s="254">
        <f ca="1">COUNT(A112:A116)</f>
        <v>0</v>
      </c>
      <c r="K115" s="238" t="str">
        <f ca="1">IF(ISNUMBER(A115),RANK(F115,F112:F116),"")</f>
        <v/>
      </c>
      <c r="L115" s="239">
        <f ca="1">IF(J115=5,VLOOKUP(K115,TPMatrix!$A$6:$B$10,2,0),IF(J115=4,VLOOKUP(K115,TPMatrix!$D$6:$E$9,2,0),0))</f>
        <v>0</v>
      </c>
      <c r="M115" s="239">
        <f ca="1">IF(COUNTIF(K112:K116,K115)&gt;=2,IF(J115=5,VLOOKUP(K115+1,TPMatrix!$A$6:$B$10,2,0),IF(J115=4,VLOOKUP(K115+1,TPMatrix!$D$6:$E$9,2,0),0)),"")</f>
        <v>0</v>
      </c>
      <c r="N115" s="239">
        <f ca="1">IF(COUNTIF(K112:K116,K115)&gt;=3,IF(J115=5,VLOOKUP(K115+2,TPMatrix!$A$6:$B$10,2,0),IF(J115=4,VLOOKUP(K115+2,TPMatrix!$D$6:$E$9,2,0),0)),"")</f>
        <v>0</v>
      </c>
      <c r="O115" s="239">
        <f ca="1">IF(COUNTIF(K112:K116,K115)&gt;=4,IF(J115=5,VLOOKUP(K115+3,TPMatrix!$A$6:$B$10,2,0),IF(J115=4,VLOOKUP(K115+3,TPMatrix!$D$6:$E$9,2,0),0)),"")</f>
        <v>0</v>
      </c>
      <c r="P115" s="239">
        <f ca="1">IF(COUNTIF(K112:K116,K115)&gt;=5,IF(J115=5,VLOOKUP(K115+4,TPMatrix!$A$6:$B$10,2,0),IF(J115=4,VLOOKUP(K115+4,TPMatrix!$D$6:$E$9,2,0),0)),"")</f>
        <v>0</v>
      </c>
      <c r="Q115" s="239">
        <f t="shared" ca="1" si="40"/>
        <v>0</v>
      </c>
      <c r="R115" s="240">
        <f t="shared" ca="1" si="41"/>
        <v>5</v>
      </c>
      <c r="S115" s="238">
        <f t="shared" ca="1" si="42"/>
        <v>0</v>
      </c>
      <c r="T115" s="239">
        <f t="shared" si="43"/>
        <v>0</v>
      </c>
      <c r="U115" s="240">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2.95" customHeight="1" x14ac:dyDescent="0.2">
      <c r="A116" s="255" t="str">
        <f ca="1">IF(ISBLANK('Tournament Info'!$B$11),"",INDIRECT(ADDRESS(ROW(),1,1,1,"Optimal Seating "&amp;'Tournament Info'!$B$11-1&amp;"R+F")))</f>
        <v/>
      </c>
      <c r="B116" s="256" t="str">
        <f ca="1">IF(ISNUMBER(A116),VLOOKUP(A116,Methuselahs!$A$7:$E$206,2,0),"")</f>
        <v/>
      </c>
      <c r="C116" s="257" t="str">
        <f ca="1">IF(ISNUMBER(A116),VLOOKUP(A116,Methuselahs!$A$7:$E$206,3,0),"")</f>
        <v/>
      </c>
      <c r="D116" s="258" t="str">
        <f t="shared" ca="1" si="36"/>
        <v/>
      </c>
      <c r="E116" s="259"/>
      <c r="F116" s="257">
        <f t="shared" si="37"/>
        <v>0</v>
      </c>
      <c r="G116" s="244" t="str">
        <f t="shared" ca="1" si="38"/>
        <v/>
      </c>
      <c r="H116" s="245" t="str">
        <f ca="1">IF(ISNUMBER(A116),IF(OR($S116=$U116,NOT(ISNA(MATCH($D116*5+$V$4,Override!$C$6:$C$125,0)))),$Q116,0),"")</f>
        <v/>
      </c>
      <c r="I116" s="258" t="str">
        <f t="shared" ca="1" si="39"/>
        <v/>
      </c>
      <c r="J116" s="260">
        <f ca="1">COUNT(A112:A116)</f>
        <v>0</v>
      </c>
      <c r="K116" s="261" t="str">
        <f ca="1">IF(ISNUMBER(A116),RANK(F116,F112:F116),"")</f>
        <v/>
      </c>
      <c r="L116" s="262">
        <f ca="1">IF(J116=5,VLOOKUP(K116,TPMatrix!$A$6:$B$10,2,0),IF(J116=4,VLOOKUP(K116,TPMatrix!$D$6:$E$9,2,0),0))</f>
        <v>0</v>
      </c>
      <c r="M116" s="262">
        <f ca="1">IF(COUNTIF(K112:K116,K116)&gt;=2,IF(J116=5,VLOOKUP(K116+1,TPMatrix!$A$6:$B$10,2,0),IF(J116=4,VLOOKUP(K116+1,TPMatrix!$D$6:$E$9,2,0),0)),"")</f>
        <v>0</v>
      </c>
      <c r="N116" s="262">
        <f ca="1">IF(COUNTIF(K112:K116,K116)&gt;=3,IF(J116=5,VLOOKUP(K116+2,TPMatrix!$A$6:$B$10,2,0),IF(J116=4,VLOOKUP(K116+2,TPMatrix!$D$6:$E$9,2,0),0)),"")</f>
        <v>0</v>
      </c>
      <c r="O116" s="262">
        <f ca="1">IF(COUNTIF(K112:K116,K116)&gt;=4,IF(J116=5,VLOOKUP(K116+3,TPMatrix!$A$6:$B$10,2,0),IF(J116=4,VLOOKUP(K116+3,TPMatrix!$D$6:$E$9,2,0),0)),"")</f>
        <v>0</v>
      </c>
      <c r="P116" s="262">
        <f ca="1">IF(COUNTIF(K112:K116,K116)&gt;=5,IF(J116=5,VLOOKUP(K116+4,TPMatrix!$A$6:$B$10,2,0),IF(J116=4,VLOOKUP(K116+4,TPMatrix!$D$6:$E$9,2,0),0)),"")</f>
        <v>0</v>
      </c>
      <c r="Q116" s="262">
        <f t="shared" ca="1" si="40"/>
        <v>0</v>
      </c>
      <c r="R116" s="263">
        <f t="shared" ca="1" si="41"/>
        <v>5</v>
      </c>
      <c r="S116" s="261">
        <f t="shared" ca="1" si="42"/>
        <v>0</v>
      </c>
      <c r="T116" s="262">
        <f t="shared" si="43"/>
        <v>0</v>
      </c>
      <c r="U116" s="263">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2.95" customHeight="1" x14ac:dyDescent="0.2">
      <c r="A117" s="219" t="str">
        <f ca="1">IF(ISBLANK('Tournament Info'!$B$11),"",INDIRECT(ADDRESS(ROW(),1,1,1,"Optimal Seating "&amp;'Tournament Info'!$B$11-1&amp;"R+F")))</f>
        <v/>
      </c>
      <c r="B117" s="143" t="str">
        <f ca="1">IF(ISNUMBER(A117),VLOOKUP(A117,Methuselahs!$A$7:$E$206,2,0),"")</f>
        <v/>
      </c>
      <c r="C117" s="220" t="str">
        <f ca="1">IF(ISNUMBER(A117),VLOOKUP(A117,Methuselahs!$A$7:$E$206,3,0),"")</f>
        <v/>
      </c>
      <c r="D117" s="221" t="str">
        <f t="shared" ca="1" si="36"/>
        <v/>
      </c>
      <c r="E117" s="222"/>
      <c r="F117" s="220">
        <f t="shared" si="37"/>
        <v>0</v>
      </c>
      <c r="G117" s="223" t="str">
        <f t="shared" ca="1" si="38"/>
        <v/>
      </c>
      <c r="H117" s="224" t="str">
        <f ca="1">IF(ISNUMBER(A117),IF(OR($S117=$U117,NOT(ISNA(MATCH($D117*5+$V$4,Override!$C$6:$C$125,0)))),$Q117,0),"")</f>
        <v/>
      </c>
      <c r="I117" s="221" t="str">
        <f t="shared" ca="1" si="39"/>
        <v/>
      </c>
      <c r="J117" s="225">
        <f ca="1">COUNT(A117:A121)</f>
        <v>0</v>
      </c>
      <c r="K117" s="226" t="str">
        <f ca="1">IF(ISNUMBER(A117),RANK(F117,F117:F121),"")</f>
        <v/>
      </c>
      <c r="L117" s="227">
        <f ca="1">IF(J117=5,VLOOKUP(K117,TPMatrix!$A$6:$B$10,2,0),IF(J117=4,VLOOKUP(K117,TPMatrix!$D$6:$E$9,2,0),0))</f>
        <v>0</v>
      </c>
      <c r="M117" s="227">
        <f ca="1">IF(COUNTIF(K117:K121,K117)&gt;=2,IF(J117=5,VLOOKUP(K117+1,TPMatrix!$A$6:$B$10,2,0),IF(J117=4,VLOOKUP(K117+1,TPMatrix!$D$6:$E$9,2,0),0)),"")</f>
        <v>0</v>
      </c>
      <c r="N117" s="227">
        <f ca="1">IF(COUNTIF(K117:K121,K117)&gt;=3,IF(J117=5,VLOOKUP(K117+2,TPMatrix!$A$6:$B$10,2,0),IF(J117=4,VLOOKUP(K117+2,TPMatrix!$D$6:$E$9,2,0),0)),"")</f>
        <v>0</v>
      </c>
      <c r="O117" s="227">
        <f ca="1">IF(COUNTIF(K117:K121,K117)&gt;=4,IF(J117=5,VLOOKUP(K117+3,TPMatrix!$A$6:$B$10,2,0),IF(J117=4,VLOOKUP(K117+3,TPMatrix!$D$6:$E$9,2,0),0)),"")</f>
        <v>0</v>
      </c>
      <c r="P117" s="227">
        <f ca="1">IF(COUNTIF(K117:K121,K117)&gt;=5,IF(J117=5,VLOOKUP(K117+4,TPMatrix!$A$6:$B$10,2,0),IF(J117=4,VLOOKUP(K117+4,TPMatrix!$D$6:$E$9,2,0),0)),"")</f>
        <v>0</v>
      </c>
      <c r="Q117" s="227">
        <f t="shared" ca="1" si="40"/>
        <v>0</v>
      </c>
      <c r="R117" s="228">
        <f t="shared" ca="1" si="41"/>
        <v>5</v>
      </c>
      <c r="S117" s="229">
        <f t="shared" ca="1" si="42"/>
        <v>0</v>
      </c>
      <c r="T117" s="230">
        <f t="shared" si="43"/>
        <v>0</v>
      </c>
      <c r="U117" s="231">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2.95" customHeight="1" x14ac:dyDescent="0.2">
      <c r="A118" s="111" t="str">
        <f ca="1">IF(ISBLANK('Tournament Info'!$B$11),"",INDIRECT(ADDRESS(ROW(),1,1,1,"Optimal Seating "&amp;'Tournament Info'!$B$11-1&amp;"R+F")))</f>
        <v/>
      </c>
      <c r="B118" s="117" t="str">
        <f ca="1">IF(ISNUMBER(A118),VLOOKUP(A118,Methuselahs!$A$7:$E$206,2,0),"")</f>
        <v/>
      </c>
      <c r="C118" s="232" t="str">
        <f ca="1">IF(ISNUMBER(A118),VLOOKUP(A118,Methuselahs!$A$7:$E$206,3,0),"")</f>
        <v/>
      </c>
      <c r="D118" s="233" t="str">
        <f t="shared" ca="1" si="36"/>
        <v/>
      </c>
      <c r="E118" s="234"/>
      <c r="F118" s="232">
        <f t="shared" si="37"/>
        <v>0</v>
      </c>
      <c r="G118" s="235" t="str">
        <f t="shared" ca="1" si="38"/>
        <v/>
      </c>
      <c r="H118" s="236" t="str">
        <f ca="1">IF(ISNUMBER(A118),IF(OR($S118=$U118,NOT(ISNA(MATCH($D118*5+$V$4,Override!$C$6:$C$125,0)))),$Q118,0),"")</f>
        <v/>
      </c>
      <c r="I118" s="233" t="str">
        <f t="shared" ca="1" si="39"/>
        <v/>
      </c>
      <c r="J118" s="237">
        <f ca="1">COUNT(A117:A121)</f>
        <v>0</v>
      </c>
      <c r="K118" s="238" t="str">
        <f ca="1">IF(ISNUMBER(A118),RANK(F118,F117:F121),"")</f>
        <v/>
      </c>
      <c r="L118" s="239">
        <f ca="1">IF(J118=5,VLOOKUP(K118,TPMatrix!$A$6:$B$10,2,0),IF(J118=4,VLOOKUP(K118,TPMatrix!$D$6:$E$9,2,0),0))</f>
        <v>0</v>
      </c>
      <c r="M118" s="239">
        <f ca="1">IF(COUNTIF(K117:K121,K118)&gt;=2,IF(J118=5,VLOOKUP(K118+1,TPMatrix!$A$6:$B$10,2,0),IF(J118=4,VLOOKUP(K118+1,TPMatrix!$D$6:$E$9,2,0),0)),"")</f>
        <v>0</v>
      </c>
      <c r="N118" s="239">
        <f ca="1">IF(COUNTIF(K117:K121,K118)&gt;=3,IF(J118=5,VLOOKUP(K118+2,TPMatrix!$A$6:$B$10,2,0),IF(J118=4,VLOOKUP(K118+2,TPMatrix!$D$6:$E$9,2,0),0)),"")</f>
        <v>0</v>
      </c>
      <c r="O118" s="239">
        <f ca="1">IF(COUNTIF(K117:K121,K118)&gt;=4,IF(J118=5,VLOOKUP(K118+3,TPMatrix!$A$6:$B$10,2,0),IF(J118=4,VLOOKUP(K118+3,TPMatrix!$D$6:$E$9,2,0),0)),"")</f>
        <v>0</v>
      </c>
      <c r="P118" s="239">
        <f ca="1">IF(COUNTIF(K117:K121,K118)&gt;=5,IF(J118=5,VLOOKUP(K118+4,TPMatrix!$A$6:$B$10,2,0),IF(J118=4,VLOOKUP(K118+4,TPMatrix!$D$6:$E$9,2,0),0)),"")</f>
        <v>0</v>
      </c>
      <c r="Q118" s="239">
        <f t="shared" ca="1" si="40"/>
        <v>0</v>
      </c>
      <c r="R118" s="240">
        <f t="shared" ca="1" si="41"/>
        <v>5</v>
      </c>
      <c r="S118" s="238">
        <f t="shared" ca="1" si="42"/>
        <v>0</v>
      </c>
      <c r="T118" s="239">
        <f t="shared" si="43"/>
        <v>0</v>
      </c>
      <c r="U118" s="240">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2.95" customHeight="1" x14ac:dyDescent="0.2">
      <c r="A119" s="137" t="str">
        <f ca="1">IF(ISBLANK('Tournament Info'!$B$11),"",INDIRECT(ADDRESS(ROW(),1,1,1,"Optimal Seating "&amp;'Tournament Info'!$B$11-1&amp;"R+F")))</f>
        <v/>
      </c>
      <c r="B119" s="143" t="str">
        <f ca="1">IF(ISNUMBER(A119),VLOOKUP(A119,Methuselahs!$A$7:$E$206,2,0),"")</f>
        <v/>
      </c>
      <c r="C119" s="241" t="str">
        <f ca="1">IF(ISNUMBER(A119),VLOOKUP(A119,Methuselahs!$A$7:$E$206,3,0),"")</f>
        <v/>
      </c>
      <c r="D119" s="242" t="str">
        <f t="shared" ca="1" si="36"/>
        <v/>
      </c>
      <c r="E119" s="243"/>
      <c r="F119" s="241">
        <f t="shared" si="37"/>
        <v>0</v>
      </c>
      <c r="G119" s="244" t="str">
        <f t="shared" ca="1" si="38"/>
        <v/>
      </c>
      <c r="H119" s="245" t="str">
        <f ca="1">IF(ISNUMBER(A119),IF(OR($S119=$U119,NOT(ISNA(MATCH($D119*5+$V$4,Override!$C$6:$C$125,0)))),$Q119,0),"")</f>
        <v/>
      </c>
      <c r="I119" s="242" t="str">
        <f t="shared" ca="1" si="39"/>
        <v/>
      </c>
      <c r="J119" s="246">
        <f ca="1">COUNT(A117:A121)</f>
        <v>0</v>
      </c>
      <c r="K119" s="247" t="str">
        <f ca="1">IF(ISNUMBER(A119),RANK(F119,F117:F121),"")</f>
        <v/>
      </c>
      <c r="L119" s="142">
        <f ca="1">IF(J119=5,VLOOKUP(K119,TPMatrix!$A$6:$B$10,2,0),IF(J119=4,VLOOKUP(K119,TPMatrix!$D$6:$E$9,2,0),0))</f>
        <v>0</v>
      </c>
      <c r="M119" s="142">
        <f ca="1">IF(COUNTIF(K117:K121,K119)&gt;=2,IF(J119=5,VLOOKUP(K119+1,TPMatrix!$A$6:$B$10,2,0),IF(J119=4,VLOOKUP(K119+1,TPMatrix!$D$6:$E$9,2,0),0)),"")</f>
        <v>0</v>
      </c>
      <c r="N119" s="142">
        <f ca="1">IF(COUNTIF(K117:K121,K119)&gt;=3,IF(J119=5,VLOOKUP(K119+2,TPMatrix!$A$6:$B$10,2,0),IF(J119=4,VLOOKUP(K119+2,TPMatrix!$D$6:$E$9,2,0),0)),"")</f>
        <v>0</v>
      </c>
      <c r="O119" s="142">
        <f ca="1">IF(COUNTIF(K117:K121,K119)&gt;=4,IF(J119=5,VLOOKUP(K119+3,TPMatrix!$A$6:$B$10,2,0),IF(J119=4,VLOOKUP(K119+3,TPMatrix!$D$6:$E$9,2,0),0)),"")</f>
        <v>0</v>
      </c>
      <c r="P119" s="142">
        <f ca="1">IF(COUNTIF(K117:K121,K119)&gt;=5,IF(J119=5,VLOOKUP(K119+4,TPMatrix!$A$6:$B$10,2,0),IF(J119=4,VLOOKUP(K119+4,TPMatrix!$D$6:$E$9,2,0),0)),"")</f>
        <v>0</v>
      </c>
      <c r="Q119" s="142">
        <f t="shared" ca="1" si="40"/>
        <v>0</v>
      </c>
      <c r="R119" s="248">
        <f t="shared" ca="1" si="41"/>
        <v>5</v>
      </c>
      <c r="S119" s="247">
        <f t="shared" ca="1" si="42"/>
        <v>0</v>
      </c>
      <c r="T119" s="142">
        <f t="shared" si="43"/>
        <v>0</v>
      </c>
      <c r="U119" s="248">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2.95" customHeight="1" x14ac:dyDescent="0.2">
      <c r="A120" s="249" t="str">
        <f ca="1">IF(ISBLANK('Tournament Info'!$B$11),"",INDIRECT(ADDRESS(ROW(),1,1,1,"Optimal Seating "&amp;'Tournament Info'!$B$11-1&amp;"R+F")))</f>
        <v/>
      </c>
      <c r="B120" s="250" t="str">
        <f ca="1">IF(ISNUMBER(A120),VLOOKUP(A120,Methuselahs!$A$7:$E$206,2,0),"")</f>
        <v/>
      </c>
      <c r="C120" s="251" t="str">
        <f ca="1">IF(ISNUMBER(A120),VLOOKUP(A120,Methuselahs!$A$7:$E$206,3,0),"")</f>
        <v/>
      </c>
      <c r="D120" s="252" t="str">
        <f t="shared" ca="1" si="36"/>
        <v/>
      </c>
      <c r="E120" s="253"/>
      <c r="F120" s="251">
        <f t="shared" si="37"/>
        <v>0</v>
      </c>
      <c r="G120" s="235" t="str">
        <f t="shared" ca="1" si="38"/>
        <v/>
      </c>
      <c r="H120" s="236" t="str">
        <f ca="1">IF(ISNUMBER(A120),IF(OR($S120=$U120,NOT(ISNA(MATCH($D120*5+$V$4,Override!$C$6:$C$125,0)))),$Q120,0),"")</f>
        <v/>
      </c>
      <c r="I120" s="252" t="str">
        <f t="shared" ca="1" si="39"/>
        <v/>
      </c>
      <c r="J120" s="254">
        <f ca="1">COUNT(A117:A121)</f>
        <v>0</v>
      </c>
      <c r="K120" s="238" t="str">
        <f ca="1">IF(ISNUMBER(A120),RANK(F120,F117:F121),"")</f>
        <v/>
      </c>
      <c r="L120" s="239">
        <f ca="1">IF(J120=5,VLOOKUP(K120,TPMatrix!$A$6:$B$10,2,0),IF(J120=4,VLOOKUP(K120,TPMatrix!$D$6:$E$9,2,0),0))</f>
        <v>0</v>
      </c>
      <c r="M120" s="239">
        <f ca="1">IF(COUNTIF(K117:K121,K120)&gt;=2,IF(J120=5,VLOOKUP(K120+1,TPMatrix!$A$6:$B$10,2,0),IF(J120=4,VLOOKUP(K120+1,TPMatrix!$D$6:$E$9,2,0),0)),"")</f>
        <v>0</v>
      </c>
      <c r="N120" s="239">
        <f ca="1">IF(COUNTIF(K117:K121,K120)&gt;=3,IF(J120=5,VLOOKUP(K120+2,TPMatrix!$A$6:$B$10,2,0),IF(J120=4,VLOOKUP(K120+2,TPMatrix!$D$6:$E$9,2,0),0)),"")</f>
        <v>0</v>
      </c>
      <c r="O120" s="239">
        <f ca="1">IF(COUNTIF(K117:K121,K120)&gt;=4,IF(J120=5,VLOOKUP(K120+3,TPMatrix!$A$6:$B$10,2,0),IF(J120=4,VLOOKUP(K120+3,TPMatrix!$D$6:$E$9,2,0),0)),"")</f>
        <v>0</v>
      </c>
      <c r="P120" s="239">
        <f ca="1">IF(COUNTIF(K117:K121,K120)&gt;=5,IF(J120=5,VLOOKUP(K120+4,TPMatrix!$A$6:$B$10,2,0),IF(J120=4,VLOOKUP(K120+4,TPMatrix!$D$6:$E$9,2,0),0)),"")</f>
        <v>0</v>
      </c>
      <c r="Q120" s="239">
        <f t="shared" ca="1" si="40"/>
        <v>0</v>
      </c>
      <c r="R120" s="240">
        <f t="shared" ca="1" si="41"/>
        <v>5</v>
      </c>
      <c r="S120" s="238">
        <f t="shared" ca="1" si="42"/>
        <v>0</v>
      </c>
      <c r="T120" s="239">
        <f t="shared" si="43"/>
        <v>0</v>
      </c>
      <c r="U120" s="240">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2.95" customHeight="1" x14ac:dyDescent="0.2">
      <c r="A121" s="255" t="str">
        <f ca="1">IF(ISBLANK('Tournament Info'!$B$11),"",INDIRECT(ADDRESS(ROW(),1,1,1,"Optimal Seating "&amp;'Tournament Info'!$B$11-1&amp;"R+F")))</f>
        <v/>
      </c>
      <c r="B121" s="256" t="str">
        <f ca="1">IF(ISNUMBER(A121),VLOOKUP(A121,Methuselahs!$A$7:$E$206,2,0),"")</f>
        <v/>
      </c>
      <c r="C121" s="257" t="str">
        <f ca="1">IF(ISNUMBER(A121),VLOOKUP(A121,Methuselahs!$A$7:$E$206,3,0),"")</f>
        <v/>
      </c>
      <c r="D121" s="258" t="str">
        <f t="shared" ca="1" si="36"/>
        <v/>
      </c>
      <c r="E121" s="259"/>
      <c r="F121" s="257">
        <f t="shared" si="37"/>
        <v>0</v>
      </c>
      <c r="G121" s="244" t="str">
        <f t="shared" ca="1" si="38"/>
        <v/>
      </c>
      <c r="H121" s="245" t="str">
        <f ca="1">IF(ISNUMBER(A121),IF(OR($S121=$U121,NOT(ISNA(MATCH($D121*5+$V$4,Override!$C$6:$C$125,0)))),$Q121,0),"")</f>
        <v/>
      </c>
      <c r="I121" s="258" t="str">
        <f t="shared" ca="1" si="39"/>
        <v/>
      </c>
      <c r="J121" s="260">
        <f ca="1">COUNT(A117:A121)</f>
        <v>0</v>
      </c>
      <c r="K121" s="261" t="str">
        <f ca="1">IF(ISNUMBER(A121),RANK(F121,F117:F121),"")</f>
        <v/>
      </c>
      <c r="L121" s="262">
        <f ca="1">IF(J121=5,VLOOKUP(K121,TPMatrix!$A$6:$B$10,2,0),IF(J121=4,VLOOKUP(K121,TPMatrix!$D$6:$E$9,2,0),0))</f>
        <v>0</v>
      </c>
      <c r="M121" s="262">
        <f ca="1">IF(COUNTIF(K117:K121,K121)&gt;=2,IF(J121=5,VLOOKUP(K121+1,TPMatrix!$A$6:$B$10,2,0),IF(J121=4,VLOOKUP(K121+1,TPMatrix!$D$6:$E$9,2,0),0)),"")</f>
        <v>0</v>
      </c>
      <c r="N121" s="262">
        <f ca="1">IF(COUNTIF(K117:K121,K121)&gt;=3,IF(J121=5,VLOOKUP(K121+2,TPMatrix!$A$6:$B$10,2,0),IF(J121=4,VLOOKUP(K121+2,TPMatrix!$D$6:$E$9,2,0),0)),"")</f>
        <v>0</v>
      </c>
      <c r="O121" s="262">
        <f ca="1">IF(COUNTIF(K117:K121,K121)&gt;=4,IF(J121=5,VLOOKUP(K121+3,TPMatrix!$A$6:$B$10,2,0),IF(J121=4,VLOOKUP(K121+3,TPMatrix!$D$6:$E$9,2,0),0)),"")</f>
        <v>0</v>
      </c>
      <c r="P121" s="262">
        <f ca="1">IF(COUNTIF(K117:K121,K121)&gt;=5,IF(J121=5,VLOOKUP(K121+4,TPMatrix!$A$6:$B$10,2,0),IF(J121=4,VLOOKUP(K121+4,TPMatrix!$D$6:$E$9,2,0),0)),"")</f>
        <v>0</v>
      </c>
      <c r="Q121" s="262">
        <f t="shared" ca="1" si="40"/>
        <v>0</v>
      </c>
      <c r="R121" s="263">
        <f t="shared" ca="1" si="41"/>
        <v>5</v>
      </c>
      <c r="S121" s="261">
        <f t="shared" ca="1" si="42"/>
        <v>0</v>
      </c>
      <c r="T121" s="262">
        <f t="shared" si="43"/>
        <v>0</v>
      </c>
      <c r="U121" s="263">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2.95" customHeight="1" x14ac:dyDescent="0.2">
      <c r="A122" s="219" t="str">
        <f ca="1">IF(ISBLANK('Tournament Info'!$B$11),"",INDIRECT(ADDRESS(ROW(),1,1,1,"Optimal Seating "&amp;'Tournament Info'!$B$11-1&amp;"R+F")))</f>
        <v/>
      </c>
      <c r="B122" s="143" t="str">
        <f ca="1">IF(ISNUMBER(A122),VLOOKUP(A122,Methuselahs!$A$7:$E$206,2,0),"")</f>
        <v/>
      </c>
      <c r="C122" s="220" t="str">
        <f ca="1">IF(ISNUMBER(A122),VLOOKUP(A122,Methuselahs!$A$7:$E$206,3,0),"")</f>
        <v/>
      </c>
      <c r="D122" s="221" t="str">
        <f t="shared" ca="1" si="36"/>
        <v/>
      </c>
      <c r="E122" s="222"/>
      <c r="F122" s="220">
        <f t="shared" si="37"/>
        <v>0</v>
      </c>
      <c r="G122" s="223" t="str">
        <f t="shared" ca="1" si="38"/>
        <v/>
      </c>
      <c r="H122" s="224" t="str">
        <f ca="1">IF(ISNUMBER(A122),IF(OR($S122=$U122,NOT(ISNA(MATCH($D122*5+$V$4,Override!$C$6:$C$125,0)))),$Q122,0),"")</f>
        <v/>
      </c>
      <c r="I122" s="221" t="str">
        <f t="shared" ca="1" si="39"/>
        <v/>
      </c>
      <c r="J122" s="225">
        <f ca="1">COUNT(A122:A126)</f>
        <v>0</v>
      </c>
      <c r="K122" s="226" t="str">
        <f ca="1">IF(ISNUMBER(A122),RANK(F122,F122:F126),"")</f>
        <v/>
      </c>
      <c r="L122" s="227">
        <f ca="1">IF(J122=5,VLOOKUP(K122,TPMatrix!$A$6:$B$10,2,0),IF(J122=4,VLOOKUP(K122,TPMatrix!$D$6:$E$9,2,0),0))</f>
        <v>0</v>
      </c>
      <c r="M122" s="227">
        <f ca="1">IF(COUNTIF(K122:K126,K122)&gt;=2,IF(J122=5,VLOOKUP(K122+1,TPMatrix!$A$6:$B$10,2,0),IF(J122=4,VLOOKUP(K122+1,TPMatrix!$D$6:$E$9,2,0),0)),"")</f>
        <v>0</v>
      </c>
      <c r="N122" s="227">
        <f ca="1">IF(COUNTIF(K122:K126,K122)&gt;=3,IF(J122=5,VLOOKUP(K122+2,TPMatrix!$A$6:$B$10,2,0),IF(J122=4,VLOOKUP(K122+2,TPMatrix!$D$6:$E$9,2,0),0)),"")</f>
        <v>0</v>
      </c>
      <c r="O122" s="227">
        <f ca="1">IF(COUNTIF(K122:K126,K122)&gt;=4,IF(J122=5,VLOOKUP(K122+3,TPMatrix!$A$6:$B$10,2,0),IF(J122=4,VLOOKUP(K122+3,TPMatrix!$D$6:$E$9,2,0),0)),"")</f>
        <v>0</v>
      </c>
      <c r="P122" s="227">
        <f ca="1">IF(COUNTIF(K122:K126,K122)&gt;=5,IF(J122=5,VLOOKUP(K122+4,TPMatrix!$A$6:$B$10,2,0),IF(J122=4,VLOOKUP(K122+4,TPMatrix!$D$6:$E$9,2,0),0)),"")</f>
        <v>0</v>
      </c>
      <c r="Q122" s="227">
        <f t="shared" ca="1" si="40"/>
        <v>0</v>
      </c>
      <c r="R122" s="228">
        <f t="shared" ca="1" si="41"/>
        <v>5</v>
      </c>
      <c r="S122" s="229">
        <f t="shared" ca="1" si="42"/>
        <v>0</v>
      </c>
      <c r="T122" s="230">
        <f t="shared" si="43"/>
        <v>0</v>
      </c>
      <c r="U122" s="231">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2.95" customHeight="1" x14ac:dyDescent="0.2">
      <c r="A123" s="111" t="str">
        <f ca="1">IF(ISBLANK('Tournament Info'!$B$11),"",INDIRECT(ADDRESS(ROW(),1,1,1,"Optimal Seating "&amp;'Tournament Info'!$B$11-1&amp;"R+F")))</f>
        <v/>
      </c>
      <c r="B123" s="117" t="str">
        <f ca="1">IF(ISNUMBER(A123),VLOOKUP(A123,Methuselahs!$A$7:$E$206,2,0),"")</f>
        <v/>
      </c>
      <c r="C123" s="232" t="str">
        <f ca="1">IF(ISNUMBER(A123),VLOOKUP(A123,Methuselahs!$A$7:$E$206,3,0),"")</f>
        <v/>
      </c>
      <c r="D123" s="233" t="str">
        <f t="shared" ca="1" si="36"/>
        <v/>
      </c>
      <c r="E123" s="234"/>
      <c r="F123" s="232">
        <f t="shared" si="37"/>
        <v>0</v>
      </c>
      <c r="G123" s="235" t="str">
        <f t="shared" ca="1" si="38"/>
        <v/>
      </c>
      <c r="H123" s="236" t="str">
        <f ca="1">IF(ISNUMBER(A123),IF(OR($S123=$U123,NOT(ISNA(MATCH($D123*5+$V$4,Override!$C$6:$C$125,0)))),$Q123,0),"")</f>
        <v/>
      </c>
      <c r="I123" s="233" t="str">
        <f t="shared" ca="1" si="39"/>
        <v/>
      </c>
      <c r="J123" s="237">
        <f ca="1">COUNT(A122:A126)</f>
        <v>0</v>
      </c>
      <c r="K123" s="238" t="str">
        <f ca="1">IF(ISNUMBER(A123),RANK(F123,F122:F126),"")</f>
        <v/>
      </c>
      <c r="L123" s="239">
        <f ca="1">IF(J123=5,VLOOKUP(K123,TPMatrix!$A$6:$B$10,2,0),IF(J123=4,VLOOKUP(K123,TPMatrix!$D$6:$E$9,2,0),0))</f>
        <v>0</v>
      </c>
      <c r="M123" s="239">
        <f ca="1">IF(COUNTIF(K122:K126,K123)&gt;=2,IF(J123=5,VLOOKUP(K123+1,TPMatrix!$A$6:$B$10,2,0),IF(J123=4,VLOOKUP(K123+1,TPMatrix!$D$6:$E$9,2,0),0)),"")</f>
        <v>0</v>
      </c>
      <c r="N123" s="239">
        <f ca="1">IF(COUNTIF(K122:K126,K123)&gt;=3,IF(J123=5,VLOOKUP(K123+2,TPMatrix!$A$6:$B$10,2,0),IF(J123=4,VLOOKUP(K123+2,TPMatrix!$D$6:$E$9,2,0),0)),"")</f>
        <v>0</v>
      </c>
      <c r="O123" s="239">
        <f ca="1">IF(COUNTIF(K122:K126,K123)&gt;=4,IF(J123=5,VLOOKUP(K123+3,TPMatrix!$A$6:$B$10,2,0),IF(J123=4,VLOOKUP(K123+3,TPMatrix!$D$6:$E$9,2,0),0)),"")</f>
        <v>0</v>
      </c>
      <c r="P123" s="239">
        <f ca="1">IF(COUNTIF(K122:K126,K123)&gt;=5,IF(J123=5,VLOOKUP(K123+4,TPMatrix!$A$6:$B$10,2,0),IF(J123=4,VLOOKUP(K123+4,TPMatrix!$D$6:$E$9,2,0),0)),"")</f>
        <v>0</v>
      </c>
      <c r="Q123" s="239">
        <f t="shared" ca="1" si="40"/>
        <v>0</v>
      </c>
      <c r="R123" s="240">
        <f t="shared" ca="1" si="41"/>
        <v>5</v>
      </c>
      <c r="S123" s="238">
        <f t="shared" ca="1" si="42"/>
        <v>0</v>
      </c>
      <c r="T123" s="239">
        <f t="shared" si="43"/>
        <v>0</v>
      </c>
      <c r="U123" s="240">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2.95" customHeight="1" x14ac:dyDescent="0.2">
      <c r="A124" s="137" t="str">
        <f ca="1">IF(ISBLANK('Tournament Info'!$B$11),"",INDIRECT(ADDRESS(ROW(),1,1,1,"Optimal Seating "&amp;'Tournament Info'!$B$11-1&amp;"R+F")))</f>
        <v/>
      </c>
      <c r="B124" s="143" t="str">
        <f ca="1">IF(ISNUMBER(A124),VLOOKUP(A124,Methuselahs!$A$7:$E$206,2,0),"")</f>
        <v/>
      </c>
      <c r="C124" s="241" t="str">
        <f ca="1">IF(ISNUMBER(A124),VLOOKUP(A124,Methuselahs!$A$7:$E$206,3,0),"")</f>
        <v/>
      </c>
      <c r="D124" s="242" t="str">
        <f t="shared" ca="1" si="36"/>
        <v/>
      </c>
      <c r="E124" s="243"/>
      <c r="F124" s="241">
        <f t="shared" si="37"/>
        <v>0</v>
      </c>
      <c r="G124" s="244" t="str">
        <f t="shared" ca="1" si="38"/>
        <v/>
      </c>
      <c r="H124" s="245" t="str">
        <f ca="1">IF(ISNUMBER(A124),IF(OR($S124=$U124,NOT(ISNA(MATCH($D124*5+$V$4,Override!$C$6:$C$125,0)))),$Q124,0),"")</f>
        <v/>
      </c>
      <c r="I124" s="242" t="str">
        <f t="shared" ca="1" si="39"/>
        <v/>
      </c>
      <c r="J124" s="246">
        <f ca="1">COUNT(A122:A126)</f>
        <v>0</v>
      </c>
      <c r="K124" s="247" t="str">
        <f ca="1">IF(ISNUMBER(A124),RANK(F124,F122:F126),"")</f>
        <v/>
      </c>
      <c r="L124" s="142">
        <f ca="1">IF(J124=5,VLOOKUP(K124,TPMatrix!$A$6:$B$10,2,0),IF(J124=4,VLOOKUP(K124,TPMatrix!$D$6:$E$9,2,0),0))</f>
        <v>0</v>
      </c>
      <c r="M124" s="142">
        <f ca="1">IF(COUNTIF(K122:K126,K124)&gt;=2,IF(J124=5,VLOOKUP(K124+1,TPMatrix!$A$6:$B$10,2,0),IF(J124=4,VLOOKUP(K124+1,TPMatrix!$D$6:$E$9,2,0),0)),"")</f>
        <v>0</v>
      </c>
      <c r="N124" s="142">
        <f ca="1">IF(COUNTIF(K122:K126,K124)&gt;=3,IF(J124=5,VLOOKUP(K124+2,TPMatrix!$A$6:$B$10,2,0),IF(J124=4,VLOOKUP(K124+2,TPMatrix!$D$6:$E$9,2,0),0)),"")</f>
        <v>0</v>
      </c>
      <c r="O124" s="142">
        <f ca="1">IF(COUNTIF(K122:K126,K124)&gt;=4,IF(J124=5,VLOOKUP(K124+3,TPMatrix!$A$6:$B$10,2,0),IF(J124=4,VLOOKUP(K124+3,TPMatrix!$D$6:$E$9,2,0),0)),"")</f>
        <v>0</v>
      </c>
      <c r="P124" s="142">
        <f ca="1">IF(COUNTIF(K122:K126,K124)&gt;=5,IF(J124=5,VLOOKUP(K124+4,TPMatrix!$A$6:$B$10,2,0),IF(J124=4,VLOOKUP(K124+4,TPMatrix!$D$6:$E$9,2,0),0)),"")</f>
        <v>0</v>
      </c>
      <c r="Q124" s="142">
        <f t="shared" ca="1" si="40"/>
        <v>0</v>
      </c>
      <c r="R124" s="248">
        <f t="shared" ca="1" si="41"/>
        <v>5</v>
      </c>
      <c r="S124" s="247">
        <f t="shared" ca="1" si="42"/>
        <v>0</v>
      </c>
      <c r="T124" s="142">
        <f t="shared" si="43"/>
        <v>0</v>
      </c>
      <c r="U124" s="248">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2.95" customHeight="1" x14ac:dyDescent="0.2">
      <c r="A125" s="249" t="str">
        <f ca="1">IF(ISBLANK('Tournament Info'!$B$11),"",INDIRECT(ADDRESS(ROW(),1,1,1,"Optimal Seating "&amp;'Tournament Info'!$B$11-1&amp;"R+F")))</f>
        <v/>
      </c>
      <c r="B125" s="250" t="str">
        <f ca="1">IF(ISNUMBER(A125),VLOOKUP(A125,Methuselahs!$A$7:$E$206,2,0),"")</f>
        <v/>
      </c>
      <c r="C125" s="251" t="str">
        <f ca="1">IF(ISNUMBER(A125),VLOOKUP(A125,Methuselahs!$A$7:$E$206,3,0),"")</f>
        <v/>
      </c>
      <c r="D125" s="252" t="str">
        <f t="shared" ca="1" si="36"/>
        <v/>
      </c>
      <c r="E125" s="253"/>
      <c r="F125" s="251">
        <f t="shared" si="37"/>
        <v>0</v>
      </c>
      <c r="G125" s="235" t="str">
        <f t="shared" ca="1" si="38"/>
        <v/>
      </c>
      <c r="H125" s="236" t="str">
        <f ca="1">IF(ISNUMBER(A125),IF(OR($S125=$U125,NOT(ISNA(MATCH($D125*5+$V$4,Override!$C$6:$C$125,0)))),$Q125,0),"")</f>
        <v/>
      </c>
      <c r="I125" s="252" t="str">
        <f t="shared" ca="1" si="39"/>
        <v/>
      </c>
      <c r="J125" s="254">
        <f ca="1">COUNT(A122:A126)</f>
        <v>0</v>
      </c>
      <c r="K125" s="238" t="str">
        <f ca="1">IF(ISNUMBER(A125),RANK(F125,F122:F126),"")</f>
        <v/>
      </c>
      <c r="L125" s="239">
        <f ca="1">IF(J125=5,VLOOKUP(K125,TPMatrix!$A$6:$B$10,2,0),IF(J125=4,VLOOKUP(K125,TPMatrix!$D$6:$E$9,2,0),0))</f>
        <v>0</v>
      </c>
      <c r="M125" s="239">
        <f ca="1">IF(COUNTIF(K122:K126,K125)&gt;=2,IF(J125=5,VLOOKUP(K125+1,TPMatrix!$A$6:$B$10,2,0),IF(J125=4,VLOOKUP(K125+1,TPMatrix!$D$6:$E$9,2,0),0)),"")</f>
        <v>0</v>
      </c>
      <c r="N125" s="239">
        <f ca="1">IF(COUNTIF(K122:K126,K125)&gt;=3,IF(J125=5,VLOOKUP(K125+2,TPMatrix!$A$6:$B$10,2,0),IF(J125=4,VLOOKUP(K125+2,TPMatrix!$D$6:$E$9,2,0),0)),"")</f>
        <v>0</v>
      </c>
      <c r="O125" s="239">
        <f ca="1">IF(COUNTIF(K122:K126,K125)&gt;=4,IF(J125=5,VLOOKUP(K125+3,TPMatrix!$A$6:$B$10,2,0),IF(J125=4,VLOOKUP(K125+3,TPMatrix!$D$6:$E$9,2,0),0)),"")</f>
        <v>0</v>
      </c>
      <c r="P125" s="239">
        <f ca="1">IF(COUNTIF(K122:K126,K125)&gt;=5,IF(J125=5,VLOOKUP(K125+4,TPMatrix!$A$6:$B$10,2,0),IF(J125=4,VLOOKUP(K125+4,TPMatrix!$D$6:$E$9,2,0),0)),"")</f>
        <v>0</v>
      </c>
      <c r="Q125" s="239">
        <f t="shared" ca="1" si="40"/>
        <v>0</v>
      </c>
      <c r="R125" s="240">
        <f t="shared" ca="1" si="41"/>
        <v>5</v>
      </c>
      <c r="S125" s="238">
        <f t="shared" ca="1" si="42"/>
        <v>0</v>
      </c>
      <c r="T125" s="239">
        <f t="shared" si="43"/>
        <v>0</v>
      </c>
      <c r="U125" s="240">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2.95" customHeight="1" x14ac:dyDescent="0.2">
      <c r="A126" s="255" t="str">
        <f ca="1">IF(ISBLANK('Tournament Info'!$B$11),"",INDIRECT(ADDRESS(ROW(),1,1,1,"Optimal Seating "&amp;'Tournament Info'!$B$11-1&amp;"R+F")))</f>
        <v/>
      </c>
      <c r="B126" s="256" t="str">
        <f ca="1">IF(ISNUMBER(A126),VLOOKUP(A126,Methuselahs!$A$7:$E$206,2,0),"")</f>
        <v/>
      </c>
      <c r="C126" s="257" t="str">
        <f ca="1">IF(ISNUMBER(A126),VLOOKUP(A126,Methuselahs!$A$7:$E$206,3,0),"")</f>
        <v/>
      </c>
      <c r="D126" s="258" t="str">
        <f t="shared" ca="1" si="36"/>
        <v/>
      </c>
      <c r="E126" s="259"/>
      <c r="F126" s="257">
        <f t="shared" si="37"/>
        <v>0</v>
      </c>
      <c r="G126" s="244" t="str">
        <f t="shared" ca="1" si="38"/>
        <v/>
      </c>
      <c r="H126" s="245" t="str">
        <f ca="1">IF(ISNUMBER(A126),IF(OR($S126=$U126,NOT(ISNA(MATCH($D126*5+$V$4,Override!$C$6:$C$125,0)))),$Q126,0),"")</f>
        <v/>
      </c>
      <c r="I126" s="258" t="str">
        <f t="shared" ca="1" si="39"/>
        <v/>
      </c>
      <c r="J126" s="260">
        <f ca="1">COUNT(A122:A126)</f>
        <v>0</v>
      </c>
      <c r="K126" s="261" t="str">
        <f ca="1">IF(ISNUMBER(A126),RANK(F126,F122:F126),"")</f>
        <v/>
      </c>
      <c r="L126" s="262">
        <f ca="1">IF(J126=5,VLOOKUP(K126,TPMatrix!$A$6:$B$10,2,0),IF(J126=4,VLOOKUP(K126,TPMatrix!$D$6:$E$9,2,0),0))</f>
        <v>0</v>
      </c>
      <c r="M126" s="262">
        <f ca="1">IF(COUNTIF(K122:K126,K126)&gt;=2,IF(J126=5,VLOOKUP(K126+1,TPMatrix!$A$6:$B$10,2,0),IF(J126=4,VLOOKUP(K126+1,TPMatrix!$D$6:$E$9,2,0),0)),"")</f>
        <v>0</v>
      </c>
      <c r="N126" s="262">
        <f ca="1">IF(COUNTIF(K122:K126,K126)&gt;=3,IF(J126=5,VLOOKUP(K126+2,TPMatrix!$A$6:$B$10,2,0),IF(J126=4,VLOOKUP(K126+2,TPMatrix!$D$6:$E$9,2,0),0)),"")</f>
        <v>0</v>
      </c>
      <c r="O126" s="262">
        <f ca="1">IF(COUNTIF(K122:K126,K126)&gt;=4,IF(J126=5,VLOOKUP(K126+3,TPMatrix!$A$6:$B$10,2,0),IF(J126=4,VLOOKUP(K126+3,TPMatrix!$D$6:$E$9,2,0),0)),"")</f>
        <v>0</v>
      </c>
      <c r="P126" s="262">
        <f ca="1">IF(COUNTIF(K122:K126,K126)&gt;=5,IF(J126=5,VLOOKUP(K126+4,TPMatrix!$A$6:$B$10,2,0),IF(J126=4,VLOOKUP(K126+4,TPMatrix!$D$6:$E$9,2,0),0)),"")</f>
        <v>0</v>
      </c>
      <c r="Q126" s="262">
        <f t="shared" ca="1" si="40"/>
        <v>0</v>
      </c>
      <c r="R126" s="263">
        <f t="shared" ca="1" si="41"/>
        <v>5</v>
      </c>
      <c r="S126" s="261">
        <f t="shared" ca="1" si="42"/>
        <v>0</v>
      </c>
      <c r="T126" s="262">
        <f t="shared" si="43"/>
        <v>0</v>
      </c>
      <c r="U126" s="263">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2.95" customHeight="1" x14ac:dyDescent="0.2">
      <c r="A127" s="219" t="str">
        <f ca="1">IF(ISBLANK('Tournament Info'!$B$11),"",INDIRECT(ADDRESS(ROW(),1,1,1,"Optimal Seating "&amp;'Tournament Info'!$B$11-1&amp;"R+F")))</f>
        <v/>
      </c>
      <c r="B127" s="143" t="str">
        <f ca="1">IF(ISNUMBER(A127),VLOOKUP(A127,Methuselahs!$A$7:$E$206,2,0),"")</f>
        <v/>
      </c>
      <c r="C127" s="220" t="str">
        <f ca="1">IF(ISNUMBER(A127),VLOOKUP(A127,Methuselahs!$A$7:$E$206,3,0),"")</f>
        <v/>
      </c>
      <c r="D127" s="221" t="str">
        <f t="shared" ca="1" si="36"/>
        <v/>
      </c>
      <c r="E127" s="222"/>
      <c r="F127" s="220">
        <f t="shared" si="37"/>
        <v>0</v>
      </c>
      <c r="G127" s="223" t="str">
        <f t="shared" ca="1" si="38"/>
        <v/>
      </c>
      <c r="H127" s="224" t="str">
        <f ca="1">IF(ISNUMBER(A127),IF(OR($S127=$U127,NOT(ISNA(MATCH($D127*5+$V$4,Override!$C$6:$C$125,0)))),$Q127,0),"")</f>
        <v/>
      </c>
      <c r="I127" s="221" t="str">
        <f t="shared" ca="1" si="39"/>
        <v/>
      </c>
      <c r="J127" s="225">
        <f ca="1">COUNT(A127:A131)</f>
        <v>0</v>
      </c>
      <c r="K127" s="226" t="str">
        <f ca="1">IF(ISNUMBER(A127),RANK(F127,F127:F131),"")</f>
        <v/>
      </c>
      <c r="L127" s="227">
        <f ca="1">IF(J127=5,VLOOKUP(K127,TPMatrix!$A$6:$B$10,2,0),IF(J127=4,VLOOKUP(K127,TPMatrix!$D$6:$E$9,2,0),0))</f>
        <v>0</v>
      </c>
      <c r="M127" s="227">
        <f ca="1">IF(COUNTIF(K127:K131,K127)&gt;=2,IF(J127=5,VLOOKUP(K127+1,TPMatrix!$A$6:$B$10,2,0),IF(J127=4,VLOOKUP(K127+1,TPMatrix!$D$6:$E$9,2,0),0)),"")</f>
        <v>0</v>
      </c>
      <c r="N127" s="227">
        <f ca="1">IF(COUNTIF(K127:K131,K127)&gt;=3,IF(J127=5,VLOOKUP(K127+2,TPMatrix!$A$6:$B$10,2,0),IF(J127=4,VLOOKUP(K127+2,TPMatrix!$D$6:$E$9,2,0),0)),"")</f>
        <v>0</v>
      </c>
      <c r="O127" s="227">
        <f ca="1">IF(COUNTIF(K127:K131,K127)&gt;=4,IF(J127=5,VLOOKUP(K127+3,TPMatrix!$A$6:$B$10,2,0),IF(J127=4,VLOOKUP(K127+3,TPMatrix!$D$6:$E$9,2,0),0)),"")</f>
        <v>0</v>
      </c>
      <c r="P127" s="227">
        <f ca="1">IF(COUNTIF(K127:K131,K127)&gt;=5,IF(J127=5,VLOOKUP(K127+4,TPMatrix!$A$6:$B$10,2,0),IF(J127=4,VLOOKUP(K127+4,TPMatrix!$D$6:$E$9,2,0),0)),"")</f>
        <v>0</v>
      </c>
      <c r="Q127" s="227">
        <f t="shared" ca="1" si="40"/>
        <v>0</v>
      </c>
      <c r="R127" s="228">
        <f t="shared" ca="1" si="41"/>
        <v>5</v>
      </c>
      <c r="S127" s="229">
        <f t="shared" ca="1" si="42"/>
        <v>0</v>
      </c>
      <c r="T127" s="230">
        <f t="shared" si="43"/>
        <v>0</v>
      </c>
      <c r="U127" s="231">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2.95" customHeight="1" x14ac:dyDescent="0.2">
      <c r="A128" s="111" t="str">
        <f ca="1">IF(ISBLANK('Tournament Info'!$B$11),"",INDIRECT(ADDRESS(ROW(),1,1,1,"Optimal Seating "&amp;'Tournament Info'!$B$11-1&amp;"R+F")))</f>
        <v/>
      </c>
      <c r="B128" s="117" t="str">
        <f ca="1">IF(ISNUMBER(A128),VLOOKUP(A128,Methuselahs!$A$7:$E$206,2,0),"")</f>
        <v/>
      </c>
      <c r="C128" s="232" t="str">
        <f ca="1">IF(ISNUMBER(A128),VLOOKUP(A128,Methuselahs!$A$7:$E$206,3,0),"")</f>
        <v/>
      </c>
      <c r="D128" s="233" t="str">
        <f t="shared" ca="1" si="36"/>
        <v/>
      </c>
      <c r="E128" s="234"/>
      <c r="F128" s="232">
        <f t="shared" si="37"/>
        <v>0</v>
      </c>
      <c r="G128" s="235" t="str">
        <f t="shared" ca="1" si="38"/>
        <v/>
      </c>
      <c r="H128" s="236" t="str">
        <f ca="1">IF(ISNUMBER(A128),IF(OR($S128=$U128,NOT(ISNA(MATCH($D128*5+$V$4,Override!$C$6:$C$125,0)))),$Q128,0),"")</f>
        <v/>
      </c>
      <c r="I128" s="233" t="str">
        <f t="shared" ca="1" si="39"/>
        <v/>
      </c>
      <c r="J128" s="237">
        <f ca="1">COUNT(A127:A131)</f>
        <v>0</v>
      </c>
      <c r="K128" s="238" t="str">
        <f ca="1">IF(ISNUMBER(A128),RANK(F128,F127:F131),"")</f>
        <v/>
      </c>
      <c r="L128" s="239">
        <f ca="1">IF(J128=5,VLOOKUP(K128,TPMatrix!$A$6:$B$10,2,0),IF(J128=4,VLOOKUP(K128,TPMatrix!$D$6:$E$9,2,0),0))</f>
        <v>0</v>
      </c>
      <c r="M128" s="239">
        <f ca="1">IF(COUNTIF(K127:K131,K128)&gt;=2,IF(J128=5,VLOOKUP(K128+1,TPMatrix!$A$6:$B$10,2,0),IF(J128=4,VLOOKUP(K128+1,TPMatrix!$D$6:$E$9,2,0),0)),"")</f>
        <v>0</v>
      </c>
      <c r="N128" s="239">
        <f ca="1">IF(COUNTIF(K127:K131,K128)&gt;=3,IF(J128=5,VLOOKUP(K128+2,TPMatrix!$A$6:$B$10,2,0),IF(J128=4,VLOOKUP(K128+2,TPMatrix!$D$6:$E$9,2,0),0)),"")</f>
        <v>0</v>
      </c>
      <c r="O128" s="239">
        <f ca="1">IF(COUNTIF(K127:K131,K128)&gt;=4,IF(J128=5,VLOOKUP(K128+3,TPMatrix!$A$6:$B$10,2,0),IF(J128=4,VLOOKUP(K128+3,TPMatrix!$D$6:$E$9,2,0),0)),"")</f>
        <v>0</v>
      </c>
      <c r="P128" s="239">
        <f ca="1">IF(COUNTIF(K127:K131,K128)&gt;=5,IF(J128=5,VLOOKUP(K128+4,TPMatrix!$A$6:$B$10,2,0),IF(J128=4,VLOOKUP(K128+4,TPMatrix!$D$6:$E$9,2,0),0)),"")</f>
        <v>0</v>
      </c>
      <c r="Q128" s="239">
        <f t="shared" ca="1" si="40"/>
        <v>0</v>
      </c>
      <c r="R128" s="240">
        <f t="shared" ca="1" si="41"/>
        <v>5</v>
      </c>
      <c r="S128" s="238">
        <f t="shared" ca="1" si="42"/>
        <v>0</v>
      </c>
      <c r="T128" s="239">
        <f t="shared" si="43"/>
        <v>0</v>
      </c>
      <c r="U128" s="240">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2.95" customHeight="1" x14ac:dyDescent="0.2">
      <c r="A129" s="137" t="str">
        <f ca="1">IF(ISBLANK('Tournament Info'!$B$11),"",INDIRECT(ADDRESS(ROW(),1,1,1,"Optimal Seating "&amp;'Tournament Info'!$B$11-1&amp;"R+F")))</f>
        <v/>
      </c>
      <c r="B129" s="143" t="str">
        <f ca="1">IF(ISNUMBER(A129),VLOOKUP(A129,Methuselahs!$A$7:$E$206,2,0),"")</f>
        <v/>
      </c>
      <c r="C129" s="241" t="str">
        <f ca="1">IF(ISNUMBER(A129),VLOOKUP(A129,Methuselahs!$A$7:$E$206,3,0),"")</f>
        <v/>
      </c>
      <c r="D129" s="242" t="str">
        <f t="shared" ca="1" si="36"/>
        <v/>
      </c>
      <c r="E129" s="243"/>
      <c r="F129" s="241">
        <f t="shared" si="37"/>
        <v>0</v>
      </c>
      <c r="G129" s="244" t="str">
        <f t="shared" ca="1" si="38"/>
        <v/>
      </c>
      <c r="H129" s="245" t="str">
        <f ca="1">IF(ISNUMBER(A129),IF(OR($S129=$U129,NOT(ISNA(MATCH($D129*5+$V$4,Override!$C$6:$C$125,0)))),$Q129,0),"")</f>
        <v/>
      </c>
      <c r="I129" s="242" t="str">
        <f t="shared" ca="1" si="39"/>
        <v/>
      </c>
      <c r="J129" s="246">
        <f ca="1">COUNT(A127:A131)</f>
        <v>0</v>
      </c>
      <c r="K129" s="247" t="str">
        <f ca="1">IF(ISNUMBER(A129),RANK(F129,F127:F131),"")</f>
        <v/>
      </c>
      <c r="L129" s="142">
        <f ca="1">IF(J129=5,VLOOKUP(K129,TPMatrix!$A$6:$B$10,2,0),IF(J129=4,VLOOKUP(K129,TPMatrix!$D$6:$E$9,2,0),0))</f>
        <v>0</v>
      </c>
      <c r="M129" s="142">
        <f ca="1">IF(COUNTIF(K127:K131,K129)&gt;=2,IF(J129=5,VLOOKUP(K129+1,TPMatrix!$A$6:$B$10,2,0),IF(J129=4,VLOOKUP(K129+1,TPMatrix!$D$6:$E$9,2,0),0)),"")</f>
        <v>0</v>
      </c>
      <c r="N129" s="142">
        <f ca="1">IF(COUNTIF(K127:K131,K129)&gt;=3,IF(J129=5,VLOOKUP(K129+2,TPMatrix!$A$6:$B$10,2,0),IF(J129=4,VLOOKUP(K129+2,TPMatrix!$D$6:$E$9,2,0),0)),"")</f>
        <v>0</v>
      </c>
      <c r="O129" s="142">
        <f ca="1">IF(COUNTIF(K127:K131,K129)&gt;=4,IF(J129=5,VLOOKUP(K129+3,TPMatrix!$A$6:$B$10,2,0),IF(J129=4,VLOOKUP(K129+3,TPMatrix!$D$6:$E$9,2,0),0)),"")</f>
        <v>0</v>
      </c>
      <c r="P129" s="142">
        <f ca="1">IF(COUNTIF(K127:K131,K129)&gt;=5,IF(J129=5,VLOOKUP(K129+4,TPMatrix!$A$6:$B$10,2,0),IF(J129=4,VLOOKUP(K129+4,TPMatrix!$D$6:$E$9,2,0),0)),"")</f>
        <v>0</v>
      </c>
      <c r="Q129" s="142">
        <f t="shared" ca="1" si="40"/>
        <v>0</v>
      </c>
      <c r="R129" s="248">
        <f t="shared" ca="1" si="41"/>
        <v>5</v>
      </c>
      <c r="S129" s="247">
        <f t="shared" ca="1" si="42"/>
        <v>0</v>
      </c>
      <c r="T129" s="142">
        <f t="shared" si="43"/>
        <v>0</v>
      </c>
      <c r="U129" s="248">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2.95" customHeight="1" x14ac:dyDescent="0.2">
      <c r="A130" s="249" t="str">
        <f ca="1">IF(ISBLANK('Tournament Info'!$B$11),"",INDIRECT(ADDRESS(ROW(),1,1,1,"Optimal Seating "&amp;'Tournament Info'!$B$11-1&amp;"R+F")))</f>
        <v/>
      </c>
      <c r="B130" s="250" t="str">
        <f ca="1">IF(ISNUMBER(A130),VLOOKUP(A130,Methuselahs!$A$7:$E$206,2,0),"")</f>
        <v/>
      </c>
      <c r="C130" s="251" t="str">
        <f ca="1">IF(ISNUMBER(A130),VLOOKUP(A130,Methuselahs!$A$7:$E$206,3,0),"")</f>
        <v/>
      </c>
      <c r="D130" s="252" t="str">
        <f t="shared" ca="1" si="36"/>
        <v/>
      </c>
      <c r="E130" s="253"/>
      <c r="F130" s="251">
        <f t="shared" si="37"/>
        <v>0</v>
      </c>
      <c r="G130" s="235" t="str">
        <f t="shared" ca="1" si="38"/>
        <v/>
      </c>
      <c r="H130" s="236" t="str">
        <f ca="1">IF(ISNUMBER(A130),IF(OR($S130=$U130,NOT(ISNA(MATCH($D130*5+$V$4,Override!$C$6:$C$125,0)))),$Q130,0),"")</f>
        <v/>
      </c>
      <c r="I130" s="252" t="str">
        <f t="shared" ca="1" si="39"/>
        <v/>
      </c>
      <c r="J130" s="254">
        <f ca="1">COUNT(A127:A131)</f>
        <v>0</v>
      </c>
      <c r="K130" s="238" t="str">
        <f ca="1">IF(ISNUMBER(A130),RANK(F130,F127:F131),"")</f>
        <v/>
      </c>
      <c r="L130" s="239">
        <f ca="1">IF(J130=5,VLOOKUP(K130,TPMatrix!$A$6:$B$10,2,0),IF(J130=4,VLOOKUP(K130,TPMatrix!$D$6:$E$9,2,0),0))</f>
        <v>0</v>
      </c>
      <c r="M130" s="239">
        <f ca="1">IF(COUNTIF(K127:K131,K130)&gt;=2,IF(J130=5,VLOOKUP(K130+1,TPMatrix!$A$6:$B$10,2,0),IF(J130=4,VLOOKUP(K130+1,TPMatrix!$D$6:$E$9,2,0),0)),"")</f>
        <v>0</v>
      </c>
      <c r="N130" s="239">
        <f ca="1">IF(COUNTIF(K127:K131,K130)&gt;=3,IF(J130=5,VLOOKUP(K130+2,TPMatrix!$A$6:$B$10,2,0),IF(J130=4,VLOOKUP(K130+2,TPMatrix!$D$6:$E$9,2,0),0)),"")</f>
        <v>0</v>
      </c>
      <c r="O130" s="239">
        <f ca="1">IF(COUNTIF(K127:K131,K130)&gt;=4,IF(J130=5,VLOOKUP(K130+3,TPMatrix!$A$6:$B$10,2,0),IF(J130=4,VLOOKUP(K130+3,TPMatrix!$D$6:$E$9,2,0),0)),"")</f>
        <v>0</v>
      </c>
      <c r="P130" s="239">
        <f ca="1">IF(COUNTIF(K127:K131,K130)&gt;=5,IF(J130=5,VLOOKUP(K130+4,TPMatrix!$A$6:$B$10,2,0),IF(J130=4,VLOOKUP(K130+4,TPMatrix!$D$6:$E$9,2,0),0)),"")</f>
        <v>0</v>
      </c>
      <c r="Q130" s="239">
        <f t="shared" ca="1" si="40"/>
        <v>0</v>
      </c>
      <c r="R130" s="240">
        <f t="shared" ca="1" si="41"/>
        <v>5</v>
      </c>
      <c r="S130" s="238">
        <f t="shared" ca="1" si="42"/>
        <v>0</v>
      </c>
      <c r="T130" s="239">
        <f t="shared" si="43"/>
        <v>0</v>
      </c>
      <c r="U130" s="240">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2.95" customHeight="1" x14ac:dyDescent="0.2">
      <c r="A131" s="255" t="str">
        <f ca="1">IF(ISBLANK('Tournament Info'!$B$11),"",INDIRECT(ADDRESS(ROW(),1,1,1,"Optimal Seating "&amp;'Tournament Info'!$B$11-1&amp;"R+F")))</f>
        <v/>
      </c>
      <c r="B131" s="256" t="str">
        <f ca="1">IF(ISNUMBER(A131),VLOOKUP(A131,Methuselahs!$A$7:$E$206,2,0),"")</f>
        <v/>
      </c>
      <c r="C131" s="257" t="str">
        <f ca="1">IF(ISNUMBER(A131),VLOOKUP(A131,Methuselahs!$A$7:$E$206,3,0),"")</f>
        <v/>
      </c>
      <c r="D131" s="258" t="str">
        <f t="shared" ca="1" si="36"/>
        <v/>
      </c>
      <c r="E131" s="259"/>
      <c r="F131" s="257">
        <f t="shared" si="37"/>
        <v>0</v>
      </c>
      <c r="G131" s="244" t="str">
        <f t="shared" ca="1" si="38"/>
        <v/>
      </c>
      <c r="H131" s="245" t="str">
        <f ca="1">IF(ISNUMBER(A131),IF(OR($S131=$U131,NOT(ISNA(MATCH($D131*5+$V$4,Override!$C$6:$C$125,0)))),$Q131,0),"")</f>
        <v/>
      </c>
      <c r="I131" s="258" t="str">
        <f t="shared" ca="1" si="39"/>
        <v/>
      </c>
      <c r="J131" s="260">
        <f ca="1">COUNT(A127:A131)</f>
        <v>0</v>
      </c>
      <c r="K131" s="261" t="str">
        <f ca="1">IF(ISNUMBER(A131),RANK(F131,F127:F131),"")</f>
        <v/>
      </c>
      <c r="L131" s="262">
        <f ca="1">IF(J131=5,VLOOKUP(K131,TPMatrix!$A$6:$B$10,2,0),IF(J131=4,VLOOKUP(K131,TPMatrix!$D$6:$E$9,2,0),0))</f>
        <v>0</v>
      </c>
      <c r="M131" s="262">
        <f ca="1">IF(COUNTIF(K127:K131,K131)&gt;=2,IF(J131=5,VLOOKUP(K131+1,TPMatrix!$A$6:$B$10,2,0),IF(J131=4,VLOOKUP(K131+1,TPMatrix!$D$6:$E$9,2,0),0)),"")</f>
        <v>0</v>
      </c>
      <c r="N131" s="262">
        <f ca="1">IF(COUNTIF(K127:K131,K131)&gt;=3,IF(J131=5,VLOOKUP(K131+2,TPMatrix!$A$6:$B$10,2,0),IF(J131=4,VLOOKUP(K131+2,TPMatrix!$D$6:$E$9,2,0),0)),"")</f>
        <v>0</v>
      </c>
      <c r="O131" s="262">
        <f ca="1">IF(COUNTIF(K127:K131,K131)&gt;=4,IF(J131=5,VLOOKUP(K131+3,TPMatrix!$A$6:$B$10,2,0),IF(J131=4,VLOOKUP(K131+3,TPMatrix!$D$6:$E$9,2,0),0)),"")</f>
        <v>0</v>
      </c>
      <c r="P131" s="262">
        <f ca="1">IF(COUNTIF(K127:K131,K131)&gt;=5,IF(J131=5,VLOOKUP(K131+4,TPMatrix!$A$6:$B$10,2,0),IF(J131=4,VLOOKUP(K131+4,TPMatrix!$D$6:$E$9,2,0),0)),"")</f>
        <v>0</v>
      </c>
      <c r="Q131" s="262">
        <f t="shared" ca="1" si="40"/>
        <v>0</v>
      </c>
      <c r="R131" s="263">
        <f t="shared" ca="1" si="41"/>
        <v>5</v>
      </c>
      <c r="S131" s="261">
        <f t="shared" ca="1" si="42"/>
        <v>0</v>
      </c>
      <c r="T131" s="262">
        <f t="shared" si="43"/>
        <v>0</v>
      </c>
      <c r="U131" s="263">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2.95" customHeight="1" x14ac:dyDescent="0.2">
      <c r="A132" s="219" t="str">
        <f ca="1">IF(ISBLANK('Tournament Info'!$B$11),"",INDIRECT(ADDRESS(ROW(),1,1,1,"Optimal Seating "&amp;'Tournament Info'!$B$11-1&amp;"R+F")))</f>
        <v/>
      </c>
      <c r="B132" s="143" t="str">
        <f ca="1">IF(ISNUMBER(A132),VLOOKUP(A132,Methuselahs!$A$7:$E$206,2,0),"")</f>
        <v/>
      </c>
      <c r="C132" s="220" t="str">
        <f ca="1">IF(ISNUMBER(A132),VLOOKUP(A132,Methuselahs!$A$7:$E$206,3,0),"")</f>
        <v/>
      </c>
      <c r="D132" s="221" t="str">
        <f t="shared" ca="1" si="36"/>
        <v/>
      </c>
      <c r="E132" s="222"/>
      <c r="F132" s="220">
        <f t="shared" si="37"/>
        <v>0</v>
      </c>
      <c r="G132" s="223" t="str">
        <f t="shared" ca="1" si="38"/>
        <v/>
      </c>
      <c r="H132" s="224" t="str">
        <f ca="1">IF(ISNUMBER(A132),IF(OR($S132=$U132,NOT(ISNA(MATCH($D132*5+$V$4,Override!$C$6:$C$125,0)))),$Q132,0),"")</f>
        <v/>
      </c>
      <c r="I132" s="221" t="str">
        <f t="shared" ca="1" si="39"/>
        <v/>
      </c>
      <c r="J132" s="225">
        <f ca="1">COUNT(A132:A136)</f>
        <v>0</v>
      </c>
      <c r="K132" s="226" t="str">
        <f ca="1">IF(ISNUMBER(A132),RANK(F132,F132:F136),"")</f>
        <v/>
      </c>
      <c r="L132" s="227">
        <f ca="1">IF(J132=5,VLOOKUP(K132,TPMatrix!$A$6:$B$10,2,0),IF(J132=4,VLOOKUP(K132,TPMatrix!$D$6:$E$9,2,0),0))</f>
        <v>0</v>
      </c>
      <c r="M132" s="227">
        <f ca="1">IF(COUNTIF(K132:K136,K132)&gt;=2,IF(J132=5,VLOOKUP(K132+1,TPMatrix!$A$6:$B$10,2,0),IF(J132=4,VLOOKUP(K132+1,TPMatrix!$D$6:$E$9,2,0),0)),"")</f>
        <v>0</v>
      </c>
      <c r="N132" s="227">
        <f ca="1">IF(COUNTIF(K132:K136,K132)&gt;=3,IF(J132=5,VLOOKUP(K132+2,TPMatrix!$A$6:$B$10,2,0),IF(J132=4,VLOOKUP(K132+2,TPMatrix!$D$6:$E$9,2,0),0)),"")</f>
        <v>0</v>
      </c>
      <c r="O132" s="227">
        <f ca="1">IF(COUNTIF(K132:K136,K132)&gt;=4,IF(J132=5,VLOOKUP(K132+3,TPMatrix!$A$6:$B$10,2,0),IF(J132=4,VLOOKUP(K132+3,TPMatrix!$D$6:$E$9,2,0),0)),"")</f>
        <v>0</v>
      </c>
      <c r="P132" s="227">
        <f ca="1">IF(COUNTIF(K132:K136,K132)&gt;=5,IF(J132=5,VLOOKUP(K132+4,TPMatrix!$A$6:$B$10,2,0),IF(J132=4,VLOOKUP(K132+4,TPMatrix!$D$6:$E$9,2,0),0)),"")</f>
        <v>0</v>
      </c>
      <c r="Q132" s="227">
        <f t="shared" ca="1" si="40"/>
        <v>0</v>
      </c>
      <c r="R132" s="228">
        <f t="shared" ca="1" si="41"/>
        <v>5</v>
      </c>
      <c r="S132" s="229">
        <f t="shared" ca="1" si="42"/>
        <v>0</v>
      </c>
      <c r="T132" s="230">
        <f t="shared" si="43"/>
        <v>0</v>
      </c>
      <c r="U132" s="231">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2.95" customHeight="1" x14ac:dyDescent="0.2">
      <c r="A133" s="111" t="str">
        <f ca="1">IF(ISBLANK('Tournament Info'!$B$11),"",INDIRECT(ADDRESS(ROW(),1,1,1,"Optimal Seating "&amp;'Tournament Info'!$B$11-1&amp;"R+F")))</f>
        <v/>
      </c>
      <c r="B133" s="117" t="str">
        <f ca="1">IF(ISNUMBER(A133),VLOOKUP(A133,Methuselahs!$A$7:$E$206,2,0),"")</f>
        <v/>
      </c>
      <c r="C133" s="232" t="str">
        <f ca="1">IF(ISNUMBER(A133),VLOOKUP(A133,Methuselahs!$A$7:$E$206,3,0),"")</f>
        <v/>
      </c>
      <c r="D133" s="233" t="str">
        <f t="shared" ca="1" si="36"/>
        <v/>
      </c>
      <c r="E133" s="234"/>
      <c r="F133" s="232">
        <f t="shared" si="37"/>
        <v>0</v>
      </c>
      <c r="G133" s="235" t="str">
        <f t="shared" ca="1" si="38"/>
        <v/>
      </c>
      <c r="H133" s="236" t="str">
        <f ca="1">IF(ISNUMBER(A133),IF(OR($S133=$U133,NOT(ISNA(MATCH($D133*5+$V$4,Override!$C$6:$C$125,0)))),$Q133,0),"")</f>
        <v/>
      </c>
      <c r="I133" s="233" t="str">
        <f t="shared" ca="1" si="39"/>
        <v/>
      </c>
      <c r="J133" s="237">
        <f ca="1">COUNT(A132:A136)</f>
        <v>0</v>
      </c>
      <c r="K133" s="238" t="str">
        <f ca="1">IF(ISNUMBER(A133),RANK(F133,F132:F136),"")</f>
        <v/>
      </c>
      <c r="L133" s="239">
        <f ca="1">IF(J133=5,VLOOKUP(K133,TPMatrix!$A$6:$B$10,2,0),IF(J133=4,VLOOKUP(K133,TPMatrix!$D$6:$E$9,2,0),0))</f>
        <v>0</v>
      </c>
      <c r="M133" s="239">
        <f ca="1">IF(COUNTIF(K132:K136,K133)&gt;=2,IF(J133=5,VLOOKUP(K133+1,TPMatrix!$A$6:$B$10,2,0),IF(J133=4,VLOOKUP(K133+1,TPMatrix!$D$6:$E$9,2,0),0)),"")</f>
        <v>0</v>
      </c>
      <c r="N133" s="239">
        <f ca="1">IF(COUNTIF(K132:K136,K133)&gt;=3,IF(J133=5,VLOOKUP(K133+2,TPMatrix!$A$6:$B$10,2,0),IF(J133=4,VLOOKUP(K133+2,TPMatrix!$D$6:$E$9,2,0),0)),"")</f>
        <v>0</v>
      </c>
      <c r="O133" s="239">
        <f ca="1">IF(COUNTIF(K132:K136,K133)&gt;=4,IF(J133=5,VLOOKUP(K133+3,TPMatrix!$A$6:$B$10,2,0),IF(J133=4,VLOOKUP(K133+3,TPMatrix!$D$6:$E$9,2,0),0)),"")</f>
        <v>0</v>
      </c>
      <c r="P133" s="239">
        <f ca="1">IF(COUNTIF(K132:K136,K133)&gt;=5,IF(J133=5,VLOOKUP(K133+4,TPMatrix!$A$6:$B$10,2,0),IF(J133=4,VLOOKUP(K133+4,TPMatrix!$D$6:$E$9,2,0),0)),"")</f>
        <v>0</v>
      </c>
      <c r="Q133" s="239">
        <f t="shared" ca="1" si="40"/>
        <v>0</v>
      </c>
      <c r="R133" s="240">
        <f t="shared" ca="1" si="41"/>
        <v>5</v>
      </c>
      <c r="S133" s="238">
        <f t="shared" ca="1" si="42"/>
        <v>0</v>
      </c>
      <c r="T133" s="239">
        <f t="shared" si="43"/>
        <v>0</v>
      </c>
      <c r="U133" s="240">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2.95" customHeight="1" x14ac:dyDescent="0.2">
      <c r="A134" s="137" t="str">
        <f ca="1">IF(ISBLANK('Tournament Info'!$B$11),"",INDIRECT(ADDRESS(ROW(),1,1,1,"Optimal Seating "&amp;'Tournament Info'!$B$11-1&amp;"R+F")))</f>
        <v/>
      </c>
      <c r="B134" s="143" t="str">
        <f ca="1">IF(ISNUMBER(A134),VLOOKUP(A134,Methuselahs!$A$7:$E$206,2,0),"")</f>
        <v/>
      </c>
      <c r="C134" s="241" t="str">
        <f ca="1">IF(ISNUMBER(A134),VLOOKUP(A134,Methuselahs!$A$7:$E$206,3,0),"")</f>
        <v/>
      </c>
      <c r="D134" s="242" t="str">
        <f t="shared" ca="1" si="36"/>
        <v/>
      </c>
      <c r="E134" s="243"/>
      <c r="F134" s="241">
        <f t="shared" si="37"/>
        <v>0</v>
      </c>
      <c r="G134" s="244" t="str">
        <f t="shared" ca="1" si="38"/>
        <v/>
      </c>
      <c r="H134" s="245" t="str">
        <f ca="1">IF(ISNUMBER(A134),IF(OR($S134=$U134,NOT(ISNA(MATCH($D134*5+$V$4,Override!$C$6:$C$125,0)))),$Q134,0),"")</f>
        <v/>
      </c>
      <c r="I134" s="242" t="str">
        <f t="shared" ca="1" si="39"/>
        <v/>
      </c>
      <c r="J134" s="246">
        <f ca="1">COUNT(A132:A136)</f>
        <v>0</v>
      </c>
      <c r="K134" s="247" t="str">
        <f ca="1">IF(ISNUMBER(A134),RANK(F134,F132:F136),"")</f>
        <v/>
      </c>
      <c r="L134" s="142">
        <f ca="1">IF(J134=5,VLOOKUP(K134,TPMatrix!$A$6:$B$10,2,0),IF(J134=4,VLOOKUP(K134,TPMatrix!$D$6:$E$9,2,0),0))</f>
        <v>0</v>
      </c>
      <c r="M134" s="142">
        <f ca="1">IF(COUNTIF(K132:K136,K134)&gt;=2,IF(J134=5,VLOOKUP(K134+1,TPMatrix!$A$6:$B$10,2,0),IF(J134=4,VLOOKUP(K134+1,TPMatrix!$D$6:$E$9,2,0),0)),"")</f>
        <v>0</v>
      </c>
      <c r="N134" s="142">
        <f ca="1">IF(COUNTIF(K132:K136,K134)&gt;=3,IF(J134=5,VLOOKUP(K134+2,TPMatrix!$A$6:$B$10,2,0),IF(J134=4,VLOOKUP(K134+2,TPMatrix!$D$6:$E$9,2,0),0)),"")</f>
        <v>0</v>
      </c>
      <c r="O134" s="142">
        <f ca="1">IF(COUNTIF(K132:K136,K134)&gt;=4,IF(J134=5,VLOOKUP(K134+3,TPMatrix!$A$6:$B$10,2,0),IF(J134=4,VLOOKUP(K134+3,TPMatrix!$D$6:$E$9,2,0),0)),"")</f>
        <v>0</v>
      </c>
      <c r="P134" s="142">
        <f ca="1">IF(COUNTIF(K132:K136,K134)&gt;=5,IF(J134=5,VLOOKUP(K134+4,TPMatrix!$A$6:$B$10,2,0),IF(J134=4,VLOOKUP(K134+4,TPMatrix!$D$6:$E$9,2,0),0)),"")</f>
        <v>0</v>
      </c>
      <c r="Q134" s="142">
        <f t="shared" ca="1" si="40"/>
        <v>0</v>
      </c>
      <c r="R134" s="248">
        <f t="shared" ca="1" si="41"/>
        <v>5</v>
      </c>
      <c r="S134" s="247">
        <f t="shared" ca="1" si="42"/>
        <v>0</v>
      </c>
      <c r="T134" s="142">
        <f t="shared" si="43"/>
        <v>0</v>
      </c>
      <c r="U134" s="248">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2.95" customHeight="1" x14ac:dyDescent="0.2">
      <c r="A135" s="249" t="str">
        <f ca="1">IF(ISBLANK('Tournament Info'!$B$11),"",INDIRECT(ADDRESS(ROW(),1,1,1,"Optimal Seating "&amp;'Tournament Info'!$B$11-1&amp;"R+F")))</f>
        <v/>
      </c>
      <c r="B135" s="250" t="str">
        <f ca="1">IF(ISNUMBER(A135),VLOOKUP(A135,Methuselahs!$A$7:$E$206,2,0),"")</f>
        <v/>
      </c>
      <c r="C135" s="251" t="str">
        <f ca="1">IF(ISNUMBER(A135),VLOOKUP(A135,Methuselahs!$A$7:$E$206,3,0),"")</f>
        <v/>
      </c>
      <c r="D135" s="252" t="str">
        <f t="shared" ref="D135:D166" ca="1" si="48">IF(ISNUMBER(A135),FLOOR((ROW()-ROW($A$7))/5,1)+1,"")</f>
        <v/>
      </c>
      <c r="E135" s="253"/>
      <c r="F135" s="251">
        <f t="shared" ref="F135:F166" si="49">IF(ISNUMBER(E135),E135,0)</f>
        <v>0</v>
      </c>
      <c r="G135" s="235" t="str">
        <f t="shared" ref="G135:G166" ca="1" si="50">IF(ISNUMBER($A135),IF(AND($F135&gt;=2,$H135=60),1,0),"")</f>
        <v/>
      </c>
      <c r="H135" s="236" t="str">
        <f ca="1">IF(ISNUMBER(A135),IF(OR($S135=$U135,NOT(ISNA(MATCH($D135*5+$V$4,Override!$C$6:$C$125,0)))),$Q135,0),"")</f>
        <v/>
      </c>
      <c r="I135" s="252" t="str">
        <f t="shared" ref="I135:I166" ca="1" si="51">IF(ISNUMBER(A135),IF(J135=5,K135,IF(AND(J135=4,OR(K135=4,K135=3)),K135+1,K135)),"")</f>
        <v/>
      </c>
      <c r="J135" s="254">
        <f ca="1">COUNT(A132:A136)</f>
        <v>0</v>
      </c>
      <c r="K135" s="238" t="str">
        <f ca="1">IF(ISNUMBER(A135),RANK(F135,F132:F136),"")</f>
        <v/>
      </c>
      <c r="L135" s="239">
        <f ca="1">IF(J135=5,VLOOKUP(K135,TPMatrix!$A$6:$B$10,2,0),IF(J135=4,VLOOKUP(K135,TPMatrix!$D$6:$E$9,2,0),0))</f>
        <v>0</v>
      </c>
      <c r="M135" s="239">
        <f ca="1">IF(COUNTIF(K132:K136,K135)&gt;=2,IF(J135=5,VLOOKUP(K135+1,TPMatrix!$A$6:$B$10,2,0),IF(J135=4,VLOOKUP(K135+1,TPMatrix!$D$6:$E$9,2,0),0)),"")</f>
        <v>0</v>
      </c>
      <c r="N135" s="239">
        <f ca="1">IF(COUNTIF(K132:K136,K135)&gt;=3,IF(J135=5,VLOOKUP(K135+2,TPMatrix!$A$6:$B$10,2,0),IF(J135=4,VLOOKUP(K135+2,TPMatrix!$D$6:$E$9,2,0),0)),"")</f>
        <v>0</v>
      </c>
      <c r="O135" s="239">
        <f ca="1">IF(COUNTIF(K132:K136,K135)&gt;=4,IF(J135=5,VLOOKUP(K135+3,TPMatrix!$A$6:$B$10,2,0),IF(J135=4,VLOOKUP(K135+3,TPMatrix!$D$6:$E$9,2,0),0)),"")</f>
        <v>0</v>
      </c>
      <c r="P135" s="239">
        <f ca="1">IF(COUNTIF(K132:K136,K135)&gt;=5,IF(J135=5,VLOOKUP(K135+4,TPMatrix!$A$6:$B$10,2,0),IF(J135=4,VLOOKUP(K135+4,TPMatrix!$D$6:$E$9,2,0),0)),"")</f>
        <v>0</v>
      </c>
      <c r="Q135" s="239">
        <f t="shared" ref="Q135:Q166" ca="1" si="52">SUM(L135:P135)/COUNT(L135:P135)</f>
        <v>0</v>
      </c>
      <c r="R135" s="240">
        <f t="shared" ref="R135:R166" ca="1" si="53">COUNT(L135:P135)</f>
        <v>5</v>
      </c>
      <c r="S135" s="238">
        <f t="shared" ref="S135:S166" ca="1" si="54">IF(ISNUMBER($A135),COUNTIF($D$7:$D$206,$D135),0)</f>
        <v>0</v>
      </c>
      <c r="T135" s="239">
        <f t="shared" ref="T135:T166" si="55">CEILING($F135,1)</f>
        <v>0</v>
      </c>
      <c r="U135" s="240">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2.95" customHeight="1" x14ac:dyDescent="0.2">
      <c r="A136" s="255" t="str">
        <f ca="1">IF(ISBLANK('Tournament Info'!$B$11),"",INDIRECT(ADDRESS(ROW(),1,1,1,"Optimal Seating "&amp;'Tournament Info'!$B$11-1&amp;"R+F")))</f>
        <v/>
      </c>
      <c r="B136" s="256" t="str">
        <f ca="1">IF(ISNUMBER(A136),VLOOKUP(A136,Methuselahs!$A$7:$E$206,2,0),"")</f>
        <v/>
      </c>
      <c r="C136" s="257" t="str">
        <f ca="1">IF(ISNUMBER(A136),VLOOKUP(A136,Methuselahs!$A$7:$E$206,3,0),"")</f>
        <v/>
      </c>
      <c r="D136" s="258" t="str">
        <f t="shared" ca="1" si="48"/>
        <v/>
      </c>
      <c r="E136" s="259"/>
      <c r="F136" s="257">
        <f t="shared" si="49"/>
        <v>0</v>
      </c>
      <c r="G136" s="244" t="str">
        <f t="shared" ca="1" si="50"/>
        <v/>
      </c>
      <c r="H136" s="245" t="str">
        <f ca="1">IF(ISNUMBER(A136),IF(OR($S136=$U136,NOT(ISNA(MATCH($D136*5+$V$4,Override!$C$6:$C$125,0)))),$Q136,0),"")</f>
        <v/>
      </c>
      <c r="I136" s="258" t="str">
        <f t="shared" ca="1" si="51"/>
        <v/>
      </c>
      <c r="J136" s="260">
        <f ca="1">COUNT(A132:A136)</f>
        <v>0</v>
      </c>
      <c r="K136" s="261" t="str">
        <f ca="1">IF(ISNUMBER(A136),RANK(F136,F132:F136),"")</f>
        <v/>
      </c>
      <c r="L136" s="262">
        <f ca="1">IF(J136=5,VLOOKUP(K136,TPMatrix!$A$6:$B$10,2,0),IF(J136=4,VLOOKUP(K136,TPMatrix!$D$6:$E$9,2,0),0))</f>
        <v>0</v>
      </c>
      <c r="M136" s="262">
        <f ca="1">IF(COUNTIF(K132:K136,K136)&gt;=2,IF(J136=5,VLOOKUP(K136+1,TPMatrix!$A$6:$B$10,2,0),IF(J136=4,VLOOKUP(K136+1,TPMatrix!$D$6:$E$9,2,0),0)),"")</f>
        <v>0</v>
      </c>
      <c r="N136" s="262">
        <f ca="1">IF(COUNTIF(K132:K136,K136)&gt;=3,IF(J136=5,VLOOKUP(K136+2,TPMatrix!$A$6:$B$10,2,0),IF(J136=4,VLOOKUP(K136+2,TPMatrix!$D$6:$E$9,2,0),0)),"")</f>
        <v>0</v>
      </c>
      <c r="O136" s="262">
        <f ca="1">IF(COUNTIF(K132:K136,K136)&gt;=4,IF(J136=5,VLOOKUP(K136+3,TPMatrix!$A$6:$B$10,2,0),IF(J136=4,VLOOKUP(K136+3,TPMatrix!$D$6:$E$9,2,0),0)),"")</f>
        <v>0</v>
      </c>
      <c r="P136" s="262">
        <f ca="1">IF(COUNTIF(K132:K136,K136)&gt;=5,IF(J136=5,VLOOKUP(K136+4,TPMatrix!$A$6:$B$10,2,0),IF(J136=4,VLOOKUP(K136+4,TPMatrix!$D$6:$E$9,2,0),0)),"")</f>
        <v>0</v>
      </c>
      <c r="Q136" s="262">
        <f t="shared" ca="1" si="52"/>
        <v>0</v>
      </c>
      <c r="R136" s="263">
        <f t="shared" ca="1" si="53"/>
        <v>5</v>
      </c>
      <c r="S136" s="261">
        <f t="shared" ca="1" si="54"/>
        <v>0</v>
      </c>
      <c r="T136" s="262">
        <f t="shared" si="55"/>
        <v>0</v>
      </c>
      <c r="U136" s="263">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2.95" customHeight="1" x14ac:dyDescent="0.2">
      <c r="A137" s="219" t="str">
        <f ca="1">IF(ISBLANK('Tournament Info'!$B$11),"",INDIRECT(ADDRESS(ROW(),1,1,1,"Optimal Seating "&amp;'Tournament Info'!$B$11-1&amp;"R+F")))</f>
        <v/>
      </c>
      <c r="B137" s="143" t="str">
        <f ca="1">IF(ISNUMBER(A137),VLOOKUP(A137,Methuselahs!$A$7:$E$206,2,0),"")</f>
        <v/>
      </c>
      <c r="C137" s="220" t="str">
        <f ca="1">IF(ISNUMBER(A137),VLOOKUP(A137,Methuselahs!$A$7:$E$206,3,0),"")</f>
        <v/>
      </c>
      <c r="D137" s="221" t="str">
        <f t="shared" ca="1" si="48"/>
        <v/>
      </c>
      <c r="E137" s="222"/>
      <c r="F137" s="220">
        <f t="shared" si="49"/>
        <v>0</v>
      </c>
      <c r="G137" s="223" t="str">
        <f t="shared" ca="1" si="50"/>
        <v/>
      </c>
      <c r="H137" s="224" t="str">
        <f ca="1">IF(ISNUMBER(A137),IF(OR($S137=$U137,NOT(ISNA(MATCH($D137*5+$V$4,Override!$C$6:$C$125,0)))),$Q137,0),"")</f>
        <v/>
      </c>
      <c r="I137" s="221" t="str">
        <f t="shared" ca="1" si="51"/>
        <v/>
      </c>
      <c r="J137" s="225">
        <f ca="1">COUNT(A137:A141)</f>
        <v>0</v>
      </c>
      <c r="K137" s="226" t="str">
        <f ca="1">IF(ISNUMBER(A137),RANK(F137,F137:F141),"")</f>
        <v/>
      </c>
      <c r="L137" s="227">
        <f ca="1">IF(J137=5,VLOOKUP(K137,TPMatrix!$A$6:$B$10,2,0),IF(J137=4,VLOOKUP(K137,TPMatrix!$D$6:$E$9,2,0),0))</f>
        <v>0</v>
      </c>
      <c r="M137" s="227">
        <f ca="1">IF(COUNTIF(K137:K141,K137)&gt;=2,IF(J137=5,VLOOKUP(K137+1,TPMatrix!$A$6:$B$10,2,0),IF(J137=4,VLOOKUP(K137+1,TPMatrix!$D$6:$E$9,2,0),0)),"")</f>
        <v>0</v>
      </c>
      <c r="N137" s="227">
        <f ca="1">IF(COUNTIF(K137:K141,K137)&gt;=3,IF(J137=5,VLOOKUP(K137+2,TPMatrix!$A$6:$B$10,2,0),IF(J137=4,VLOOKUP(K137+2,TPMatrix!$D$6:$E$9,2,0),0)),"")</f>
        <v>0</v>
      </c>
      <c r="O137" s="227">
        <f ca="1">IF(COUNTIF(K137:K141,K137)&gt;=4,IF(J137=5,VLOOKUP(K137+3,TPMatrix!$A$6:$B$10,2,0),IF(J137=4,VLOOKUP(K137+3,TPMatrix!$D$6:$E$9,2,0),0)),"")</f>
        <v>0</v>
      </c>
      <c r="P137" s="227">
        <f ca="1">IF(COUNTIF(K137:K141,K137)&gt;=5,IF(J137=5,VLOOKUP(K137+4,TPMatrix!$A$6:$B$10,2,0),IF(J137=4,VLOOKUP(K137+4,TPMatrix!$D$6:$E$9,2,0),0)),"")</f>
        <v>0</v>
      </c>
      <c r="Q137" s="227">
        <f t="shared" ca="1" si="52"/>
        <v>0</v>
      </c>
      <c r="R137" s="228">
        <f t="shared" ca="1" si="53"/>
        <v>5</v>
      </c>
      <c r="S137" s="229">
        <f t="shared" ca="1" si="54"/>
        <v>0</v>
      </c>
      <c r="T137" s="230">
        <f t="shared" si="55"/>
        <v>0</v>
      </c>
      <c r="U137" s="231">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2.95" customHeight="1" x14ac:dyDescent="0.2">
      <c r="A138" s="111" t="str">
        <f ca="1">IF(ISBLANK('Tournament Info'!$B$11),"",INDIRECT(ADDRESS(ROW(),1,1,1,"Optimal Seating "&amp;'Tournament Info'!$B$11-1&amp;"R+F")))</f>
        <v/>
      </c>
      <c r="B138" s="117" t="str">
        <f ca="1">IF(ISNUMBER(A138),VLOOKUP(A138,Methuselahs!$A$7:$E$206,2,0),"")</f>
        <v/>
      </c>
      <c r="C138" s="232" t="str">
        <f ca="1">IF(ISNUMBER(A138),VLOOKUP(A138,Methuselahs!$A$7:$E$206,3,0),"")</f>
        <v/>
      </c>
      <c r="D138" s="233" t="str">
        <f t="shared" ca="1" si="48"/>
        <v/>
      </c>
      <c r="E138" s="234"/>
      <c r="F138" s="232">
        <f t="shared" si="49"/>
        <v>0</v>
      </c>
      <c r="G138" s="235" t="str">
        <f t="shared" ca="1" si="50"/>
        <v/>
      </c>
      <c r="H138" s="236" t="str">
        <f ca="1">IF(ISNUMBER(A138),IF(OR($S138=$U138,NOT(ISNA(MATCH($D138*5+$V$4,Override!$C$6:$C$125,0)))),$Q138,0),"")</f>
        <v/>
      </c>
      <c r="I138" s="233" t="str">
        <f t="shared" ca="1" si="51"/>
        <v/>
      </c>
      <c r="J138" s="237">
        <f ca="1">COUNT(A137:A141)</f>
        <v>0</v>
      </c>
      <c r="K138" s="238" t="str">
        <f ca="1">IF(ISNUMBER(A138),RANK(F138,F137:F141),"")</f>
        <v/>
      </c>
      <c r="L138" s="239">
        <f ca="1">IF(J138=5,VLOOKUP(K138,TPMatrix!$A$6:$B$10,2,0),IF(J138=4,VLOOKUP(K138,TPMatrix!$D$6:$E$9,2,0),0))</f>
        <v>0</v>
      </c>
      <c r="M138" s="239">
        <f ca="1">IF(COUNTIF(K137:K141,K138)&gt;=2,IF(J138=5,VLOOKUP(K138+1,TPMatrix!$A$6:$B$10,2,0),IF(J138=4,VLOOKUP(K138+1,TPMatrix!$D$6:$E$9,2,0),0)),"")</f>
        <v>0</v>
      </c>
      <c r="N138" s="239">
        <f ca="1">IF(COUNTIF(K137:K141,K138)&gt;=3,IF(J138=5,VLOOKUP(K138+2,TPMatrix!$A$6:$B$10,2,0),IF(J138=4,VLOOKUP(K138+2,TPMatrix!$D$6:$E$9,2,0),0)),"")</f>
        <v>0</v>
      </c>
      <c r="O138" s="239">
        <f ca="1">IF(COUNTIF(K137:K141,K138)&gt;=4,IF(J138=5,VLOOKUP(K138+3,TPMatrix!$A$6:$B$10,2,0),IF(J138=4,VLOOKUP(K138+3,TPMatrix!$D$6:$E$9,2,0),0)),"")</f>
        <v>0</v>
      </c>
      <c r="P138" s="239">
        <f ca="1">IF(COUNTIF(K137:K141,K138)&gt;=5,IF(J138=5,VLOOKUP(K138+4,TPMatrix!$A$6:$B$10,2,0),IF(J138=4,VLOOKUP(K138+4,TPMatrix!$D$6:$E$9,2,0),0)),"")</f>
        <v>0</v>
      </c>
      <c r="Q138" s="239">
        <f t="shared" ca="1" si="52"/>
        <v>0</v>
      </c>
      <c r="R138" s="240">
        <f t="shared" ca="1" si="53"/>
        <v>5</v>
      </c>
      <c r="S138" s="238">
        <f t="shared" ca="1" si="54"/>
        <v>0</v>
      </c>
      <c r="T138" s="239">
        <f t="shared" si="55"/>
        <v>0</v>
      </c>
      <c r="U138" s="240">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2.95" customHeight="1" x14ac:dyDescent="0.2">
      <c r="A139" s="137" t="str">
        <f ca="1">IF(ISBLANK('Tournament Info'!$B$11),"",INDIRECT(ADDRESS(ROW(),1,1,1,"Optimal Seating "&amp;'Tournament Info'!$B$11-1&amp;"R+F")))</f>
        <v/>
      </c>
      <c r="B139" s="143" t="str">
        <f ca="1">IF(ISNUMBER(A139),VLOOKUP(A139,Methuselahs!$A$7:$E$206,2,0),"")</f>
        <v/>
      </c>
      <c r="C139" s="241" t="str">
        <f ca="1">IF(ISNUMBER(A139),VLOOKUP(A139,Methuselahs!$A$7:$E$206,3,0),"")</f>
        <v/>
      </c>
      <c r="D139" s="242" t="str">
        <f t="shared" ca="1" si="48"/>
        <v/>
      </c>
      <c r="E139" s="243"/>
      <c r="F139" s="241">
        <f t="shared" si="49"/>
        <v>0</v>
      </c>
      <c r="G139" s="244" t="str">
        <f t="shared" ca="1" si="50"/>
        <v/>
      </c>
      <c r="H139" s="245" t="str">
        <f ca="1">IF(ISNUMBER(A139),IF(OR($S139=$U139,NOT(ISNA(MATCH($D139*5+$V$4,Override!$C$6:$C$125,0)))),$Q139,0),"")</f>
        <v/>
      </c>
      <c r="I139" s="242" t="str">
        <f t="shared" ca="1" si="51"/>
        <v/>
      </c>
      <c r="J139" s="246">
        <f ca="1">COUNT(A137:A141)</f>
        <v>0</v>
      </c>
      <c r="K139" s="247" t="str">
        <f ca="1">IF(ISNUMBER(A139),RANK(F139,F137:F141),"")</f>
        <v/>
      </c>
      <c r="L139" s="142">
        <f ca="1">IF(J139=5,VLOOKUP(K139,TPMatrix!$A$6:$B$10,2,0),IF(J139=4,VLOOKUP(K139,TPMatrix!$D$6:$E$9,2,0),0))</f>
        <v>0</v>
      </c>
      <c r="M139" s="142">
        <f ca="1">IF(COUNTIF(K137:K141,K139)&gt;=2,IF(J139=5,VLOOKUP(K139+1,TPMatrix!$A$6:$B$10,2,0),IF(J139=4,VLOOKUP(K139+1,TPMatrix!$D$6:$E$9,2,0),0)),"")</f>
        <v>0</v>
      </c>
      <c r="N139" s="142">
        <f ca="1">IF(COUNTIF(K137:K141,K139)&gt;=3,IF(J139=5,VLOOKUP(K139+2,TPMatrix!$A$6:$B$10,2,0),IF(J139=4,VLOOKUP(K139+2,TPMatrix!$D$6:$E$9,2,0),0)),"")</f>
        <v>0</v>
      </c>
      <c r="O139" s="142">
        <f ca="1">IF(COUNTIF(K137:K141,K139)&gt;=4,IF(J139=5,VLOOKUP(K139+3,TPMatrix!$A$6:$B$10,2,0),IF(J139=4,VLOOKUP(K139+3,TPMatrix!$D$6:$E$9,2,0),0)),"")</f>
        <v>0</v>
      </c>
      <c r="P139" s="142">
        <f ca="1">IF(COUNTIF(K137:K141,K139)&gt;=5,IF(J139=5,VLOOKUP(K139+4,TPMatrix!$A$6:$B$10,2,0),IF(J139=4,VLOOKUP(K139+4,TPMatrix!$D$6:$E$9,2,0),0)),"")</f>
        <v>0</v>
      </c>
      <c r="Q139" s="142">
        <f t="shared" ca="1" si="52"/>
        <v>0</v>
      </c>
      <c r="R139" s="248">
        <f t="shared" ca="1" si="53"/>
        <v>5</v>
      </c>
      <c r="S139" s="247">
        <f t="shared" ca="1" si="54"/>
        <v>0</v>
      </c>
      <c r="T139" s="142">
        <f t="shared" si="55"/>
        <v>0</v>
      </c>
      <c r="U139" s="248">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2.95" customHeight="1" x14ac:dyDescent="0.2">
      <c r="A140" s="249" t="str">
        <f ca="1">IF(ISBLANK('Tournament Info'!$B$11),"",INDIRECT(ADDRESS(ROW(),1,1,1,"Optimal Seating "&amp;'Tournament Info'!$B$11-1&amp;"R+F")))</f>
        <v/>
      </c>
      <c r="B140" s="250" t="str">
        <f ca="1">IF(ISNUMBER(A140),VLOOKUP(A140,Methuselahs!$A$7:$E$206,2,0),"")</f>
        <v/>
      </c>
      <c r="C140" s="251" t="str">
        <f ca="1">IF(ISNUMBER(A140),VLOOKUP(A140,Methuselahs!$A$7:$E$206,3,0),"")</f>
        <v/>
      </c>
      <c r="D140" s="252" t="str">
        <f t="shared" ca="1" si="48"/>
        <v/>
      </c>
      <c r="E140" s="253"/>
      <c r="F140" s="251">
        <f t="shared" si="49"/>
        <v>0</v>
      </c>
      <c r="G140" s="235" t="str">
        <f t="shared" ca="1" si="50"/>
        <v/>
      </c>
      <c r="H140" s="236" t="str">
        <f ca="1">IF(ISNUMBER(A140),IF(OR($S140=$U140,NOT(ISNA(MATCH($D140*5+$V$4,Override!$C$6:$C$125,0)))),$Q140,0),"")</f>
        <v/>
      </c>
      <c r="I140" s="252" t="str">
        <f t="shared" ca="1" si="51"/>
        <v/>
      </c>
      <c r="J140" s="254">
        <f ca="1">COUNT(A137:A141)</f>
        <v>0</v>
      </c>
      <c r="K140" s="238" t="str">
        <f ca="1">IF(ISNUMBER(A140),RANK(F140,F137:F141),"")</f>
        <v/>
      </c>
      <c r="L140" s="239">
        <f ca="1">IF(J140=5,VLOOKUP(K140,TPMatrix!$A$6:$B$10,2,0),IF(J140=4,VLOOKUP(K140,TPMatrix!$D$6:$E$9,2,0),0))</f>
        <v>0</v>
      </c>
      <c r="M140" s="239">
        <f ca="1">IF(COUNTIF(K137:K141,K140)&gt;=2,IF(J140=5,VLOOKUP(K140+1,TPMatrix!$A$6:$B$10,2,0),IF(J140=4,VLOOKUP(K140+1,TPMatrix!$D$6:$E$9,2,0),0)),"")</f>
        <v>0</v>
      </c>
      <c r="N140" s="239">
        <f ca="1">IF(COUNTIF(K137:K141,K140)&gt;=3,IF(J140=5,VLOOKUP(K140+2,TPMatrix!$A$6:$B$10,2,0),IF(J140=4,VLOOKUP(K140+2,TPMatrix!$D$6:$E$9,2,0),0)),"")</f>
        <v>0</v>
      </c>
      <c r="O140" s="239">
        <f ca="1">IF(COUNTIF(K137:K141,K140)&gt;=4,IF(J140=5,VLOOKUP(K140+3,TPMatrix!$A$6:$B$10,2,0),IF(J140=4,VLOOKUP(K140+3,TPMatrix!$D$6:$E$9,2,0),0)),"")</f>
        <v>0</v>
      </c>
      <c r="P140" s="239">
        <f ca="1">IF(COUNTIF(K137:K141,K140)&gt;=5,IF(J140=5,VLOOKUP(K140+4,TPMatrix!$A$6:$B$10,2,0),IF(J140=4,VLOOKUP(K140+4,TPMatrix!$D$6:$E$9,2,0),0)),"")</f>
        <v>0</v>
      </c>
      <c r="Q140" s="239">
        <f t="shared" ca="1" si="52"/>
        <v>0</v>
      </c>
      <c r="R140" s="240">
        <f t="shared" ca="1" si="53"/>
        <v>5</v>
      </c>
      <c r="S140" s="238">
        <f t="shared" ca="1" si="54"/>
        <v>0</v>
      </c>
      <c r="T140" s="239">
        <f t="shared" si="55"/>
        <v>0</v>
      </c>
      <c r="U140" s="240">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2.95" customHeight="1" x14ac:dyDescent="0.2">
      <c r="A141" s="255" t="str">
        <f ca="1">IF(ISBLANK('Tournament Info'!$B$11),"",INDIRECT(ADDRESS(ROW(),1,1,1,"Optimal Seating "&amp;'Tournament Info'!$B$11-1&amp;"R+F")))</f>
        <v/>
      </c>
      <c r="B141" s="256" t="str">
        <f ca="1">IF(ISNUMBER(A141),VLOOKUP(A141,Methuselahs!$A$7:$E$206,2,0),"")</f>
        <v/>
      </c>
      <c r="C141" s="257" t="str">
        <f ca="1">IF(ISNUMBER(A141),VLOOKUP(A141,Methuselahs!$A$7:$E$206,3,0),"")</f>
        <v/>
      </c>
      <c r="D141" s="258" t="str">
        <f t="shared" ca="1" si="48"/>
        <v/>
      </c>
      <c r="E141" s="259"/>
      <c r="F141" s="257">
        <f t="shared" si="49"/>
        <v>0</v>
      </c>
      <c r="G141" s="244" t="str">
        <f t="shared" ca="1" si="50"/>
        <v/>
      </c>
      <c r="H141" s="245" t="str">
        <f ca="1">IF(ISNUMBER(A141),IF(OR($S141=$U141,NOT(ISNA(MATCH($D141*5+$V$4,Override!$C$6:$C$125,0)))),$Q141,0),"")</f>
        <v/>
      </c>
      <c r="I141" s="258" t="str">
        <f t="shared" ca="1" si="51"/>
        <v/>
      </c>
      <c r="J141" s="260">
        <f ca="1">COUNT(A137:A141)</f>
        <v>0</v>
      </c>
      <c r="K141" s="261" t="str">
        <f ca="1">IF(ISNUMBER(A141),RANK(F141,F137:F141),"")</f>
        <v/>
      </c>
      <c r="L141" s="262">
        <f ca="1">IF(J141=5,VLOOKUP(K141,TPMatrix!$A$6:$B$10,2,0),IF(J141=4,VLOOKUP(K141,TPMatrix!$D$6:$E$9,2,0),0))</f>
        <v>0</v>
      </c>
      <c r="M141" s="262">
        <f ca="1">IF(COUNTIF(K137:K141,K141)&gt;=2,IF(J141=5,VLOOKUP(K141+1,TPMatrix!$A$6:$B$10,2,0),IF(J141=4,VLOOKUP(K141+1,TPMatrix!$D$6:$E$9,2,0),0)),"")</f>
        <v>0</v>
      </c>
      <c r="N141" s="262">
        <f ca="1">IF(COUNTIF(K137:K141,K141)&gt;=3,IF(J141=5,VLOOKUP(K141+2,TPMatrix!$A$6:$B$10,2,0),IF(J141=4,VLOOKUP(K141+2,TPMatrix!$D$6:$E$9,2,0),0)),"")</f>
        <v>0</v>
      </c>
      <c r="O141" s="262">
        <f ca="1">IF(COUNTIF(K137:K141,K141)&gt;=4,IF(J141=5,VLOOKUP(K141+3,TPMatrix!$A$6:$B$10,2,0),IF(J141=4,VLOOKUP(K141+3,TPMatrix!$D$6:$E$9,2,0),0)),"")</f>
        <v>0</v>
      </c>
      <c r="P141" s="262">
        <f ca="1">IF(COUNTIF(K137:K141,K141)&gt;=5,IF(J141=5,VLOOKUP(K141+4,TPMatrix!$A$6:$B$10,2,0),IF(J141=4,VLOOKUP(K141+4,TPMatrix!$D$6:$E$9,2,0),0)),"")</f>
        <v>0</v>
      </c>
      <c r="Q141" s="262">
        <f t="shared" ca="1" si="52"/>
        <v>0</v>
      </c>
      <c r="R141" s="263">
        <f t="shared" ca="1" si="53"/>
        <v>5</v>
      </c>
      <c r="S141" s="261">
        <f t="shared" ca="1" si="54"/>
        <v>0</v>
      </c>
      <c r="T141" s="262">
        <f t="shared" si="55"/>
        <v>0</v>
      </c>
      <c r="U141" s="263">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2.95" customHeight="1" x14ac:dyDescent="0.2">
      <c r="A142" s="219" t="str">
        <f ca="1">IF(ISBLANK('Tournament Info'!$B$11),"",INDIRECT(ADDRESS(ROW(),1,1,1,"Optimal Seating "&amp;'Tournament Info'!$B$11-1&amp;"R+F")))</f>
        <v/>
      </c>
      <c r="B142" s="143" t="str">
        <f ca="1">IF(ISNUMBER(A142),VLOOKUP(A142,Methuselahs!$A$7:$E$206,2,0),"")</f>
        <v/>
      </c>
      <c r="C142" s="220" t="str">
        <f ca="1">IF(ISNUMBER(A142),VLOOKUP(A142,Methuselahs!$A$7:$E$206,3,0),"")</f>
        <v/>
      </c>
      <c r="D142" s="221" t="str">
        <f t="shared" ca="1" si="48"/>
        <v/>
      </c>
      <c r="E142" s="222"/>
      <c r="F142" s="220">
        <f t="shared" si="49"/>
        <v>0</v>
      </c>
      <c r="G142" s="223" t="str">
        <f t="shared" ca="1" si="50"/>
        <v/>
      </c>
      <c r="H142" s="224" t="str">
        <f ca="1">IF(ISNUMBER(A142),IF(OR($S142=$U142,NOT(ISNA(MATCH($D142*5+$V$4,Override!$C$6:$C$125,0)))),$Q142,0),"")</f>
        <v/>
      </c>
      <c r="I142" s="221" t="str">
        <f t="shared" ca="1" si="51"/>
        <v/>
      </c>
      <c r="J142" s="225">
        <f ca="1">COUNT(A142:A146)</f>
        <v>0</v>
      </c>
      <c r="K142" s="226" t="str">
        <f ca="1">IF(ISNUMBER(A142),RANK(F142,F142:F146),"")</f>
        <v/>
      </c>
      <c r="L142" s="227">
        <f ca="1">IF(J142=5,VLOOKUP(K142,TPMatrix!$A$6:$B$10,2,0),IF(J142=4,VLOOKUP(K142,TPMatrix!$D$6:$E$9,2,0),0))</f>
        <v>0</v>
      </c>
      <c r="M142" s="227">
        <f ca="1">IF(COUNTIF(K142:K146,K142)&gt;=2,IF(J142=5,VLOOKUP(K142+1,TPMatrix!$A$6:$B$10,2,0),IF(J142=4,VLOOKUP(K142+1,TPMatrix!$D$6:$E$9,2,0),0)),"")</f>
        <v>0</v>
      </c>
      <c r="N142" s="227">
        <f ca="1">IF(COUNTIF(K142:K146,K142)&gt;=3,IF(J142=5,VLOOKUP(K142+2,TPMatrix!$A$6:$B$10,2,0),IF(J142=4,VLOOKUP(K142+2,TPMatrix!$D$6:$E$9,2,0),0)),"")</f>
        <v>0</v>
      </c>
      <c r="O142" s="227">
        <f ca="1">IF(COUNTIF(K142:K146,K142)&gt;=4,IF(J142=5,VLOOKUP(K142+3,TPMatrix!$A$6:$B$10,2,0),IF(J142=4,VLOOKUP(K142+3,TPMatrix!$D$6:$E$9,2,0),0)),"")</f>
        <v>0</v>
      </c>
      <c r="P142" s="227">
        <f ca="1">IF(COUNTIF(K142:K146,K142)&gt;=5,IF(J142=5,VLOOKUP(K142+4,TPMatrix!$A$6:$B$10,2,0),IF(J142=4,VLOOKUP(K142+4,TPMatrix!$D$6:$E$9,2,0),0)),"")</f>
        <v>0</v>
      </c>
      <c r="Q142" s="227">
        <f t="shared" ca="1" si="52"/>
        <v>0</v>
      </c>
      <c r="R142" s="228">
        <f t="shared" ca="1" si="53"/>
        <v>5</v>
      </c>
      <c r="S142" s="229">
        <f t="shared" ca="1" si="54"/>
        <v>0</v>
      </c>
      <c r="T142" s="230">
        <f t="shared" si="55"/>
        <v>0</v>
      </c>
      <c r="U142" s="231">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2.95" customHeight="1" x14ac:dyDescent="0.2">
      <c r="A143" s="111" t="str">
        <f ca="1">IF(ISBLANK('Tournament Info'!$B$11),"",INDIRECT(ADDRESS(ROW(),1,1,1,"Optimal Seating "&amp;'Tournament Info'!$B$11-1&amp;"R+F")))</f>
        <v/>
      </c>
      <c r="B143" s="117" t="str">
        <f ca="1">IF(ISNUMBER(A143),VLOOKUP(A143,Methuselahs!$A$7:$E$206,2,0),"")</f>
        <v/>
      </c>
      <c r="C143" s="232" t="str">
        <f ca="1">IF(ISNUMBER(A143),VLOOKUP(A143,Methuselahs!$A$7:$E$206,3,0),"")</f>
        <v/>
      </c>
      <c r="D143" s="233" t="str">
        <f t="shared" ca="1" si="48"/>
        <v/>
      </c>
      <c r="E143" s="234"/>
      <c r="F143" s="232">
        <f t="shared" si="49"/>
        <v>0</v>
      </c>
      <c r="G143" s="235" t="str">
        <f t="shared" ca="1" si="50"/>
        <v/>
      </c>
      <c r="H143" s="236" t="str">
        <f ca="1">IF(ISNUMBER(A143),IF(OR($S143=$U143,NOT(ISNA(MATCH($D143*5+$V$4,Override!$C$6:$C$125,0)))),$Q143,0),"")</f>
        <v/>
      </c>
      <c r="I143" s="233" t="str">
        <f t="shared" ca="1" si="51"/>
        <v/>
      </c>
      <c r="J143" s="237">
        <f ca="1">COUNT(A142:A146)</f>
        <v>0</v>
      </c>
      <c r="K143" s="238" t="str">
        <f ca="1">IF(ISNUMBER(A143),RANK(F143,F142:F146),"")</f>
        <v/>
      </c>
      <c r="L143" s="239">
        <f ca="1">IF(J143=5,VLOOKUP(K143,TPMatrix!$A$6:$B$10,2,0),IF(J143=4,VLOOKUP(K143,TPMatrix!$D$6:$E$9,2,0),0))</f>
        <v>0</v>
      </c>
      <c r="M143" s="239">
        <f ca="1">IF(COUNTIF(K142:K146,K143)&gt;=2,IF(J143=5,VLOOKUP(K143+1,TPMatrix!$A$6:$B$10,2,0),IF(J143=4,VLOOKUP(K143+1,TPMatrix!$D$6:$E$9,2,0),0)),"")</f>
        <v>0</v>
      </c>
      <c r="N143" s="239">
        <f ca="1">IF(COUNTIF(K142:K146,K143)&gt;=3,IF(J143=5,VLOOKUP(K143+2,TPMatrix!$A$6:$B$10,2,0),IF(J143=4,VLOOKUP(K143+2,TPMatrix!$D$6:$E$9,2,0),0)),"")</f>
        <v>0</v>
      </c>
      <c r="O143" s="239">
        <f ca="1">IF(COUNTIF(K142:K146,K143)&gt;=4,IF(J143=5,VLOOKUP(K143+3,TPMatrix!$A$6:$B$10,2,0),IF(J143=4,VLOOKUP(K143+3,TPMatrix!$D$6:$E$9,2,0),0)),"")</f>
        <v>0</v>
      </c>
      <c r="P143" s="239">
        <f ca="1">IF(COUNTIF(K142:K146,K143)&gt;=5,IF(J143=5,VLOOKUP(K143+4,TPMatrix!$A$6:$B$10,2,0),IF(J143=4,VLOOKUP(K143+4,TPMatrix!$D$6:$E$9,2,0),0)),"")</f>
        <v>0</v>
      </c>
      <c r="Q143" s="239">
        <f t="shared" ca="1" si="52"/>
        <v>0</v>
      </c>
      <c r="R143" s="240">
        <f t="shared" ca="1" si="53"/>
        <v>5</v>
      </c>
      <c r="S143" s="238">
        <f t="shared" ca="1" si="54"/>
        <v>0</v>
      </c>
      <c r="T143" s="239">
        <f t="shared" si="55"/>
        <v>0</v>
      </c>
      <c r="U143" s="240">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2.95" customHeight="1" x14ac:dyDescent="0.2">
      <c r="A144" s="137" t="str">
        <f ca="1">IF(ISBLANK('Tournament Info'!$B$11),"",INDIRECT(ADDRESS(ROW(),1,1,1,"Optimal Seating "&amp;'Tournament Info'!$B$11-1&amp;"R+F")))</f>
        <v/>
      </c>
      <c r="B144" s="143" t="str">
        <f ca="1">IF(ISNUMBER(A144),VLOOKUP(A144,Methuselahs!$A$7:$E$206,2,0),"")</f>
        <v/>
      </c>
      <c r="C144" s="241" t="str">
        <f ca="1">IF(ISNUMBER(A144),VLOOKUP(A144,Methuselahs!$A$7:$E$206,3,0),"")</f>
        <v/>
      </c>
      <c r="D144" s="242" t="str">
        <f t="shared" ca="1" si="48"/>
        <v/>
      </c>
      <c r="E144" s="243"/>
      <c r="F144" s="241">
        <f t="shared" si="49"/>
        <v>0</v>
      </c>
      <c r="G144" s="244" t="str">
        <f t="shared" ca="1" si="50"/>
        <v/>
      </c>
      <c r="H144" s="245" t="str">
        <f ca="1">IF(ISNUMBER(A144),IF(OR($S144=$U144,NOT(ISNA(MATCH($D144*5+$V$4,Override!$C$6:$C$125,0)))),$Q144,0),"")</f>
        <v/>
      </c>
      <c r="I144" s="242" t="str">
        <f t="shared" ca="1" si="51"/>
        <v/>
      </c>
      <c r="J144" s="246">
        <f ca="1">COUNT(A142:A146)</f>
        <v>0</v>
      </c>
      <c r="K144" s="247" t="str">
        <f ca="1">IF(ISNUMBER(A144),RANK(F144,F142:F146),"")</f>
        <v/>
      </c>
      <c r="L144" s="142">
        <f ca="1">IF(J144=5,VLOOKUP(K144,TPMatrix!$A$6:$B$10,2,0),IF(J144=4,VLOOKUP(K144,TPMatrix!$D$6:$E$9,2,0),0))</f>
        <v>0</v>
      </c>
      <c r="M144" s="142">
        <f ca="1">IF(COUNTIF(K142:K146,K144)&gt;=2,IF(J144=5,VLOOKUP(K144+1,TPMatrix!$A$6:$B$10,2,0),IF(J144=4,VLOOKUP(K144+1,TPMatrix!$D$6:$E$9,2,0),0)),"")</f>
        <v>0</v>
      </c>
      <c r="N144" s="142">
        <f ca="1">IF(COUNTIF(K142:K146,K144)&gt;=3,IF(J144=5,VLOOKUP(K144+2,TPMatrix!$A$6:$B$10,2,0),IF(J144=4,VLOOKUP(K144+2,TPMatrix!$D$6:$E$9,2,0),0)),"")</f>
        <v>0</v>
      </c>
      <c r="O144" s="142">
        <f ca="1">IF(COUNTIF(K142:K146,K144)&gt;=4,IF(J144=5,VLOOKUP(K144+3,TPMatrix!$A$6:$B$10,2,0),IF(J144=4,VLOOKUP(K144+3,TPMatrix!$D$6:$E$9,2,0),0)),"")</f>
        <v>0</v>
      </c>
      <c r="P144" s="142">
        <f ca="1">IF(COUNTIF(K142:K146,K144)&gt;=5,IF(J144=5,VLOOKUP(K144+4,TPMatrix!$A$6:$B$10,2,0),IF(J144=4,VLOOKUP(K144+4,TPMatrix!$D$6:$E$9,2,0),0)),"")</f>
        <v>0</v>
      </c>
      <c r="Q144" s="142">
        <f t="shared" ca="1" si="52"/>
        <v>0</v>
      </c>
      <c r="R144" s="248">
        <f t="shared" ca="1" si="53"/>
        <v>5</v>
      </c>
      <c r="S144" s="247">
        <f t="shared" ca="1" si="54"/>
        <v>0</v>
      </c>
      <c r="T144" s="142">
        <f t="shared" si="55"/>
        <v>0</v>
      </c>
      <c r="U144" s="248">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2.95" customHeight="1" x14ac:dyDescent="0.2">
      <c r="A145" s="249" t="str">
        <f ca="1">IF(ISBLANK('Tournament Info'!$B$11),"",INDIRECT(ADDRESS(ROW(),1,1,1,"Optimal Seating "&amp;'Tournament Info'!$B$11-1&amp;"R+F")))</f>
        <v/>
      </c>
      <c r="B145" s="250" t="str">
        <f ca="1">IF(ISNUMBER(A145),VLOOKUP(A145,Methuselahs!$A$7:$E$206,2,0),"")</f>
        <v/>
      </c>
      <c r="C145" s="251" t="str">
        <f ca="1">IF(ISNUMBER(A145),VLOOKUP(A145,Methuselahs!$A$7:$E$206,3,0),"")</f>
        <v/>
      </c>
      <c r="D145" s="252" t="str">
        <f t="shared" ca="1" si="48"/>
        <v/>
      </c>
      <c r="E145" s="253"/>
      <c r="F145" s="251">
        <f t="shared" si="49"/>
        <v>0</v>
      </c>
      <c r="G145" s="235" t="str">
        <f t="shared" ca="1" si="50"/>
        <v/>
      </c>
      <c r="H145" s="236" t="str">
        <f ca="1">IF(ISNUMBER(A145),IF(OR($S145=$U145,NOT(ISNA(MATCH($D145*5+$V$4,Override!$C$6:$C$125,0)))),$Q145,0),"")</f>
        <v/>
      </c>
      <c r="I145" s="252" t="str">
        <f t="shared" ca="1" si="51"/>
        <v/>
      </c>
      <c r="J145" s="254">
        <f ca="1">COUNT(A142:A146)</f>
        <v>0</v>
      </c>
      <c r="K145" s="238" t="str">
        <f ca="1">IF(ISNUMBER(A145),RANK(F145,F142:F146),"")</f>
        <v/>
      </c>
      <c r="L145" s="239">
        <f ca="1">IF(J145=5,VLOOKUP(K145,TPMatrix!$A$6:$B$10,2,0),IF(J145=4,VLOOKUP(K145,TPMatrix!$D$6:$E$9,2,0),0))</f>
        <v>0</v>
      </c>
      <c r="M145" s="239">
        <f ca="1">IF(COUNTIF(K142:K146,K145)&gt;=2,IF(J145=5,VLOOKUP(K145+1,TPMatrix!$A$6:$B$10,2,0),IF(J145=4,VLOOKUP(K145+1,TPMatrix!$D$6:$E$9,2,0),0)),"")</f>
        <v>0</v>
      </c>
      <c r="N145" s="239">
        <f ca="1">IF(COUNTIF(K142:K146,K145)&gt;=3,IF(J145=5,VLOOKUP(K145+2,TPMatrix!$A$6:$B$10,2,0),IF(J145=4,VLOOKUP(K145+2,TPMatrix!$D$6:$E$9,2,0),0)),"")</f>
        <v>0</v>
      </c>
      <c r="O145" s="239">
        <f ca="1">IF(COUNTIF(K142:K146,K145)&gt;=4,IF(J145=5,VLOOKUP(K145+3,TPMatrix!$A$6:$B$10,2,0),IF(J145=4,VLOOKUP(K145+3,TPMatrix!$D$6:$E$9,2,0),0)),"")</f>
        <v>0</v>
      </c>
      <c r="P145" s="239">
        <f ca="1">IF(COUNTIF(K142:K146,K145)&gt;=5,IF(J145=5,VLOOKUP(K145+4,TPMatrix!$A$6:$B$10,2,0),IF(J145=4,VLOOKUP(K145+4,TPMatrix!$D$6:$E$9,2,0),0)),"")</f>
        <v>0</v>
      </c>
      <c r="Q145" s="239">
        <f t="shared" ca="1" si="52"/>
        <v>0</v>
      </c>
      <c r="R145" s="240">
        <f t="shared" ca="1" si="53"/>
        <v>5</v>
      </c>
      <c r="S145" s="238">
        <f t="shared" ca="1" si="54"/>
        <v>0</v>
      </c>
      <c r="T145" s="239">
        <f t="shared" si="55"/>
        <v>0</v>
      </c>
      <c r="U145" s="240">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2.95" customHeight="1" x14ac:dyDescent="0.2">
      <c r="A146" s="255" t="str">
        <f ca="1">IF(ISBLANK('Tournament Info'!$B$11),"",INDIRECT(ADDRESS(ROW(),1,1,1,"Optimal Seating "&amp;'Tournament Info'!$B$11-1&amp;"R+F")))</f>
        <v/>
      </c>
      <c r="B146" s="256" t="str">
        <f ca="1">IF(ISNUMBER(A146),VLOOKUP(A146,Methuselahs!$A$7:$E$206,2,0),"")</f>
        <v/>
      </c>
      <c r="C146" s="257" t="str">
        <f ca="1">IF(ISNUMBER(A146),VLOOKUP(A146,Methuselahs!$A$7:$E$206,3,0),"")</f>
        <v/>
      </c>
      <c r="D146" s="258" t="str">
        <f t="shared" ca="1" si="48"/>
        <v/>
      </c>
      <c r="E146" s="259"/>
      <c r="F146" s="257">
        <f t="shared" si="49"/>
        <v>0</v>
      </c>
      <c r="G146" s="244" t="str">
        <f t="shared" ca="1" si="50"/>
        <v/>
      </c>
      <c r="H146" s="245" t="str">
        <f ca="1">IF(ISNUMBER(A146),IF(OR($S146=$U146,NOT(ISNA(MATCH($D146*5+$V$4,Override!$C$6:$C$125,0)))),$Q146,0),"")</f>
        <v/>
      </c>
      <c r="I146" s="258" t="str">
        <f t="shared" ca="1" si="51"/>
        <v/>
      </c>
      <c r="J146" s="260">
        <f ca="1">COUNT(A142:A146)</f>
        <v>0</v>
      </c>
      <c r="K146" s="261" t="str">
        <f ca="1">IF(ISNUMBER(A146),RANK(F146,F142:F146),"")</f>
        <v/>
      </c>
      <c r="L146" s="262">
        <f ca="1">IF(J146=5,VLOOKUP(K146,TPMatrix!$A$6:$B$10,2,0),IF(J146=4,VLOOKUP(K146,TPMatrix!$D$6:$E$9,2,0),0))</f>
        <v>0</v>
      </c>
      <c r="M146" s="262">
        <f ca="1">IF(COUNTIF(K142:K146,K146)&gt;=2,IF(J146=5,VLOOKUP(K146+1,TPMatrix!$A$6:$B$10,2,0),IF(J146=4,VLOOKUP(K146+1,TPMatrix!$D$6:$E$9,2,0),0)),"")</f>
        <v>0</v>
      </c>
      <c r="N146" s="262">
        <f ca="1">IF(COUNTIF(K142:K146,K146)&gt;=3,IF(J146=5,VLOOKUP(K146+2,TPMatrix!$A$6:$B$10,2,0),IF(J146=4,VLOOKUP(K146+2,TPMatrix!$D$6:$E$9,2,0),0)),"")</f>
        <v>0</v>
      </c>
      <c r="O146" s="262">
        <f ca="1">IF(COUNTIF(K142:K146,K146)&gt;=4,IF(J146=5,VLOOKUP(K146+3,TPMatrix!$A$6:$B$10,2,0),IF(J146=4,VLOOKUP(K146+3,TPMatrix!$D$6:$E$9,2,0),0)),"")</f>
        <v>0</v>
      </c>
      <c r="P146" s="262">
        <f ca="1">IF(COUNTIF(K142:K146,K146)&gt;=5,IF(J146=5,VLOOKUP(K146+4,TPMatrix!$A$6:$B$10,2,0),IF(J146=4,VLOOKUP(K146+4,TPMatrix!$D$6:$E$9,2,0),0)),"")</f>
        <v>0</v>
      </c>
      <c r="Q146" s="262">
        <f t="shared" ca="1" si="52"/>
        <v>0</v>
      </c>
      <c r="R146" s="263">
        <f t="shared" ca="1" si="53"/>
        <v>5</v>
      </c>
      <c r="S146" s="261">
        <f t="shared" ca="1" si="54"/>
        <v>0</v>
      </c>
      <c r="T146" s="262">
        <f t="shared" si="55"/>
        <v>0</v>
      </c>
      <c r="U146" s="263">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2.95" customHeight="1" x14ac:dyDescent="0.2">
      <c r="A147" s="219" t="str">
        <f ca="1">IF(ISBLANK('Tournament Info'!$B$11),"",INDIRECT(ADDRESS(ROW(),1,1,1,"Optimal Seating "&amp;'Tournament Info'!$B$11-1&amp;"R+F")))</f>
        <v/>
      </c>
      <c r="B147" s="143" t="str">
        <f ca="1">IF(ISNUMBER(A147),VLOOKUP(A147,Methuselahs!$A$7:$E$206,2,0),"")</f>
        <v/>
      </c>
      <c r="C147" s="220" t="str">
        <f ca="1">IF(ISNUMBER(A147),VLOOKUP(A147,Methuselahs!$A$7:$E$206,3,0),"")</f>
        <v/>
      </c>
      <c r="D147" s="221" t="str">
        <f t="shared" ca="1" si="48"/>
        <v/>
      </c>
      <c r="E147" s="222"/>
      <c r="F147" s="220">
        <f t="shared" si="49"/>
        <v>0</v>
      </c>
      <c r="G147" s="223" t="str">
        <f t="shared" ca="1" si="50"/>
        <v/>
      </c>
      <c r="H147" s="224" t="str">
        <f ca="1">IF(ISNUMBER(A147),IF(OR($S147=$U147,NOT(ISNA(MATCH($D147*5+$V$4,Override!$C$6:$C$125,0)))),$Q147,0),"")</f>
        <v/>
      </c>
      <c r="I147" s="221" t="str">
        <f t="shared" ca="1" si="51"/>
        <v/>
      </c>
      <c r="J147" s="225">
        <f ca="1">COUNT(A147:A151)</f>
        <v>0</v>
      </c>
      <c r="K147" s="226" t="str">
        <f ca="1">IF(ISNUMBER(A147),RANK(F147,F147:F151),"")</f>
        <v/>
      </c>
      <c r="L147" s="227">
        <f ca="1">IF(J147=5,VLOOKUP(K147,TPMatrix!$A$6:$B$10,2,0),IF(J147=4,VLOOKUP(K147,TPMatrix!$D$6:$E$9,2,0),0))</f>
        <v>0</v>
      </c>
      <c r="M147" s="227">
        <f ca="1">IF(COUNTIF(K147:K151,K147)&gt;=2,IF(J147=5,VLOOKUP(K147+1,TPMatrix!$A$6:$B$10,2,0),IF(J147=4,VLOOKUP(K147+1,TPMatrix!$D$6:$E$9,2,0),0)),"")</f>
        <v>0</v>
      </c>
      <c r="N147" s="227">
        <f ca="1">IF(COUNTIF(K147:K151,K147)&gt;=3,IF(J147=5,VLOOKUP(K147+2,TPMatrix!$A$6:$B$10,2,0),IF(J147=4,VLOOKUP(K147+2,TPMatrix!$D$6:$E$9,2,0),0)),"")</f>
        <v>0</v>
      </c>
      <c r="O147" s="227">
        <f ca="1">IF(COUNTIF(K147:K151,K147)&gt;=4,IF(J147=5,VLOOKUP(K147+3,TPMatrix!$A$6:$B$10,2,0),IF(J147=4,VLOOKUP(K147+3,TPMatrix!$D$6:$E$9,2,0),0)),"")</f>
        <v>0</v>
      </c>
      <c r="P147" s="227">
        <f ca="1">IF(COUNTIF(K147:K151,K147)&gt;=5,IF(J147=5,VLOOKUP(K147+4,TPMatrix!$A$6:$B$10,2,0),IF(J147=4,VLOOKUP(K147+4,TPMatrix!$D$6:$E$9,2,0),0)),"")</f>
        <v>0</v>
      </c>
      <c r="Q147" s="227">
        <f t="shared" ca="1" si="52"/>
        <v>0</v>
      </c>
      <c r="R147" s="228">
        <f t="shared" ca="1" si="53"/>
        <v>5</v>
      </c>
      <c r="S147" s="229">
        <f t="shared" ca="1" si="54"/>
        <v>0</v>
      </c>
      <c r="T147" s="230">
        <f t="shared" si="55"/>
        <v>0</v>
      </c>
      <c r="U147" s="231">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2.95" customHeight="1" x14ac:dyDescent="0.2">
      <c r="A148" s="111" t="str">
        <f ca="1">IF(ISBLANK('Tournament Info'!$B$11),"",INDIRECT(ADDRESS(ROW(),1,1,1,"Optimal Seating "&amp;'Tournament Info'!$B$11-1&amp;"R+F")))</f>
        <v/>
      </c>
      <c r="B148" s="117" t="str">
        <f ca="1">IF(ISNUMBER(A148),VLOOKUP(A148,Methuselahs!$A$7:$E$206,2,0),"")</f>
        <v/>
      </c>
      <c r="C148" s="232" t="str">
        <f ca="1">IF(ISNUMBER(A148),VLOOKUP(A148,Methuselahs!$A$7:$E$206,3,0),"")</f>
        <v/>
      </c>
      <c r="D148" s="233" t="str">
        <f t="shared" ca="1" si="48"/>
        <v/>
      </c>
      <c r="E148" s="234"/>
      <c r="F148" s="232">
        <f t="shared" si="49"/>
        <v>0</v>
      </c>
      <c r="G148" s="235" t="str">
        <f t="shared" ca="1" si="50"/>
        <v/>
      </c>
      <c r="H148" s="236" t="str">
        <f ca="1">IF(ISNUMBER(A148),IF(OR($S148=$U148,NOT(ISNA(MATCH($D148*5+$V$4,Override!$C$6:$C$125,0)))),$Q148,0),"")</f>
        <v/>
      </c>
      <c r="I148" s="233" t="str">
        <f t="shared" ca="1" si="51"/>
        <v/>
      </c>
      <c r="J148" s="237">
        <f ca="1">COUNT(A147:A151)</f>
        <v>0</v>
      </c>
      <c r="K148" s="238" t="str">
        <f ca="1">IF(ISNUMBER(A148),RANK(F148,F147:F151),"")</f>
        <v/>
      </c>
      <c r="L148" s="239">
        <f ca="1">IF(J148=5,VLOOKUP(K148,TPMatrix!$A$6:$B$10,2,0),IF(J148=4,VLOOKUP(K148,TPMatrix!$D$6:$E$9,2,0),0))</f>
        <v>0</v>
      </c>
      <c r="M148" s="239">
        <f ca="1">IF(COUNTIF(K147:K151,K148)&gt;=2,IF(J148=5,VLOOKUP(K148+1,TPMatrix!$A$6:$B$10,2,0),IF(J148=4,VLOOKUP(K148+1,TPMatrix!$D$6:$E$9,2,0),0)),"")</f>
        <v>0</v>
      </c>
      <c r="N148" s="239">
        <f ca="1">IF(COUNTIF(K147:K151,K148)&gt;=3,IF(J148=5,VLOOKUP(K148+2,TPMatrix!$A$6:$B$10,2,0),IF(J148=4,VLOOKUP(K148+2,TPMatrix!$D$6:$E$9,2,0),0)),"")</f>
        <v>0</v>
      </c>
      <c r="O148" s="239">
        <f ca="1">IF(COUNTIF(K147:K151,K148)&gt;=4,IF(J148=5,VLOOKUP(K148+3,TPMatrix!$A$6:$B$10,2,0),IF(J148=4,VLOOKUP(K148+3,TPMatrix!$D$6:$E$9,2,0),0)),"")</f>
        <v>0</v>
      </c>
      <c r="P148" s="239">
        <f ca="1">IF(COUNTIF(K147:K151,K148)&gt;=5,IF(J148=5,VLOOKUP(K148+4,TPMatrix!$A$6:$B$10,2,0),IF(J148=4,VLOOKUP(K148+4,TPMatrix!$D$6:$E$9,2,0),0)),"")</f>
        <v>0</v>
      </c>
      <c r="Q148" s="239">
        <f t="shared" ca="1" si="52"/>
        <v>0</v>
      </c>
      <c r="R148" s="240">
        <f t="shared" ca="1" si="53"/>
        <v>5</v>
      </c>
      <c r="S148" s="238">
        <f t="shared" ca="1" si="54"/>
        <v>0</v>
      </c>
      <c r="T148" s="239">
        <f t="shared" si="55"/>
        <v>0</v>
      </c>
      <c r="U148" s="240">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2.95" customHeight="1" x14ac:dyDescent="0.2">
      <c r="A149" s="137" t="str">
        <f ca="1">IF(ISBLANK('Tournament Info'!$B$11),"",INDIRECT(ADDRESS(ROW(),1,1,1,"Optimal Seating "&amp;'Tournament Info'!$B$11-1&amp;"R+F")))</f>
        <v/>
      </c>
      <c r="B149" s="143" t="str">
        <f ca="1">IF(ISNUMBER(A149),VLOOKUP(A149,Methuselahs!$A$7:$E$206,2,0),"")</f>
        <v/>
      </c>
      <c r="C149" s="241" t="str">
        <f ca="1">IF(ISNUMBER(A149),VLOOKUP(A149,Methuselahs!$A$7:$E$206,3,0),"")</f>
        <v/>
      </c>
      <c r="D149" s="242" t="str">
        <f t="shared" ca="1" si="48"/>
        <v/>
      </c>
      <c r="E149" s="243"/>
      <c r="F149" s="241">
        <f t="shared" si="49"/>
        <v>0</v>
      </c>
      <c r="G149" s="244" t="str">
        <f t="shared" ca="1" si="50"/>
        <v/>
      </c>
      <c r="H149" s="245" t="str">
        <f ca="1">IF(ISNUMBER(A149),IF(OR($S149=$U149,NOT(ISNA(MATCH($D149*5+$V$4,Override!$C$6:$C$125,0)))),$Q149,0),"")</f>
        <v/>
      </c>
      <c r="I149" s="242" t="str">
        <f t="shared" ca="1" si="51"/>
        <v/>
      </c>
      <c r="J149" s="246">
        <f ca="1">COUNT(A147:A151)</f>
        <v>0</v>
      </c>
      <c r="K149" s="247" t="str">
        <f ca="1">IF(ISNUMBER(A149),RANK(F149,F147:F151),"")</f>
        <v/>
      </c>
      <c r="L149" s="142">
        <f ca="1">IF(J149=5,VLOOKUP(K149,TPMatrix!$A$6:$B$10,2,0),IF(J149=4,VLOOKUP(K149,TPMatrix!$D$6:$E$9,2,0),0))</f>
        <v>0</v>
      </c>
      <c r="M149" s="142">
        <f ca="1">IF(COUNTIF(K147:K151,K149)&gt;=2,IF(J149=5,VLOOKUP(K149+1,TPMatrix!$A$6:$B$10,2,0),IF(J149=4,VLOOKUP(K149+1,TPMatrix!$D$6:$E$9,2,0),0)),"")</f>
        <v>0</v>
      </c>
      <c r="N149" s="142">
        <f ca="1">IF(COUNTIF(K147:K151,K149)&gt;=3,IF(J149=5,VLOOKUP(K149+2,TPMatrix!$A$6:$B$10,2,0),IF(J149=4,VLOOKUP(K149+2,TPMatrix!$D$6:$E$9,2,0),0)),"")</f>
        <v>0</v>
      </c>
      <c r="O149" s="142">
        <f ca="1">IF(COUNTIF(K147:K151,K149)&gt;=4,IF(J149=5,VLOOKUP(K149+3,TPMatrix!$A$6:$B$10,2,0),IF(J149=4,VLOOKUP(K149+3,TPMatrix!$D$6:$E$9,2,0),0)),"")</f>
        <v>0</v>
      </c>
      <c r="P149" s="142">
        <f ca="1">IF(COUNTIF(K147:K151,K149)&gt;=5,IF(J149=5,VLOOKUP(K149+4,TPMatrix!$A$6:$B$10,2,0),IF(J149=4,VLOOKUP(K149+4,TPMatrix!$D$6:$E$9,2,0),0)),"")</f>
        <v>0</v>
      </c>
      <c r="Q149" s="142">
        <f t="shared" ca="1" si="52"/>
        <v>0</v>
      </c>
      <c r="R149" s="248">
        <f t="shared" ca="1" si="53"/>
        <v>5</v>
      </c>
      <c r="S149" s="247">
        <f t="shared" ca="1" si="54"/>
        <v>0</v>
      </c>
      <c r="T149" s="142">
        <f t="shared" si="55"/>
        <v>0</v>
      </c>
      <c r="U149" s="248">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2.95" customHeight="1" x14ac:dyDescent="0.2">
      <c r="A150" s="249" t="str">
        <f ca="1">IF(ISBLANK('Tournament Info'!$B$11),"",INDIRECT(ADDRESS(ROW(),1,1,1,"Optimal Seating "&amp;'Tournament Info'!$B$11-1&amp;"R+F")))</f>
        <v/>
      </c>
      <c r="B150" s="250" t="str">
        <f ca="1">IF(ISNUMBER(A150),VLOOKUP(A150,Methuselahs!$A$7:$E$206,2,0),"")</f>
        <v/>
      </c>
      <c r="C150" s="251" t="str">
        <f ca="1">IF(ISNUMBER(A150),VLOOKUP(A150,Methuselahs!$A$7:$E$206,3,0),"")</f>
        <v/>
      </c>
      <c r="D150" s="252" t="str">
        <f t="shared" ca="1" si="48"/>
        <v/>
      </c>
      <c r="E150" s="253"/>
      <c r="F150" s="251">
        <f t="shared" si="49"/>
        <v>0</v>
      </c>
      <c r="G150" s="235" t="str">
        <f t="shared" ca="1" si="50"/>
        <v/>
      </c>
      <c r="H150" s="236" t="str">
        <f ca="1">IF(ISNUMBER(A150),IF(OR($S150=$U150,NOT(ISNA(MATCH($D150*5+$V$4,Override!$C$6:$C$125,0)))),$Q150,0),"")</f>
        <v/>
      </c>
      <c r="I150" s="252" t="str">
        <f t="shared" ca="1" si="51"/>
        <v/>
      </c>
      <c r="J150" s="254">
        <f ca="1">COUNT(A147:A151)</f>
        <v>0</v>
      </c>
      <c r="K150" s="238" t="str">
        <f ca="1">IF(ISNUMBER(A150),RANK(F150,F147:F151),"")</f>
        <v/>
      </c>
      <c r="L150" s="239">
        <f ca="1">IF(J150=5,VLOOKUP(K150,TPMatrix!$A$6:$B$10,2,0),IF(J150=4,VLOOKUP(K150,TPMatrix!$D$6:$E$9,2,0),0))</f>
        <v>0</v>
      </c>
      <c r="M150" s="239">
        <f ca="1">IF(COUNTIF(K147:K151,K150)&gt;=2,IF(J150=5,VLOOKUP(K150+1,TPMatrix!$A$6:$B$10,2,0),IF(J150=4,VLOOKUP(K150+1,TPMatrix!$D$6:$E$9,2,0),0)),"")</f>
        <v>0</v>
      </c>
      <c r="N150" s="239">
        <f ca="1">IF(COUNTIF(K147:K151,K150)&gt;=3,IF(J150=5,VLOOKUP(K150+2,TPMatrix!$A$6:$B$10,2,0),IF(J150=4,VLOOKUP(K150+2,TPMatrix!$D$6:$E$9,2,0),0)),"")</f>
        <v>0</v>
      </c>
      <c r="O150" s="239">
        <f ca="1">IF(COUNTIF(K147:K151,K150)&gt;=4,IF(J150=5,VLOOKUP(K150+3,TPMatrix!$A$6:$B$10,2,0),IF(J150=4,VLOOKUP(K150+3,TPMatrix!$D$6:$E$9,2,0),0)),"")</f>
        <v>0</v>
      </c>
      <c r="P150" s="239">
        <f ca="1">IF(COUNTIF(K147:K151,K150)&gt;=5,IF(J150=5,VLOOKUP(K150+4,TPMatrix!$A$6:$B$10,2,0),IF(J150=4,VLOOKUP(K150+4,TPMatrix!$D$6:$E$9,2,0),0)),"")</f>
        <v>0</v>
      </c>
      <c r="Q150" s="239">
        <f t="shared" ca="1" si="52"/>
        <v>0</v>
      </c>
      <c r="R150" s="240">
        <f t="shared" ca="1" si="53"/>
        <v>5</v>
      </c>
      <c r="S150" s="238">
        <f t="shared" ca="1" si="54"/>
        <v>0</v>
      </c>
      <c r="T150" s="239">
        <f t="shared" si="55"/>
        <v>0</v>
      </c>
      <c r="U150" s="240">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2.95" customHeight="1" x14ac:dyDescent="0.2">
      <c r="A151" s="255" t="str">
        <f ca="1">IF(ISBLANK('Tournament Info'!$B$11),"",INDIRECT(ADDRESS(ROW(),1,1,1,"Optimal Seating "&amp;'Tournament Info'!$B$11-1&amp;"R+F")))</f>
        <v/>
      </c>
      <c r="B151" s="256" t="str">
        <f ca="1">IF(ISNUMBER(A151),VLOOKUP(A151,Methuselahs!$A$7:$E$206,2,0),"")</f>
        <v/>
      </c>
      <c r="C151" s="257" t="str">
        <f ca="1">IF(ISNUMBER(A151),VLOOKUP(A151,Methuselahs!$A$7:$E$206,3,0),"")</f>
        <v/>
      </c>
      <c r="D151" s="258" t="str">
        <f t="shared" ca="1" si="48"/>
        <v/>
      </c>
      <c r="E151" s="259"/>
      <c r="F151" s="257">
        <f t="shared" si="49"/>
        <v>0</v>
      </c>
      <c r="G151" s="244" t="str">
        <f t="shared" ca="1" si="50"/>
        <v/>
      </c>
      <c r="H151" s="245" t="str">
        <f ca="1">IF(ISNUMBER(A151),IF(OR($S151=$U151,NOT(ISNA(MATCH($D151*5+$V$4,Override!$C$6:$C$125,0)))),$Q151,0),"")</f>
        <v/>
      </c>
      <c r="I151" s="258" t="str">
        <f t="shared" ca="1" si="51"/>
        <v/>
      </c>
      <c r="J151" s="260">
        <f ca="1">COUNT(A147:A151)</f>
        <v>0</v>
      </c>
      <c r="K151" s="261" t="str">
        <f ca="1">IF(ISNUMBER(A151),RANK(F151,F147:F151),"")</f>
        <v/>
      </c>
      <c r="L151" s="262">
        <f ca="1">IF(J151=5,VLOOKUP(K151,TPMatrix!$A$6:$B$10,2,0),IF(J151=4,VLOOKUP(K151,TPMatrix!$D$6:$E$9,2,0),0))</f>
        <v>0</v>
      </c>
      <c r="M151" s="262">
        <f ca="1">IF(COUNTIF(K147:K151,K151)&gt;=2,IF(J151=5,VLOOKUP(K151+1,TPMatrix!$A$6:$B$10,2,0),IF(J151=4,VLOOKUP(K151+1,TPMatrix!$D$6:$E$9,2,0),0)),"")</f>
        <v>0</v>
      </c>
      <c r="N151" s="262">
        <f ca="1">IF(COUNTIF(K147:K151,K151)&gt;=3,IF(J151=5,VLOOKUP(K151+2,TPMatrix!$A$6:$B$10,2,0),IF(J151=4,VLOOKUP(K151+2,TPMatrix!$D$6:$E$9,2,0),0)),"")</f>
        <v>0</v>
      </c>
      <c r="O151" s="262">
        <f ca="1">IF(COUNTIF(K147:K151,K151)&gt;=4,IF(J151=5,VLOOKUP(K151+3,TPMatrix!$A$6:$B$10,2,0),IF(J151=4,VLOOKUP(K151+3,TPMatrix!$D$6:$E$9,2,0),0)),"")</f>
        <v>0</v>
      </c>
      <c r="P151" s="262">
        <f ca="1">IF(COUNTIF(K147:K151,K151)&gt;=5,IF(J151=5,VLOOKUP(K151+4,TPMatrix!$A$6:$B$10,2,0),IF(J151=4,VLOOKUP(K151+4,TPMatrix!$D$6:$E$9,2,0),0)),"")</f>
        <v>0</v>
      </c>
      <c r="Q151" s="262">
        <f t="shared" ca="1" si="52"/>
        <v>0</v>
      </c>
      <c r="R151" s="263">
        <f t="shared" ca="1" si="53"/>
        <v>5</v>
      </c>
      <c r="S151" s="261">
        <f t="shared" ca="1" si="54"/>
        <v>0</v>
      </c>
      <c r="T151" s="262">
        <f t="shared" si="55"/>
        <v>0</v>
      </c>
      <c r="U151" s="263">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2.95" customHeight="1" x14ac:dyDescent="0.2">
      <c r="A152" s="219" t="str">
        <f ca="1">IF(ISBLANK('Tournament Info'!$B$11),"",INDIRECT(ADDRESS(ROW(),1,1,1,"Optimal Seating "&amp;'Tournament Info'!$B$11-1&amp;"R+F")))</f>
        <v/>
      </c>
      <c r="B152" s="143" t="str">
        <f ca="1">IF(ISNUMBER(A152),VLOOKUP(A152,Methuselahs!$A$7:$E$206,2,0),"")</f>
        <v/>
      </c>
      <c r="C152" s="220" t="str">
        <f ca="1">IF(ISNUMBER(A152),VLOOKUP(A152,Methuselahs!$A$7:$E$206,3,0),"")</f>
        <v/>
      </c>
      <c r="D152" s="221" t="str">
        <f t="shared" ca="1" si="48"/>
        <v/>
      </c>
      <c r="E152" s="222"/>
      <c r="F152" s="220">
        <f t="shared" si="49"/>
        <v>0</v>
      </c>
      <c r="G152" s="223" t="str">
        <f t="shared" ca="1" si="50"/>
        <v/>
      </c>
      <c r="H152" s="224" t="str">
        <f ca="1">IF(ISNUMBER(A152),IF(OR($S152=$U152,NOT(ISNA(MATCH($D152*5+$V$4,Override!$C$6:$C$125,0)))),$Q152,0),"")</f>
        <v/>
      </c>
      <c r="I152" s="221" t="str">
        <f t="shared" ca="1" si="51"/>
        <v/>
      </c>
      <c r="J152" s="225">
        <f ca="1">COUNT(A152:A156)</f>
        <v>0</v>
      </c>
      <c r="K152" s="226" t="str">
        <f ca="1">IF(ISNUMBER(A152),RANK(F152,F152:F156),"")</f>
        <v/>
      </c>
      <c r="L152" s="227">
        <f ca="1">IF(J152=5,VLOOKUP(K152,TPMatrix!$A$6:$B$10,2,0),IF(J152=4,VLOOKUP(K152,TPMatrix!$D$6:$E$9,2,0),0))</f>
        <v>0</v>
      </c>
      <c r="M152" s="227">
        <f ca="1">IF(COUNTIF(K152:K156,K152)&gt;=2,IF(J152=5,VLOOKUP(K152+1,TPMatrix!$A$6:$B$10,2,0),IF(J152=4,VLOOKUP(K152+1,TPMatrix!$D$6:$E$9,2,0),0)),"")</f>
        <v>0</v>
      </c>
      <c r="N152" s="227">
        <f ca="1">IF(COUNTIF(K152:K156,K152)&gt;=3,IF(J152=5,VLOOKUP(K152+2,TPMatrix!$A$6:$B$10,2,0),IF(J152=4,VLOOKUP(K152+2,TPMatrix!$D$6:$E$9,2,0),0)),"")</f>
        <v>0</v>
      </c>
      <c r="O152" s="227">
        <f ca="1">IF(COUNTIF(K152:K156,K152)&gt;=4,IF(J152=5,VLOOKUP(K152+3,TPMatrix!$A$6:$B$10,2,0),IF(J152=4,VLOOKUP(K152+3,TPMatrix!$D$6:$E$9,2,0),0)),"")</f>
        <v>0</v>
      </c>
      <c r="P152" s="227">
        <f ca="1">IF(COUNTIF(K152:K156,K152)&gt;=5,IF(J152=5,VLOOKUP(K152+4,TPMatrix!$A$6:$B$10,2,0),IF(J152=4,VLOOKUP(K152+4,TPMatrix!$D$6:$E$9,2,0),0)),"")</f>
        <v>0</v>
      </c>
      <c r="Q152" s="227">
        <f t="shared" ca="1" si="52"/>
        <v>0</v>
      </c>
      <c r="R152" s="228">
        <f t="shared" ca="1" si="53"/>
        <v>5</v>
      </c>
      <c r="S152" s="229">
        <f t="shared" ca="1" si="54"/>
        <v>0</v>
      </c>
      <c r="T152" s="230">
        <f t="shared" si="55"/>
        <v>0</v>
      </c>
      <c r="U152" s="231">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2.95" customHeight="1" x14ac:dyDescent="0.2">
      <c r="A153" s="111" t="str">
        <f ca="1">IF(ISBLANK('Tournament Info'!$B$11),"",INDIRECT(ADDRESS(ROW(),1,1,1,"Optimal Seating "&amp;'Tournament Info'!$B$11-1&amp;"R+F")))</f>
        <v/>
      </c>
      <c r="B153" s="117" t="str">
        <f ca="1">IF(ISNUMBER(A153),VLOOKUP(A153,Methuselahs!$A$7:$E$206,2,0),"")</f>
        <v/>
      </c>
      <c r="C153" s="232" t="str">
        <f ca="1">IF(ISNUMBER(A153),VLOOKUP(A153,Methuselahs!$A$7:$E$206,3,0),"")</f>
        <v/>
      </c>
      <c r="D153" s="233" t="str">
        <f t="shared" ca="1" si="48"/>
        <v/>
      </c>
      <c r="E153" s="234"/>
      <c r="F153" s="232">
        <f t="shared" si="49"/>
        <v>0</v>
      </c>
      <c r="G153" s="235" t="str">
        <f t="shared" ca="1" si="50"/>
        <v/>
      </c>
      <c r="H153" s="236" t="str">
        <f ca="1">IF(ISNUMBER(A153),IF(OR($S153=$U153,NOT(ISNA(MATCH($D153*5+$V$4,Override!$C$6:$C$125,0)))),$Q153,0),"")</f>
        <v/>
      </c>
      <c r="I153" s="233" t="str">
        <f t="shared" ca="1" si="51"/>
        <v/>
      </c>
      <c r="J153" s="237">
        <f ca="1">COUNT(A152:A156)</f>
        <v>0</v>
      </c>
      <c r="K153" s="238" t="str">
        <f ca="1">IF(ISNUMBER(A153),RANK(F153,F152:F156),"")</f>
        <v/>
      </c>
      <c r="L153" s="239">
        <f ca="1">IF(J153=5,VLOOKUP(K153,TPMatrix!$A$6:$B$10,2,0),IF(J153=4,VLOOKUP(K153,TPMatrix!$D$6:$E$9,2,0),0))</f>
        <v>0</v>
      </c>
      <c r="M153" s="239">
        <f ca="1">IF(COUNTIF(K152:K156,K153)&gt;=2,IF(J153=5,VLOOKUP(K153+1,TPMatrix!$A$6:$B$10,2,0),IF(J153=4,VLOOKUP(K153+1,TPMatrix!$D$6:$E$9,2,0),0)),"")</f>
        <v>0</v>
      </c>
      <c r="N153" s="239">
        <f ca="1">IF(COUNTIF(K152:K156,K153)&gt;=3,IF(J153=5,VLOOKUP(K153+2,TPMatrix!$A$6:$B$10,2,0),IF(J153=4,VLOOKUP(K153+2,TPMatrix!$D$6:$E$9,2,0),0)),"")</f>
        <v>0</v>
      </c>
      <c r="O153" s="239">
        <f ca="1">IF(COUNTIF(K152:K156,K153)&gt;=4,IF(J153=5,VLOOKUP(K153+3,TPMatrix!$A$6:$B$10,2,0),IF(J153=4,VLOOKUP(K153+3,TPMatrix!$D$6:$E$9,2,0),0)),"")</f>
        <v>0</v>
      </c>
      <c r="P153" s="239">
        <f ca="1">IF(COUNTIF(K152:K156,K153)&gt;=5,IF(J153=5,VLOOKUP(K153+4,TPMatrix!$A$6:$B$10,2,0),IF(J153=4,VLOOKUP(K153+4,TPMatrix!$D$6:$E$9,2,0),0)),"")</f>
        <v>0</v>
      </c>
      <c r="Q153" s="239">
        <f t="shared" ca="1" si="52"/>
        <v>0</v>
      </c>
      <c r="R153" s="240">
        <f t="shared" ca="1" si="53"/>
        <v>5</v>
      </c>
      <c r="S153" s="238">
        <f t="shared" ca="1" si="54"/>
        <v>0</v>
      </c>
      <c r="T153" s="239">
        <f t="shared" si="55"/>
        <v>0</v>
      </c>
      <c r="U153" s="240">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2.95" customHeight="1" x14ac:dyDescent="0.2">
      <c r="A154" s="137" t="str">
        <f ca="1">IF(ISBLANK('Tournament Info'!$B$11),"",INDIRECT(ADDRESS(ROW(),1,1,1,"Optimal Seating "&amp;'Tournament Info'!$B$11-1&amp;"R+F")))</f>
        <v/>
      </c>
      <c r="B154" s="143" t="str">
        <f ca="1">IF(ISNUMBER(A154),VLOOKUP(A154,Methuselahs!$A$7:$E$206,2,0),"")</f>
        <v/>
      </c>
      <c r="C154" s="241" t="str">
        <f ca="1">IF(ISNUMBER(A154),VLOOKUP(A154,Methuselahs!$A$7:$E$206,3,0),"")</f>
        <v/>
      </c>
      <c r="D154" s="242" t="str">
        <f t="shared" ca="1" si="48"/>
        <v/>
      </c>
      <c r="E154" s="243"/>
      <c r="F154" s="241">
        <f t="shared" si="49"/>
        <v>0</v>
      </c>
      <c r="G154" s="244" t="str">
        <f t="shared" ca="1" si="50"/>
        <v/>
      </c>
      <c r="H154" s="245" t="str">
        <f ca="1">IF(ISNUMBER(A154),IF(OR($S154=$U154,NOT(ISNA(MATCH($D154*5+$V$4,Override!$C$6:$C$125,0)))),$Q154,0),"")</f>
        <v/>
      </c>
      <c r="I154" s="242" t="str">
        <f t="shared" ca="1" si="51"/>
        <v/>
      </c>
      <c r="J154" s="246">
        <f ca="1">COUNT(A152:A156)</f>
        <v>0</v>
      </c>
      <c r="K154" s="247" t="str">
        <f ca="1">IF(ISNUMBER(A154),RANK(F154,F152:F156),"")</f>
        <v/>
      </c>
      <c r="L154" s="142">
        <f ca="1">IF(J154=5,VLOOKUP(K154,TPMatrix!$A$6:$B$10,2,0),IF(J154=4,VLOOKUP(K154,TPMatrix!$D$6:$E$9,2,0),0))</f>
        <v>0</v>
      </c>
      <c r="M154" s="142">
        <f ca="1">IF(COUNTIF(K152:K156,K154)&gt;=2,IF(J154=5,VLOOKUP(K154+1,TPMatrix!$A$6:$B$10,2,0),IF(J154=4,VLOOKUP(K154+1,TPMatrix!$D$6:$E$9,2,0),0)),"")</f>
        <v>0</v>
      </c>
      <c r="N154" s="142">
        <f ca="1">IF(COUNTIF(K152:K156,K154)&gt;=3,IF(J154=5,VLOOKUP(K154+2,TPMatrix!$A$6:$B$10,2,0),IF(J154=4,VLOOKUP(K154+2,TPMatrix!$D$6:$E$9,2,0),0)),"")</f>
        <v>0</v>
      </c>
      <c r="O154" s="142">
        <f ca="1">IF(COUNTIF(K152:K156,K154)&gt;=4,IF(J154=5,VLOOKUP(K154+3,TPMatrix!$A$6:$B$10,2,0),IF(J154=4,VLOOKUP(K154+3,TPMatrix!$D$6:$E$9,2,0),0)),"")</f>
        <v>0</v>
      </c>
      <c r="P154" s="142">
        <f ca="1">IF(COUNTIF(K152:K156,K154)&gt;=5,IF(J154=5,VLOOKUP(K154+4,TPMatrix!$A$6:$B$10,2,0),IF(J154=4,VLOOKUP(K154+4,TPMatrix!$D$6:$E$9,2,0),0)),"")</f>
        <v>0</v>
      </c>
      <c r="Q154" s="142">
        <f t="shared" ca="1" si="52"/>
        <v>0</v>
      </c>
      <c r="R154" s="248">
        <f t="shared" ca="1" si="53"/>
        <v>5</v>
      </c>
      <c r="S154" s="247">
        <f t="shared" ca="1" si="54"/>
        <v>0</v>
      </c>
      <c r="T154" s="142">
        <f t="shared" si="55"/>
        <v>0</v>
      </c>
      <c r="U154" s="248">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2.95" customHeight="1" x14ac:dyDescent="0.2">
      <c r="A155" s="249" t="str">
        <f ca="1">IF(ISBLANK('Tournament Info'!$B$11),"",INDIRECT(ADDRESS(ROW(),1,1,1,"Optimal Seating "&amp;'Tournament Info'!$B$11-1&amp;"R+F")))</f>
        <v/>
      </c>
      <c r="B155" s="250" t="str">
        <f ca="1">IF(ISNUMBER(A155),VLOOKUP(A155,Methuselahs!$A$7:$E$206,2,0),"")</f>
        <v/>
      </c>
      <c r="C155" s="251" t="str">
        <f ca="1">IF(ISNUMBER(A155),VLOOKUP(A155,Methuselahs!$A$7:$E$206,3,0),"")</f>
        <v/>
      </c>
      <c r="D155" s="252" t="str">
        <f t="shared" ca="1" si="48"/>
        <v/>
      </c>
      <c r="E155" s="253"/>
      <c r="F155" s="251">
        <f t="shared" si="49"/>
        <v>0</v>
      </c>
      <c r="G155" s="235" t="str">
        <f t="shared" ca="1" si="50"/>
        <v/>
      </c>
      <c r="H155" s="236" t="str">
        <f ca="1">IF(ISNUMBER(A155),IF(OR($S155=$U155,NOT(ISNA(MATCH($D155*5+$V$4,Override!$C$6:$C$125,0)))),$Q155,0),"")</f>
        <v/>
      </c>
      <c r="I155" s="252" t="str">
        <f t="shared" ca="1" si="51"/>
        <v/>
      </c>
      <c r="J155" s="254">
        <f ca="1">COUNT(A152:A156)</f>
        <v>0</v>
      </c>
      <c r="K155" s="238" t="str">
        <f ca="1">IF(ISNUMBER(A155),RANK(F155,F152:F156),"")</f>
        <v/>
      </c>
      <c r="L155" s="239">
        <f ca="1">IF(J155=5,VLOOKUP(K155,TPMatrix!$A$6:$B$10,2,0),IF(J155=4,VLOOKUP(K155,TPMatrix!$D$6:$E$9,2,0),0))</f>
        <v>0</v>
      </c>
      <c r="M155" s="239">
        <f ca="1">IF(COUNTIF(K152:K156,K155)&gt;=2,IF(J155=5,VLOOKUP(K155+1,TPMatrix!$A$6:$B$10,2,0),IF(J155=4,VLOOKUP(K155+1,TPMatrix!$D$6:$E$9,2,0),0)),"")</f>
        <v>0</v>
      </c>
      <c r="N155" s="239">
        <f ca="1">IF(COUNTIF(K152:K156,K155)&gt;=3,IF(J155=5,VLOOKUP(K155+2,TPMatrix!$A$6:$B$10,2,0),IF(J155=4,VLOOKUP(K155+2,TPMatrix!$D$6:$E$9,2,0),0)),"")</f>
        <v>0</v>
      </c>
      <c r="O155" s="239">
        <f ca="1">IF(COUNTIF(K152:K156,K155)&gt;=4,IF(J155=5,VLOOKUP(K155+3,TPMatrix!$A$6:$B$10,2,0),IF(J155=4,VLOOKUP(K155+3,TPMatrix!$D$6:$E$9,2,0),0)),"")</f>
        <v>0</v>
      </c>
      <c r="P155" s="239">
        <f ca="1">IF(COUNTIF(K152:K156,K155)&gt;=5,IF(J155=5,VLOOKUP(K155+4,TPMatrix!$A$6:$B$10,2,0),IF(J155=4,VLOOKUP(K155+4,TPMatrix!$D$6:$E$9,2,0),0)),"")</f>
        <v>0</v>
      </c>
      <c r="Q155" s="239">
        <f t="shared" ca="1" si="52"/>
        <v>0</v>
      </c>
      <c r="R155" s="240">
        <f t="shared" ca="1" si="53"/>
        <v>5</v>
      </c>
      <c r="S155" s="238">
        <f t="shared" ca="1" si="54"/>
        <v>0</v>
      </c>
      <c r="T155" s="239">
        <f t="shared" si="55"/>
        <v>0</v>
      </c>
      <c r="U155" s="240">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2.95" customHeight="1" x14ac:dyDescent="0.2">
      <c r="A156" s="255" t="str">
        <f ca="1">IF(ISBLANK('Tournament Info'!$B$11),"",INDIRECT(ADDRESS(ROW(),1,1,1,"Optimal Seating "&amp;'Tournament Info'!$B$11-1&amp;"R+F")))</f>
        <v/>
      </c>
      <c r="B156" s="256" t="str">
        <f ca="1">IF(ISNUMBER(A156),VLOOKUP(A156,Methuselahs!$A$7:$E$206,2,0),"")</f>
        <v/>
      </c>
      <c r="C156" s="257" t="str">
        <f ca="1">IF(ISNUMBER(A156),VLOOKUP(A156,Methuselahs!$A$7:$E$206,3,0),"")</f>
        <v/>
      </c>
      <c r="D156" s="258" t="str">
        <f t="shared" ca="1" si="48"/>
        <v/>
      </c>
      <c r="E156" s="259"/>
      <c r="F156" s="257">
        <f t="shared" si="49"/>
        <v>0</v>
      </c>
      <c r="G156" s="244" t="str">
        <f t="shared" ca="1" si="50"/>
        <v/>
      </c>
      <c r="H156" s="245" t="str">
        <f ca="1">IF(ISNUMBER(A156),IF(OR($S156=$U156,NOT(ISNA(MATCH($D156*5+$V$4,Override!$C$6:$C$125,0)))),$Q156,0),"")</f>
        <v/>
      </c>
      <c r="I156" s="258" t="str">
        <f t="shared" ca="1" si="51"/>
        <v/>
      </c>
      <c r="J156" s="260">
        <f ca="1">COUNT(A152:A156)</f>
        <v>0</v>
      </c>
      <c r="K156" s="261" t="str">
        <f ca="1">IF(ISNUMBER(A156),RANK(F156,F152:F156),"")</f>
        <v/>
      </c>
      <c r="L156" s="262">
        <f ca="1">IF(J156=5,VLOOKUP(K156,TPMatrix!$A$6:$B$10,2,0),IF(J156=4,VLOOKUP(K156,TPMatrix!$D$6:$E$9,2,0),0))</f>
        <v>0</v>
      </c>
      <c r="M156" s="262">
        <f ca="1">IF(COUNTIF(K152:K156,K156)&gt;=2,IF(J156=5,VLOOKUP(K156+1,TPMatrix!$A$6:$B$10,2,0),IF(J156=4,VLOOKUP(K156+1,TPMatrix!$D$6:$E$9,2,0),0)),"")</f>
        <v>0</v>
      </c>
      <c r="N156" s="262">
        <f ca="1">IF(COUNTIF(K152:K156,K156)&gt;=3,IF(J156=5,VLOOKUP(K156+2,TPMatrix!$A$6:$B$10,2,0),IF(J156=4,VLOOKUP(K156+2,TPMatrix!$D$6:$E$9,2,0),0)),"")</f>
        <v>0</v>
      </c>
      <c r="O156" s="262">
        <f ca="1">IF(COUNTIF(K152:K156,K156)&gt;=4,IF(J156=5,VLOOKUP(K156+3,TPMatrix!$A$6:$B$10,2,0),IF(J156=4,VLOOKUP(K156+3,TPMatrix!$D$6:$E$9,2,0),0)),"")</f>
        <v>0</v>
      </c>
      <c r="P156" s="262">
        <f ca="1">IF(COUNTIF(K152:K156,K156)&gt;=5,IF(J156=5,VLOOKUP(K156+4,TPMatrix!$A$6:$B$10,2,0),IF(J156=4,VLOOKUP(K156+4,TPMatrix!$D$6:$E$9,2,0),0)),"")</f>
        <v>0</v>
      </c>
      <c r="Q156" s="262">
        <f t="shared" ca="1" si="52"/>
        <v>0</v>
      </c>
      <c r="R156" s="263">
        <f t="shared" ca="1" si="53"/>
        <v>5</v>
      </c>
      <c r="S156" s="261">
        <f t="shared" ca="1" si="54"/>
        <v>0</v>
      </c>
      <c r="T156" s="262">
        <f t="shared" si="55"/>
        <v>0</v>
      </c>
      <c r="U156" s="263">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2.95" customHeight="1" x14ac:dyDescent="0.2">
      <c r="A157" s="219" t="str">
        <f ca="1">IF(ISBLANK('Tournament Info'!$B$11),"",INDIRECT(ADDRESS(ROW(),1,1,1,"Optimal Seating "&amp;'Tournament Info'!$B$11-1&amp;"R+F")))</f>
        <v/>
      </c>
      <c r="B157" s="143" t="str">
        <f ca="1">IF(ISNUMBER(A157),VLOOKUP(A157,Methuselahs!$A$7:$E$206,2,0),"")</f>
        <v/>
      </c>
      <c r="C157" s="220" t="str">
        <f ca="1">IF(ISNUMBER(A157),VLOOKUP(A157,Methuselahs!$A$7:$E$206,3,0),"")</f>
        <v/>
      </c>
      <c r="D157" s="221" t="str">
        <f t="shared" ca="1" si="48"/>
        <v/>
      </c>
      <c r="E157" s="222"/>
      <c r="F157" s="220">
        <f t="shared" si="49"/>
        <v>0</v>
      </c>
      <c r="G157" s="223" t="str">
        <f t="shared" ca="1" si="50"/>
        <v/>
      </c>
      <c r="H157" s="224" t="str">
        <f ca="1">IF(ISNUMBER(A157),IF(OR($S157=$U157,NOT(ISNA(MATCH($D157*5+$V$4,Override!$C$6:$C$125,0)))),$Q157,0),"")</f>
        <v/>
      </c>
      <c r="I157" s="221" t="str">
        <f t="shared" ca="1" si="51"/>
        <v/>
      </c>
      <c r="J157" s="225">
        <f ca="1">COUNT(A157:A161)</f>
        <v>0</v>
      </c>
      <c r="K157" s="226" t="str">
        <f ca="1">IF(ISNUMBER(A157),RANK(F157,F157:F161),"")</f>
        <v/>
      </c>
      <c r="L157" s="227">
        <f ca="1">IF(J157=5,VLOOKUP(K157,TPMatrix!$A$6:$B$10,2,0),IF(J157=4,VLOOKUP(K157,TPMatrix!$D$6:$E$9,2,0),0))</f>
        <v>0</v>
      </c>
      <c r="M157" s="227">
        <f ca="1">IF(COUNTIF(K157:K161,K157)&gt;=2,IF(J157=5,VLOOKUP(K157+1,TPMatrix!$A$6:$B$10,2,0),IF(J157=4,VLOOKUP(K157+1,TPMatrix!$D$6:$E$9,2,0),0)),"")</f>
        <v>0</v>
      </c>
      <c r="N157" s="227">
        <f ca="1">IF(COUNTIF(K157:K161,K157)&gt;=3,IF(J157=5,VLOOKUP(K157+2,TPMatrix!$A$6:$B$10,2,0),IF(J157=4,VLOOKUP(K157+2,TPMatrix!$D$6:$E$9,2,0),0)),"")</f>
        <v>0</v>
      </c>
      <c r="O157" s="227">
        <f ca="1">IF(COUNTIF(K157:K161,K157)&gt;=4,IF(J157=5,VLOOKUP(K157+3,TPMatrix!$A$6:$B$10,2,0),IF(J157=4,VLOOKUP(K157+3,TPMatrix!$D$6:$E$9,2,0),0)),"")</f>
        <v>0</v>
      </c>
      <c r="P157" s="227">
        <f ca="1">IF(COUNTIF(K157:K161,K157)&gt;=5,IF(J157=5,VLOOKUP(K157+4,TPMatrix!$A$6:$B$10,2,0),IF(J157=4,VLOOKUP(K157+4,TPMatrix!$D$6:$E$9,2,0),0)),"")</f>
        <v>0</v>
      </c>
      <c r="Q157" s="227">
        <f t="shared" ca="1" si="52"/>
        <v>0</v>
      </c>
      <c r="R157" s="228">
        <f t="shared" ca="1" si="53"/>
        <v>5</v>
      </c>
      <c r="S157" s="229">
        <f t="shared" ca="1" si="54"/>
        <v>0</v>
      </c>
      <c r="T157" s="230">
        <f t="shared" si="55"/>
        <v>0</v>
      </c>
      <c r="U157" s="231">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2.95" customHeight="1" x14ac:dyDescent="0.2">
      <c r="A158" s="111" t="str">
        <f ca="1">IF(ISBLANK('Tournament Info'!$B$11),"",INDIRECT(ADDRESS(ROW(),1,1,1,"Optimal Seating "&amp;'Tournament Info'!$B$11-1&amp;"R+F")))</f>
        <v/>
      </c>
      <c r="B158" s="117" t="str">
        <f ca="1">IF(ISNUMBER(A158),VLOOKUP(A158,Methuselahs!$A$7:$E$206,2,0),"")</f>
        <v/>
      </c>
      <c r="C158" s="232" t="str">
        <f ca="1">IF(ISNUMBER(A158),VLOOKUP(A158,Methuselahs!$A$7:$E$206,3,0),"")</f>
        <v/>
      </c>
      <c r="D158" s="233" t="str">
        <f t="shared" ca="1" si="48"/>
        <v/>
      </c>
      <c r="E158" s="234"/>
      <c r="F158" s="232">
        <f t="shared" si="49"/>
        <v>0</v>
      </c>
      <c r="G158" s="235" t="str">
        <f t="shared" ca="1" si="50"/>
        <v/>
      </c>
      <c r="H158" s="236" t="str">
        <f ca="1">IF(ISNUMBER(A158),IF(OR($S158=$U158,NOT(ISNA(MATCH($D158*5+$V$4,Override!$C$6:$C$125,0)))),$Q158,0),"")</f>
        <v/>
      </c>
      <c r="I158" s="233" t="str">
        <f t="shared" ca="1" si="51"/>
        <v/>
      </c>
      <c r="J158" s="237">
        <f ca="1">COUNT(A157:A161)</f>
        <v>0</v>
      </c>
      <c r="K158" s="238" t="str">
        <f ca="1">IF(ISNUMBER(A158),RANK(F158,F157:F161),"")</f>
        <v/>
      </c>
      <c r="L158" s="239">
        <f ca="1">IF(J158=5,VLOOKUP(K158,TPMatrix!$A$6:$B$10,2,0),IF(J158=4,VLOOKUP(K158,TPMatrix!$D$6:$E$9,2,0),0))</f>
        <v>0</v>
      </c>
      <c r="M158" s="239">
        <f ca="1">IF(COUNTIF(K157:K161,K158)&gt;=2,IF(J158=5,VLOOKUP(K158+1,TPMatrix!$A$6:$B$10,2,0),IF(J158=4,VLOOKUP(K158+1,TPMatrix!$D$6:$E$9,2,0),0)),"")</f>
        <v>0</v>
      </c>
      <c r="N158" s="239">
        <f ca="1">IF(COUNTIF(K157:K161,K158)&gt;=3,IF(J158=5,VLOOKUP(K158+2,TPMatrix!$A$6:$B$10,2,0),IF(J158=4,VLOOKUP(K158+2,TPMatrix!$D$6:$E$9,2,0),0)),"")</f>
        <v>0</v>
      </c>
      <c r="O158" s="239">
        <f ca="1">IF(COUNTIF(K157:K161,K158)&gt;=4,IF(J158=5,VLOOKUP(K158+3,TPMatrix!$A$6:$B$10,2,0),IF(J158=4,VLOOKUP(K158+3,TPMatrix!$D$6:$E$9,2,0),0)),"")</f>
        <v>0</v>
      </c>
      <c r="P158" s="239">
        <f ca="1">IF(COUNTIF(K157:K161,K158)&gt;=5,IF(J158=5,VLOOKUP(K158+4,TPMatrix!$A$6:$B$10,2,0),IF(J158=4,VLOOKUP(K158+4,TPMatrix!$D$6:$E$9,2,0),0)),"")</f>
        <v>0</v>
      </c>
      <c r="Q158" s="239">
        <f t="shared" ca="1" si="52"/>
        <v>0</v>
      </c>
      <c r="R158" s="240">
        <f t="shared" ca="1" si="53"/>
        <v>5</v>
      </c>
      <c r="S158" s="238">
        <f t="shared" ca="1" si="54"/>
        <v>0</v>
      </c>
      <c r="T158" s="239">
        <f t="shared" si="55"/>
        <v>0</v>
      </c>
      <c r="U158" s="240">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2.95" customHeight="1" x14ac:dyDescent="0.2">
      <c r="A159" s="137" t="str">
        <f ca="1">IF(ISBLANK('Tournament Info'!$B$11),"",INDIRECT(ADDRESS(ROW(),1,1,1,"Optimal Seating "&amp;'Tournament Info'!$B$11-1&amp;"R+F")))</f>
        <v/>
      </c>
      <c r="B159" s="143" t="str">
        <f ca="1">IF(ISNUMBER(A159),VLOOKUP(A159,Methuselahs!$A$7:$E$206,2,0),"")</f>
        <v/>
      </c>
      <c r="C159" s="241" t="str">
        <f ca="1">IF(ISNUMBER(A159),VLOOKUP(A159,Methuselahs!$A$7:$E$206,3,0),"")</f>
        <v/>
      </c>
      <c r="D159" s="242" t="str">
        <f t="shared" ca="1" si="48"/>
        <v/>
      </c>
      <c r="E159" s="243"/>
      <c r="F159" s="241">
        <f t="shared" si="49"/>
        <v>0</v>
      </c>
      <c r="G159" s="244" t="str">
        <f t="shared" ca="1" si="50"/>
        <v/>
      </c>
      <c r="H159" s="245" t="str">
        <f ca="1">IF(ISNUMBER(A159),IF(OR($S159=$U159,NOT(ISNA(MATCH($D159*5+$V$4,Override!$C$6:$C$125,0)))),$Q159,0),"")</f>
        <v/>
      </c>
      <c r="I159" s="242" t="str">
        <f t="shared" ca="1" si="51"/>
        <v/>
      </c>
      <c r="J159" s="246">
        <f ca="1">COUNT(A157:A161)</f>
        <v>0</v>
      </c>
      <c r="K159" s="247" t="str">
        <f ca="1">IF(ISNUMBER(A159),RANK(F159,F157:F161),"")</f>
        <v/>
      </c>
      <c r="L159" s="142">
        <f ca="1">IF(J159=5,VLOOKUP(K159,TPMatrix!$A$6:$B$10,2,0),IF(J159=4,VLOOKUP(K159,TPMatrix!$D$6:$E$9,2,0),0))</f>
        <v>0</v>
      </c>
      <c r="M159" s="142">
        <f ca="1">IF(COUNTIF(K157:K161,K159)&gt;=2,IF(J159=5,VLOOKUP(K159+1,TPMatrix!$A$6:$B$10,2,0),IF(J159=4,VLOOKUP(K159+1,TPMatrix!$D$6:$E$9,2,0),0)),"")</f>
        <v>0</v>
      </c>
      <c r="N159" s="142">
        <f ca="1">IF(COUNTIF(K157:K161,K159)&gt;=3,IF(J159=5,VLOOKUP(K159+2,TPMatrix!$A$6:$B$10,2,0),IF(J159=4,VLOOKUP(K159+2,TPMatrix!$D$6:$E$9,2,0),0)),"")</f>
        <v>0</v>
      </c>
      <c r="O159" s="142">
        <f ca="1">IF(COUNTIF(K157:K161,K159)&gt;=4,IF(J159=5,VLOOKUP(K159+3,TPMatrix!$A$6:$B$10,2,0),IF(J159=4,VLOOKUP(K159+3,TPMatrix!$D$6:$E$9,2,0),0)),"")</f>
        <v>0</v>
      </c>
      <c r="P159" s="142">
        <f ca="1">IF(COUNTIF(K157:K161,K159)&gt;=5,IF(J159=5,VLOOKUP(K159+4,TPMatrix!$A$6:$B$10,2,0),IF(J159=4,VLOOKUP(K159+4,TPMatrix!$D$6:$E$9,2,0),0)),"")</f>
        <v>0</v>
      </c>
      <c r="Q159" s="142">
        <f t="shared" ca="1" si="52"/>
        <v>0</v>
      </c>
      <c r="R159" s="248">
        <f t="shared" ca="1" si="53"/>
        <v>5</v>
      </c>
      <c r="S159" s="247">
        <f t="shared" ca="1" si="54"/>
        <v>0</v>
      </c>
      <c r="T159" s="142">
        <f t="shared" si="55"/>
        <v>0</v>
      </c>
      <c r="U159" s="248">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2.95" customHeight="1" x14ac:dyDescent="0.2">
      <c r="A160" s="249" t="str">
        <f ca="1">IF(ISBLANK('Tournament Info'!$B$11),"",INDIRECT(ADDRESS(ROW(),1,1,1,"Optimal Seating "&amp;'Tournament Info'!$B$11-1&amp;"R+F")))</f>
        <v/>
      </c>
      <c r="B160" s="250" t="str">
        <f ca="1">IF(ISNUMBER(A160),VLOOKUP(A160,Methuselahs!$A$7:$E$206,2,0),"")</f>
        <v/>
      </c>
      <c r="C160" s="251" t="str">
        <f ca="1">IF(ISNUMBER(A160),VLOOKUP(A160,Methuselahs!$A$7:$E$206,3,0),"")</f>
        <v/>
      </c>
      <c r="D160" s="252" t="str">
        <f t="shared" ca="1" si="48"/>
        <v/>
      </c>
      <c r="E160" s="253"/>
      <c r="F160" s="251">
        <f t="shared" si="49"/>
        <v>0</v>
      </c>
      <c r="G160" s="235" t="str">
        <f t="shared" ca="1" si="50"/>
        <v/>
      </c>
      <c r="H160" s="236" t="str">
        <f ca="1">IF(ISNUMBER(A160),IF(OR($S160=$U160,NOT(ISNA(MATCH($D160*5+$V$4,Override!$C$6:$C$125,0)))),$Q160,0),"")</f>
        <v/>
      </c>
      <c r="I160" s="252" t="str">
        <f t="shared" ca="1" si="51"/>
        <v/>
      </c>
      <c r="J160" s="254">
        <f ca="1">COUNT(A157:A161)</f>
        <v>0</v>
      </c>
      <c r="K160" s="238" t="str">
        <f ca="1">IF(ISNUMBER(A160),RANK(F160,F157:F161),"")</f>
        <v/>
      </c>
      <c r="L160" s="239">
        <f ca="1">IF(J160=5,VLOOKUP(K160,TPMatrix!$A$6:$B$10,2,0),IF(J160=4,VLOOKUP(K160,TPMatrix!$D$6:$E$9,2,0),0))</f>
        <v>0</v>
      </c>
      <c r="M160" s="239">
        <f ca="1">IF(COUNTIF(K157:K161,K160)&gt;=2,IF(J160=5,VLOOKUP(K160+1,TPMatrix!$A$6:$B$10,2,0),IF(J160=4,VLOOKUP(K160+1,TPMatrix!$D$6:$E$9,2,0),0)),"")</f>
        <v>0</v>
      </c>
      <c r="N160" s="239">
        <f ca="1">IF(COUNTIF(K157:K161,K160)&gt;=3,IF(J160=5,VLOOKUP(K160+2,TPMatrix!$A$6:$B$10,2,0),IF(J160=4,VLOOKUP(K160+2,TPMatrix!$D$6:$E$9,2,0),0)),"")</f>
        <v>0</v>
      </c>
      <c r="O160" s="239">
        <f ca="1">IF(COUNTIF(K157:K161,K160)&gt;=4,IF(J160=5,VLOOKUP(K160+3,TPMatrix!$A$6:$B$10,2,0),IF(J160=4,VLOOKUP(K160+3,TPMatrix!$D$6:$E$9,2,0),0)),"")</f>
        <v>0</v>
      </c>
      <c r="P160" s="239">
        <f ca="1">IF(COUNTIF(K157:K161,K160)&gt;=5,IF(J160=5,VLOOKUP(K160+4,TPMatrix!$A$6:$B$10,2,0),IF(J160=4,VLOOKUP(K160+4,TPMatrix!$D$6:$E$9,2,0),0)),"")</f>
        <v>0</v>
      </c>
      <c r="Q160" s="239">
        <f t="shared" ca="1" si="52"/>
        <v>0</v>
      </c>
      <c r="R160" s="240">
        <f t="shared" ca="1" si="53"/>
        <v>5</v>
      </c>
      <c r="S160" s="238">
        <f t="shared" ca="1" si="54"/>
        <v>0</v>
      </c>
      <c r="T160" s="239">
        <f t="shared" si="55"/>
        <v>0</v>
      </c>
      <c r="U160" s="240">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2.95" customHeight="1" x14ac:dyDescent="0.2">
      <c r="A161" s="255" t="str">
        <f ca="1">IF(ISBLANK('Tournament Info'!$B$11),"",INDIRECT(ADDRESS(ROW(),1,1,1,"Optimal Seating "&amp;'Tournament Info'!$B$11-1&amp;"R+F")))</f>
        <v/>
      </c>
      <c r="B161" s="256" t="str">
        <f ca="1">IF(ISNUMBER(A161),VLOOKUP(A161,Methuselahs!$A$7:$E$206,2,0),"")</f>
        <v/>
      </c>
      <c r="C161" s="257" t="str">
        <f ca="1">IF(ISNUMBER(A161),VLOOKUP(A161,Methuselahs!$A$7:$E$206,3,0),"")</f>
        <v/>
      </c>
      <c r="D161" s="258" t="str">
        <f t="shared" ca="1" si="48"/>
        <v/>
      </c>
      <c r="E161" s="259"/>
      <c r="F161" s="257">
        <f t="shared" si="49"/>
        <v>0</v>
      </c>
      <c r="G161" s="244" t="str">
        <f t="shared" ca="1" si="50"/>
        <v/>
      </c>
      <c r="H161" s="245" t="str">
        <f ca="1">IF(ISNUMBER(A161),IF(OR($S161=$U161,NOT(ISNA(MATCH($D161*5+$V$4,Override!$C$6:$C$125,0)))),$Q161,0),"")</f>
        <v/>
      </c>
      <c r="I161" s="258" t="str">
        <f t="shared" ca="1" si="51"/>
        <v/>
      </c>
      <c r="J161" s="260">
        <f ca="1">COUNT(A157:A161)</f>
        <v>0</v>
      </c>
      <c r="K161" s="261" t="str">
        <f ca="1">IF(ISNUMBER(A161),RANK(F161,F157:F161),"")</f>
        <v/>
      </c>
      <c r="L161" s="262">
        <f ca="1">IF(J161=5,VLOOKUP(K161,TPMatrix!$A$6:$B$10,2,0),IF(J161=4,VLOOKUP(K161,TPMatrix!$D$6:$E$9,2,0),0))</f>
        <v>0</v>
      </c>
      <c r="M161" s="262">
        <f ca="1">IF(COUNTIF(K157:K161,K161)&gt;=2,IF(J161=5,VLOOKUP(K161+1,TPMatrix!$A$6:$B$10,2,0),IF(J161=4,VLOOKUP(K161+1,TPMatrix!$D$6:$E$9,2,0),0)),"")</f>
        <v>0</v>
      </c>
      <c r="N161" s="262">
        <f ca="1">IF(COUNTIF(K157:K161,K161)&gt;=3,IF(J161=5,VLOOKUP(K161+2,TPMatrix!$A$6:$B$10,2,0),IF(J161=4,VLOOKUP(K161+2,TPMatrix!$D$6:$E$9,2,0),0)),"")</f>
        <v>0</v>
      </c>
      <c r="O161" s="262">
        <f ca="1">IF(COUNTIF(K157:K161,K161)&gt;=4,IF(J161=5,VLOOKUP(K161+3,TPMatrix!$A$6:$B$10,2,0),IF(J161=4,VLOOKUP(K161+3,TPMatrix!$D$6:$E$9,2,0),0)),"")</f>
        <v>0</v>
      </c>
      <c r="P161" s="262">
        <f ca="1">IF(COUNTIF(K157:K161,K161)&gt;=5,IF(J161=5,VLOOKUP(K161+4,TPMatrix!$A$6:$B$10,2,0),IF(J161=4,VLOOKUP(K161+4,TPMatrix!$D$6:$E$9,2,0),0)),"")</f>
        <v>0</v>
      </c>
      <c r="Q161" s="262">
        <f t="shared" ca="1" si="52"/>
        <v>0</v>
      </c>
      <c r="R161" s="263">
        <f t="shared" ca="1" si="53"/>
        <v>5</v>
      </c>
      <c r="S161" s="261">
        <f t="shared" ca="1" si="54"/>
        <v>0</v>
      </c>
      <c r="T161" s="262">
        <f t="shared" si="55"/>
        <v>0</v>
      </c>
      <c r="U161" s="263">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2.95" customHeight="1" x14ac:dyDescent="0.2">
      <c r="A162" s="219" t="str">
        <f ca="1">IF(ISBLANK('Tournament Info'!$B$11),"",INDIRECT(ADDRESS(ROW(),1,1,1,"Optimal Seating "&amp;'Tournament Info'!$B$11-1&amp;"R+F")))</f>
        <v/>
      </c>
      <c r="B162" s="143" t="str">
        <f ca="1">IF(ISNUMBER(A162),VLOOKUP(A162,Methuselahs!$A$7:$E$206,2,0),"")</f>
        <v/>
      </c>
      <c r="C162" s="220" t="str">
        <f ca="1">IF(ISNUMBER(A162),VLOOKUP(A162,Methuselahs!$A$7:$E$206,3,0),"")</f>
        <v/>
      </c>
      <c r="D162" s="221" t="str">
        <f t="shared" ca="1" si="48"/>
        <v/>
      </c>
      <c r="E162" s="222"/>
      <c r="F162" s="220">
        <f t="shared" si="49"/>
        <v>0</v>
      </c>
      <c r="G162" s="223" t="str">
        <f t="shared" ca="1" si="50"/>
        <v/>
      </c>
      <c r="H162" s="224" t="str">
        <f ca="1">IF(ISNUMBER(A162),IF(OR($S162=$U162,NOT(ISNA(MATCH($D162*5+$V$4,Override!$C$6:$C$125,0)))),$Q162,0),"")</f>
        <v/>
      </c>
      <c r="I162" s="221" t="str">
        <f t="shared" ca="1" si="51"/>
        <v/>
      </c>
      <c r="J162" s="225">
        <f ca="1">COUNT(A162:A166)</f>
        <v>0</v>
      </c>
      <c r="K162" s="226" t="str">
        <f ca="1">IF(ISNUMBER(A162),RANK(F162,F162:F166),"")</f>
        <v/>
      </c>
      <c r="L162" s="227">
        <f ca="1">IF(J162=5,VLOOKUP(K162,TPMatrix!$A$6:$B$10,2,0),IF(J162=4,VLOOKUP(K162,TPMatrix!$D$6:$E$9,2,0),0))</f>
        <v>0</v>
      </c>
      <c r="M162" s="227">
        <f ca="1">IF(COUNTIF(K162:K166,K162)&gt;=2,IF(J162=5,VLOOKUP(K162+1,TPMatrix!$A$6:$B$10,2,0),IF(J162=4,VLOOKUP(K162+1,TPMatrix!$D$6:$E$9,2,0),0)),"")</f>
        <v>0</v>
      </c>
      <c r="N162" s="227">
        <f ca="1">IF(COUNTIF(K162:K166,K162)&gt;=3,IF(J162=5,VLOOKUP(K162+2,TPMatrix!$A$6:$B$10,2,0),IF(J162=4,VLOOKUP(K162+2,TPMatrix!$D$6:$E$9,2,0),0)),"")</f>
        <v>0</v>
      </c>
      <c r="O162" s="227">
        <f ca="1">IF(COUNTIF(K162:K166,K162)&gt;=4,IF(J162=5,VLOOKUP(K162+3,TPMatrix!$A$6:$B$10,2,0),IF(J162=4,VLOOKUP(K162+3,TPMatrix!$D$6:$E$9,2,0),0)),"")</f>
        <v>0</v>
      </c>
      <c r="P162" s="227">
        <f ca="1">IF(COUNTIF(K162:K166,K162)&gt;=5,IF(J162=5,VLOOKUP(K162+4,TPMatrix!$A$6:$B$10,2,0),IF(J162=4,VLOOKUP(K162+4,TPMatrix!$D$6:$E$9,2,0),0)),"")</f>
        <v>0</v>
      </c>
      <c r="Q162" s="227">
        <f t="shared" ca="1" si="52"/>
        <v>0</v>
      </c>
      <c r="R162" s="228">
        <f t="shared" ca="1" si="53"/>
        <v>5</v>
      </c>
      <c r="S162" s="229">
        <f t="shared" ca="1" si="54"/>
        <v>0</v>
      </c>
      <c r="T162" s="230">
        <f t="shared" si="55"/>
        <v>0</v>
      </c>
      <c r="U162" s="231">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2.95" customHeight="1" x14ac:dyDescent="0.2">
      <c r="A163" s="111" t="str">
        <f ca="1">IF(ISBLANK('Tournament Info'!$B$11),"",INDIRECT(ADDRESS(ROW(),1,1,1,"Optimal Seating "&amp;'Tournament Info'!$B$11-1&amp;"R+F")))</f>
        <v/>
      </c>
      <c r="B163" s="117" t="str">
        <f ca="1">IF(ISNUMBER(A163),VLOOKUP(A163,Methuselahs!$A$7:$E$206,2,0),"")</f>
        <v/>
      </c>
      <c r="C163" s="232" t="str">
        <f ca="1">IF(ISNUMBER(A163),VLOOKUP(A163,Methuselahs!$A$7:$E$206,3,0),"")</f>
        <v/>
      </c>
      <c r="D163" s="233" t="str">
        <f t="shared" ca="1" si="48"/>
        <v/>
      </c>
      <c r="E163" s="234"/>
      <c r="F163" s="232">
        <f t="shared" si="49"/>
        <v>0</v>
      </c>
      <c r="G163" s="235" t="str">
        <f t="shared" ca="1" si="50"/>
        <v/>
      </c>
      <c r="H163" s="236" t="str">
        <f ca="1">IF(ISNUMBER(A163),IF(OR($S163=$U163,NOT(ISNA(MATCH($D163*5+$V$4,Override!$C$6:$C$125,0)))),$Q163,0),"")</f>
        <v/>
      </c>
      <c r="I163" s="233" t="str">
        <f t="shared" ca="1" si="51"/>
        <v/>
      </c>
      <c r="J163" s="237">
        <f ca="1">COUNT(A162:A166)</f>
        <v>0</v>
      </c>
      <c r="K163" s="238" t="str">
        <f ca="1">IF(ISNUMBER(A163),RANK(F163,F162:F166),"")</f>
        <v/>
      </c>
      <c r="L163" s="239">
        <f ca="1">IF(J163=5,VLOOKUP(K163,TPMatrix!$A$6:$B$10,2,0),IF(J163=4,VLOOKUP(K163,TPMatrix!$D$6:$E$9,2,0),0))</f>
        <v>0</v>
      </c>
      <c r="M163" s="239">
        <f ca="1">IF(COUNTIF(K162:K166,K163)&gt;=2,IF(J163=5,VLOOKUP(K163+1,TPMatrix!$A$6:$B$10,2,0),IF(J163=4,VLOOKUP(K163+1,TPMatrix!$D$6:$E$9,2,0),0)),"")</f>
        <v>0</v>
      </c>
      <c r="N163" s="239">
        <f ca="1">IF(COUNTIF(K162:K166,K163)&gt;=3,IF(J163=5,VLOOKUP(K163+2,TPMatrix!$A$6:$B$10,2,0),IF(J163=4,VLOOKUP(K163+2,TPMatrix!$D$6:$E$9,2,0),0)),"")</f>
        <v>0</v>
      </c>
      <c r="O163" s="239">
        <f ca="1">IF(COUNTIF(K162:K166,K163)&gt;=4,IF(J163=5,VLOOKUP(K163+3,TPMatrix!$A$6:$B$10,2,0),IF(J163=4,VLOOKUP(K163+3,TPMatrix!$D$6:$E$9,2,0),0)),"")</f>
        <v>0</v>
      </c>
      <c r="P163" s="239">
        <f ca="1">IF(COUNTIF(K162:K166,K163)&gt;=5,IF(J163=5,VLOOKUP(K163+4,TPMatrix!$A$6:$B$10,2,0),IF(J163=4,VLOOKUP(K163+4,TPMatrix!$D$6:$E$9,2,0),0)),"")</f>
        <v>0</v>
      </c>
      <c r="Q163" s="239">
        <f t="shared" ca="1" si="52"/>
        <v>0</v>
      </c>
      <c r="R163" s="240">
        <f t="shared" ca="1" si="53"/>
        <v>5</v>
      </c>
      <c r="S163" s="238">
        <f t="shared" ca="1" si="54"/>
        <v>0</v>
      </c>
      <c r="T163" s="239">
        <f t="shared" si="55"/>
        <v>0</v>
      </c>
      <c r="U163" s="240">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2.95" customHeight="1" x14ac:dyDescent="0.2">
      <c r="A164" s="137" t="str">
        <f ca="1">IF(ISBLANK('Tournament Info'!$B$11),"",INDIRECT(ADDRESS(ROW(),1,1,1,"Optimal Seating "&amp;'Tournament Info'!$B$11-1&amp;"R+F")))</f>
        <v/>
      </c>
      <c r="B164" s="143" t="str">
        <f ca="1">IF(ISNUMBER(A164),VLOOKUP(A164,Methuselahs!$A$7:$E$206,2,0),"")</f>
        <v/>
      </c>
      <c r="C164" s="241" t="str">
        <f ca="1">IF(ISNUMBER(A164),VLOOKUP(A164,Methuselahs!$A$7:$E$206,3,0),"")</f>
        <v/>
      </c>
      <c r="D164" s="242" t="str">
        <f t="shared" ca="1" si="48"/>
        <v/>
      </c>
      <c r="E164" s="243"/>
      <c r="F164" s="241">
        <f t="shared" si="49"/>
        <v>0</v>
      </c>
      <c r="G164" s="244" t="str">
        <f t="shared" ca="1" si="50"/>
        <v/>
      </c>
      <c r="H164" s="245" t="str">
        <f ca="1">IF(ISNUMBER(A164),IF(OR($S164=$U164,NOT(ISNA(MATCH($D164*5+$V$4,Override!$C$6:$C$125,0)))),$Q164,0),"")</f>
        <v/>
      </c>
      <c r="I164" s="242" t="str">
        <f t="shared" ca="1" si="51"/>
        <v/>
      </c>
      <c r="J164" s="246">
        <f ca="1">COUNT(A162:A166)</f>
        <v>0</v>
      </c>
      <c r="K164" s="247" t="str">
        <f ca="1">IF(ISNUMBER(A164),RANK(F164,F162:F166),"")</f>
        <v/>
      </c>
      <c r="L164" s="142">
        <f ca="1">IF(J164=5,VLOOKUP(K164,TPMatrix!$A$6:$B$10,2,0),IF(J164=4,VLOOKUP(K164,TPMatrix!$D$6:$E$9,2,0),0))</f>
        <v>0</v>
      </c>
      <c r="M164" s="142">
        <f ca="1">IF(COUNTIF(K162:K166,K164)&gt;=2,IF(J164=5,VLOOKUP(K164+1,TPMatrix!$A$6:$B$10,2,0),IF(J164=4,VLOOKUP(K164+1,TPMatrix!$D$6:$E$9,2,0),0)),"")</f>
        <v>0</v>
      </c>
      <c r="N164" s="142">
        <f ca="1">IF(COUNTIF(K162:K166,K164)&gt;=3,IF(J164=5,VLOOKUP(K164+2,TPMatrix!$A$6:$B$10,2,0),IF(J164=4,VLOOKUP(K164+2,TPMatrix!$D$6:$E$9,2,0),0)),"")</f>
        <v>0</v>
      </c>
      <c r="O164" s="142">
        <f ca="1">IF(COUNTIF(K162:K166,K164)&gt;=4,IF(J164=5,VLOOKUP(K164+3,TPMatrix!$A$6:$B$10,2,0),IF(J164=4,VLOOKUP(K164+3,TPMatrix!$D$6:$E$9,2,0),0)),"")</f>
        <v>0</v>
      </c>
      <c r="P164" s="142">
        <f ca="1">IF(COUNTIF(K162:K166,K164)&gt;=5,IF(J164=5,VLOOKUP(K164+4,TPMatrix!$A$6:$B$10,2,0),IF(J164=4,VLOOKUP(K164+4,TPMatrix!$D$6:$E$9,2,0),0)),"")</f>
        <v>0</v>
      </c>
      <c r="Q164" s="142">
        <f t="shared" ca="1" si="52"/>
        <v>0</v>
      </c>
      <c r="R164" s="248">
        <f t="shared" ca="1" si="53"/>
        <v>5</v>
      </c>
      <c r="S164" s="247">
        <f t="shared" ca="1" si="54"/>
        <v>0</v>
      </c>
      <c r="T164" s="142">
        <f t="shared" si="55"/>
        <v>0</v>
      </c>
      <c r="U164" s="248">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2.95" customHeight="1" x14ac:dyDescent="0.2">
      <c r="A165" s="249" t="str">
        <f ca="1">IF(ISBLANK('Tournament Info'!$B$11),"",INDIRECT(ADDRESS(ROW(),1,1,1,"Optimal Seating "&amp;'Tournament Info'!$B$11-1&amp;"R+F")))</f>
        <v/>
      </c>
      <c r="B165" s="250" t="str">
        <f ca="1">IF(ISNUMBER(A165),VLOOKUP(A165,Methuselahs!$A$7:$E$206,2,0),"")</f>
        <v/>
      </c>
      <c r="C165" s="251" t="str">
        <f ca="1">IF(ISNUMBER(A165),VLOOKUP(A165,Methuselahs!$A$7:$E$206,3,0),"")</f>
        <v/>
      </c>
      <c r="D165" s="252" t="str">
        <f t="shared" ca="1" si="48"/>
        <v/>
      </c>
      <c r="E165" s="253"/>
      <c r="F165" s="251">
        <f t="shared" si="49"/>
        <v>0</v>
      </c>
      <c r="G165" s="235" t="str">
        <f t="shared" ca="1" si="50"/>
        <v/>
      </c>
      <c r="H165" s="236" t="str">
        <f ca="1">IF(ISNUMBER(A165),IF(OR($S165=$U165,NOT(ISNA(MATCH($D165*5+$V$4,Override!$C$6:$C$125,0)))),$Q165,0),"")</f>
        <v/>
      </c>
      <c r="I165" s="252" t="str">
        <f t="shared" ca="1" si="51"/>
        <v/>
      </c>
      <c r="J165" s="254">
        <f ca="1">COUNT(A162:A166)</f>
        <v>0</v>
      </c>
      <c r="K165" s="238" t="str">
        <f ca="1">IF(ISNUMBER(A165),RANK(F165,F162:F166),"")</f>
        <v/>
      </c>
      <c r="L165" s="239">
        <f ca="1">IF(J165=5,VLOOKUP(K165,TPMatrix!$A$6:$B$10,2,0),IF(J165=4,VLOOKUP(K165,TPMatrix!$D$6:$E$9,2,0),0))</f>
        <v>0</v>
      </c>
      <c r="M165" s="239">
        <f ca="1">IF(COUNTIF(K162:K166,K165)&gt;=2,IF(J165=5,VLOOKUP(K165+1,TPMatrix!$A$6:$B$10,2,0),IF(J165=4,VLOOKUP(K165+1,TPMatrix!$D$6:$E$9,2,0),0)),"")</f>
        <v>0</v>
      </c>
      <c r="N165" s="239">
        <f ca="1">IF(COUNTIF(K162:K166,K165)&gt;=3,IF(J165=5,VLOOKUP(K165+2,TPMatrix!$A$6:$B$10,2,0),IF(J165=4,VLOOKUP(K165+2,TPMatrix!$D$6:$E$9,2,0),0)),"")</f>
        <v>0</v>
      </c>
      <c r="O165" s="239">
        <f ca="1">IF(COUNTIF(K162:K166,K165)&gt;=4,IF(J165=5,VLOOKUP(K165+3,TPMatrix!$A$6:$B$10,2,0),IF(J165=4,VLOOKUP(K165+3,TPMatrix!$D$6:$E$9,2,0),0)),"")</f>
        <v>0</v>
      </c>
      <c r="P165" s="239">
        <f ca="1">IF(COUNTIF(K162:K166,K165)&gt;=5,IF(J165=5,VLOOKUP(K165+4,TPMatrix!$A$6:$B$10,2,0),IF(J165=4,VLOOKUP(K165+4,TPMatrix!$D$6:$E$9,2,0),0)),"")</f>
        <v>0</v>
      </c>
      <c r="Q165" s="239">
        <f t="shared" ca="1" si="52"/>
        <v>0</v>
      </c>
      <c r="R165" s="240">
        <f t="shared" ca="1" si="53"/>
        <v>5</v>
      </c>
      <c r="S165" s="238">
        <f t="shared" ca="1" si="54"/>
        <v>0</v>
      </c>
      <c r="T165" s="239">
        <f t="shared" si="55"/>
        <v>0</v>
      </c>
      <c r="U165" s="240">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2.95" customHeight="1" x14ac:dyDescent="0.2">
      <c r="A166" s="255" t="str">
        <f ca="1">IF(ISBLANK('Tournament Info'!$B$11),"",INDIRECT(ADDRESS(ROW(),1,1,1,"Optimal Seating "&amp;'Tournament Info'!$B$11-1&amp;"R+F")))</f>
        <v/>
      </c>
      <c r="B166" s="256" t="str">
        <f ca="1">IF(ISNUMBER(A166),VLOOKUP(A166,Methuselahs!$A$7:$E$206,2,0),"")</f>
        <v/>
      </c>
      <c r="C166" s="257" t="str">
        <f ca="1">IF(ISNUMBER(A166),VLOOKUP(A166,Methuselahs!$A$7:$E$206,3,0),"")</f>
        <v/>
      </c>
      <c r="D166" s="258" t="str">
        <f t="shared" ca="1" si="48"/>
        <v/>
      </c>
      <c r="E166" s="259"/>
      <c r="F166" s="257">
        <f t="shared" si="49"/>
        <v>0</v>
      </c>
      <c r="G166" s="244" t="str">
        <f t="shared" ca="1" si="50"/>
        <v/>
      </c>
      <c r="H166" s="245" t="str">
        <f ca="1">IF(ISNUMBER(A166),IF(OR($S166=$U166,NOT(ISNA(MATCH($D166*5+$V$4,Override!$C$6:$C$125,0)))),$Q166,0),"")</f>
        <v/>
      </c>
      <c r="I166" s="258" t="str">
        <f t="shared" ca="1" si="51"/>
        <v/>
      </c>
      <c r="J166" s="260">
        <f ca="1">COUNT(A162:A166)</f>
        <v>0</v>
      </c>
      <c r="K166" s="261" t="str">
        <f ca="1">IF(ISNUMBER(A166),RANK(F166,F162:F166),"")</f>
        <v/>
      </c>
      <c r="L166" s="262">
        <f ca="1">IF(J166=5,VLOOKUP(K166,TPMatrix!$A$6:$B$10,2,0),IF(J166=4,VLOOKUP(K166,TPMatrix!$D$6:$E$9,2,0),0))</f>
        <v>0</v>
      </c>
      <c r="M166" s="262">
        <f ca="1">IF(COUNTIF(K162:K166,K166)&gt;=2,IF(J166=5,VLOOKUP(K166+1,TPMatrix!$A$6:$B$10,2,0),IF(J166=4,VLOOKUP(K166+1,TPMatrix!$D$6:$E$9,2,0),0)),"")</f>
        <v>0</v>
      </c>
      <c r="N166" s="262">
        <f ca="1">IF(COUNTIF(K162:K166,K166)&gt;=3,IF(J166=5,VLOOKUP(K166+2,TPMatrix!$A$6:$B$10,2,0),IF(J166=4,VLOOKUP(K166+2,TPMatrix!$D$6:$E$9,2,0),0)),"")</f>
        <v>0</v>
      </c>
      <c r="O166" s="262">
        <f ca="1">IF(COUNTIF(K162:K166,K166)&gt;=4,IF(J166=5,VLOOKUP(K166+3,TPMatrix!$A$6:$B$10,2,0),IF(J166=4,VLOOKUP(K166+3,TPMatrix!$D$6:$E$9,2,0),0)),"")</f>
        <v>0</v>
      </c>
      <c r="P166" s="262">
        <f ca="1">IF(COUNTIF(K162:K166,K166)&gt;=5,IF(J166=5,VLOOKUP(K166+4,TPMatrix!$A$6:$B$10,2,0),IF(J166=4,VLOOKUP(K166+4,TPMatrix!$D$6:$E$9,2,0),0)),"")</f>
        <v>0</v>
      </c>
      <c r="Q166" s="262">
        <f t="shared" ca="1" si="52"/>
        <v>0</v>
      </c>
      <c r="R166" s="263">
        <f t="shared" ca="1" si="53"/>
        <v>5</v>
      </c>
      <c r="S166" s="261">
        <f t="shared" ca="1" si="54"/>
        <v>0</v>
      </c>
      <c r="T166" s="262">
        <f t="shared" si="55"/>
        <v>0</v>
      </c>
      <c r="U166" s="263">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2.95" customHeight="1" x14ac:dyDescent="0.2">
      <c r="A167" s="219" t="str">
        <f ca="1">IF(ISBLANK('Tournament Info'!$B$11),"",INDIRECT(ADDRESS(ROW(),1,1,1,"Optimal Seating "&amp;'Tournament Info'!$B$11-1&amp;"R+F")))</f>
        <v/>
      </c>
      <c r="B167" s="143" t="str">
        <f ca="1">IF(ISNUMBER(A167),VLOOKUP(A167,Methuselahs!$A$7:$E$206,2,0),"")</f>
        <v/>
      </c>
      <c r="C167" s="220" t="str">
        <f ca="1">IF(ISNUMBER(A167),VLOOKUP(A167,Methuselahs!$A$7:$E$206,3,0),"")</f>
        <v/>
      </c>
      <c r="D167" s="221" t="str">
        <f t="shared" ref="D167:D198" ca="1" si="60">IF(ISNUMBER(A167),FLOOR((ROW()-ROW($A$7))/5,1)+1,"")</f>
        <v/>
      </c>
      <c r="E167" s="222"/>
      <c r="F167" s="220">
        <f t="shared" ref="F167:F198" si="61">IF(ISNUMBER(E167),E167,0)</f>
        <v>0</v>
      </c>
      <c r="G167" s="223" t="str">
        <f t="shared" ref="G167:G198" ca="1" si="62">IF(ISNUMBER($A167),IF(AND($F167&gt;=2,$H167=60),1,0),"")</f>
        <v/>
      </c>
      <c r="H167" s="224" t="str">
        <f ca="1">IF(ISNUMBER(A167),IF(OR($S167=$U167,NOT(ISNA(MATCH($D167*5+$V$4,Override!$C$6:$C$125,0)))),$Q167,0),"")</f>
        <v/>
      </c>
      <c r="I167" s="221" t="str">
        <f t="shared" ref="I167:I198" ca="1" si="63">IF(ISNUMBER(A167),IF(J167=5,K167,IF(AND(J167=4,OR(K167=4,K167=3)),K167+1,K167)),"")</f>
        <v/>
      </c>
      <c r="J167" s="225">
        <f ca="1">COUNT(A167:A171)</f>
        <v>0</v>
      </c>
      <c r="K167" s="226" t="str">
        <f ca="1">IF(ISNUMBER(A167),RANK(F167,F167:F171),"")</f>
        <v/>
      </c>
      <c r="L167" s="227">
        <f ca="1">IF(J167=5,VLOOKUP(K167,TPMatrix!$A$6:$B$10,2,0),IF(J167=4,VLOOKUP(K167,TPMatrix!$D$6:$E$9,2,0),0))</f>
        <v>0</v>
      </c>
      <c r="M167" s="227">
        <f ca="1">IF(COUNTIF(K167:K171,K167)&gt;=2,IF(J167=5,VLOOKUP(K167+1,TPMatrix!$A$6:$B$10,2,0),IF(J167=4,VLOOKUP(K167+1,TPMatrix!$D$6:$E$9,2,0),0)),"")</f>
        <v>0</v>
      </c>
      <c r="N167" s="227">
        <f ca="1">IF(COUNTIF(K167:K171,K167)&gt;=3,IF(J167=5,VLOOKUP(K167+2,TPMatrix!$A$6:$B$10,2,0),IF(J167=4,VLOOKUP(K167+2,TPMatrix!$D$6:$E$9,2,0),0)),"")</f>
        <v>0</v>
      </c>
      <c r="O167" s="227">
        <f ca="1">IF(COUNTIF(K167:K171,K167)&gt;=4,IF(J167=5,VLOOKUP(K167+3,TPMatrix!$A$6:$B$10,2,0),IF(J167=4,VLOOKUP(K167+3,TPMatrix!$D$6:$E$9,2,0),0)),"")</f>
        <v>0</v>
      </c>
      <c r="P167" s="227">
        <f ca="1">IF(COUNTIF(K167:K171,K167)&gt;=5,IF(J167=5,VLOOKUP(K167+4,TPMatrix!$A$6:$B$10,2,0),IF(J167=4,VLOOKUP(K167+4,TPMatrix!$D$6:$E$9,2,0),0)),"")</f>
        <v>0</v>
      </c>
      <c r="Q167" s="227">
        <f t="shared" ref="Q167:Q198" ca="1" si="64">SUM(L167:P167)/COUNT(L167:P167)</f>
        <v>0</v>
      </c>
      <c r="R167" s="228">
        <f t="shared" ref="R167:R198" ca="1" si="65">COUNT(L167:P167)</f>
        <v>5</v>
      </c>
      <c r="S167" s="229">
        <f t="shared" ref="S167:S198" ca="1" si="66">IF(ISNUMBER($A167),COUNTIF($D$7:$D$206,$D167),0)</f>
        <v>0</v>
      </c>
      <c r="T167" s="230">
        <f t="shared" ref="T167:T198" si="67">CEILING($F167,1)</f>
        <v>0</v>
      </c>
      <c r="U167" s="231">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2.95" customHeight="1" x14ac:dyDescent="0.2">
      <c r="A168" s="111" t="str">
        <f ca="1">IF(ISBLANK('Tournament Info'!$B$11),"",INDIRECT(ADDRESS(ROW(),1,1,1,"Optimal Seating "&amp;'Tournament Info'!$B$11-1&amp;"R+F")))</f>
        <v/>
      </c>
      <c r="B168" s="117" t="str">
        <f ca="1">IF(ISNUMBER(A168),VLOOKUP(A168,Methuselahs!$A$7:$E$206,2,0),"")</f>
        <v/>
      </c>
      <c r="C168" s="232" t="str">
        <f ca="1">IF(ISNUMBER(A168),VLOOKUP(A168,Methuselahs!$A$7:$E$206,3,0),"")</f>
        <v/>
      </c>
      <c r="D168" s="233" t="str">
        <f t="shared" ca="1" si="60"/>
        <v/>
      </c>
      <c r="E168" s="234"/>
      <c r="F168" s="232">
        <f t="shared" si="61"/>
        <v>0</v>
      </c>
      <c r="G168" s="235" t="str">
        <f t="shared" ca="1" si="62"/>
        <v/>
      </c>
      <c r="H168" s="236" t="str">
        <f ca="1">IF(ISNUMBER(A168),IF(OR($S168=$U168,NOT(ISNA(MATCH($D168*5+$V$4,Override!$C$6:$C$125,0)))),$Q168,0),"")</f>
        <v/>
      </c>
      <c r="I168" s="233" t="str">
        <f t="shared" ca="1" si="63"/>
        <v/>
      </c>
      <c r="J168" s="237">
        <f ca="1">COUNT(A167:A171)</f>
        <v>0</v>
      </c>
      <c r="K168" s="238" t="str">
        <f ca="1">IF(ISNUMBER(A168),RANK(F168,F167:F171),"")</f>
        <v/>
      </c>
      <c r="L168" s="239">
        <f ca="1">IF(J168=5,VLOOKUP(K168,TPMatrix!$A$6:$B$10,2,0),IF(J168=4,VLOOKUP(K168,TPMatrix!$D$6:$E$9,2,0),0))</f>
        <v>0</v>
      </c>
      <c r="M168" s="239">
        <f ca="1">IF(COUNTIF(K167:K171,K168)&gt;=2,IF(J168=5,VLOOKUP(K168+1,TPMatrix!$A$6:$B$10,2,0),IF(J168=4,VLOOKUP(K168+1,TPMatrix!$D$6:$E$9,2,0),0)),"")</f>
        <v>0</v>
      </c>
      <c r="N168" s="239">
        <f ca="1">IF(COUNTIF(K167:K171,K168)&gt;=3,IF(J168=5,VLOOKUP(K168+2,TPMatrix!$A$6:$B$10,2,0),IF(J168=4,VLOOKUP(K168+2,TPMatrix!$D$6:$E$9,2,0),0)),"")</f>
        <v>0</v>
      </c>
      <c r="O168" s="239">
        <f ca="1">IF(COUNTIF(K167:K171,K168)&gt;=4,IF(J168=5,VLOOKUP(K168+3,TPMatrix!$A$6:$B$10,2,0),IF(J168=4,VLOOKUP(K168+3,TPMatrix!$D$6:$E$9,2,0),0)),"")</f>
        <v>0</v>
      </c>
      <c r="P168" s="239">
        <f ca="1">IF(COUNTIF(K167:K171,K168)&gt;=5,IF(J168=5,VLOOKUP(K168+4,TPMatrix!$A$6:$B$10,2,0),IF(J168=4,VLOOKUP(K168+4,TPMatrix!$D$6:$E$9,2,0),0)),"")</f>
        <v>0</v>
      </c>
      <c r="Q168" s="239">
        <f t="shared" ca="1" si="64"/>
        <v>0</v>
      </c>
      <c r="R168" s="240">
        <f t="shared" ca="1" si="65"/>
        <v>5</v>
      </c>
      <c r="S168" s="238">
        <f t="shared" ca="1" si="66"/>
        <v>0</v>
      </c>
      <c r="T168" s="239">
        <f t="shared" si="67"/>
        <v>0</v>
      </c>
      <c r="U168" s="240">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2.95" customHeight="1" x14ac:dyDescent="0.2">
      <c r="A169" s="137" t="str">
        <f ca="1">IF(ISBLANK('Tournament Info'!$B$11),"",INDIRECT(ADDRESS(ROW(),1,1,1,"Optimal Seating "&amp;'Tournament Info'!$B$11-1&amp;"R+F")))</f>
        <v/>
      </c>
      <c r="B169" s="143" t="str">
        <f ca="1">IF(ISNUMBER(A169),VLOOKUP(A169,Methuselahs!$A$7:$E$206,2,0),"")</f>
        <v/>
      </c>
      <c r="C169" s="241" t="str">
        <f ca="1">IF(ISNUMBER(A169),VLOOKUP(A169,Methuselahs!$A$7:$E$206,3,0),"")</f>
        <v/>
      </c>
      <c r="D169" s="242" t="str">
        <f t="shared" ca="1" si="60"/>
        <v/>
      </c>
      <c r="E169" s="243"/>
      <c r="F169" s="241">
        <f t="shared" si="61"/>
        <v>0</v>
      </c>
      <c r="G169" s="244" t="str">
        <f t="shared" ca="1" si="62"/>
        <v/>
      </c>
      <c r="H169" s="245" t="str">
        <f ca="1">IF(ISNUMBER(A169),IF(OR($S169=$U169,NOT(ISNA(MATCH($D169*5+$V$4,Override!$C$6:$C$125,0)))),$Q169,0),"")</f>
        <v/>
      </c>
      <c r="I169" s="242" t="str">
        <f t="shared" ca="1" si="63"/>
        <v/>
      </c>
      <c r="J169" s="246">
        <f ca="1">COUNT(A167:A171)</f>
        <v>0</v>
      </c>
      <c r="K169" s="247" t="str">
        <f ca="1">IF(ISNUMBER(A169),RANK(F169,F167:F171),"")</f>
        <v/>
      </c>
      <c r="L169" s="142">
        <f ca="1">IF(J169=5,VLOOKUP(K169,TPMatrix!$A$6:$B$10,2,0),IF(J169=4,VLOOKUP(K169,TPMatrix!$D$6:$E$9,2,0),0))</f>
        <v>0</v>
      </c>
      <c r="M169" s="142">
        <f ca="1">IF(COUNTIF(K167:K171,K169)&gt;=2,IF(J169=5,VLOOKUP(K169+1,TPMatrix!$A$6:$B$10,2,0),IF(J169=4,VLOOKUP(K169+1,TPMatrix!$D$6:$E$9,2,0),0)),"")</f>
        <v>0</v>
      </c>
      <c r="N169" s="142">
        <f ca="1">IF(COUNTIF(K167:K171,K169)&gt;=3,IF(J169=5,VLOOKUP(K169+2,TPMatrix!$A$6:$B$10,2,0),IF(J169=4,VLOOKUP(K169+2,TPMatrix!$D$6:$E$9,2,0),0)),"")</f>
        <v>0</v>
      </c>
      <c r="O169" s="142">
        <f ca="1">IF(COUNTIF(K167:K171,K169)&gt;=4,IF(J169=5,VLOOKUP(K169+3,TPMatrix!$A$6:$B$10,2,0),IF(J169=4,VLOOKUP(K169+3,TPMatrix!$D$6:$E$9,2,0),0)),"")</f>
        <v>0</v>
      </c>
      <c r="P169" s="142">
        <f ca="1">IF(COUNTIF(K167:K171,K169)&gt;=5,IF(J169=5,VLOOKUP(K169+4,TPMatrix!$A$6:$B$10,2,0),IF(J169=4,VLOOKUP(K169+4,TPMatrix!$D$6:$E$9,2,0),0)),"")</f>
        <v>0</v>
      </c>
      <c r="Q169" s="142">
        <f t="shared" ca="1" si="64"/>
        <v>0</v>
      </c>
      <c r="R169" s="248">
        <f t="shared" ca="1" si="65"/>
        <v>5</v>
      </c>
      <c r="S169" s="247">
        <f t="shared" ca="1" si="66"/>
        <v>0</v>
      </c>
      <c r="T169" s="142">
        <f t="shared" si="67"/>
        <v>0</v>
      </c>
      <c r="U169" s="248">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2.95" customHeight="1" x14ac:dyDescent="0.2">
      <c r="A170" s="249" t="str">
        <f ca="1">IF(ISBLANK('Tournament Info'!$B$11),"",INDIRECT(ADDRESS(ROW(),1,1,1,"Optimal Seating "&amp;'Tournament Info'!$B$11-1&amp;"R+F")))</f>
        <v/>
      </c>
      <c r="B170" s="250" t="str">
        <f ca="1">IF(ISNUMBER(A170),VLOOKUP(A170,Methuselahs!$A$7:$E$206,2,0),"")</f>
        <v/>
      </c>
      <c r="C170" s="251" t="str">
        <f ca="1">IF(ISNUMBER(A170),VLOOKUP(A170,Methuselahs!$A$7:$E$206,3,0),"")</f>
        <v/>
      </c>
      <c r="D170" s="252" t="str">
        <f t="shared" ca="1" si="60"/>
        <v/>
      </c>
      <c r="E170" s="253"/>
      <c r="F170" s="251">
        <f t="shared" si="61"/>
        <v>0</v>
      </c>
      <c r="G170" s="235" t="str">
        <f t="shared" ca="1" si="62"/>
        <v/>
      </c>
      <c r="H170" s="236" t="str">
        <f ca="1">IF(ISNUMBER(A170),IF(OR($S170=$U170,NOT(ISNA(MATCH($D170*5+$V$4,Override!$C$6:$C$125,0)))),$Q170,0),"")</f>
        <v/>
      </c>
      <c r="I170" s="252" t="str">
        <f t="shared" ca="1" si="63"/>
        <v/>
      </c>
      <c r="J170" s="254">
        <f ca="1">COUNT(A167:A171)</f>
        <v>0</v>
      </c>
      <c r="K170" s="238" t="str">
        <f ca="1">IF(ISNUMBER(A170),RANK(F170,F167:F171),"")</f>
        <v/>
      </c>
      <c r="L170" s="239">
        <f ca="1">IF(J170=5,VLOOKUP(K170,TPMatrix!$A$6:$B$10,2,0),IF(J170=4,VLOOKUP(K170,TPMatrix!$D$6:$E$9,2,0),0))</f>
        <v>0</v>
      </c>
      <c r="M170" s="239">
        <f ca="1">IF(COUNTIF(K167:K171,K170)&gt;=2,IF(J170=5,VLOOKUP(K170+1,TPMatrix!$A$6:$B$10,2,0),IF(J170=4,VLOOKUP(K170+1,TPMatrix!$D$6:$E$9,2,0),0)),"")</f>
        <v>0</v>
      </c>
      <c r="N170" s="239">
        <f ca="1">IF(COUNTIF(K167:K171,K170)&gt;=3,IF(J170=5,VLOOKUP(K170+2,TPMatrix!$A$6:$B$10,2,0),IF(J170=4,VLOOKUP(K170+2,TPMatrix!$D$6:$E$9,2,0),0)),"")</f>
        <v>0</v>
      </c>
      <c r="O170" s="239">
        <f ca="1">IF(COUNTIF(K167:K171,K170)&gt;=4,IF(J170=5,VLOOKUP(K170+3,TPMatrix!$A$6:$B$10,2,0),IF(J170=4,VLOOKUP(K170+3,TPMatrix!$D$6:$E$9,2,0),0)),"")</f>
        <v>0</v>
      </c>
      <c r="P170" s="239">
        <f ca="1">IF(COUNTIF(K167:K171,K170)&gt;=5,IF(J170=5,VLOOKUP(K170+4,TPMatrix!$A$6:$B$10,2,0),IF(J170=4,VLOOKUP(K170+4,TPMatrix!$D$6:$E$9,2,0),0)),"")</f>
        <v>0</v>
      </c>
      <c r="Q170" s="239">
        <f t="shared" ca="1" si="64"/>
        <v>0</v>
      </c>
      <c r="R170" s="240">
        <f t="shared" ca="1" si="65"/>
        <v>5</v>
      </c>
      <c r="S170" s="238">
        <f t="shared" ca="1" si="66"/>
        <v>0</v>
      </c>
      <c r="T170" s="239">
        <f t="shared" si="67"/>
        <v>0</v>
      </c>
      <c r="U170" s="240">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2.95" customHeight="1" x14ac:dyDescent="0.2">
      <c r="A171" s="255" t="str">
        <f ca="1">IF(ISBLANK('Tournament Info'!$B$11),"",INDIRECT(ADDRESS(ROW(),1,1,1,"Optimal Seating "&amp;'Tournament Info'!$B$11-1&amp;"R+F")))</f>
        <v/>
      </c>
      <c r="B171" s="256" t="str">
        <f ca="1">IF(ISNUMBER(A171),VLOOKUP(A171,Methuselahs!$A$7:$E$206,2,0),"")</f>
        <v/>
      </c>
      <c r="C171" s="257" t="str">
        <f ca="1">IF(ISNUMBER(A171),VLOOKUP(A171,Methuselahs!$A$7:$E$206,3,0),"")</f>
        <v/>
      </c>
      <c r="D171" s="258" t="str">
        <f t="shared" ca="1" si="60"/>
        <v/>
      </c>
      <c r="E171" s="259"/>
      <c r="F171" s="257">
        <f t="shared" si="61"/>
        <v>0</v>
      </c>
      <c r="G171" s="244" t="str">
        <f t="shared" ca="1" si="62"/>
        <v/>
      </c>
      <c r="H171" s="245" t="str">
        <f ca="1">IF(ISNUMBER(A171),IF(OR($S171=$U171,NOT(ISNA(MATCH($D171*5+$V$4,Override!$C$6:$C$125,0)))),$Q171,0),"")</f>
        <v/>
      </c>
      <c r="I171" s="258" t="str">
        <f t="shared" ca="1" si="63"/>
        <v/>
      </c>
      <c r="J171" s="260">
        <f ca="1">COUNT(A167:A171)</f>
        <v>0</v>
      </c>
      <c r="K171" s="261" t="str">
        <f ca="1">IF(ISNUMBER(A171),RANK(F171,F167:F171),"")</f>
        <v/>
      </c>
      <c r="L171" s="262">
        <f ca="1">IF(J171=5,VLOOKUP(K171,TPMatrix!$A$6:$B$10,2,0),IF(J171=4,VLOOKUP(K171,TPMatrix!$D$6:$E$9,2,0),0))</f>
        <v>0</v>
      </c>
      <c r="M171" s="262">
        <f ca="1">IF(COUNTIF(K167:K171,K171)&gt;=2,IF(J171=5,VLOOKUP(K171+1,TPMatrix!$A$6:$B$10,2,0),IF(J171=4,VLOOKUP(K171+1,TPMatrix!$D$6:$E$9,2,0),0)),"")</f>
        <v>0</v>
      </c>
      <c r="N171" s="262">
        <f ca="1">IF(COUNTIF(K167:K171,K171)&gt;=3,IF(J171=5,VLOOKUP(K171+2,TPMatrix!$A$6:$B$10,2,0),IF(J171=4,VLOOKUP(K171+2,TPMatrix!$D$6:$E$9,2,0),0)),"")</f>
        <v>0</v>
      </c>
      <c r="O171" s="262">
        <f ca="1">IF(COUNTIF(K167:K171,K171)&gt;=4,IF(J171=5,VLOOKUP(K171+3,TPMatrix!$A$6:$B$10,2,0),IF(J171=4,VLOOKUP(K171+3,TPMatrix!$D$6:$E$9,2,0),0)),"")</f>
        <v>0</v>
      </c>
      <c r="P171" s="262">
        <f ca="1">IF(COUNTIF(K167:K171,K171)&gt;=5,IF(J171=5,VLOOKUP(K171+4,TPMatrix!$A$6:$B$10,2,0),IF(J171=4,VLOOKUP(K171+4,TPMatrix!$D$6:$E$9,2,0),0)),"")</f>
        <v>0</v>
      </c>
      <c r="Q171" s="262">
        <f t="shared" ca="1" si="64"/>
        <v>0</v>
      </c>
      <c r="R171" s="263">
        <f t="shared" ca="1" si="65"/>
        <v>5</v>
      </c>
      <c r="S171" s="261">
        <f t="shared" ca="1" si="66"/>
        <v>0</v>
      </c>
      <c r="T171" s="262">
        <f t="shared" si="67"/>
        <v>0</v>
      </c>
      <c r="U171" s="263">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2.95" customHeight="1" x14ac:dyDescent="0.2">
      <c r="A172" s="219" t="str">
        <f ca="1">IF(ISBLANK('Tournament Info'!$B$11),"",INDIRECT(ADDRESS(ROW(),1,1,1,"Optimal Seating "&amp;'Tournament Info'!$B$11-1&amp;"R+F")))</f>
        <v/>
      </c>
      <c r="B172" s="143" t="str">
        <f ca="1">IF(ISNUMBER(A172),VLOOKUP(A172,Methuselahs!$A$7:$E$206,2,0),"")</f>
        <v/>
      </c>
      <c r="C172" s="220" t="str">
        <f ca="1">IF(ISNUMBER(A172),VLOOKUP(A172,Methuselahs!$A$7:$E$206,3,0),"")</f>
        <v/>
      </c>
      <c r="D172" s="221" t="str">
        <f t="shared" ca="1" si="60"/>
        <v/>
      </c>
      <c r="E172" s="222"/>
      <c r="F172" s="220">
        <f t="shared" si="61"/>
        <v>0</v>
      </c>
      <c r="G172" s="223" t="str">
        <f t="shared" ca="1" si="62"/>
        <v/>
      </c>
      <c r="H172" s="224" t="str">
        <f ca="1">IF(ISNUMBER(A172),IF(OR($S172=$U172,NOT(ISNA(MATCH($D172*5+$V$4,Override!$C$6:$C$125,0)))),$Q172,0),"")</f>
        <v/>
      </c>
      <c r="I172" s="221" t="str">
        <f t="shared" ca="1" si="63"/>
        <v/>
      </c>
      <c r="J172" s="225">
        <f ca="1">COUNT(A172:A176)</f>
        <v>0</v>
      </c>
      <c r="K172" s="226" t="str">
        <f ca="1">IF(ISNUMBER(A172),RANK(F172,F172:F176),"")</f>
        <v/>
      </c>
      <c r="L172" s="227">
        <f ca="1">IF(J172=5,VLOOKUP(K172,TPMatrix!$A$6:$B$10,2,0),IF(J172=4,VLOOKUP(K172,TPMatrix!$D$6:$E$9,2,0),0))</f>
        <v>0</v>
      </c>
      <c r="M172" s="227">
        <f ca="1">IF(COUNTIF(K172:K176,K172)&gt;=2,IF(J172=5,VLOOKUP(K172+1,TPMatrix!$A$6:$B$10,2,0),IF(J172=4,VLOOKUP(K172+1,TPMatrix!$D$6:$E$9,2,0),0)),"")</f>
        <v>0</v>
      </c>
      <c r="N172" s="227">
        <f ca="1">IF(COUNTIF(K172:K176,K172)&gt;=3,IF(J172=5,VLOOKUP(K172+2,TPMatrix!$A$6:$B$10,2,0),IF(J172=4,VLOOKUP(K172+2,TPMatrix!$D$6:$E$9,2,0),0)),"")</f>
        <v>0</v>
      </c>
      <c r="O172" s="227">
        <f ca="1">IF(COUNTIF(K172:K176,K172)&gt;=4,IF(J172=5,VLOOKUP(K172+3,TPMatrix!$A$6:$B$10,2,0),IF(J172=4,VLOOKUP(K172+3,TPMatrix!$D$6:$E$9,2,0),0)),"")</f>
        <v>0</v>
      </c>
      <c r="P172" s="227">
        <f ca="1">IF(COUNTIF(K172:K176,K172)&gt;=5,IF(J172=5,VLOOKUP(K172+4,TPMatrix!$A$6:$B$10,2,0),IF(J172=4,VLOOKUP(K172+4,TPMatrix!$D$6:$E$9,2,0),0)),"")</f>
        <v>0</v>
      </c>
      <c r="Q172" s="227">
        <f t="shared" ca="1" si="64"/>
        <v>0</v>
      </c>
      <c r="R172" s="228">
        <f t="shared" ca="1" si="65"/>
        <v>5</v>
      </c>
      <c r="S172" s="229">
        <f t="shared" ca="1" si="66"/>
        <v>0</v>
      </c>
      <c r="T172" s="230">
        <f t="shared" si="67"/>
        <v>0</v>
      </c>
      <c r="U172" s="231">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2.95" customHeight="1" x14ac:dyDescent="0.2">
      <c r="A173" s="111" t="str">
        <f ca="1">IF(ISBLANK('Tournament Info'!$B$11),"",INDIRECT(ADDRESS(ROW(),1,1,1,"Optimal Seating "&amp;'Tournament Info'!$B$11-1&amp;"R+F")))</f>
        <v/>
      </c>
      <c r="B173" s="117" t="str">
        <f ca="1">IF(ISNUMBER(A173),VLOOKUP(A173,Methuselahs!$A$7:$E$206,2,0),"")</f>
        <v/>
      </c>
      <c r="C173" s="232" t="str">
        <f ca="1">IF(ISNUMBER(A173),VLOOKUP(A173,Methuselahs!$A$7:$E$206,3,0),"")</f>
        <v/>
      </c>
      <c r="D173" s="233" t="str">
        <f t="shared" ca="1" si="60"/>
        <v/>
      </c>
      <c r="E173" s="234"/>
      <c r="F173" s="232">
        <f t="shared" si="61"/>
        <v>0</v>
      </c>
      <c r="G173" s="235" t="str">
        <f t="shared" ca="1" si="62"/>
        <v/>
      </c>
      <c r="H173" s="236" t="str">
        <f ca="1">IF(ISNUMBER(A173),IF(OR($S173=$U173,NOT(ISNA(MATCH($D173*5+$V$4,Override!$C$6:$C$125,0)))),$Q173,0),"")</f>
        <v/>
      </c>
      <c r="I173" s="233" t="str">
        <f t="shared" ca="1" si="63"/>
        <v/>
      </c>
      <c r="J173" s="237">
        <f ca="1">COUNT(A172:A176)</f>
        <v>0</v>
      </c>
      <c r="K173" s="238" t="str">
        <f ca="1">IF(ISNUMBER(A173),RANK(F173,F172:F176),"")</f>
        <v/>
      </c>
      <c r="L173" s="239">
        <f ca="1">IF(J173=5,VLOOKUP(K173,TPMatrix!$A$6:$B$10,2,0),IF(J173=4,VLOOKUP(K173,TPMatrix!$D$6:$E$9,2,0),0))</f>
        <v>0</v>
      </c>
      <c r="M173" s="239">
        <f ca="1">IF(COUNTIF(K172:K176,K173)&gt;=2,IF(J173=5,VLOOKUP(K173+1,TPMatrix!$A$6:$B$10,2,0),IF(J173=4,VLOOKUP(K173+1,TPMatrix!$D$6:$E$9,2,0),0)),"")</f>
        <v>0</v>
      </c>
      <c r="N173" s="239">
        <f ca="1">IF(COUNTIF(K172:K176,K173)&gt;=3,IF(J173=5,VLOOKUP(K173+2,TPMatrix!$A$6:$B$10,2,0),IF(J173=4,VLOOKUP(K173+2,TPMatrix!$D$6:$E$9,2,0),0)),"")</f>
        <v>0</v>
      </c>
      <c r="O173" s="239">
        <f ca="1">IF(COUNTIF(K172:K176,K173)&gt;=4,IF(J173=5,VLOOKUP(K173+3,TPMatrix!$A$6:$B$10,2,0),IF(J173=4,VLOOKUP(K173+3,TPMatrix!$D$6:$E$9,2,0),0)),"")</f>
        <v>0</v>
      </c>
      <c r="P173" s="239">
        <f ca="1">IF(COUNTIF(K172:K176,K173)&gt;=5,IF(J173=5,VLOOKUP(K173+4,TPMatrix!$A$6:$B$10,2,0),IF(J173=4,VLOOKUP(K173+4,TPMatrix!$D$6:$E$9,2,0),0)),"")</f>
        <v>0</v>
      </c>
      <c r="Q173" s="239">
        <f t="shared" ca="1" si="64"/>
        <v>0</v>
      </c>
      <c r="R173" s="240">
        <f t="shared" ca="1" si="65"/>
        <v>5</v>
      </c>
      <c r="S173" s="238">
        <f t="shared" ca="1" si="66"/>
        <v>0</v>
      </c>
      <c r="T173" s="239">
        <f t="shared" si="67"/>
        <v>0</v>
      </c>
      <c r="U173" s="240">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2.95" customHeight="1" x14ac:dyDescent="0.2">
      <c r="A174" s="137" t="str">
        <f ca="1">IF(ISBLANK('Tournament Info'!$B$11),"",INDIRECT(ADDRESS(ROW(),1,1,1,"Optimal Seating "&amp;'Tournament Info'!$B$11-1&amp;"R+F")))</f>
        <v/>
      </c>
      <c r="B174" s="143" t="str">
        <f ca="1">IF(ISNUMBER(A174),VLOOKUP(A174,Methuselahs!$A$7:$E$206,2,0),"")</f>
        <v/>
      </c>
      <c r="C174" s="241" t="str">
        <f ca="1">IF(ISNUMBER(A174),VLOOKUP(A174,Methuselahs!$A$7:$E$206,3,0),"")</f>
        <v/>
      </c>
      <c r="D174" s="242" t="str">
        <f t="shared" ca="1" si="60"/>
        <v/>
      </c>
      <c r="E174" s="243"/>
      <c r="F174" s="241">
        <f t="shared" si="61"/>
        <v>0</v>
      </c>
      <c r="G174" s="244" t="str">
        <f t="shared" ca="1" si="62"/>
        <v/>
      </c>
      <c r="H174" s="245" t="str">
        <f ca="1">IF(ISNUMBER(A174),IF(OR($S174=$U174,NOT(ISNA(MATCH($D174*5+$V$4,Override!$C$6:$C$125,0)))),$Q174,0),"")</f>
        <v/>
      </c>
      <c r="I174" s="242" t="str">
        <f t="shared" ca="1" si="63"/>
        <v/>
      </c>
      <c r="J174" s="246">
        <f ca="1">COUNT(A172:A176)</f>
        <v>0</v>
      </c>
      <c r="K174" s="247" t="str">
        <f ca="1">IF(ISNUMBER(A174),RANK(F174,F172:F176),"")</f>
        <v/>
      </c>
      <c r="L174" s="142">
        <f ca="1">IF(J174=5,VLOOKUP(K174,TPMatrix!$A$6:$B$10,2,0),IF(J174=4,VLOOKUP(K174,TPMatrix!$D$6:$E$9,2,0),0))</f>
        <v>0</v>
      </c>
      <c r="M174" s="142">
        <f ca="1">IF(COUNTIF(K172:K176,K174)&gt;=2,IF(J174=5,VLOOKUP(K174+1,TPMatrix!$A$6:$B$10,2,0),IF(J174=4,VLOOKUP(K174+1,TPMatrix!$D$6:$E$9,2,0),0)),"")</f>
        <v>0</v>
      </c>
      <c r="N174" s="142">
        <f ca="1">IF(COUNTIF(K172:K176,K174)&gt;=3,IF(J174=5,VLOOKUP(K174+2,TPMatrix!$A$6:$B$10,2,0),IF(J174=4,VLOOKUP(K174+2,TPMatrix!$D$6:$E$9,2,0),0)),"")</f>
        <v>0</v>
      </c>
      <c r="O174" s="142">
        <f ca="1">IF(COUNTIF(K172:K176,K174)&gt;=4,IF(J174=5,VLOOKUP(K174+3,TPMatrix!$A$6:$B$10,2,0),IF(J174=4,VLOOKUP(K174+3,TPMatrix!$D$6:$E$9,2,0),0)),"")</f>
        <v>0</v>
      </c>
      <c r="P174" s="142">
        <f ca="1">IF(COUNTIF(K172:K176,K174)&gt;=5,IF(J174=5,VLOOKUP(K174+4,TPMatrix!$A$6:$B$10,2,0),IF(J174=4,VLOOKUP(K174+4,TPMatrix!$D$6:$E$9,2,0),0)),"")</f>
        <v>0</v>
      </c>
      <c r="Q174" s="142">
        <f t="shared" ca="1" si="64"/>
        <v>0</v>
      </c>
      <c r="R174" s="248">
        <f t="shared" ca="1" si="65"/>
        <v>5</v>
      </c>
      <c r="S174" s="247">
        <f t="shared" ca="1" si="66"/>
        <v>0</v>
      </c>
      <c r="T174" s="142">
        <f t="shared" si="67"/>
        <v>0</v>
      </c>
      <c r="U174" s="248">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2.95" customHeight="1" x14ac:dyDescent="0.2">
      <c r="A175" s="249" t="str">
        <f ca="1">IF(ISBLANK('Tournament Info'!$B$11),"",INDIRECT(ADDRESS(ROW(),1,1,1,"Optimal Seating "&amp;'Tournament Info'!$B$11-1&amp;"R+F")))</f>
        <v/>
      </c>
      <c r="B175" s="250" t="str">
        <f ca="1">IF(ISNUMBER(A175),VLOOKUP(A175,Methuselahs!$A$7:$E$206,2,0),"")</f>
        <v/>
      </c>
      <c r="C175" s="251" t="str">
        <f ca="1">IF(ISNUMBER(A175),VLOOKUP(A175,Methuselahs!$A$7:$E$206,3,0),"")</f>
        <v/>
      </c>
      <c r="D175" s="252" t="str">
        <f t="shared" ca="1" si="60"/>
        <v/>
      </c>
      <c r="E175" s="253"/>
      <c r="F175" s="251">
        <f t="shared" si="61"/>
        <v>0</v>
      </c>
      <c r="G175" s="235" t="str">
        <f t="shared" ca="1" si="62"/>
        <v/>
      </c>
      <c r="H175" s="236" t="str">
        <f ca="1">IF(ISNUMBER(A175),IF(OR($S175=$U175,NOT(ISNA(MATCH($D175*5+$V$4,Override!$C$6:$C$125,0)))),$Q175,0),"")</f>
        <v/>
      </c>
      <c r="I175" s="252" t="str">
        <f t="shared" ca="1" si="63"/>
        <v/>
      </c>
      <c r="J175" s="254">
        <f ca="1">COUNT(A172:A176)</f>
        <v>0</v>
      </c>
      <c r="K175" s="238" t="str">
        <f ca="1">IF(ISNUMBER(A175),RANK(F175,F172:F176),"")</f>
        <v/>
      </c>
      <c r="L175" s="239">
        <f ca="1">IF(J175=5,VLOOKUP(K175,TPMatrix!$A$6:$B$10,2,0),IF(J175=4,VLOOKUP(K175,TPMatrix!$D$6:$E$9,2,0),0))</f>
        <v>0</v>
      </c>
      <c r="M175" s="239">
        <f ca="1">IF(COUNTIF(K172:K176,K175)&gt;=2,IF(J175=5,VLOOKUP(K175+1,TPMatrix!$A$6:$B$10,2,0),IF(J175=4,VLOOKUP(K175+1,TPMatrix!$D$6:$E$9,2,0),0)),"")</f>
        <v>0</v>
      </c>
      <c r="N175" s="239">
        <f ca="1">IF(COUNTIF(K172:K176,K175)&gt;=3,IF(J175=5,VLOOKUP(K175+2,TPMatrix!$A$6:$B$10,2,0),IF(J175=4,VLOOKUP(K175+2,TPMatrix!$D$6:$E$9,2,0),0)),"")</f>
        <v>0</v>
      </c>
      <c r="O175" s="239">
        <f ca="1">IF(COUNTIF(K172:K176,K175)&gt;=4,IF(J175=5,VLOOKUP(K175+3,TPMatrix!$A$6:$B$10,2,0),IF(J175=4,VLOOKUP(K175+3,TPMatrix!$D$6:$E$9,2,0),0)),"")</f>
        <v>0</v>
      </c>
      <c r="P175" s="239">
        <f ca="1">IF(COUNTIF(K172:K176,K175)&gt;=5,IF(J175=5,VLOOKUP(K175+4,TPMatrix!$A$6:$B$10,2,0),IF(J175=4,VLOOKUP(K175+4,TPMatrix!$D$6:$E$9,2,0),0)),"")</f>
        <v>0</v>
      </c>
      <c r="Q175" s="239">
        <f t="shared" ca="1" si="64"/>
        <v>0</v>
      </c>
      <c r="R175" s="240">
        <f t="shared" ca="1" si="65"/>
        <v>5</v>
      </c>
      <c r="S175" s="238">
        <f t="shared" ca="1" si="66"/>
        <v>0</v>
      </c>
      <c r="T175" s="239">
        <f t="shared" si="67"/>
        <v>0</v>
      </c>
      <c r="U175" s="240">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2.95" customHeight="1" x14ac:dyDescent="0.2">
      <c r="A176" s="255" t="str">
        <f ca="1">IF(ISBLANK('Tournament Info'!$B$11),"",INDIRECT(ADDRESS(ROW(),1,1,1,"Optimal Seating "&amp;'Tournament Info'!$B$11-1&amp;"R+F")))</f>
        <v/>
      </c>
      <c r="B176" s="256" t="str">
        <f ca="1">IF(ISNUMBER(A176),VLOOKUP(A176,Methuselahs!$A$7:$E$206,2,0),"")</f>
        <v/>
      </c>
      <c r="C176" s="257" t="str">
        <f ca="1">IF(ISNUMBER(A176),VLOOKUP(A176,Methuselahs!$A$7:$E$206,3,0),"")</f>
        <v/>
      </c>
      <c r="D176" s="258" t="str">
        <f t="shared" ca="1" si="60"/>
        <v/>
      </c>
      <c r="E176" s="259"/>
      <c r="F176" s="257">
        <f t="shared" si="61"/>
        <v>0</v>
      </c>
      <c r="G176" s="244" t="str">
        <f t="shared" ca="1" si="62"/>
        <v/>
      </c>
      <c r="H176" s="245" t="str">
        <f ca="1">IF(ISNUMBER(A176),IF(OR($S176=$U176,NOT(ISNA(MATCH($D176*5+$V$4,Override!$C$6:$C$125,0)))),$Q176,0),"")</f>
        <v/>
      </c>
      <c r="I176" s="258" t="str">
        <f t="shared" ca="1" si="63"/>
        <v/>
      </c>
      <c r="J176" s="260">
        <f ca="1">COUNT(A172:A176)</f>
        <v>0</v>
      </c>
      <c r="K176" s="261" t="str">
        <f ca="1">IF(ISNUMBER(A176),RANK(F176,F172:F176),"")</f>
        <v/>
      </c>
      <c r="L176" s="262">
        <f ca="1">IF(J176=5,VLOOKUP(K176,TPMatrix!$A$6:$B$10,2,0),IF(J176=4,VLOOKUP(K176,TPMatrix!$D$6:$E$9,2,0),0))</f>
        <v>0</v>
      </c>
      <c r="M176" s="262">
        <f ca="1">IF(COUNTIF(K172:K176,K176)&gt;=2,IF(J176=5,VLOOKUP(K176+1,TPMatrix!$A$6:$B$10,2,0),IF(J176=4,VLOOKUP(K176+1,TPMatrix!$D$6:$E$9,2,0),0)),"")</f>
        <v>0</v>
      </c>
      <c r="N176" s="262">
        <f ca="1">IF(COUNTIF(K172:K176,K176)&gt;=3,IF(J176=5,VLOOKUP(K176+2,TPMatrix!$A$6:$B$10,2,0),IF(J176=4,VLOOKUP(K176+2,TPMatrix!$D$6:$E$9,2,0),0)),"")</f>
        <v>0</v>
      </c>
      <c r="O176" s="262">
        <f ca="1">IF(COUNTIF(K172:K176,K176)&gt;=4,IF(J176=5,VLOOKUP(K176+3,TPMatrix!$A$6:$B$10,2,0),IF(J176=4,VLOOKUP(K176+3,TPMatrix!$D$6:$E$9,2,0),0)),"")</f>
        <v>0</v>
      </c>
      <c r="P176" s="262">
        <f ca="1">IF(COUNTIF(K172:K176,K176)&gt;=5,IF(J176=5,VLOOKUP(K176+4,TPMatrix!$A$6:$B$10,2,0),IF(J176=4,VLOOKUP(K176+4,TPMatrix!$D$6:$E$9,2,0),0)),"")</f>
        <v>0</v>
      </c>
      <c r="Q176" s="262">
        <f t="shared" ca="1" si="64"/>
        <v>0</v>
      </c>
      <c r="R176" s="263">
        <f t="shared" ca="1" si="65"/>
        <v>5</v>
      </c>
      <c r="S176" s="261">
        <f t="shared" ca="1" si="66"/>
        <v>0</v>
      </c>
      <c r="T176" s="262">
        <f t="shared" si="67"/>
        <v>0</v>
      </c>
      <c r="U176" s="263">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2.95" customHeight="1" x14ac:dyDescent="0.2">
      <c r="A177" s="219" t="str">
        <f ca="1">IF(ISBLANK('Tournament Info'!$B$11),"",INDIRECT(ADDRESS(ROW(),1,1,1,"Optimal Seating "&amp;'Tournament Info'!$B$11-1&amp;"R+F")))</f>
        <v/>
      </c>
      <c r="B177" s="143" t="str">
        <f ca="1">IF(ISNUMBER(A177),VLOOKUP(A177,Methuselahs!$A$7:$E$206,2,0),"")</f>
        <v/>
      </c>
      <c r="C177" s="220" t="str">
        <f ca="1">IF(ISNUMBER(A177),VLOOKUP(A177,Methuselahs!$A$7:$E$206,3,0),"")</f>
        <v/>
      </c>
      <c r="D177" s="221" t="str">
        <f t="shared" ca="1" si="60"/>
        <v/>
      </c>
      <c r="E177" s="222"/>
      <c r="F177" s="220">
        <f t="shared" si="61"/>
        <v>0</v>
      </c>
      <c r="G177" s="223" t="str">
        <f t="shared" ca="1" si="62"/>
        <v/>
      </c>
      <c r="H177" s="224" t="str">
        <f ca="1">IF(ISNUMBER(A177),IF(OR($S177=$U177,NOT(ISNA(MATCH($D177*5+$V$4,Override!$C$6:$C$125,0)))),$Q177,0),"")</f>
        <v/>
      </c>
      <c r="I177" s="221" t="str">
        <f t="shared" ca="1" si="63"/>
        <v/>
      </c>
      <c r="J177" s="225">
        <f ca="1">COUNT(A177:A181)</f>
        <v>0</v>
      </c>
      <c r="K177" s="226" t="str">
        <f ca="1">IF(ISNUMBER(A177),RANK(F177,F177:F181),"")</f>
        <v/>
      </c>
      <c r="L177" s="227">
        <f ca="1">IF(J177=5,VLOOKUP(K177,TPMatrix!$A$6:$B$10,2,0),IF(J177=4,VLOOKUP(K177,TPMatrix!$D$6:$E$9,2,0),0))</f>
        <v>0</v>
      </c>
      <c r="M177" s="227">
        <f ca="1">IF(COUNTIF(K177:K181,K177)&gt;=2,IF(J177=5,VLOOKUP(K177+1,TPMatrix!$A$6:$B$10,2,0),IF(J177=4,VLOOKUP(K177+1,TPMatrix!$D$6:$E$9,2,0),0)),"")</f>
        <v>0</v>
      </c>
      <c r="N177" s="227">
        <f ca="1">IF(COUNTIF(K177:K181,K177)&gt;=3,IF(J177=5,VLOOKUP(K177+2,TPMatrix!$A$6:$B$10,2,0),IF(J177=4,VLOOKUP(K177+2,TPMatrix!$D$6:$E$9,2,0),0)),"")</f>
        <v>0</v>
      </c>
      <c r="O177" s="227">
        <f ca="1">IF(COUNTIF(K177:K181,K177)&gt;=4,IF(J177=5,VLOOKUP(K177+3,TPMatrix!$A$6:$B$10,2,0),IF(J177=4,VLOOKUP(K177+3,TPMatrix!$D$6:$E$9,2,0),0)),"")</f>
        <v>0</v>
      </c>
      <c r="P177" s="227">
        <f ca="1">IF(COUNTIF(K177:K181,K177)&gt;=5,IF(J177=5,VLOOKUP(K177+4,TPMatrix!$A$6:$B$10,2,0),IF(J177=4,VLOOKUP(K177+4,TPMatrix!$D$6:$E$9,2,0),0)),"")</f>
        <v>0</v>
      </c>
      <c r="Q177" s="227">
        <f t="shared" ca="1" si="64"/>
        <v>0</v>
      </c>
      <c r="R177" s="228">
        <f t="shared" ca="1" si="65"/>
        <v>5</v>
      </c>
      <c r="S177" s="229">
        <f t="shared" ca="1" si="66"/>
        <v>0</v>
      </c>
      <c r="T177" s="230">
        <f t="shared" si="67"/>
        <v>0</v>
      </c>
      <c r="U177" s="231">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2.95" customHeight="1" x14ac:dyDescent="0.2">
      <c r="A178" s="111" t="str">
        <f ca="1">IF(ISBLANK('Tournament Info'!$B$11),"",INDIRECT(ADDRESS(ROW(),1,1,1,"Optimal Seating "&amp;'Tournament Info'!$B$11-1&amp;"R+F")))</f>
        <v/>
      </c>
      <c r="B178" s="117" t="str">
        <f ca="1">IF(ISNUMBER(A178),VLOOKUP(A178,Methuselahs!$A$7:$E$206,2,0),"")</f>
        <v/>
      </c>
      <c r="C178" s="232" t="str">
        <f ca="1">IF(ISNUMBER(A178),VLOOKUP(A178,Methuselahs!$A$7:$E$206,3,0),"")</f>
        <v/>
      </c>
      <c r="D178" s="233" t="str">
        <f t="shared" ca="1" si="60"/>
        <v/>
      </c>
      <c r="E178" s="234"/>
      <c r="F178" s="232">
        <f t="shared" si="61"/>
        <v>0</v>
      </c>
      <c r="G178" s="235" t="str">
        <f t="shared" ca="1" si="62"/>
        <v/>
      </c>
      <c r="H178" s="236" t="str">
        <f ca="1">IF(ISNUMBER(A178),IF(OR($S178=$U178,NOT(ISNA(MATCH($D178*5+$V$4,Override!$C$6:$C$125,0)))),$Q178,0),"")</f>
        <v/>
      </c>
      <c r="I178" s="233" t="str">
        <f t="shared" ca="1" si="63"/>
        <v/>
      </c>
      <c r="J178" s="237">
        <f ca="1">COUNT(A177:A181)</f>
        <v>0</v>
      </c>
      <c r="K178" s="238" t="str">
        <f ca="1">IF(ISNUMBER(A178),RANK(F178,F177:F181),"")</f>
        <v/>
      </c>
      <c r="L178" s="239">
        <f ca="1">IF(J178=5,VLOOKUP(K178,TPMatrix!$A$6:$B$10,2,0),IF(J178=4,VLOOKUP(K178,TPMatrix!$D$6:$E$9,2,0),0))</f>
        <v>0</v>
      </c>
      <c r="M178" s="239">
        <f ca="1">IF(COUNTIF(K177:K181,K178)&gt;=2,IF(J178=5,VLOOKUP(K178+1,TPMatrix!$A$6:$B$10,2,0),IF(J178=4,VLOOKUP(K178+1,TPMatrix!$D$6:$E$9,2,0),0)),"")</f>
        <v>0</v>
      </c>
      <c r="N178" s="239">
        <f ca="1">IF(COUNTIF(K177:K181,K178)&gt;=3,IF(J178=5,VLOOKUP(K178+2,TPMatrix!$A$6:$B$10,2,0),IF(J178=4,VLOOKUP(K178+2,TPMatrix!$D$6:$E$9,2,0),0)),"")</f>
        <v>0</v>
      </c>
      <c r="O178" s="239">
        <f ca="1">IF(COUNTIF(K177:K181,K178)&gt;=4,IF(J178=5,VLOOKUP(K178+3,TPMatrix!$A$6:$B$10,2,0),IF(J178=4,VLOOKUP(K178+3,TPMatrix!$D$6:$E$9,2,0),0)),"")</f>
        <v>0</v>
      </c>
      <c r="P178" s="239">
        <f ca="1">IF(COUNTIF(K177:K181,K178)&gt;=5,IF(J178=5,VLOOKUP(K178+4,TPMatrix!$A$6:$B$10,2,0),IF(J178=4,VLOOKUP(K178+4,TPMatrix!$D$6:$E$9,2,0),0)),"")</f>
        <v>0</v>
      </c>
      <c r="Q178" s="239">
        <f t="shared" ca="1" si="64"/>
        <v>0</v>
      </c>
      <c r="R178" s="240">
        <f t="shared" ca="1" si="65"/>
        <v>5</v>
      </c>
      <c r="S178" s="238">
        <f t="shared" ca="1" si="66"/>
        <v>0</v>
      </c>
      <c r="T178" s="239">
        <f t="shared" si="67"/>
        <v>0</v>
      </c>
      <c r="U178" s="240">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2.95" customHeight="1" x14ac:dyDescent="0.2">
      <c r="A179" s="137" t="str">
        <f ca="1">IF(ISBLANK('Tournament Info'!$B$11),"",INDIRECT(ADDRESS(ROW(),1,1,1,"Optimal Seating "&amp;'Tournament Info'!$B$11-1&amp;"R+F")))</f>
        <v/>
      </c>
      <c r="B179" s="143" t="str">
        <f ca="1">IF(ISNUMBER(A179),VLOOKUP(A179,Methuselahs!$A$7:$E$206,2,0),"")</f>
        <v/>
      </c>
      <c r="C179" s="241" t="str">
        <f ca="1">IF(ISNUMBER(A179),VLOOKUP(A179,Methuselahs!$A$7:$E$206,3,0),"")</f>
        <v/>
      </c>
      <c r="D179" s="242" t="str">
        <f t="shared" ca="1" si="60"/>
        <v/>
      </c>
      <c r="E179" s="243"/>
      <c r="F179" s="241">
        <f t="shared" si="61"/>
        <v>0</v>
      </c>
      <c r="G179" s="244" t="str">
        <f t="shared" ca="1" si="62"/>
        <v/>
      </c>
      <c r="H179" s="245" t="str">
        <f ca="1">IF(ISNUMBER(A179),IF(OR($S179=$U179,NOT(ISNA(MATCH($D179*5+$V$4,Override!$C$6:$C$125,0)))),$Q179,0),"")</f>
        <v/>
      </c>
      <c r="I179" s="242" t="str">
        <f t="shared" ca="1" si="63"/>
        <v/>
      </c>
      <c r="J179" s="246">
        <f ca="1">COUNT(A177:A181)</f>
        <v>0</v>
      </c>
      <c r="K179" s="247" t="str">
        <f ca="1">IF(ISNUMBER(A179),RANK(F179,F177:F181),"")</f>
        <v/>
      </c>
      <c r="L179" s="142">
        <f ca="1">IF(J179=5,VLOOKUP(K179,TPMatrix!$A$6:$B$10,2,0),IF(J179=4,VLOOKUP(K179,TPMatrix!$D$6:$E$9,2,0),0))</f>
        <v>0</v>
      </c>
      <c r="M179" s="142">
        <f ca="1">IF(COUNTIF(K177:K181,K179)&gt;=2,IF(J179=5,VLOOKUP(K179+1,TPMatrix!$A$6:$B$10,2,0),IF(J179=4,VLOOKUP(K179+1,TPMatrix!$D$6:$E$9,2,0),0)),"")</f>
        <v>0</v>
      </c>
      <c r="N179" s="142">
        <f ca="1">IF(COUNTIF(K177:K181,K179)&gt;=3,IF(J179=5,VLOOKUP(K179+2,TPMatrix!$A$6:$B$10,2,0),IF(J179=4,VLOOKUP(K179+2,TPMatrix!$D$6:$E$9,2,0),0)),"")</f>
        <v>0</v>
      </c>
      <c r="O179" s="142">
        <f ca="1">IF(COUNTIF(K177:K181,K179)&gt;=4,IF(J179=5,VLOOKUP(K179+3,TPMatrix!$A$6:$B$10,2,0),IF(J179=4,VLOOKUP(K179+3,TPMatrix!$D$6:$E$9,2,0),0)),"")</f>
        <v>0</v>
      </c>
      <c r="P179" s="142">
        <f ca="1">IF(COUNTIF(K177:K181,K179)&gt;=5,IF(J179=5,VLOOKUP(K179+4,TPMatrix!$A$6:$B$10,2,0),IF(J179=4,VLOOKUP(K179+4,TPMatrix!$D$6:$E$9,2,0),0)),"")</f>
        <v>0</v>
      </c>
      <c r="Q179" s="142">
        <f t="shared" ca="1" si="64"/>
        <v>0</v>
      </c>
      <c r="R179" s="248">
        <f t="shared" ca="1" si="65"/>
        <v>5</v>
      </c>
      <c r="S179" s="247">
        <f t="shared" ca="1" si="66"/>
        <v>0</v>
      </c>
      <c r="T179" s="142">
        <f t="shared" si="67"/>
        <v>0</v>
      </c>
      <c r="U179" s="248">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2.95" customHeight="1" x14ac:dyDescent="0.2">
      <c r="A180" s="249" t="str">
        <f ca="1">IF(ISBLANK('Tournament Info'!$B$11),"",INDIRECT(ADDRESS(ROW(),1,1,1,"Optimal Seating "&amp;'Tournament Info'!$B$11-1&amp;"R+F")))</f>
        <v/>
      </c>
      <c r="B180" s="250" t="str">
        <f ca="1">IF(ISNUMBER(A180),VLOOKUP(A180,Methuselahs!$A$7:$E$206,2,0),"")</f>
        <v/>
      </c>
      <c r="C180" s="251" t="str">
        <f ca="1">IF(ISNUMBER(A180),VLOOKUP(A180,Methuselahs!$A$7:$E$206,3,0),"")</f>
        <v/>
      </c>
      <c r="D180" s="252" t="str">
        <f t="shared" ca="1" si="60"/>
        <v/>
      </c>
      <c r="E180" s="253"/>
      <c r="F180" s="251">
        <f t="shared" si="61"/>
        <v>0</v>
      </c>
      <c r="G180" s="235" t="str">
        <f t="shared" ca="1" si="62"/>
        <v/>
      </c>
      <c r="H180" s="236" t="str">
        <f ca="1">IF(ISNUMBER(A180),IF(OR($S180=$U180,NOT(ISNA(MATCH($D180*5+$V$4,Override!$C$6:$C$125,0)))),$Q180,0),"")</f>
        <v/>
      </c>
      <c r="I180" s="252" t="str">
        <f t="shared" ca="1" si="63"/>
        <v/>
      </c>
      <c r="J180" s="254">
        <f ca="1">COUNT(A177:A181)</f>
        <v>0</v>
      </c>
      <c r="K180" s="238" t="str">
        <f ca="1">IF(ISNUMBER(A180),RANK(F180,F177:F181),"")</f>
        <v/>
      </c>
      <c r="L180" s="239">
        <f ca="1">IF(J180=5,VLOOKUP(K180,TPMatrix!$A$6:$B$10,2,0),IF(J180=4,VLOOKUP(K180,TPMatrix!$D$6:$E$9,2,0),0))</f>
        <v>0</v>
      </c>
      <c r="M180" s="239">
        <f ca="1">IF(COUNTIF(K177:K181,K180)&gt;=2,IF(J180=5,VLOOKUP(K180+1,TPMatrix!$A$6:$B$10,2,0),IF(J180=4,VLOOKUP(K180+1,TPMatrix!$D$6:$E$9,2,0),0)),"")</f>
        <v>0</v>
      </c>
      <c r="N180" s="239">
        <f ca="1">IF(COUNTIF(K177:K181,K180)&gt;=3,IF(J180=5,VLOOKUP(K180+2,TPMatrix!$A$6:$B$10,2,0),IF(J180=4,VLOOKUP(K180+2,TPMatrix!$D$6:$E$9,2,0),0)),"")</f>
        <v>0</v>
      </c>
      <c r="O180" s="239">
        <f ca="1">IF(COUNTIF(K177:K181,K180)&gt;=4,IF(J180=5,VLOOKUP(K180+3,TPMatrix!$A$6:$B$10,2,0),IF(J180=4,VLOOKUP(K180+3,TPMatrix!$D$6:$E$9,2,0),0)),"")</f>
        <v>0</v>
      </c>
      <c r="P180" s="239">
        <f ca="1">IF(COUNTIF(K177:K181,K180)&gt;=5,IF(J180=5,VLOOKUP(K180+4,TPMatrix!$A$6:$B$10,2,0),IF(J180=4,VLOOKUP(K180+4,TPMatrix!$D$6:$E$9,2,0),0)),"")</f>
        <v>0</v>
      </c>
      <c r="Q180" s="239">
        <f t="shared" ca="1" si="64"/>
        <v>0</v>
      </c>
      <c r="R180" s="240">
        <f t="shared" ca="1" si="65"/>
        <v>5</v>
      </c>
      <c r="S180" s="238">
        <f t="shared" ca="1" si="66"/>
        <v>0</v>
      </c>
      <c r="T180" s="239">
        <f t="shared" si="67"/>
        <v>0</v>
      </c>
      <c r="U180" s="240">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2.95" customHeight="1" x14ac:dyDescent="0.2">
      <c r="A181" s="255" t="str">
        <f ca="1">IF(ISBLANK('Tournament Info'!$B$11),"",INDIRECT(ADDRESS(ROW(),1,1,1,"Optimal Seating "&amp;'Tournament Info'!$B$11-1&amp;"R+F")))</f>
        <v/>
      </c>
      <c r="B181" s="256" t="str">
        <f ca="1">IF(ISNUMBER(A181),VLOOKUP(A181,Methuselahs!$A$7:$E$206,2,0),"")</f>
        <v/>
      </c>
      <c r="C181" s="257" t="str">
        <f ca="1">IF(ISNUMBER(A181),VLOOKUP(A181,Methuselahs!$A$7:$E$206,3,0),"")</f>
        <v/>
      </c>
      <c r="D181" s="258" t="str">
        <f t="shared" ca="1" si="60"/>
        <v/>
      </c>
      <c r="E181" s="259"/>
      <c r="F181" s="257">
        <f t="shared" si="61"/>
        <v>0</v>
      </c>
      <c r="G181" s="244" t="str">
        <f t="shared" ca="1" si="62"/>
        <v/>
      </c>
      <c r="H181" s="245" t="str">
        <f ca="1">IF(ISNUMBER(A181),IF(OR($S181=$U181,NOT(ISNA(MATCH($D181*5+$V$4,Override!$C$6:$C$125,0)))),$Q181,0),"")</f>
        <v/>
      </c>
      <c r="I181" s="258" t="str">
        <f t="shared" ca="1" si="63"/>
        <v/>
      </c>
      <c r="J181" s="260">
        <f ca="1">COUNT(A177:A181)</f>
        <v>0</v>
      </c>
      <c r="K181" s="261" t="str">
        <f ca="1">IF(ISNUMBER(A181),RANK(F181,F177:F181),"")</f>
        <v/>
      </c>
      <c r="L181" s="262">
        <f ca="1">IF(J181=5,VLOOKUP(K181,TPMatrix!$A$6:$B$10,2,0),IF(J181=4,VLOOKUP(K181,TPMatrix!$D$6:$E$9,2,0),0))</f>
        <v>0</v>
      </c>
      <c r="M181" s="262">
        <f ca="1">IF(COUNTIF(K177:K181,K181)&gt;=2,IF(J181=5,VLOOKUP(K181+1,TPMatrix!$A$6:$B$10,2,0),IF(J181=4,VLOOKUP(K181+1,TPMatrix!$D$6:$E$9,2,0),0)),"")</f>
        <v>0</v>
      </c>
      <c r="N181" s="262">
        <f ca="1">IF(COUNTIF(K177:K181,K181)&gt;=3,IF(J181=5,VLOOKUP(K181+2,TPMatrix!$A$6:$B$10,2,0),IF(J181=4,VLOOKUP(K181+2,TPMatrix!$D$6:$E$9,2,0),0)),"")</f>
        <v>0</v>
      </c>
      <c r="O181" s="262">
        <f ca="1">IF(COUNTIF(K177:K181,K181)&gt;=4,IF(J181=5,VLOOKUP(K181+3,TPMatrix!$A$6:$B$10,2,0),IF(J181=4,VLOOKUP(K181+3,TPMatrix!$D$6:$E$9,2,0),0)),"")</f>
        <v>0</v>
      </c>
      <c r="P181" s="262">
        <f ca="1">IF(COUNTIF(K177:K181,K181)&gt;=5,IF(J181=5,VLOOKUP(K181+4,TPMatrix!$A$6:$B$10,2,0),IF(J181=4,VLOOKUP(K181+4,TPMatrix!$D$6:$E$9,2,0),0)),"")</f>
        <v>0</v>
      </c>
      <c r="Q181" s="262">
        <f t="shared" ca="1" si="64"/>
        <v>0</v>
      </c>
      <c r="R181" s="263">
        <f t="shared" ca="1" si="65"/>
        <v>5</v>
      </c>
      <c r="S181" s="261">
        <f t="shared" ca="1" si="66"/>
        <v>0</v>
      </c>
      <c r="T181" s="262">
        <f t="shared" si="67"/>
        <v>0</v>
      </c>
      <c r="U181" s="263">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2.95" customHeight="1" x14ac:dyDescent="0.2">
      <c r="A182" s="219" t="str">
        <f ca="1">IF(ISBLANK('Tournament Info'!$B$11),"",INDIRECT(ADDRESS(ROW(),1,1,1,"Optimal Seating "&amp;'Tournament Info'!$B$11-1&amp;"R+F")))</f>
        <v/>
      </c>
      <c r="B182" s="143" t="str">
        <f ca="1">IF(ISNUMBER(A182),VLOOKUP(A182,Methuselahs!$A$7:$E$206,2,0),"")</f>
        <v/>
      </c>
      <c r="C182" s="220" t="str">
        <f ca="1">IF(ISNUMBER(A182),VLOOKUP(A182,Methuselahs!$A$7:$E$206,3,0),"")</f>
        <v/>
      </c>
      <c r="D182" s="221" t="str">
        <f t="shared" ca="1" si="60"/>
        <v/>
      </c>
      <c r="E182" s="222"/>
      <c r="F182" s="220">
        <f t="shared" si="61"/>
        <v>0</v>
      </c>
      <c r="G182" s="223" t="str">
        <f t="shared" ca="1" si="62"/>
        <v/>
      </c>
      <c r="H182" s="224" t="str">
        <f ca="1">IF(ISNUMBER(A182),IF(OR($S182=$U182,NOT(ISNA(MATCH($D182*5+$V$4,Override!$C$6:$C$125,0)))),$Q182,0),"")</f>
        <v/>
      </c>
      <c r="I182" s="221" t="str">
        <f t="shared" ca="1" si="63"/>
        <v/>
      </c>
      <c r="J182" s="225">
        <f ca="1">COUNT(A182:A186)</f>
        <v>0</v>
      </c>
      <c r="K182" s="226" t="str">
        <f ca="1">IF(ISNUMBER(A182),RANK(F182,F182:F186),"")</f>
        <v/>
      </c>
      <c r="L182" s="227">
        <f ca="1">IF(J182=5,VLOOKUP(K182,TPMatrix!$A$6:$B$10,2,0),IF(J182=4,VLOOKUP(K182,TPMatrix!$D$6:$E$9,2,0),0))</f>
        <v>0</v>
      </c>
      <c r="M182" s="227">
        <f ca="1">IF(COUNTIF(K182:K186,K182)&gt;=2,IF(J182=5,VLOOKUP(K182+1,TPMatrix!$A$6:$B$10,2,0),IF(J182=4,VLOOKUP(K182+1,TPMatrix!$D$6:$E$9,2,0),0)),"")</f>
        <v>0</v>
      </c>
      <c r="N182" s="227">
        <f ca="1">IF(COUNTIF(K182:K186,K182)&gt;=3,IF(J182=5,VLOOKUP(K182+2,TPMatrix!$A$6:$B$10,2,0),IF(J182=4,VLOOKUP(K182+2,TPMatrix!$D$6:$E$9,2,0),0)),"")</f>
        <v>0</v>
      </c>
      <c r="O182" s="227">
        <f ca="1">IF(COUNTIF(K182:K186,K182)&gt;=4,IF(J182=5,VLOOKUP(K182+3,TPMatrix!$A$6:$B$10,2,0),IF(J182=4,VLOOKUP(K182+3,TPMatrix!$D$6:$E$9,2,0),0)),"")</f>
        <v>0</v>
      </c>
      <c r="P182" s="227">
        <f ca="1">IF(COUNTIF(K182:K186,K182)&gt;=5,IF(J182=5,VLOOKUP(K182+4,TPMatrix!$A$6:$B$10,2,0),IF(J182=4,VLOOKUP(K182+4,TPMatrix!$D$6:$E$9,2,0),0)),"")</f>
        <v>0</v>
      </c>
      <c r="Q182" s="227">
        <f t="shared" ca="1" si="64"/>
        <v>0</v>
      </c>
      <c r="R182" s="228">
        <f t="shared" ca="1" si="65"/>
        <v>5</v>
      </c>
      <c r="S182" s="229">
        <f t="shared" ca="1" si="66"/>
        <v>0</v>
      </c>
      <c r="T182" s="230">
        <f t="shared" si="67"/>
        <v>0</v>
      </c>
      <c r="U182" s="231">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2.95" customHeight="1" x14ac:dyDescent="0.2">
      <c r="A183" s="111" t="str">
        <f ca="1">IF(ISBLANK('Tournament Info'!$B$11),"",INDIRECT(ADDRESS(ROW(),1,1,1,"Optimal Seating "&amp;'Tournament Info'!$B$11-1&amp;"R+F")))</f>
        <v/>
      </c>
      <c r="B183" s="117" t="str">
        <f ca="1">IF(ISNUMBER(A183),VLOOKUP(A183,Methuselahs!$A$7:$E$206,2,0),"")</f>
        <v/>
      </c>
      <c r="C183" s="232" t="str">
        <f ca="1">IF(ISNUMBER(A183),VLOOKUP(A183,Methuselahs!$A$7:$E$206,3,0),"")</f>
        <v/>
      </c>
      <c r="D183" s="233" t="str">
        <f t="shared" ca="1" si="60"/>
        <v/>
      </c>
      <c r="E183" s="234"/>
      <c r="F183" s="232">
        <f t="shared" si="61"/>
        <v>0</v>
      </c>
      <c r="G183" s="235" t="str">
        <f t="shared" ca="1" si="62"/>
        <v/>
      </c>
      <c r="H183" s="236" t="str">
        <f ca="1">IF(ISNUMBER(A183),IF(OR($S183=$U183,NOT(ISNA(MATCH($D183*5+$V$4,Override!$C$6:$C$125,0)))),$Q183,0),"")</f>
        <v/>
      </c>
      <c r="I183" s="233" t="str">
        <f t="shared" ca="1" si="63"/>
        <v/>
      </c>
      <c r="J183" s="237">
        <f ca="1">COUNT(A182:A186)</f>
        <v>0</v>
      </c>
      <c r="K183" s="238" t="str">
        <f ca="1">IF(ISNUMBER(A183),RANK(F183,F182:F186),"")</f>
        <v/>
      </c>
      <c r="L183" s="239">
        <f ca="1">IF(J183=5,VLOOKUP(K183,TPMatrix!$A$6:$B$10,2,0),IF(J183=4,VLOOKUP(K183,TPMatrix!$D$6:$E$9,2,0),0))</f>
        <v>0</v>
      </c>
      <c r="M183" s="239">
        <f ca="1">IF(COUNTIF(K182:K186,K183)&gt;=2,IF(J183=5,VLOOKUP(K183+1,TPMatrix!$A$6:$B$10,2,0),IF(J183=4,VLOOKUP(K183+1,TPMatrix!$D$6:$E$9,2,0),0)),"")</f>
        <v>0</v>
      </c>
      <c r="N183" s="239">
        <f ca="1">IF(COUNTIF(K182:K186,K183)&gt;=3,IF(J183=5,VLOOKUP(K183+2,TPMatrix!$A$6:$B$10,2,0),IF(J183=4,VLOOKUP(K183+2,TPMatrix!$D$6:$E$9,2,0),0)),"")</f>
        <v>0</v>
      </c>
      <c r="O183" s="239">
        <f ca="1">IF(COUNTIF(K182:K186,K183)&gt;=4,IF(J183=5,VLOOKUP(K183+3,TPMatrix!$A$6:$B$10,2,0),IF(J183=4,VLOOKUP(K183+3,TPMatrix!$D$6:$E$9,2,0),0)),"")</f>
        <v>0</v>
      </c>
      <c r="P183" s="239">
        <f ca="1">IF(COUNTIF(K182:K186,K183)&gt;=5,IF(J183=5,VLOOKUP(K183+4,TPMatrix!$A$6:$B$10,2,0),IF(J183=4,VLOOKUP(K183+4,TPMatrix!$D$6:$E$9,2,0),0)),"")</f>
        <v>0</v>
      </c>
      <c r="Q183" s="239">
        <f t="shared" ca="1" si="64"/>
        <v>0</v>
      </c>
      <c r="R183" s="240">
        <f t="shared" ca="1" si="65"/>
        <v>5</v>
      </c>
      <c r="S183" s="238">
        <f t="shared" ca="1" si="66"/>
        <v>0</v>
      </c>
      <c r="T183" s="239">
        <f t="shared" si="67"/>
        <v>0</v>
      </c>
      <c r="U183" s="240">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2.95" customHeight="1" x14ac:dyDescent="0.2">
      <c r="A184" s="137" t="str">
        <f ca="1">IF(ISBLANK('Tournament Info'!$B$11),"",INDIRECT(ADDRESS(ROW(),1,1,1,"Optimal Seating "&amp;'Tournament Info'!$B$11-1&amp;"R+F")))</f>
        <v/>
      </c>
      <c r="B184" s="143" t="str">
        <f ca="1">IF(ISNUMBER(A184),VLOOKUP(A184,Methuselahs!$A$7:$E$206,2,0),"")</f>
        <v/>
      </c>
      <c r="C184" s="241" t="str">
        <f ca="1">IF(ISNUMBER(A184),VLOOKUP(A184,Methuselahs!$A$7:$E$206,3,0),"")</f>
        <v/>
      </c>
      <c r="D184" s="242" t="str">
        <f t="shared" ca="1" si="60"/>
        <v/>
      </c>
      <c r="E184" s="243"/>
      <c r="F184" s="241">
        <f t="shared" si="61"/>
        <v>0</v>
      </c>
      <c r="G184" s="244" t="str">
        <f t="shared" ca="1" si="62"/>
        <v/>
      </c>
      <c r="H184" s="245" t="str">
        <f ca="1">IF(ISNUMBER(A184),IF(OR($S184=$U184,NOT(ISNA(MATCH($D184*5+$V$4,Override!$C$6:$C$125,0)))),$Q184,0),"")</f>
        <v/>
      </c>
      <c r="I184" s="242" t="str">
        <f t="shared" ca="1" si="63"/>
        <v/>
      </c>
      <c r="J184" s="246">
        <f ca="1">COUNT(A182:A186)</f>
        <v>0</v>
      </c>
      <c r="K184" s="247" t="str">
        <f ca="1">IF(ISNUMBER(A184),RANK(F184,F182:F186),"")</f>
        <v/>
      </c>
      <c r="L184" s="142">
        <f ca="1">IF(J184=5,VLOOKUP(K184,TPMatrix!$A$6:$B$10,2,0),IF(J184=4,VLOOKUP(K184,TPMatrix!$D$6:$E$9,2,0),0))</f>
        <v>0</v>
      </c>
      <c r="M184" s="142">
        <f ca="1">IF(COUNTIF(K182:K186,K184)&gt;=2,IF(J184=5,VLOOKUP(K184+1,TPMatrix!$A$6:$B$10,2,0),IF(J184=4,VLOOKUP(K184+1,TPMatrix!$D$6:$E$9,2,0),0)),"")</f>
        <v>0</v>
      </c>
      <c r="N184" s="142">
        <f ca="1">IF(COUNTIF(K182:K186,K184)&gt;=3,IF(J184=5,VLOOKUP(K184+2,TPMatrix!$A$6:$B$10,2,0),IF(J184=4,VLOOKUP(K184+2,TPMatrix!$D$6:$E$9,2,0),0)),"")</f>
        <v>0</v>
      </c>
      <c r="O184" s="142">
        <f ca="1">IF(COUNTIF(K182:K186,K184)&gt;=4,IF(J184=5,VLOOKUP(K184+3,TPMatrix!$A$6:$B$10,2,0),IF(J184=4,VLOOKUP(K184+3,TPMatrix!$D$6:$E$9,2,0),0)),"")</f>
        <v>0</v>
      </c>
      <c r="P184" s="142">
        <f ca="1">IF(COUNTIF(K182:K186,K184)&gt;=5,IF(J184=5,VLOOKUP(K184+4,TPMatrix!$A$6:$B$10,2,0),IF(J184=4,VLOOKUP(K184+4,TPMatrix!$D$6:$E$9,2,0),0)),"")</f>
        <v>0</v>
      </c>
      <c r="Q184" s="142">
        <f t="shared" ca="1" si="64"/>
        <v>0</v>
      </c>
      <c r="R184" s="248">
        <f t="shared" ca="1" si="65"/>
        <v>5</v>
      </c>
      <c r="S184" s="247">
        <f t="shared" ca="1" si="66"/>
        <v>0</v>
      </c>
      <c r="T184" s="142">
        <f t="shared" si="67"/>
        <v>0</v>
      </c>
      <c r="U184" s="248">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2.95" customHeight="1" x14ac:dyDescent="0.2">
      <c r="A185" s="249" t="str">
        <f ca="1">IF(ISBLANK('Tournament Info'!$B$11),"",INDIRECT(ADDRESS(ROW(),1,1,1,"Optimal Seating "&amp;'Tournament Info'!$B$11-1&amp;"R+F")))</f>
        <v/>
      </c>
      <c r="B185" s="250" t="str">
        <f ca="1">IF(ISNUMBER(A185),VLOOKUP(A185,Methuselahs!$A$7:$E$206,2,0),"")</f>
        <v/>
      </c>
      <c r="C185" s="251" t="str">
        <f ca="1">IF(ISNUMBER(A185),VLOOKUP(A185,Methuselahs!$A$7:$E$206,3,0),"")</f>
        <v/>
      </c>
      <c r="D185" s="252" t="str">
        <f t="shared" ca="1" si="60"/>
        <v/>
      </c>
      <c r="E185" s="253"/>
      <c r="F185" s="251">
        <f t="shared" si="61"/>
        <v>0</v>
      </c>
      <c r="G185" s="235" t="str">
        <f t="shared" ca="1" si="62"/>
        <v/>
      </c>
      <c r="H185" s="236" t="str">
        <f ca="1">IF(ISNUMBER(A185),IF(OR($S185=$U185,NOT(ISNA(MATCH($D185*5+$V$4,Override!$C$6:$C$125,0)))),$Q185,0),"")</f>
        <v/>
      </c>
      <c r="I185" s="252" t="str">
        <f t="shared" ca="1" si="63"/>
        <v/>
      </c>
      <c r="J185" s="254">
        <f ca="1">COUNT(A182:A186)</f>
        <v>0</v>
      </c>
      <c r="K185" s="238" t="str">
        <f ca="1">IF(ISNUMBER(A185),RANK(F185,F182:F186),"")</f>
        <v/>
      </c>
      <c r="L185" s="239">
        <f ca="1">IF(J185=5,VLOOKUP(K185,TPMatrix!$A$6:$B$10,2,0),IF(J185=4,VLOOKUP(K185,TPMatrix!$D$6:$E$9,2,0),0))</f>
        <v>0</v>
      </c>
      <c r="M185" s="239">
        <f ca="1">IF(COUNTIF(K182:K186,K185)&gt;=2,IF(J185=5,VLOOKUP(K185+1,TPMatrix!$A$6:$B$10,2,0),IF(J185=4,VLOOKUP(K185+1,TPMatrix!$D$6:$E$9,2,0),0)),"")</f>
        <v>0</v>
      </c>
      <c r="N185" s="239">
        <f ca="1">IF(COUNTIF(K182:K186,K185)&gt;=3,IF(J185=5,VLOOKUP(K185+2,TPMatrix!$A$6:$B$10,2,0),IF(J185=4,VLOOKUP(K185+2,TPMatrix!$D$6:$E$9,2,0),0)),"")</f>
        <v>0</v>
      </c>
      <c r="O185" s="239">
        <f ca="1">IF(COUNTIF(K182:K186,K185)&gt;=4,IF(J185=5,VLOOKUP(K185+3,TPMatrix!$A$6:$B$10,2,0),IF(J185=4,VLOOKUP(K185+3,TPMatrix!$D$6:$E$9,2,0),0)),"")</f>
        <v>0</v>
      </c>
      <c r="P185" s="239">
        <f ca="1">IF(COUNTIF(K182:K186,K185)&gt;=5,IF(J185=5,VLOOKUP(K185+4,TPMatrix!$A$6:$B$10,2,0),IF(J185=4,VLOOKUP(K185+4,TPMatrix!$D$6:$E$9,2,0),0)),"")</f>
        <v>0</v>
      </c>
      <c r="Q185" s="239">
        <f t="shared" ca="1" si="64"/>
        <v>0</v>
      </c>
      <c r="R185" s="240">
        <f t="shared" ca="1" si="65"/>
        <v>5</v>
      </c>
      <c r="S185" s="238">
        <f t="shared" ca="1" si="66"/>
        <v>0</v>
      </c>
      <c r="T185" s="239">
        <f t="shared" si="67"/>
        <v>0</v>
      </c>
      <c r="U185" s="240">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2.95" customHeight="1" x14ac:dyDescent="0.2">
      <c r="A186" s="255" t="str">
        <f ca="1">IF(ISBLANK('Tournament Info'!$B$11),"",INDIRECT(ADDRESS(ROW(),1,1,1,"Optimal Seating "&amp;'Tournament Info'!$B$11-1&amp;"R+F")))</f>
        <v/>
      </c>
      <c r="B186" s="256" t="str">
        <f ca="1">IF(ISNUMBER(A186),VLOOKUP(A186,Methuselahs!$A$7:$E$206,2,0),"")</f>
        <v/>
      </c>
      <c r="C186" s="257" t="str">
        <f ca="1">IF(ISNUMBER(A186),VLOOKUP(A186,Methuselahs!$A$7:$E$206,3,0),"")</f>
        <v/>
      </c>
      <c r="D186" s="258" t="str">
        <f t="shared" ca="1" si="60"/>
        <v/>
      </c>
      <c r="E186" s="259"/>
      <c r="F186" s="257">
        <f t="shared" si="61"/>
        <v>0</v>
      </c>
      <c r="G186" s="244" t="str">
        <f t="shared" ca="1" si="62"/>
        <v/>
      </c>
      <c r="H186" s="245" t="str">
        <f ca="1">IF(ISNUMBER(A186),IF(OR($S186=$U186,NOT(ISNA(MATCH($D186*5+$V$4,Override!$C$6:$C$125,0)))),$Q186,0),"")</f>
        <v/>
      </c>
      <c r="I186" s="258" t="str">
        <f t="shared" ca="1" si="63"/>
        <v/>
      </c>
      <c r="J186" s="260">
        <f ca="1">COUNT(A182:A186)</f>
        <v>0</v>
      </c>
      <c r="K186" s="261" t="str">
        <f ca="1">IF(ISNUMBER(A186),RANK(F186,F182:F186),"")</f>
        <v/>
      </c>
      <c r="L186" s="262">
        <f ca="1">IF(J186=5,VLOOKUP(K186,TPMatrix!$A$6:$B$10,2,0),IF(J186=4,VLOOKUP(K186,TPMatrix!$D$6:$E$9,2,0),0))</f>
        <v>0</v>
      </c>
      <c r="M186" s="262">
        <f ca="1">IF(COUNTIF(K182:K186,K186)&gt;=2,IF(J186=5,VLOOKUP(K186+1,TPMatrix!$A$6:$B$10,2,0),IF(J186=4,VLOOKUP(K186+1,TPMatrix!$D$6:$E$9,2,0),0)),"")</f>
        <v>0</v>
      </c>
      <c r="N186" s="262">
        <f ca="1">IF(COUNTIF(K182:K186,K186)&gt;=3,IF(J186=5,VLOOKUP(K186+2,TPMatrix!$A$6:$B$10,2,0),IF(J186=4,VLOOKUP(K186+2,TPMatrix!$D$6:$E$9,2,0),0)),"")</f>
        <v>0</v>
      </c>
      <c r="O186" s="262">
        <f ca="1">IF(COUNTIF(K182:K186,K186)&gt;=4,IF(J186=5,VLOOKUP(K186+3,TPMatrix!$A$6:$B$10,2,0),IF(J186=4,VLOOKUP(K186+3,TPMatrix!$D$6:$E$9,2,0),0)),"")</f>
        <v>0</v>
      </c>
      <c r="P186" s="262">
        <f ca="1">IF(COUNTIF(K182:K186,K186)&gt;=5,IF(J186=5,VLOOKUP(K186+4,TPMatrix!$A$6:$B$10,2,0),IF(J186=4,VLOOKUP(K186+4,TPMatrix!$D$6:$E$9,2,0),0)),"")</f>
        <v>0</v>
      </c>
      <c r="Q186" s="262">
        <f t="shared" ca="1" si="64"/>
        <v>0</v>
      </c>
      <c r="R186" s="263">
        <f t="shared" ca="1" si="65"/>
        <v>5</v>
      </c>
      <c r="S186" s="261">
        <f t="shared" ca="1" si="66"/>
        <v>0</v>
      </c>
      <c r="T186" s="262">
        <f t="shared" si="67"/>
        <v>0</v>
      </c>
      <c r="U186" s="263">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2.95" customHeight="1" x14ac:dyDescent="0.2">
      <c r="A187" s="219" t="str">
        <f ca="1">IF(ISBLANK('Tournament Info'!$B$11),"",INDIRECT(ADDRESS(ROW(),1,1,1,"Optimal Seating "&amp;'Tournament Info'!$B$11-1&amp;"R+F")))</f>
        <v/>
      </c>
      <c r="B187" s="143" t="str">
        <f ca="1">IF(ISNUMBER(A187),VLOOKUP(A187,Methuselahs!$A$7:$E$206,2,0),"")</f>
        <v/>
      </c>
      <c r="C187" s="220" t="str">
        <f ca="1">IF(ISNUMBER(A187),VLOOKUP(A187,Methuselahs!$A$7:$E$206,3,0),"")</f>
        <v/>
      </c>
      <c r="D187" s="221" t="str">
        <f t="shared" ca="1" si="60"/>
        <v/>
      </c>
      <c r="E187" s="222"/>
      <c r="F187" s="220">
        <f t="shared" si="61"/>
        <v>0</v>
      </c>
      <c r="G187" s="223" t="str">
        <f t="shared" ca="1" si="62"/>
        <v/>
      </c>
      <c r="H187" s="224" t="str">
        <f ca="1">IF(ISNUMBER(A187),IF(OR($S187=$U187,NOT(ISNA(MATCH($D187*5+$V$4,Override!$C$6:$C$125,0)))),$Q187,0),"")</f>
        <v/>
      </c>
      <c r="I187" s="221" t="str">
        <f t="shared" ca="1" si="63"/>
        <v/>
      </c>
      <c r="J187" s="225">
        <f ca="1">COUNT(A187:A191)</f>
        <v>0</v>
      </c>
      <c r="K187" s="226" t="str">
        <f ca="1">IF(ISNUMBER(A187),RANK(F187,F187:F191),"")</f>
        <v/>
      </c>
      <c r="L187" s="227">
        <f ca="1">IF(J187=5,VLOOKUP(K187,TPMatrix!$A$6:$B$10,2,0),IF(J187=4,VLOOKUP(K187,TPMatrix!$D$6:$E$9,2,0),0))</f>
        <v>0</v>
      </c>
      <c r="M187" s="227">
        <f ca="1">IF(COUNTIF(K187:K191,K187)&gt;=2,IF(J187=5,VLOOKUP(K187+1,TPMatrix!$A$6:$B$10,2,0),IF(J187=4,VLOOKUP(K187+1,TPMatrix!$D$6:$E$9,2,0),0)),"")</f>
        <v>0</v>
      </c>
      <c r="N187" s="227">
        <f ca="1">IF(COUNTIF(K187:K191,K187)&gt;=3,IF(J187=5,VLOOKUP(K187+2,TPMatrix!$A$6:$B$10,2,0),IF(J187=4,VLOOKUP(K187+2,TPMatrix!$D$6:$E$9,2,0),0)),"")</f>
        <v>0</v>
      </c>
      <c r="O187" s="227">
        <f ca="1">IF(COUNTIF(K187:K191,K187)&gt;=4,IF(J187=5,VLOOKUP(K187+3,TPMatrix!$A$6:$B$10,2,0),IF(J187=4,VLOOKUP(K187+3,TPMatrix!$D$6:$E$9,2,0),0)),"")</f>
        <v>0</v>
      </c>
      <c r="P187" s="227">
        <f ca="1">IF(COUNTIF(K187:K191,K187)&gt;=5,IF(J187=5,VLOOKUP(K187+4,TPMatrix!$A$6:$B$10,2,0),IF(J187=4,VLOOKUP(K187+4,TPMatrix!$D$6:$E$9,2,0),0)),"")</f>
        <v>0</v>
      </c>
      <c r="Q187" s="227">
        <f t="shared" ca="1" si="64"/>
        <v>0</v>
      </c>
      <c r="R187" s="228">
        <f t="shared" ca="1" si="65"/>
        <v>5</v>
      </c>
      <c r="S187" s="229">
        <f t="shared" ca="1" si="66"/>
        <v>0</v>
      </c>
      <c r="T187" s="230">
        <f t="shared" si="67"/>
        <v>0</v>
      </c>
      <c r="U187" s="231">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2.95" customHeight="1" x14ac:dyDescent="0.2">
      <c r="A188" s="111" t="str">
        <f ca="1">IF(ISBLANK('Tournament Info'!$B$11),"",INDIRECT(ADDRESS(ROW(),1,1,1,"Optimal Seating "&amp;'Tournament Info'!$B$11-1&amp;"R+F")))</f>
        <v/>
      </c>
      <c r="B188" s="117" t="str">
        <f ca="1">IF(ISNUMBER(A188),VLOOKUP(A188,Methuselahs!$A$7:$E$206,2,0),"")</f>
        <v/>
      </c>
      <c r="C188" s="232" t="str">
        <f ca="1">IF(ISNUMBER(A188),VLOOKUP(A188,Methuselahs!$A$7:$E$206,3,0),"")</f>
        <v/>
      </c>
      <c r="D188" s="233" t="str">
        <f t="shared" ca="1" si="60"/>
        <v/>
      </c>
      <c r="E188" s="234"/>
      <c r="F188" s="232">
        <f t="shared" si="61"/>
        <v>0</v>
      </c>
      <c r="G188" s="235" t="str">
        <f t="shared" ca="1" si="62"/>
        <v/>
      </c>
      <c r="H188" s="236" t="str">
        <f ca="1">IF(ISNUMBER(A188),IF(OR($S188=$U188,NOT(ISNA(MATCH($D188*5+$V$4,Override!$C$6:$C$125,0)))),$Q188,0),"")</f>
        <v/>
      </c>
      <c r="I188" s="233" t="str">
        <f t="shared" ca="1" si="63"/>
        <v/>
      </c>
      <c r="J188" s="237">
        <f ca="1">COUNT(A187:A191)</f>
        <v>0</v>
      </c>
      <c r="K188" s="238" t="str">
        <f ca="1">IF(ISNUMBER(A188),RANK(F188,F187:F191),"")</f>
        <v/>
      </c>
      <c r="L188" s="239">
        <f ca="1">IF(J188=5,VLOOKUP(K188,TPMatrix!$A$6:$B$10,2,0),IF(J188=4,VLOOKUP(K188,TPMatrix!$D$6:$E$9,2,0),0))</f>
        <v>0</v>
      </c>
      <c r="M188" s="239">
        <f ca="1">IF(COUNTIF(K187:K191,K188)&gt;=2,IF(J188=5,VLOOKUP(K188+1,TPMatrix!$A$6:$B$10,2,0),IF(J188=4,VLOOKUP(K188+1,TPMatrix!$D$6:$E$9,2,0),0)),"")</f>
        <v>0</v>
      </c>
      <c r="N188" s="239">
        <f ca="1">IF(COUNTIF(K187:K191,K188)&gt;=3,IF(J188=5,VLOOKUP(K188+2,TPMatrix!$A$6:$B$10,2,0),IF(J188=4,VLOOKUP(K188+2,TPMatrix!$D$6:$E$9,2,0),0)),"")</f>
        <v>0</v>
      </c>
      <c r="O188" s="239">
        <f ca="1">IF(COUNTIF(K187:K191,K188)&gt;=4,IF(J188=5,VLOOKUP(K188+3,TPMatrix!$A$6:$B$10,2,0),IF(J188=4,VLOOKUP(K188+3,TPMatrix!$D$6:$E$9,2,0),0)),"")</f>
        <v>0</v>
      </c>
      <c r="P188" s="239">
        <f ca="1">IF(COUNTIF(K187:K191,K188)&gt;=5,IF(J188=5,VLOOKUP(K188+4,TPMatrix!$A$6:$B$10,2,0),IF(J188=4,VLOOKUP(K188+4,TPMatrix!$D$6:$E$9,2,0),0)),"")</f>
        <v>0</v>
      </c>
      <c r="Q188" s="239">
        <f t="shared" ca="1" si="64"/>
        <v>0</v>
      </c>
      <c r="R188" s="240">
        <f t="shared" ca="1" si="65"/>
        <v>5</v>
      </c>
      <c r="S188" s="238">
        <f t="shared" ca="1" si="66"/>
        <v>0</v>
      </c>
      <c r="T188" s="239">
        <f t="shared" si="67"/>
        <v>0</v>
      </c>
      <c r="U188" s="240">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2.95" customHeight="1" x14ac:dyDescent="0.2">
      <c r="A189" s="137" t="str">
        <f ca="1">IF(ISBLANK('Tournament Info'!$B$11),"",INDIRECT(ADDRESS(ROW(),1,1,1,"Optimal Seating "&amp;'Tournament Info'!$B$11-1&amp;"R+F")))</f>
        <v/>
      </c>
      <c r="B189" s="143" t="str">
        <f ca="1">IF(ISNUMBER(A189),VLOOKUP(A189,Methuselahs!$A$7:$E$206,2,0),"")</f>
        <v/>
      </c>
      <c r="C189" s="241" t="str">
        <f ca="1">IF(ISNUMBER(A189),VLOOKUP(A189,Methuselahs!$A$7:$E$206,3,0),"")</f>
        <v/>
      </c>
      <c r="D189" s="242" t="str">
        <f t="shared" ca="1" si="60"/>
        <v/>
      </c>
      <c r="E189" s="243"/>
      <c r="F189" s="241">
        <f t="shared" si="61"/>
        <v>0</v>
      </c>
      <c r="G189" s="244" t="str">
        <f t="shared" ca="1" si="62"/>
        <v/>
      </c>
      <c r="H189" s="245" t="str">
        <f ca="1">IF(ISNUMBER(A189),IF(OR($S189=$U189,NOT(ISNA(MATCH($D189*5+$V$4,Override!$C$6:$C$125,0)))),$Q189,0),"")</f>
        <v/>
      </c>
      <c r="I189" s="242" t="str">
        <f t="shared" ca="1" si="63"/>
        <v/>
      </c>
      <c r="J189" s="246">
        <f ca="1">COUNT(A187:A191)</f>
        <v>0</v>
      </c>
      <c r="K189" s="247" t="str">
        <f ca="1">IF(ISNUMBER(A189),RANK(F189,F187:F191),"")</f>
        <v/>
      </c>
      <c r="L189" s="142">
        <f ca="1">IF(J189=5,VLOOKUP(K189,TPMatrix!$A$6:$B$10,2,0),IF(J189=4,VLOOKUP(K189,TPMatrix!$D$6:$E$9,2,0),0))</f>
        <v>0</v>
      </c>
      <c r="M189" s="142">
        <f ca="1">IF(COUNTIF(K187:K191,K189)&gt;=2,IF(J189=5,VLOOKUP(K189+1,TPMatrix!$A$6:$B$10,2,0),IF(J189=4,VLOOKUP(K189+1,TPMatrix!$D$6:$E$9,2,0),0)),"")</f>
        <v>0</v>
      </c>
      <c r="N189" s="142">
        <f ca="1">IF(COUNTIF(K187:K191,K189)&gt;=3,IF(J189=5,VLOOKUP(K189+2,TPMatrix!$A$6:$B$10,2,0),IF(J189=4,VLOOKUP(K189+2,TPMatrix!$D$6:$E$9,2,0),0)),"")</f>
        <v>0</v>
      </c>
      <c r="O189" s="142">
        <f ca="1">IF(COUNTIF(K187:K191,K189)&gt;=4,IF(J189=5,VLOOKUP(K189+3,TPMatrix!$A$6:$B$10,2,0),IF(J189=4,VLOOKUP(K189+3,TPMatrix!$D$6:$E$9,2,0),0)),"")</f>
        <v>0</v>
      </c>
      <c r="P189" s="142">
        <f ca="1">IF(COUNTIF(K187:K191,K189)&gt;=5,IF(J189=5,VLOOKUP(K189+4,TPMatrix!$A$6:$B$10,2,0),IF(J189=4,VLOOKUP(K189+4,TPMatrix!$D$6:$E$9,2,0),0)),"")</f>
        <v>0</v>
      </c>
      <c r="Q189" s="142">
        <f t="shared" ca="1" si="64"/>
        <v>0</v>
      </c>
      <c r="R189" s="248">
        <f t="shared" ca="1" si="65"/>
        <v>5</v>
      </c>
      <c r="S189" s="247">
        <f t="shared" ca="1" si="66"/>
        <v>0</v>
      </c>
      <c r="T189" s="142">
        <f t="shared" si="67"/>
        <v>0</v>
      </c>
      <c r="U189" s="248">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2.95" customHeight="1" x14ac:dyDescent="0.2">
      <c r="A190" s="249" t="str">
        <f ca="1">IF(ISBLANK('Tournament Info'!$B$11),"",INDIRECT(ADDRESS(ROW(),1,1,1,"Optimal Seating "&amp;'Tournament Info'!$B$11-1&amp;"R+F")))</f>
        <v/>
      </c>
      <c r="B190" s="250" t="str">
        <f ca="1">IF(ISNUMBER(A190),VLOOKUP(A190,Methuselahs!$A$7:$E$206,2,0),"")</f>
        <v/>
      </c>
      <c r="C190" s="251" t="str">
        <f ca="1">IF(ISNUMBER(A190),VLOOKUP(A190,Methuselahs!$A$7:$E$206,3,0),"")</f>
        <v/>
      </c>
      <c r="D190" s="252" t="str">
        <f t="shared" ca="1" si="60"/>
        <v/>
      </c>
      <c r="E190" s="253"/>
      <c r="F190" s="251">
        <f t="shared" si="61"/>
        <v>0</v>
      </c>
      <c r="G190" s="235" t="str">
        <f t="shared" ca="1" si="62"/>
        <v/>
      </c>
      <c r="H190" s="236" t="str">
        <f ca="1">IF(ISNUMBER(A190),IF(OR($S190=$U190,NOT(ISNA(MATCH($D190*5+$V$4,Override!$C$6:$C$125,0)))),$Q190,0),"")</f>
        <v/>
      </c>
      <c r="I190" s="252" t="str">
        <f t="shared" ca="1" si="63"/>
        <v/>
      </c>
      <c r="J190" s="254">
        <f ca="1">COUNT(A187:A191)</f>
        <v>0</v>
      </c>
      <c r="K190" s="238" t="str">
        <f ca="1">IF(ISNUMBER(A190),RANK(F190,F187:F191),"")</f>
        <v/>
      </c>
      <c r="L190" s="239">
        <f ca="1">IF(J190=5,VLOOKUP(K190,TPMatrix!$A$6:$B$10,2,0),IF(J190=4,VLOOKUP(K190,TPMatrix!$D$6:$E$9,2,0),0))</f>
        <v>0</v>
      </c>
      <c r="M190" s="239">
        <f ca="1">IF(COUNTIF(K187:K191,K190)&gt;=2,IF(J190=5,VLOOKUP(K190+1,TPMatrix!$A$6:$B$10,2,0),IF(J190=4,VLOOKUP(K190+1,TPMatrix!$D$6:$E$9,2,0),0)),"")</f>
        <v>0</v>
      </c>
      <c r="N190" s="239">
        <f ca="1">IF(COUNTIF(K187:K191,K190)&gt;=3,IF(J190=5,VLOOKUP(K190+2,TPMatrix!$A$6:$B$10,2,0),IF(J190=4,VLOOKUP(K190+2,TPMatrix!$D$6:$E$9,2,0),0)),"")</f>
        <v>0</v>
      </c>
      <c r="O190" s="239">
        <f ca="1">IF(COUNTIF(K187:K191,K190)&gt;=4,IF(J190=5,VLOOKUP(K190+3,TPMatrix!$A$6:$B$10,2,0),IF(J190=4,VLOOKUP(K190+3,TPMatrix!$D$6:$E$9,2,0),0)),"")</f>
        <v>0</v>
      </c>
      <c r="P190" s="239">
        <f ca="1">IF(COUNTIF(K187:K191,K190)&gt;=5,IF(J190=5,VLOOKUP(K190+4,TPMatrix!$A$6:$B$10,2,0),IF(J190=4,VLOOKUP(K190+4,TPMatrix!$D$6:$E$9,2,0),0)),"")</f>
        <v>0</v>
      </c>
      <c r="Q190" s="239">
        <f t="shared" ca="1" si="64"/>
        <v>0</v>
      </c>
      <c r="R190" s="240">
        <f t="shared" ca="1" si="65"/>
        <v>5</v>
      </c>
      <c r="S190" s="238">
        <f t="shared" ca="1" si="66"/>
        <v>0</v>
      </c>
      <c r="T190" s="239">
        <f t="shared" si="67"/>
        <v>0</v>
      </c>
      <c r="U190" s="240">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2.95" customHeight="1" x14ac:dyDescent="0.2">
      <c r="A191" s="255" t="str">
        <f ca="1">IF(ISBLANK('Tournament Info'!$B$11),"",INDIRECT(ADDRESS(ROW(),1,1,1,"Optimal Seating "&amp;'Tournament Info'!$B$11-1&amp;"R+F")))</f>
        <v/>
      </c>
      <c r="B191" s="256" t="str">
        <f ca="1">IF(ISNUMBER(A191),VLOOKUP(A191,Methuselahs!$A$7:$E$206,2,0),"")</f>
        <v/>
      </c>
      <c r="C191" s="257" t="str">
        <f ca="1">IF(ISNUMBER(A191),VLOOKUP(A191,Methuselahs!$A$7:$E$206,3,0),"")</f>
        <v/>
      </c>
      <c r="D191" s="258" t="str">
        <f t="shared" ca="1" si="60"/>
        <v/>
      </c>
      <c r="E191" s="259"/>
      <c r="F191" s="257">
        <f t="shared" si="61"/>
        <v>0</v>
      </c>
      <c r="G191" s="244" t="str">
        <f t="shared" ca="1" si="62"/>
        <v/>
      </c>
      <c r="H191" s="245" t="str">
        <f ca="1">IF(ISNUMBER(A191),IF(OR($S191=$U191,NOT(ISNA(MATCH($D191*5+$V$4,Override!$C$6:$C$125,0)))),$Q191,0),"")</f>
        <v/>
      </c>
      <c r="I191" s="258" t="str">
        <f t="shared" ca="1" si="63"/>
        <v/>
      </c>
      <c r="J191" s="260">
        <f ca="1">COUNT(A187:A191)</f>
        <v>0</v>
      </c>
      <c r="K191" s="261" t="str">
        <f ca="1">IF(ISNUMBER(A191),RANK(F191,F187:F191),"")</f>
        <v/>
      </c>
      <c r="L191" s="262">
        <f ca="1">IF(J191=5,VLOOKUP(K191,TPMatrix!$A$6:$B$10,2,0),IF(J191=4,VLOOKUP(K191,TPMatrix!$D$6:$E$9,2,0),0))</f>
        <v>0</v>
      </c>
      <c r="M191" s="262">
        <f ca="1">IF(COUNTIF(K187:K191,K191)&gt;=2,IF(J191=5,VLOOKUP(K191+1,TPMatrix!$A$6:$B$10,2,0),IF(J191=4,VLOOKUP(K191+1,TPMatrix!$D$6:$E$9,2,0),0)),"")</f>
        <v>0</v>
      </c>
      <c r="N191" s="262">
        <f ca="1">IF(COUNTIF(K187:K191,K191)&gt;=3,IF(J191=5,VLOOKUP(K191+2,TPMatrix!$A$6:$B$10,2,0),IF(J191=4,VLOOKUP(K191+2,TPMatrix!$D$6:$E$9,2,0),0)),"")</f>
        <v>0</v>
      </c>
      <c r="O191" s="262">
        <f ca="1">IF(COUNTIF(K187:K191,K191)&gt;=4,IF(J191=5,VLOOKUP(K191+3,TPMatrix!$A$6:$B$10,2,0),IF(J191=4,VLOOKUP(K191+3,TPMatrix!$D$6:$E$9,2,0),0)),"")</f>
        <v>0</v>
      </c>
      <c r="P191" s="262">
        <f ca="1">IF(COUNTIF(K187:K191,K191)&gt;=5,IF(J191=5,VLOOKUP(K191+4,TPMatrix!$A$6:$B$10,2,0),IF(J191=4,VLOOKUP(K191+4,TPMatrix!$D$6:$E$9,2,0),0)),"")</f>
        <v>0</v>
      </c>
      <c r="Q191" s="262">
        <f t="shared" ca="1" si="64"/>
        <v>0</v>
      </c>
      <c r="R191" s="263">
        <f t="shared" ca="1" si="65"/>
        <v>5</v>
      </c>
      <c r="S191" s="261">
        <f t="shared" ca="1" si="66"/>
        <v>0</v>
      </c>
      <c r="T191" s="262">
        <f t="shared" si="67"/>
        <v>0</v>
      </c>
      <c r="U191" s="263">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2.95" customHeight="1" x14ac:dyDescent="0.2">
      <c r="A192" s="219" t="str">
        <f ca="1">IF(ISBLANK('Tournament Info'!$B$11),"",INDIRECT(ADDRESS(ROW(),1,1,1,"Optimal Seating "&amp;'Tournament Info'!$B$11-1&amp;"R+F")))</f>
        <v/>
      </c>
      <c r="B192" s="143" t="str">
        <f ca="1">IF(ISNUMBER(A192),VLOOKUP(A192,Methuselahs!$A$7:$E$206,2,0),"")</f>
        <v/>
      </c>
      <c r="C192" s="220" t="str">
        <f ca="1">IF(ISNUMBER(A192),VLOOKUP(A192,Methuselahs!$A$7:$E$206,3,0),"")</f>
        <v/>
      </c>
      <c r="D192" s="221" t="str">
        <f t="shared" ca="1" si="60"/>
        <v/>
      </c>
      <c r="E192" s="222"/>
      <c r="F192" s="220">
        <f t="shared" si="61"/>
        <v>0</v>
      </c>
      <c r="G192" s="223" t="str">
        <f t="shared" ca="1" si="62"/>
        <v/>
      </c>
      <c r="H192" s="224" t="str">
        <f ca="1">IF(ISNUMBER(A192),IF(OR($S192=$U192,NOT(ISNA(MATCH($D192*5+$V$4,Override!$C$6:$C$125,0)))),$Q192,0),"")</f>
        <v/>
      </c>
      <c r="I192" s="221" t="str">
        <f t="shared" ca="1" si="63"/>
        <v/>
      </c>
      <c r="J192" s="225">
        <f ca="1">COUNT(A192:A196)</f>
        <v>0</v>
      </c>
      <c r="K192" s="226" t="str">
        <f ca="1">IF(ISNUMBER(A192),RANK(F192,F192:F196),"")</f>
        <v/>
      </c>
      <c r="L192" s="227">
        <f ca="1">IF(J192=5,VLOOKUP(K192,TPMatrix!$A$6:$B$10,2,0),IF(J192=4,VLOOKUP(K192,TPMatrix!$D$6:$E$9,2,0),0))</f>
        <v>0</v>
      </c>
      <c r="M192" s="227">
        <f ca="1">IF(COUNTIF(K192:K196,K192)&gt;=2,IF(J192=5,VLOOKUP(K192+1,TPMatrix!$A$6:$B$10,2,0),IF(J192=4,VLOOKUP(K192+1,TPMatrix!$D$6:$E$9,2,0),0)),"")</f>
        <v>0</v>
      </c>
      <c r="N192" s="227">
        <f ca="1">IF(COUNTIF(K192:K196,K192)&gt;=3,IF(J192=5,VLOOKUP(K192+2,TPMatrix!$A$6:$B$10,2,0),IF(J192=4,VLOOKUP(K192+2,TPMatrix!$D$6:$E$9,2,0),0)),"")</f>
        <v>0</v>
      </c>
      <c r="O192" s="227">
        <f ca="1">IF(COUNTIF(K192:K196,K192)&gt;=4,IF(J192=5,VLOOKUP(K192+3,TPMatrix!$A$6:$B$10,2,0),IF(J192=4,VLOOKUP(K192+3,TPMatrix!$D$6:$E$9,2,0),0)),"")</f>
        <v>0</v>
      </c>
      <c r="P192" s="227">
        <f ca="1">IF(COUNTIF(K192:K196,K192)&gt;=5,IF(J192=5,VLOOKUP(K192+4,TPMatrix!$A$6:$B$10,2,0),IF(J192=4,VLOOKUP(K192+4,TPMatrix!$D$6:$E$9,2,0),0)),"")</f>
        <v>0</v>
      </c>
      <c r="Q192" s="227">
        <f t="shared" ca="1" si="64"/>
        <v>0</v>
      </c>
      <c r="R192" s="228">
        <f t="shared" ca="1" si="65"/>
        <v>5</v>
      </c>
      <c r="S192" s="229">
        <f t="shared" ca="1" si="66"/>
        <v>0</v>
      </c>
      <c r="T192" s="230">
        <f t="shared" si="67"/>
        <v>0</v>
      </c>
      <c r="U192" s="231">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2.95" customHeight="1" x14ac:dyDescent="0.2">
      <c r="A193" s="111" t="str">
        <f ca="1">IF(ISBLANK('Tournament Info'!$B$11),"",INDIRECT(ADDRESS(ROW(),1,1,1,"Optimal Seating "&amp;'Tournament Info'!$B$11-1&amp;"R+F")))</f>
        <v/>
      </c>
      <c r="B193" s="117" t="str">
        <f ca="1">IF(ISNUMBER(A193),VLOOKUP(A193,Methuselahs!$A$7:$E$206,2,0),"")</f>
        <v/>
      </c>
      <c r="C193" s="232" t="str">
        <f ca="1">IF(ISNUMBER(A193),VLOOKUP(A193,Methuselahs!$A$7:$E$206,3,0),"")</f>
        <v/>
      </c>
      <c r="D193" s="233" t="str">
        <f t="shared" ca="1" si="60"/>
        <v/>
      </c>
      <c r="E193" s="234"/>
      <c r="F193" s="232">
        <f t="shared" si="61"/>
        <v>0</v>
      </c>
      <c r="G193" s="235" t="str">
        <f t="shared" ca="1" si="62"/>
        <v/>
      </c>
      <c r="H193" s="236" t="str">
        <f ca="1">IF(ISNUMBER(A193),IF(OR($S193=$U193,NOT(ISNA(MATCH($D193*5+$V$4,Override!$C$6:$C$125,0)))),$Q193,0),"")</f>
        <v/>
      </c>
      <c r="I193" s="233" t="str">
        <f t="shared" ca="1" si="63"/>
        <v/>
      </c>
      <c r="J193" s="237">
        <f ca="1">COUNT(A192:A196)</f>
        <v>0</v>
      </c>
      <c r="K193" s="238" t="str">
        <f ca="1">IF(ISNUMBER(A193),RANK(F193,F192:F196),"")</f>
        <v/>
      </c>
      <c r="L193" s="239">
        <f ca="1">IF(J193=5,VLOOKUP(K193,TPMatrix!$A$6:$B$10,2,0),IF(J193=4,VLOOKUP(K193,TPMatrix!$D$6:$E$9,2,0),0))</f>
        <v>0</v>
      </c>
      <c r="M193" s="239">
        <f ca="1">IF(COUNTIF(K192:K196,K193)&gt;=2,IF(J193=5,VLOOKUP(K193+1,TPMatrix!$A$6:$B$10,2,0),IF(J193=4,VLOOKUP(K193+1,TPMatrix!$D$6:$E$9,2,0),0)),"")</f>
        <v>0</v>
      </c>
      <c r="N193" s="239">
        <f ca="1">IF(COUNTIF(K192:K196,K193)&gt;=3,IF(J193=5,VLOOKUP(K193+2,TPMatrix!$A$6:$B$10,2,0),IF(J193=4,VLOOKUP(K193+2,TPMatrix!$D$6:$E$9,2,0),0)),"")</f>
        <v>0</v>
      </c>
      <c r="O193" s="239">
        <f ca="1">IF(COUNTIF(K192:K196,K193)&gt;=4,IF(J193=5,VLOOKUP(K193+3,TPMatrix!$A$6:$B$10,2,0),IF(J193=4,VLOOKUP(K193+3,TPMatrix!$D$6:$E$9,2,0),0)),"")</f>
        <v>0</v>
      </c>
      <c r="P193" s="239">
        <f ca="1">IF(COUNTIF(K192:K196,K193)&gt;=5,IF(J193=5,VLOOKUP(K193+4,TPMatrix!$A$6:$B$10,2,0),IF(J193=4,VLOOKUP(K193+4,TPMatrix!$D$6:$E$9,2,0),0)),"")</f>
        <v>0</v>
      </c>
      <c r="Q193" s="239">
        <f t="shared" ca="1" si="64"/>
        <v>0</v>
      </c>
      <c r="R193" s="240">
        <f t="shared" ca="1" si="65"/>
        <v>5</v>
      </c>
      <c r="S193" s="238">
        <f t="shared" ca="1" si="66"/>
        <v>0</v>
      </c>
      <c r="T193" s="239">
        <f t="shared" si="67"/>
        <v>0</v>
      </c>
      <c r="U193" s="240">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2.95" customHeight="1" x14ac:dyDescent="0.2">
      <c r="A194" s="137" t="str">
        <f ca="1">IF(ISBLANK('Tournament Info'!$B$11),"",INDIRECT(ADDRESS(ROW(),1,1,1,"Optimal Seating "&amp;'Tournament Info'!$B$11-1&amp;"R+F")))</f>
        <v/>
      </c>
      <c r="B194" s="143" t="str">
        <f ca="1">IF(ISNUMBER(A194),VLOOKUP(A194,Methuselahs!$A$7:$E$206,2,0),"")</f>
        <v/>
      </c>
      <c r="C194" s="241" t="str">
        <f ca="1">IF(ISNUMBER(A194),VLOOKUP(A194,Methuselahs!$A$7:$E$206,3,0),"")</f>
        <v/>
      </c>
      <c r="D194" s="242" t="str">
        <f t="shared" ca="1" si="60"/>
        <v/>
      </c>
      <c r="E194" s="243"/>
      <c r="F194" s="241">
        <f t="shared" si="61"/>
        <v>0</v>
      </c>
      <c r="G194" s="244" t="str">
        <f t="shared" ca="1" si="62"/>
        <v/>
      </c>
      <c r="H194" s="245" t="str">
        <f ca="1">IF(ISNUMBER(A194),IF(OR($S194=$U194,NOT(ISNA(MATCH($D194*5+$V$4,Override!$C$6:$C$125,0)))),$Q194,0),"")</f>
        <v/>
      </c>
      <c r="I194" s="242" t="str">
        <f t="shared" ca="1" si="63"/>
        <v/>
      </c>
      <c r="J194" s="246">
        <f ca="1">COUNT(A192:A196)</f>
        <v>0</v>
      </c>
      <c r="K194" s="247" t="str">
        <f ca="1">IF(ISNUMBER(A194),RANK(F194,F192:F196),"")</f>
        <v/>
      </c>
      <c r="L194" s="142">
        <f ca="1">IF(J194=5,VLOOKUP(K194,TPMatrix!$A$6:$B$10,2,0),IF(J194=4,VLOOKUP(K194,TPMatrix!$D$6:$E$9,2,0),0))</f>
        <v>0</v>
      </c>
      <c r="M194" s="142">
        <f ca="1">IF(COUNTIF(K192:K196,K194)&gt;=2,IF(J194=5,VLOOKUP(K194+1,TPMatrix!$A$6:$B$10,2,0),IF(J194=4,VLOOKUP(K194+1,TPMatrix!$D$6:$E$9,2,0),0)),"")</f>
        <v>0</v>
      </c>
      <c r="N194" s="142">
        <f ca="1">IF(COUNTIF(K192:K196,K194)&gt;=3,IF(J194=5,VLOOKUP(K194+2,TPMatrix!$A$6:$B$10,2,0),IF(J194=4,VLOOKUP(K194+2,TPMatrix!$D$6:$E$9,2,0),0)),"")</f>
        <v>0</v>
      </c>
      <c r="O194" s="142">
        <f ca="1">IF(COUNTIF(K192:K196,K194)&gt;=4,IF(J194=5,VLOOKUP(K194+3,TPMatrix!$A$6:$B$10,2,0),IF(J194=4,VLOOKUP(K194+3,TPMatrix!$D$6:$E$9,2,0),0)),"")</f>
        <v>0</v>
      </c>
      <c r="P194" s="142">
        <f ca="1">IF(COUNTIF(K192:K196,K194)&gt;=5,IF(J194=5,VLOOKUP(K194+4,TPMatrix!$A$6:$B$10,2,0),IF(J194=4,VLOOKUP(K194+4,TPMatrix!$D$6:$E$9,2,0),0)),"")</f>
        <v>0</v>
      </c>
      <c r="Q194" s="142">
        <f t="shared" ca="1" si="64"/>
        <v>0</v>
      </c>
      <c r="R194" s="248">
        <f t="shared" ca="1" si="65"/>
        <v>5</v>
      </c>
      <c r="S194" s="247">
        <f t="shared" ca="1" si="66"/>
        <v>0</v>
      </c>
      <c r="T194" s="142">
        <f t="shared" si="67"/>
        <v>0</v>
      </c>
      <c r="U194" s="248">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2.95" customHeight="1" x14ac:dyDescent="0.2">
      <c r="A195" s="249" t="str">
        <f ca="1">IF(ISBLANK('Tournament Info'!$B$11),"",INDIRECT(ADDRESS(ROW(),1,1,1,"Optimal Seating "&amp;'Tournament Info'!$B$11-1&amp;"R+F")))</f>
        <v/>
      </c>
      <c r="B195" s="250" t="str">
        <f ca="1">IF(ISNUMBER(A195),VLOOKUP(A195,Methuselahs!$A$7:$E$206,2,0),"")</f>
        <v/>
      </c>
      <c r="C195" s="251" t="str">
        <f ca="1">IF(ISNUMBER(A195),VLOOKUP(A195,Methuselahs!$A$7:$E$206,3,0),"")</f>
        <v/>
      </c>
      <c r="D195" s="252" t="str">
        <f t="shared" ca="1" si="60"/>
        <v/>
      </c>
      <c r="E195" s="253"/>
      <c r="F195" s="251">
        <f t="shared" si="61"/>
        <v>0</v>
      </c>
      <c r="G195" s="235" t="str">
        <f t="shared" ca="1" si="62"/>
        <v/>
      </c>
      <c r="H195" s="236" t="str">
        <f ca="1">IF(ISNUMBER(A195),IF(OR($S195=$U195,NOT(ISNA(MATCH($D195*5+$V$4,Override!$C$6:$C$125,0)))),$Q195,0),"")</f>
        <v/>
      </c>
      <c r="I195" s="252" t="str">
        <f t="shared" ca="1" si="63"/>
        <v/>
      </c>
      <c r="J195" s="254">
        <f ca="1">COUNT(A192:A196)</f>
        <v>0</v>
      </c>
      <c r="K195" s="238" t="str">
        <f ca="1">IF(ISNUMBER(A195),RANK(F195,F192:F196),"")</f>
        <v/>
      </c>
      <c r="L195" s="239">
        <f ca="1">IF(J195=5,VLOOKUP(K195,TPMatrix!$A$6:$B$10,2,0),IF(J195=4,VLOOKUP(K195,TPMatrix!$D$6:$E$9,2,0),0))</f>
        <v>0</v>
      </c>
      <c r="M195" s="239">
        <f ca="1">IF(COUNTIF(K192:K196,K195)&gt;=2,IF(J195=5,VLOOKUP(K195+1,TPMatrix!$A$6:$B$10,2,0),IF(J195=4,VLOOKUP(K195+1,TPMatrix!$D$6:$E$9,2,0),0)),"")</f>
        <v>0</v>
      </c>
      <c r="N195" s="239">
        <f ca="1">IF(COUNTIF(K192:K196,K195)&gt;=3,IF(J195=5,VLOOKUP(K195+2,TPMatrix!$A$6:$B$10,2,0),IF(J195=4,VLOOKUP(K195+2,TPMatrix!$D$6:$E$9,2,0),0)),"")</f>
        <v>0</v>
      </c>
      <c r="O195" s="239">
        <f ca="1">IF(COUNTIF(K192:K196,K195)&gt;=4,IF(J195=5,VLOOKUP(K195+3,TPMatrix!$A$6:$B$10,2,0),IF(J195=4,VLOOKUP(K195+3,TPMatrix!$D$6:$E$9,2,0),0)),"")</f>
        <v>0</v>
      </c>
      <c r="P195" s="239">
        <f ca="1">IF(COUNTIF(K192:K196,K195)&gt;=5,IF(J195=5,VLOOKUP(K195+4,TPMatrix!$A$6:$B$10,2,0),IF(J195=4,VLOOKUP(K195+4,TPMatrix!$D$6:$E$9,2,0),0)),"")</f>
        <v>0</v>
      </c>
      <c r="Q195" s="239">
        <f t="shared" ca="1" si="64"/>
        <v>0</v>
      </c>
      <c r="R195" s="240">
        <f t="shared" ca="1" si="65"/>
        <v>5</v>
      </c>
      <c r="S195" s="238">
        <f t="shared" ca="1" si="66"/>
        <v>0</v>
      </c>
      <c r="T195" s="239">
        <f t="shared" si="67"/>
        <v>0</v>
      </c>
      <c r="U195" s="240">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2.95" customHeight="1" x14ac:dyDescent="0.2">
      <c r="A196" s="255" t="str">
        <f ca="1">IF(ISBLANK('Tournament Info'!$B$11),"",INDIRECT(ADDRESS(ROW(),1,1,1,"Optimal Seating "&amp;'Tournament Info'!$B$11-1&amp;"R+F")))</f>
        <v/>
      </c>
      <c r="B196" s="256" t="str">
        <f ca="1">IF(ISNUMBER(A196),VLOOKUP(A196,Methuselahs!$A$7:$E$206,2,0),"")</f>
        <v/>
      </c>
      <c r="C196" s="257" t="str">
        <f ca="1">IF(ISNUMBER(A196),VLOOKUP(A196,Methuselahs!$A$7:$E$206,3,0),"")</f>
        <v/>
      </c>
      <c r="D196" s="258" t="str">
        <f t="shared" ca="1" si="60"/>
        <v/>
      </c>
      <c r="E196" s="259"/>
      <c r="F196" s="257">
        <f t="shared" si="61"/>
        <v>0</v>
      </c>
      <c r="G196" s="244" t="str">
        <f t="shared" ca="1" si="62"/>
        <v/>
      </c>
      <c r="H196" s="245" t="str">
        <f ca="1">IF(ISNUMBER(A196),IF(OR($S196=$U196,NOT(ISNA(MATCH($D196*5+$V$4,Override!$C$6:$C$125,0)))),$Q196,0),"")</f>
        <v/>
      </c>
      <c r="I196" s="258" t="str">
        <f t="shared" ca="1" si="63"/>
        <v/>
      </c>
      <c r="J196" s="260">
        <f ca="1">COUNT(A192:A196)</f>
        <v>0</v>
      </c>
      <c r="K196" s="261" t="str">
        <f ca="1">IF(ISNUMBER(A196),RANK(F196,F192:F196),"")</f>
        <v/>
      </c>
      <c r="L196" s="262">
        <f ca="1">IF(J196=5,VLOOKUP(K196,TPMatrix!$A$6:$B$10,2,0),IF(J196=4,VLOOKUP(K196,TPMatrix!$D$6:$E$9,2,0),0))</f>
        <v>0</v>
      </c>
      <c r="M196" s="262">
        <f ca="1">IF(COUNTIF(K192:K196,K196)&gt;=2,IF(J196=5,VLOOKUP(K196+1,TPMatrix!$A$6:$B$10,2,0),IF(J196=4,VLOOKUP(K196+1,TPMatrix!$D$6:$E$9,2,0),0)),"")</f>
        <v>0</v>
      </c>
      <c r="N196" s="262">
        <f ca="1">IF(COUNTIF(K192:K196,K196)&gt;=3,IF(J196=5,VLOOKUP(K196+2,TPMatrix!$A$6:$B$10,2,0),IF(J196=4,VLOOKUP(K196+2,TPMatrix!$D$6:$E$9,2,0),0)),"")</f>
        <v>0</v>
      </c>
      <c r="O196" s="262">
        <f ca="1">IF(COUNTIF(K192:K196,K196)&gt;=4,IF(J196=5,VLOOKUP(K196+3,TPMatrix!$A$6:$B$10,2,0),IF(J196=4,VLOOKUP(K196+3,TPMatrix!$D$6:$E$9,2,0),0)),"")</f>
        <v>0</v>
      </c>
      <c r="P196" s="262">
        <f ca="1">IF(COUNTIF(K192:K196,K196)&gt;=5,IF(J196=5,VLOOKUP(K196+4,TPMatrix!$A$6:$B$10,2,0),IF(J196=4,VLOOKUP(K196+4,TPMatrix!$D$6:$E$9,2,0),0)),"")</f>
        <v>0</v>
      </c>
      <c r="Q196" s="262">
        <f t="shared" ca="1" si="64"/>
        <v>0</v>
      </c>
      <c r="R196" s="263">
        <f t="shared" ca="1" si="65"/>
        <v>5</v>
      </c>
      <c r="S196" s="261">
        <f t="shared" ca="1" si="66"/>
        <v>0</v>
      </c>
      <c r="T196" s="262">
        <f t="shared" si="67"/>
        <v>0</v>
      </c>
      <c r="U196" s="263">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2.95" customHeight="1" x14ac:dyDescent="0.2">
      <c r="A197" s="219" t="str">
        <f ca="1">IF(ISBLANK('Tournament Info'!$B$11),"",INDIRECT(ADDRESS(ROW(),1,1,1,"Optimal Seating "&amp;'Tournament Info'!$B$11-1&amp;"R+F")))</f>
        <v/>
      </c>
      <c r="B197" s="143" t="str">
        <f ca="1">IF(ISNUMBER(A197),VLOOKUP(A197,Methuselahs!$A$7:$E$206,2,0),"")</f>
        <v/>
      </c>
      <c r="C197" s="220" t="str">
        <f ca="1">IF(ISNUMBER(A197),VLOOKUP(A197,Methuselahs!$A$7:$E$206,3,0),"")</f>
        <v/>
      </c>
      <c r="D197" s="221" t="str">
        <f t="shared" ca="1" si="60"/>
        <v/>
      </c>
      <c r="E197" s="222"/>
      <c r="F197" s="220">
        <f t="shared" si="61"/>
        <v>0</v>
      </c>
      <c r="G197" s="223" t="str">
        <f t="shared" ca="1" si="62"/>
        <v/>
      </c>
      <c r="H197" s="224" t="str">
        <f ca="1">IF(ISNUMBER(A197),IF(OR($S197=$U197,NOT(ISNA(MATCH($D197*5+$V$4,Override!$C$6:$C$125,0)))),$Q197,0),"")</f>
        <v/>
      </c>
      <c r="I197" s="221" t="str">
        <f t="shared" ca="1" si="63"/>
        <v/>
      </c>
      <c r="J197" s="225">
        <f ca="1">COUNT(A197:A201)</f>
        <v>0</v>
      </c>
      <c r="K197" s="226" t="str">
        <f ca="1">IF(ISNUMBER(A197),RANK(F197,F197:F201),"")</f>
        <v/>
      </c>
      <c r="L197" s="227">
        <f ca="1">IF(J197=5,VLOOKUP(K197,TPMatrix!$A$6:$B$10,2,0),IF(J197=4,VLOOKUP(K197,TPMatrix!$D$6:$E$9,2,0),0))</f>
        <v>0</v>
      </c>
      <c r="M197" s="227">
        <f ca="1">IF(COUNTIF(K197:K201,K197)&gt;=2,IF(J197=5,VLOOKUP(K197+1,TPMatrix!$A$6:$B$10,2,0),IF(J197=4,VLOOKUP(K197+1,TPMatrix!$D$6:$E$9,2,0),0)),"")</f>
        <v>0</v>
      </c>
      <c r="N197" s="227">
        <f ca="1">IF(COUNTIF(K197:K201,K197)&gt;=3,IF(J197=5,VLOOKUP(K197+2,TPMatrix!$A$6:$B$10,2,0),IF(J197=4,VLOOKUP(K197+2,TPMatrix!$D$6:$E$9,2,0),0)),"")</f>
        <v>0</v>
      </c>
      <c r="O197" s="227">
        <f ca="1">IF(COUNTIF(K197:K201,K197)&gt;=4,IF(J197=5,VLOOKUP(K197+3,TPMatrix!$A$6:$B$10,2,0),IF(J197=4,VLOOKUP(K197+3,TPMatrix!$D$6:$E$9,2,0),0)),"")</f>
        <v>0</v>
      </c>
      <c r="P197" s="227">
        <f ca="1">IF(COUNTIF(K197:K201,K197)&gt;=5,IF(J197=5,VLOOKUP(K197+4,TPMatrix!$A$6:$B$10,2,0),IF(J197=4,VLOOKUP(K197+4,TPMatrix!$D$6:$E$9,2,0),0)),"")</f>
        <v>0</v>
      </c>
      <c r="Q197" s="227">
        <f t="shared" ca="1" si="64"/>
        <v>0</v>
      </c>
      <c r="R197" s="228">
        <f t="shared" ca="1" si="65"/>
        <v>5</v>
      </c>
      <c r="S197" s="229">
        <f t="shared" ca="1" si="66"/>
        <v>0</v>
      </c>
      <c r="T197" s="230">
        <f t="shared" si="67"/>
        <v>0</v>
      </c>
      <c r="U197" s="231">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2.95" customHeight="1" x14ac:dyDescent="0.2">
      <c r="A198" s="111" t="str">
        <f ca="1">IF(ISBLANK('Tournament Info'!$B$11),"",INDIRECT(ADDRESS(ROW(),1,1,1,"Optimal Seating "&amp;'Tournament Info'!$B$11-1&amp;"R+F")))</f>
        <v/>
      </c>
      <c r="B198" s="117" t="str">
        <f ca="1">IF(ISNUMBER(A198),VLOOKUP(A198,Methuselahs!$A$7:$E$206,2,0),"")</f>
        <v/>
      </c>
      <c r="C198" s="232" t="str">
        <f ca="1">IF(ISNUMBER(A198),VLOOKUP(A198,Methuselahs!$A$7:$E$206,3,0),"")</f>
        <v/>
      </c>
      <c r="D198" s="233" t="str">
        <f t="shared" ca="1" si="60"/>
        <v/>
      </c>
      <c r="E198" s="234"/>
      <c r="F198" s="232">
        <f t="shared" si="61"/>
        <v>0</v>
      </c>
      <c r="G198" s="235" t="str">
        <f t="shared" ca="1" si="62"/>
        <v/>
      </c>
      <c r="H198" s="236" t="str">
        <f ca="1">IF(ISNUMBER(A198),IF(OR($S198=$U198,NOT(ISNA(MATCH($D198*5+$V$4,Override!$C$6:$C$125,0)))),$Q198,0),"")</f>
        <v/>
      </c>
      <c r="I198" s="233" t="str">
        <f t="shared" ca="1" si="63"/>
        <v/>
      </c>
      <c r="J198" s="237">
        <f ca="1">COUNT(A197:A201)</f>
        <v>0</v>
      </c>
      <c r="K198" s="238" t="str">
        <f ca="1">IF(ISNUMBER(A198),RANK(F198,F197:F201),"")</f>
        <v/>
      </c>
      <c r="L198" s="239">
        <f ca="1">IF(J198=5,VLOOKUP(K198,TPMatrix!$A$6:$B$10,2,0),IF(J198=4,VLOOKUP(K198,TPMatrix!$D$6:$E$9,2,0),0))</f>
        <v>0</v>
      </c>
      <c r="M198" s="239">
        <f ca="1">IF(COUNTIF(K197:K201,K198)&gt;=2,IF(J198=5,VLOOKUP(K198+1,TPMatrix!$A$6:$B$10,2,0),IF(J198=4,VLOOKUP(K198+1,TPMatrix!$D$6:$E$9,2,0),0)),"")</f>
        <v>0</v>
      </c>
      <c r="N198" s="239">
        <f ca="1">IF(COUNTIF(K197:K201,K198)&gt;=3,IF(J198=5,VLOOKUP(K198+2,TPMatrix!$A$6:$B$10,2,0),IF(J198=4,VLOOKUP(K198+2,TPMatrix!$D$6:$E$9,2,0),0)),"")</f>
        <v>0</v>
      </c>
      <c r="O198" s="239">
        <f ca="1">IF(COUNTIF(K197:K201,K198)&gt;=4,IF(J198=5,VLOOKUP(K198+3,TPMatrix!$A$6:$B$10,2,0),IF(J198=4,VLOOKUP(K198+3,TPMatrix!$D$6:$E$9,2,0),0)),"")</f>
        <v>0</v>
      </c>
      <c r="P198" s="239">
        <f ca="1">IF(COUNTIF(K197:K201,K198)&gt;=5,IF(J198=5,VLOOKUP(K198+4,TPMatrix!$A$6:$B$10,2,0),IF(J198=4,VLOOKUP(K198+4,TPMatrix!$D$6:$E$9,2,0),0)),"")</f>
        <v>0</v>
      </c>
      <c r="Q198" s="239">
        <f t="shared" ca="1" si="64"/>
        <v>0</v>
      </c>
      <c r="R198" s="240">
        <f t="shared" ca="1" si="65"/>
        <v>5</v>
      </c>
      <c r="S198" s="238">
        <f t="shared" ca="1" si="66"/>
        <v>0</v>
      </c>
      <c r="T198" s="239">
        <f t="shared" si="67"/>
        <v>0</v>
      </c>
      <c r="U198" s="240">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2.95" customHeight="1" x14ac:dyDescent="0.2">
      <c r="A199" s="137" t="str">
        <f ca="1">IF(ISBLANK('Tournament Info'!$B$11),"",INDIRECT(ADDRESS(ROW(),1,1,1,"Optimal Seating "&amp;'Tournament Info'!$B$11-1&amp;"R+F")))</f>
        <v/>
      </c>
      <c r="B199" s="143" t="str">
        <f ca="1">IF(ISNUMBER(A199),VLOOKUP(A199,Methuselahs!$A$7:$E$206,2,0),"")</f>
        <v/>
      </c>
      <c r="C199" s="241" t="str">
        <f ca="1">IF(ISNUMBER(A199),VLOOKUP(A199,Methuselahs!$A$7:$E$206,3,0),"")</f>
        <v/>
      </c>
      <c r="D199" s="242" t="str">
        <f t="shared" ref="D199:D206" ca="1" si="72">IF(ISNUMBER(A199),FLOOR((ROW()-ROW($A$7))/5,1)+1,"")</f>
        <v/>
      </c>
      <c r="E199" s="243"/>
      <c r="F199" s="241">
        <f t="shared" ref="F199:F206" si="73">IF(ISNUMBER(E199),E199,0)</f>
        <v>0</v>
      </c>
      <c r="G199" s="244" t="str">
        <f t="shared" ref="G199:G206" ca="1" si="74">IF(ISNUMBER($A199),IF(AND($F199&gt;=2,$H199=60),1,0),"")</f>
        <v/>
      </c>
      <c r="H199" s="245" t="str">
        <f ca="1">IF(ISNUMBER(A199),IF(OR($S199=$U199,NOT(ISNA(MATCH($D199*5+$V$4,Override!$C$6:$C$125,0)))),$Q199,0),"")</f>
        <v/>
      </c>
      <c r="I199" s="242" t="str">
        <f t="shared" ref="I199:I206" ca="1" si="75">IF(ISNUMBER(A199),IF(J199=5,K199,IF(AND(J199=4,OR(K199=4,K199=3)),K199+1,K199)),"")</f>
        <v/>
      </c>
      <c r="J199" s="246">
        <f ca="1">COUNT(A197:A201)</f>
        <v>0</v>
      </c>
      <c r="K199" s="247" t="str">
        <f ca="1">IF(ISNUMBER(A199),RANK(F199,F197:F201),"")</f>
        <v/>
      </c>
      <c r="L199" s="142">
        <f ca="1">IF(J199=5,VLOOKUP(K199,TPMatrix!$A$6:$B$10,2,0),IF(J199=4,VLOOKUP(K199,TPMatrix!$D$6:$E$9,2,0),0))</f>
        <v>0</v>
      </c>
      <c r="M199" s="142">
        <f ca="1">IF(COUNTIF(K197:K201,K199)&gt;=2,IF(J199=5,VLOOKUP(K199+1,TPMatrix!$A$6:$B$10,2,0),IF(J199=4,VLOOKUP(K199+1,TPMatrix!$D$6:$E$9,2,0),0)),"")</f>
        <v>0</v>
      </c>
      <c r="N199" s="142">
        <f ca="1">IF(COUNTIF(K197:K201,K199)&gt;=3,IF(J199=5,VLOOKUP(K199+2,TPMatrix!$A$6:$B$10,2,0),IF(J199=4,VLOOKUP(K199+2,TPMatrix!$D$6:$E$9,2,0),0)),"")</f>
        <v>0</v>
      </c>
      <c r="O199" s="142">
        <f ca="1">IF(COUNTIF(K197:K201,K199)&gt;=4,IF(J199=5,VLOOKUP(K199+3,TPMatrix!$A$6:$B$10,2,0),IF(J199=4,VLOOKUP(K199+3,TPMatrix!$D$6:$E$9,2,0),0)),"")</f>
        <v>0</v>
      </c>
      <c r="P199" s="142">
        <f ca="1">IF(COUNTIF(K197:K201,K199)&gt;=5,IF(J199=5,VLOOKUP(K199+4,TPMatrix!$A$6:$B$10,2,0),IF(J199=4,VLOOKUP(K199+4,TPMatrix!$D$6:$E$9,2,0),0)),"")</f>
        <v>0</v>
      </c>
      <c r="Q199" s="142">
        <f t="shared" ref="Q199:Q206" ca="1" si="76">SUM(L199:P199)/COUNT(L199:P199)</f>
        <v>0</v>
      </c>
      <c r="R199" s="248">
        <f t="shared" ref="R199:R206" ca="1" si="77">COUNT(L199:P199)</f>
        <v>5</v>
      </c>
      <c r="S199" s="247">
        <f t="shared" ref="S199:S206" ca="1" si="78">IF(ISNUMBER($A199),COUNTIF($D$7:$D$206,$D199),0)</f>
        <v>0</v>
      </c>
      <c r="T199" s="142">
        <f t="shared" ref="T199:T206" si="79">CEILING($F199,1)</f>
        <v>0</v>
      </c>
      <c r="U199" s="248">
        <f t="shared" ref="U199:U206" ca="1" si="80">SUM(OFFSET(T199,-MOD(ROW()-ROW($U$7),5),0,5,1))</f>
        <v>0</v>
      </c>
      <c r="W199" s="36" t="str">
        <f t="shared" ref="W199:W206" ca="1" si="81">$I199</f>
        <v/>
      </c>
      <c r="X199" s="36" t="str">
        <f ca="1">IF(ISNUMBER($A199),$W199*(Methuselahs!$A$4+1)+$A199,"")</f>
        <v/>
      </c>
      <c r="Y199" s="36" t="str">
        <f t="shared" ref="Y199:Y206" ca="1" si="82">IF(ISNUMBER($A199),RANK($X199,$X199:$X203,1),"")</f>
        <v/>
      </c>
      <c r="Z199" s="36" t="str">
        <f ca="1">IF(ISNUMBER($A199),VLOOKUP($A199,Methuselahs!$A$7:$X$206,5),"")</f>
        <v/>
      </c>
      <c r="AA199" s="36" t="str">
        <f t="shared" ref="AA199:AA206" ca="1" si="83">$I199</f>
        <v/>
      </c>
    </row>
    <row r="200" spans="1:27" ht="12.95" customHeight="1" x14ac:dyDescent="0.2">
      <c r="A200" s="249" t="str">
        <f ca="1">IF(ISBLANK('Tournament Info'!$B$11),"",INDIRECT(ADDRESS(ROW(),1,1,1,"Optimal Seating "&amp;'Tournament Info'!$B$11-1&amp;"R+F")))</f>
        <v/>
      </c>
      <c r="B200" s="250" t="str">
        <f ca="1">IF(ISNUMBER(A200),VLOOKUP(A200,Methuselahs!$A$7:$E$206,2,0),"")</f>
        <v/>
      </c>
      <c r="C200" s="251" t="str">
        <f ca="1">IF(ISNUMBER(A200),VLOOKUP(A200,Methuselahs!$A$7:$E$206,3,0),"")</f>
        <v/>
      </c>
      <c r="D200" s="252" t="str">
        <f t="shared" ca="1" si="72"/>
        <v/>
      </c>
      <c r="E200" s="253"/>
      <c r="F200" s="251">
        <f t="shared" si="73"/>
        <v>0</v>
      </c>
      <c r="G200" s="235" t="str">
        <f t="shared" ca="1" si="74"/>
        <v/>
      </c>
      <c r="H200" s="236" t="str">
        <f ca="1">IF(ISNUMBER(A200),IF(OR($S200=$U200,NOT(ISNA(MATCH($D200*5+$V$4,Override!$C$6:$C$125,0)))),$Q200,0),"")</f>
        <v/>
      </c>
      <c r="I200" s="252" t="str">
        <f t="shared" ca="1" si="75"/>
        <v/>
      </c>
      <c r="J200" s="254">
        <f ca="1">COUNT(A197:A201)</f>
        <v>0</v>
      </c>
      <c r="K200" s="238" t="str">
        <f ca="1">IF(ISNUMBER(A200),RANK(F200,F197:F201),"")</f>
        <v/>
      </c>
      <c r="L200" s="239">
        <f ca="1">IF(J200=5,VLOOKUP(K200,TPMatrix!$A$6:$B$10,2,0),IF(J200=4,VLOOKUP(K200,TPMatrix!$D$6:$E$9,2,0),0))</f>
        <v>0</v>
      </c>
      <c r="M200" s="239">
        <f ca="1">IF(COUNTIF(K197:K201,K200)&gt;=2,IF(J200=5,VLOOKUP(K200+1,TPMatrix!$A$6:$B$10,2,0),IF(J200=4,VLOOKUP(K200+1,TPMatrix!$D$6:$E$9,2,0),0)),"")</f>
        <v>0</v>
      </c>
      <c r="N200" s="239">
        <f ca="1">IF(COUNTIF(K197:K201,K200)&gt;=3,IF(J200=5,VLOOKUP(K200+2,TPMatrix!$A$6:$B$10,2,0),IF(J200=4,VLOOKUP(K200+2,TPMatrix!$D$6:$E$9,2,0),0)),"")</f>
        <v>0</v>
      </c>
      <c r="O200" s="239">
        <f ca="1">IF(COUNTIF(K197:K201,K200)&gt;=4,IF(J200=5,VLOOKUP(K200+3,TPMatrix!$A$6:$B$10,2,0),IF(J200=4,VLOOKUP(K200+3,TPMatrix!$D$6:$E$9,2,0),0)),"")</f>
        <v>0</v>
      </c>
      <c r="P200" s="239">
        <f ca="1">IF(COUNTIF(K197:K201,K200)&gt;=5,IF(J200=5,VLOOKUP(K200+4,TPMatrix!$A$6:$B$10,2,0),IF(J200=4,VLOOKUP(K200+4,TPMatrix!$D$6:$E$9,2,0),0)),"")</f>
        <v>0</v>
      </c>
      <c r="Q200" s="239">
        <f t="shared" ca="1" si="76"/>
        <v>0</v>
      </c>
      <c r="R200" s="240">
        <f t="shared" ca="1" si="77"/>
        <v>5</v>
      </c>
      <c r="S200" s="238">
        <f t="shared" ca="1" si="78"/>
        <v>0</v>
      </c>
      <c r="T200" s="239">
        <f t="shared" si="79"/>
        <v>0</v>
      </c>
      <c r="U200" s="240">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2.95" customHeight="1" x14ac:dyDescent="0.2">
      <c r="A201" s="255" t="str">
        <f ca="1">IF(ISBLANK('Tournament Info'!$B$11),"",INDIRECT(ADDRESS(ROW(),1,1,1,"Optimal Seating "&amp;'Tournament Info'!$B$11-1&amp;"R+F")))</f>
        <v/>
      </c>
      <c r="B201" s="256" t="str">
        <f ca="1">IF(ISNUMBER(A201),VLOOKUP(A201,Methuselahs!$A$7:$E$206,2,0),"")</f>
        <v/>
      </c>
      <c r="C201" s="257" t="str">
        <f ca="1">IF(ISNUMBER(A201),VLOOKUP(A201,Methuselahs!$A$7:$E$206,3,0),"")</f>
        <v/>
      </c>
      <c r="D201" s="258" t="str">
        <f t="shared" ca="1" si="72"/>
        <v/>
      </c>
      <c r="E201" s="259"/>
      <c r="F201" s="257">
        <f t="shared" si="73"/>
        <v>0</v>
      </c>
      <c r="G201" s="244" t="str">
        <f t="shared" ca="1" si="74"/>
        <v/>
      </c>
      <c r="H201" s="245" t="str">
        <f ca="1">IF(ISNUMBER(A201),IF(OR($S201=$U201,NOT(ISNA(MATCH($D201*5+$V$4,Override!$C$6:$C$125,0)))),$Q201,0),"")</f>
        <v/>
      </c>
      <c r="I201" s="258" t="str">
        <f t="shared" ca="1" si="75"/>
        <v/>
      </c>
      <c r="J201" s="260">
        <f ca="1">COUNT(A197:A201)</f>
        <v>0</v>
      </c>
      <c r="K201" s="261" t="str">
        <f ca="1">IF(ISNUMBER(A201),RANK(F201,F197:F201),"")</f>
        <v/>
      </c>
      <c r="L201" s="262">
        <f ca="1">IF(J201=5,VLOOKUP(K201,TPMatrix!$A$6:$B$10,2,0),IF(J201=4,VLOOKUP(K201,TPMatrix!$D$6:$E$9,2,0),0))</f>
        <v>0</v>
      </c>
      <c r="M201" s="262">
        <f ca="1">IF(COUNTIF(K197:K201,K201)&gt;=2,IF(J201=5,VLOOKUP(K201+1,TPMatrix!$A$6:$B$10,2,0),IF(J201=4,VLOOKUP(K201+1,TPMatrix!$D$6:$E$9,2,0),0)),"")</f>
        <v>0</v>
      </c>
      <c r="N201" s="262">
        <f ca="1">IF(COUNTIF(K197:K201,K201)&gt;=3,IF(J201=5,VLOOKUP(K201+2,TPMatrix!$A$6:$B$10,2,0),IF(J201=4,VLOOKUP(K201+2,TPMatrix!$D$6:$E$9,2,0),0)),"")</f>
        <v>0</v>
      </c>
      <c r="O201" s="262">
        <f ca="1">IF(COUNTIF(K197:K201,K201)&gt;=4,IF(J201=5,VLOOKUP(K201+3,TPMatrix!$A$6:$B$10,2,0),IF(J201=4,VLOOKUP(K201+3,TPMatrix!$D$6:$E$9,2,0),0)),"")</f>
        <v>0</v>
      </c>
      <c r="P201" s="262">
        <f ca="1">IF(COUNTIF(K197:K201,K201)&gt;=5,IF(J201=5,VLOOKUP(K201+4,TPMatrix!$A$6:$B$10,2,0),IF(J201=4,VLOOKUP(K201+4,TPMatrix!$D$6:$E$9,2,0),0)),"")</f>
        <v>0</v>
      </c>
      <c r="Q201" s="262">
        <f t="shared" ca="1" si="76"/>
        <v>0</v>
      </c>
      <c r="R201" s="263">
        <f t="shared" ca="1" si="77"/>
        <v>5</v>
      </c>
      <c r="S201" s="261">
        <f t="shared" ca="1" si="78"/>
        <v>0</v>
      </c>
      <c r="T201" s="262">
        <f t="shared" si="79"/>
        <v>0</v>
      </c>
      <c r="U201" s="263">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2.95" customHeight="1" x14ac:dyDescent="0.2">
      <c r="A202" s="219" t="str">
        <f ca="1">IF(ISBLANK('Tournament Info'!$B$11),"",INDIRECT(ADDRESS(ROW(),1,1,1,"Optimal Seating "&amp;'Tournament Info'!$B$11-1&amp;"R+F")))</f>
        <v/>
      </c>
      <c r="B202" s="264" t="str">
        <f ca="1">IF(ISNUMBER(A202),VLOOKUP(A202,Methuselahs!$A$7:$E$206,2,0),"")</f>
        <v/>
      </c>
      <c r="C202" s="220" t="str">
        <f ca="1">IF(ISNUMBER(A202),VLOOKUP(A202,Methuselahs!$A$7:$E$206,3,0),"")</f>
        <v/>
      </c>
      <c r="D202" s="221" t="str">
        <f t="shared" ca="1" si="72"/>
        <v/>
      </c>
      <c r="E202" s="222"/>
      <c r="F202" s="220">
        <f t="shared" si="73"/>
        <v>0</v>
      </c>
      <c r="G202" s="223" t="str">
        <f t="shared" ca="1" si="74"/>
        <v/>
      </c>
      <c r="H202" s="224" t="str">
        <f ca="1">IF(ISNUMBER(A202),IF(OR($S202=$U202,NOT(ISNA(MATCH($D202*5+$V$4,Override!$C$6:$C$125,0)))),$Q202,0),"")</f>
        <v/>
      </c>
      <c r="I202" s="221" t="str">
        <f t="shared" ca="1" si="75"/>
        <v/>
      </c>
      <c r="J202" s="225">
        <f ca="1">COUNT(A202:A206)</f>
        <v>0</v>
      </c>
      <c r="K202" s="226" t="str">
        <f ca="1">IF(ISNUMBER(A202),RANK(F202,F202:F206),"")</f>
        <v/>
      </c>
      <c r="L202" s="227">
        <f ca="1">IF(J202=5,VLOOKUP(K202,TPMatrix!$A$6:$B$10,2,0),IF(J202=4,VLOOKUP(K202,TPMatrix!$D$6:$E$9,2,0),0))</f>
        <v>0</v>
      </c>
      <c r="M202" s="227">
        <f ca="1">IF(COUNTIF(K202:K206,K202)&gt;=2,IF(J202=5,VLOOKUP(K202+1,TPMatrix!$A$6:$B$10,2,0),IF(J202=4,VLOOKUP(K202+1,TPMatrix!$D$6:$E$9,2,0),0)),"")</f>
        <v>0</v>
      </c>
      <c r="N202" s="227">
        <f ca="1">IF(COUNTIF(K202:K206,K202)&gt;=3,IF(J202=5,VLOOKUP(K202+2,TPMatrix!$A$6:$B$10,2,0),IF(J202=4,VLOOKUP(K202+2,TPMatrix!$D$6:$E$9,2,0),0)),"")</f>
        <v>0</v>
      </c>
      <c r="O202" s="227">
        <f ca="1">IF(COUNTIF(K202:K206,K202)&gt;=4,IF(J202=5,VLOOKUP(K202+3,TPMatrix!$A$6:$B$10,2,0),IF(J202=4,VLOOKUP(K202+3,TPMatrix!$D$6:$E$9,2,0),0)),"")</f>
        <v>0</v>
      </c>
      <c r="P202" s="227">
        <f ca="1">IF(COUNTIF(K202:K206,K202)&gt;=5,IF(J202=5,VLOOKUP(K202+4,TPMatrix!$A$6:$B$10,2,0),IF(J202=4,VLOOKUP(K202+4,TPMatrix!$D$6:$E$9,2,0),0)),"")</f>
        <v>0</v>
      </c>
      <c r="Q202" s="227">
        <f t="shared" ca="1" si="76"/>
        <v>0</v>
      </c>
      <c r="R202" s="228">
        <f t="shared" ca="1" si="77"/>
        <v>5</v>
      </c>
      <c r="S202" s="229">
        <f t="shared" ca="1" si="78"/>
        <v>0</v>
      </c>
      <c r="T202" s="230">
        <f t="shared" si="79"/>
        <v>0</v>
      </c>
      <c r="U202" s="231">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2.95" customHeight="1" x14ac:dyDescent="0.2">
      <c r="A203" s="111" t="str">
        <f ca="1">IF(ISBLANK('Tournament Info'!$B$11),"",INDIRECT(ADDRESS(ROW(),1,1,1,"Optimal Seating "&amp;'Tournament Info'!$B$11-1&amp;"R+F")))</f>
        <v/>
      </c>
      <c r="B203" s="117" t="str">
        <f ca="1">IF(ISNUMBER(A203),VLOOKUP(A203,Methuselahs!$A$7:$E$206,2,0),"")</f>
        <v/>
      </c>
      <c r="C203" s="232" t="str">
        <f ca="1">IF(ISNUMBER(A203),VLOOKUP(A203,Methuselahs!$A$7:$E$206,3,0),"")</f>
        <v/>
      </c>
      <c r="D203" s="233" t="str">
        <f t="shared" ca="1" si="72"/>
        <v/>
      </c>
      <c r="E203" s="234"/>
      <c r="F203" s="232">
        <f t="shared" si="73"/>
        <v>0</v>
      </c>
      <c r="G203" s="235" t="str">
        <f t="shared" ca="1" si="74"/>
        <v/>
      </c>
      <c r="H203" s="236" t="str">
        <f ca="1">IF(ISNUMBER(A203),IF(OR($S203=$U203,NOT(ISNA(MATCH($D203*5+$V$4,Override!$C$6:$C$125,0)))),$Q203,0),"")</f>
        <v/>
      </c>
      <c r="I203" s="233" t="str">
        <f t="shared" ca="1" si="75"/>
        <v/>
      </c>
      <c r="J203" s="237">
        <f ca="1">COUNT(A202:A206)</f>
        <v>0</v>
      </c>
      <c r="K203" s="238" t="str">
        <f ca="1">IF(ISNUMBER(A203),RANK(F203,F202:F206),"")</f>
        <v/>
      </c>
      <c r="L203" s="239">
        <f ca="1">IF(J203=5,VLOOKUP(K203,TPMatrix!$A$6:$B$10,2,0),IF(J203=4,VLOOKUP(K203,TPMatrix!$D$6:$E$9,2,0),0))</f>
        <v>0</v>
      </c>
      <c r="M203" s="239">
        <f ca="1">IF(COUNTIF(K202:K206,K203)&gt;=2,IF(J203=5,VLOOKUP(K203+1,TPMatrix!$A$6:$B$10,2,0),IF(J203=4,VLOOKUP(K203+1,TPMatrix!$D$6:$E$9,2,0),0)),"")</f>
        <v>0</v>
      </c>
      <c r="N203" s="239">
        <f ca="1">IF(COUNTIF(K202:K206,K203)&gt;=3,IF(J203=5,VLOOKUP(K203+2,TPMatrix!$A$6:$B$10,2,0),IF(J203=4,VLOOKUP(K203+2,TPMatrix!$D$6:$E$9,2,0),0)),"")</f>
        <v>0</v>
      </c>
      <c r="O203" s="239">
        <f ca="1">IF(COUNTIF(K202:K206,K203)&gt;=4,IF(J203=5,VLOOKUP(K203+3,TPMatrix!$A$6:$B$10,2,0),IF(J203=4,VLOOKUP(K203+3,TPMatrix!$D$6:$E$9,2,0),0)),"")</f>
        <v>0</v>
      </c>
      <c r="P203" s="239">
        <f ca="1">IF(COUNTIF(K202:K206,K203)&gt;=5,IF(J203=5,VLOOKUP(K203+4,TPMatrix!$A$6:$B$10,2,0),IF(J203=4,VLOOKUP(K203+4,TPMatrix!$D$6:$E$9,2,0),0)),"")</f>
        <v>0</v>
      </c>
      <c r="Q203" s="239">
        <f t="shared" ca="1" si="76"/>
        <v>0</v>
      </c>
      <c r="R203" s="240">
        <f t="shared" ca="1" si="77"/>
        <v>5</v>
      </c>
      <c r="S203" s="238">
        <f t="shared" ca="1" si="78"/>
        <v>0</v>
      </c>
      <c r="T203" s="239">
        <f t="shared" si="79"/>
        <v>0</v>
      </c>
      <c r="U203" s="240">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2.95" customHeight="1" x14ac:dyDescent="0.2">
      <c r="A204" s="137" t="str">
        <f ca="1">IF(ISBLANK('Tournament Info'!$B$11),"",INDIRECT(ADDRESS(ROW(),1,1,1,"Optimal Seating "&amp;'Tournament Info'!$B$11-1&amp;"R+F")))</f>
        <v/>
      </c>
      <c r="B204" s="143" t="str">
        <f ca="1">IF(ISNUMBER(A204),VLOOKUP(A204,Methuselahs!$A$7:$E$206,2,0),"")</f>
        <v/>
      </c>
      <c r="C204" s="241" t="str">
        <f ca="1">IF(ISNUMBER(A204),VLOOKUP(A204,Methuselahs!$A$7:$E$206,3,0),"")</f>
        <v/>
      </c>
      <c r="D204" s="242" t="str">
        <f t="shared" ca="1" si="72"/>
        <v/>
      </c>
      <c r="E204" s="243"/>
      <c r="F204" s="241">
        <f t="shared" si="73"/>
        <v>0</v>
      </c>
      <c r="G204" s="244" t="str">
        <f t="shared" ca="1" si="74"/>
        <v/>
      </c>
      <c r="H204" s="245" t="str">
        <f ca="1">IF(ISNUMBER(A204),IF(OR($S204=$U204,NOT(ISNA(MATCH($D204*5+$V$4,Override!$C$6:$C$125,0)))),$Q204,0),"")</f>
        <v/>
      </c>
      <c r="I204" s="242" t="str">
        <f t="shared" ca="1" si="75"/>
        <v/>
      </c>
      <c r="J204" s="246">
        <f ca="1">COUNT(A202:A206)</f>
        <v>0</v>
      </c>
      <c r="K204" s="247" t="str">
        <f ca="1">IF(ISNUMBER(A204),RANK(F204,F202:F206),"")</f>
        <v/>
      </c>
      <c r="L204" s="142">
        <f ca="1">IF(J204=5,VLOOKUP(K204,TPMatrix!$A$6:$B$10,2,0),IF(J204=4,VLOOKUP(K204,TPMatrix!$D$6:$E$9,2,0),0))</f>
        <v>0</v>
      </c>
      <c r="M204" s="142">
        <f ca="1">IF(COUNTIF(K202:K206,K204)&gt;=2,IF(J204=5,VLOOKUP(K204+1,TPMatrix!$A$6:$B$10,2,0),IF(J204=4,VLOOKUP(K204+1,TPMatrix!$D$6:$E$9,2,0),0)),"")</f>
        <v>0</v>
      </c>
      <c r="N204" s="142">
        <f ca="1">IF(COUNTIF(K202:K206,K204)&gt;=3,IF(J204=5,VLOOKUP(K204+2,TPMatrix!$A$6:$B$10,2,0),IF(J204=4,VLOOKUP(K204+2,TPMatrix!$D$6:$E$9,2,0),0)),"")</f>
        <v>0</v>
      </c>
      <c r="O204" s="142">
        <f ca="1">IF(COUNTIF(K202:K206,K204)&gt;=4,IF(J204=5,VLOOKUP(K204+3,TPMatrix!$A$6:$B$10,2,0),IF(J204=4,VLOOKUP(K204+3,TPMatrix!$D$6:$E$9,2,0),0)),"")</f>
        <v>0</v>
      </c>
      <c r="P204" s="142">
        <f ca="1">IF(COUNTIF(K202:K206,K204)&gt;=5,IF(J204=5,VLOOKUP(K204+4,TPMatrix!$A$6:$B$10,2,0),IF(J204=4,VLOOKUP(K204+4,TPMatrix!$D$6:$E$9,2,0),0)),"")</f>
        <v>0</v>
      </c>
      <c r="Q204" s="142">
        <f t="shared" ca="1" si="76"/>
        <v>0</v>
      </c>
      <c r="R204" s="248">
        <f t="shared" ca="1" si="77"/>
        <v>5</v>
      </c>
      <c r="S204" s="247">
        <f t="shared" ca="1" si="78"/>
        <v>0</v>
      </c>
      <c r="T204" s="142">
        <f t="shared" si="79"/>
        <v>0</v>
      </c>
      <c r="U204" s="248">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2.95" customHeight="1" x14ac:dyDescent="0.2">
      <c r="A205" s="249" t="str">
        <f ca="1">IF(ISBLANK('Tournament Info'!$B$11),"",INDIRECT(ADDRESS(ROW(),1,1,1,"Optimal Seating "&amp;'Tournament Info'!$B$11-1&amp;"R+F")))</f>
        <v/>
      </c>
      <c r="B205" s="250" t="str">
        <f ca="1">IF(ISNUMBER(A205),VLOOKUP(A205,Methuselahs!$A$7:$E$206,2,0),"")</f>
        <v/>
      </c>
      <c r="C205" s="251" t="str">
        <f ca="1">IF(ISNUMBER(A205),VLOOKUP(A205,Methuselahs!$A$7:$E$206,3,0),"")</f>
        <v/>
      </c>
      <c r="D205" s="252" t="str">
        <f t="shared" ca="1" si="72"/>
        <v/>
      </c>
      <c r="E205" s="253"/>
      <c r="F205" s="251">
        <f t="shared" si="73"/>
        <v>0</v>
      </c>
      <c r="G205" s="235" t="str">
        <f t="shared" ca="1" si="74"/>
        <v/>
      </c>
      <c r="H205" s="236" t="str">
        <f ca="1">IF(ISNUMBER(A205),IF(OR($S205=$U205,NOT(ISNA(MATCH($D205*5+$V$4,Override!$C$6:$C$125,0)))),$Q205,0),"")</f>
        <v/>
      </c>
      <c r="I205" s="252" t="str">
        <f t="shared" ca="1" si="75"/>
        <v/>
      </c>
      <c r="J205" s="254">
        <f ca="1">COUNT(A202:A206)</f>
        <v>0</v>
      </c>
      <c r="K205" s="238" t="str">
        <f ca="1">IF(ISNUMBER(A205),RANK(F205,F202:F206),"")</f>
        <v/>
      </c>
      <c r="L205" s="239">
        <f ca="1">IF(J205=5,VLOOKUP(K205,TPMatrix!$A$6:$B$10,2,0),IF(J205=4,VLOOKUP(K205,TPMatrix!$D$6:$E$9,2,0),0))</f>
        <v>0</v>
      </c>
      <c r="M205" s="239">
        <f ca="1">IF(COUNTIF(K202:K206,K205)&gt;=2,IF(J205=5,VLOOKUP(K205+1,TPMatrix!$A$6:$B$10,2,0),IF(J205=4,VLOOKUP(K205+1,TPMatrix!$D$6:$E$9,2,0),0)),"")</f>
        <v>0</v>
      </c>
      <c r="N205" s="239">
        <f ca="1">IF(COUNTIF(K202:K206,K205)&gt;=3,IF(J205=5,VLOOKUP(K205+2,TPMatrix!$A$6:$B$10,2,0),IF(J205=4,VLOOKUP(K205+2,TPMatrix!$D$6:$E$9,2,0),0)),"")</f>
        <v>0</v>
      </c>
      <c r="O205" s="239">
        <f ca="1">IF(COUNTIF(K202:K206,K205)&gt;=4,IF(J205=5,VLOOKUP(K205+3,TPMatrix!$A$6:$B$10,2,0),IF(J205=4,VLOOKUP(K205+3,TPMatrix!$D$6:$E$9,2,0),0)),"")</f>
        <v>0</v>
      </c>
      <c r="P205" s="239">
        <f ca="1">IF(COUNTIF(K202:K206,K205)&gt;=5,IF(J205=5,VLOOKUP(K205+4,TPMatrix!$A$6:$B$10,2,0),IF(J205=4,VLOOKUP(K205+4,TPMatrix!$D$6:$E$9,2,0),0)),"")</f>
        <v>0</v>
      </c>
      <c r="Q205" s="239">
        <f t="shared" ca="1" si="76"/>
        <v>0</v>
      </c>
      <c r="R205" s="240">
        <f t="shared" ca="1" si="77"/>
        <v>5</v>
      </c>
      <c r="S205" s="238">
        <f t="shared" ca="1" si="78"/>
        <v>0</v>
      </c>
      <c r="T205" s="239">
        <f t="shared" si="79"/>
        <v>0</v>
      </c>
      <c r="U205" s="240">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2.95" customHeight="1" x14ac:dyDescent="0.2">
      <c r="A206" s="255" t="str">
        <f ca="1">IF(ISBLANK('Tournament Info'!$B$11),"",INDIRECT(ADDRESS(ROW(),1,1,1,"Optimal Seating "&amp;'Tournament Info'!$B$11-1&amp;"R+F")))</f>
        <v/>
      </c>
      <c r="B206" s="256" t="str">
        <f ca="1">IF(ISNUMBER(A206),VLOOKUP(A206,Methuselahs!$A$7:$E$206,2,0),"")</f>
        <v/>
      </c>
      <c r="C206" s="257" t="str">
        <f ca="1">IF(ISNUMBER(A206),VLOOKUP(A206,Methuselahs!$A$7:$E$206,3,0),"")</f>
        <v/>
      </c>
      <c r="D206" s="258" t="str">
        <f t="shared" ca="1" si="72"/>
        <v/>
      </c>
      <c r="E206" s="259"/>
      <c r="F206" s="257">
        <f t="shared" si="73"/>
        <v>0</v>
      </c>
      <c r="G206" s="265" t="str">
        <f t="shared" ca="1" si="74"/>
        <v/>
      </c>
      <c r="H206" s="266" t="str">
        <f ca="1">IF(ISNUMBER(A206),IF(OR($S206=$U206,NOT(ISNA(MATCH($D206*5+$V$4,Override!$C$6:$C$125,0)))),$Q206,0),"")</f>
        <v/>
      </c>
      <c r="I206" s="258" t="str">
        <f t="shared" ca="1" si="75"/>
        <v/>
      </c>
      <c r="J206" s="260">
        <f ca="1">COUNT(A202:A206)</f>
        <v>0</v>
      </c>
      <c r="K206" s="261" t="str">
        <f ca="1">IF(ISNUMBER(A206),RANK(F206,F202:F206),"")</f>
        <v/>
      </c>
      <c r="L206" s="262">
        <f ca="1">IF(J206=5,VLOOKUP(K206,TPMatrix!$A$6:$B$10,2,0),IF(J206=4,VLOOKUP(K206,TPMatrix!$D$6:$E$9,2,0),0))</f>
        <v>0</v>
      </c>
      <c r="M206" s="262">
        <f ca="1">IF(COUNTIF(K202:K206,K206)&gt;=2,IF(J206=5,VLOOKUP(K206+1,TPMatrix!$A$6:$B$10,2,0),IF(J206=4,VLOOKUP(K206+1,TPMatrix!$D$6:$E$9,2,0),0)),"")</f>
        <v>0</v>
      </c>
      <c r="N206" s="262">
        <f ca="1">IF(COUNTIF(K202:K206,K206)&gt;=3,IF(J206=5,VLOOKUP(K206+2,TPMatrix!$A$6:$B$10,2,0),IF(J206=4,VLOOKUP(K206+2,TPMatrix!$D$6:$E$9,2,0),0)),"")</f>
        <v>0</v>
      </c>
      <c r="O206" s="262">
        <f ca="1">IF(COUNTIF(K202:K206,K206)&gt;=4,IF(J206=5,VLOOKUP(K206+3,TPMatrix!$A$6:$B$10,2,0),IF(J206=4,VLOOKUP(K206+3,TPMatrix!$D$6:$E$9,2,0),0)),"")</f>
        <v>0</v>
      </c>
      <c r="P206" s="262">
        <f ca="1">IF(COUNTIF(K202:K206,K206)&gt;=5,IF(J206=5,VLOOKUP(K206+4,TPMatrix!$A$6:$B$10,2,0),IF(J206=4,VLOOKUP(K206+4,TPMatrix!$D$6:$E$9,2,0),0)),"")</f>
        <v>0</v>
      </c>
      <c r="Q206" s="262">
        <f t="shared" ca="1" si="76"/>
        <v>0</v>
      </c>
      <c r="R206" s="263">
        <f t="shared" ca="1" si="77"/>
        <v>5</v>
      </c>
      <c r="S206" s="261">
        <f t="shared" ca="1" si="78"/>
        <v>0</v>
      </c>
      <c r="T206" s="262">
        <f t="shared" si="79"/>
        <v>0</v>
      </c>
      <c r="U206" s="263">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206"/>
  <sheetViews>
    <sheetView zoomScaleNormal="100" workbookViewId="0">
      <pane ySplit="6" topLeftCell="A22" activePane="bottomLeft" state="frozen"/>
      <selection pane="bottomLeft" activeCell="G40" sqref="G40"/>
    </sheetView>
  </sheetViews>
  <sheetFormatPr defaultColWidth="8.85546875" defaultRowHeight="12.75" x14ac:dyDescent="0.2"/>
  <cols>
    <col min="1" max="1" width="3" customWidth="1"/>
    <col min="2" max="2" width="16.7109375" customWidth="1"/>
    <col min="3" max="3" width="18" customWidth="1"/>
    <col min="4" max="5" width="6.85546875" style="184" customWidth="1"/>
    <col min="6" max="6" width="7.7109375" hidden="1" customWidth="1"/>
    <col min="7" max="8" width="7.7109375" customWidth="1"/>
    <col min="10" max="10" width="5" style="59" hidden="1" customWidth="1"/>
    <col min="11" max="11" width="10.7109375" style="36" hidden="1" customWidth="1"/>
    <col min="12" max="12" width="7.85546875" style="36" hidden="1" customWidth="1"/>
    <col min="13" max="16" width="5" style="36" hidden="1" customWidth="1"/>
    <col min="17" max="17" width="6.140625" style="36" hidden="1" customWidth="1"/>
    <col min="18" max="18" width="8.42578125" style="36" hidden="1" customWidth="1"/>
    <col min="19" max="19" width="19.42578125" style="36" hidden="1" customWidth="1"/>
    <col min="20" max="20" width="8.28515625" style="36" hidden="1" customWidth="1"/>
    <col min="21" max="21" width="9.85546875" style="36" hidden="1" customWidth="1"/>
    <col min="22" max="22" width="11.28515625" style="36" hidden="1" customWidth="1"/>
    <col min="23" max="23" width="10.42578125" style="36" hidden="1" customWidth="1"/>
    <col min="24" max="25" width="7.42578125" style="36" hidden="1" customWidth="1"/>
    <col min="26" max="26" width="4.42578125" style="36" hidden="1" customWidth="1"/>
    <col min="27" max="27" width="10.42578125" style="36" hidden="1" customWidth="1"/>
    <col min="28" max="29" width="9.140625" style="36" customWidth="1"/>
    <col min="30" max="1024" width="8.85546875" style="36"/>
  </cols>
  <sheetData>
    <row r="1" spans="1:28" ht="25.5" x14ac:dyDescent="0.35">
      <c r="A1" s="37" t="str">
        <f>IF(ISBLANK('Tournament Info'!B3),"Vampire: The Eternal Struggle Tournament",'Tournament Info'!B3)</f>
        <v>German Nationals 2024</v>
      </c>
      <c r="B1" s="63"/>
      <c r="C1" s="63"/>
      <c r="D1" s="60"/>
      <c r="E1" s="60"/>
      <c r="F1" s="36"/>
      <c r="G1" s="36"/>
      <c r="H1" s="36"/>
      <c r="I1" s="36"/>
      <c r="J1" s="69"/>
    </row>
    <row r="2" spans="1:28" ht="13.7" customHeight="1" x14ac:dyDescent="0.3">
      <c r="A2" s="36"/>
      <c r="B2" s="63"/>
      <c r="C2" s="63"/>
      <c r="D2" s="60"/>
      <c r="E2" s="60"/>
      <c r="G2" s="36"/>
      <c r="H2" s="36" t="s">
        <v>195</v>
      </c>
      <c r="I2" s="36"/>
      <c r="AB2" s="185"/>
    </row>
    <row r="3" spans="1:28" s="2" customFormat="1" ht="15" customHeight="1" x14ac:dyDescent="0.3">
      <c r="A3" s="186" t="s">
        <v>230</v>
      </c>
      <c r="B3" s="32"/>
      <c r="C3" s="32"/>
      <c r="D3" s="187"/>
      <c r="E3" s="187"/>
      <c r="H3" s="2" t="s">
        <v>197</v>
      </c>
      <c r="V3" s="188" t="s">
        <v>224</v>
      </c>
      <c r="AB3" s="189"/>
    </row>
    <row r="4" spans="1:28" ht="12.95" customHeight="1" x14ac:dyDescent="0.3">
      <c r="B4" s="63"/>
      <c r="C4" s="63"/>
      <c r="D4" s="60"/>
      <c r="E4" s="60"/>
      <c r="F4" s="36"/>
      <c r="G4" s="36"/>
      <c r="H4" s="36"/>
      <c r="I4" s="36"/>
      <c r="J4" s="69"/>
      <c r="V4" s="191">
        <v>2</v>
      </c>
    </row>
    <row r="5" spans="1:28" ht="20.25" x14ac:dyDescent="0.3">
      <c r="A5" s="192" t="s">
        <v>198</v>
      </c>
      <c r="B5" s="193"/>
      <c r="C5" s="193"/>
      <c r="D5" s="194"/>
      <c r="E5" s="195" t="s">
        <v>199</v>
      </c>
      <c r="F5" s="390"/>
      <c r="G5" s="195"/>
      <c r="H5" s="196"/>
      <c r="I5" s="197"/>
      <c r="J5" s="198"/>
      <c r="K5" s="199" t="s">
        <v>200</v>
      </c>
      <c r="L5" s="200"/>
      <c r="M5" s="200"/>
      <c r="N5" s="200"/>
      <c r="O5" s="200"/>
      <c r="P5" s="200"/>
      <c r="Q5" s="200"/>
      <c r="R5" s="201"/>
      <c r="S5" s="202" t="s">
        <v>201</v>
      </c>
      <c r="T5" s="200"/>
      <c r="U5" s="201"/>
    </row>
    <row r="6" spans="1:28" s="82" customFormat="1" ht="12.95" customHeight="1" x14ac:dyDescent="0.2">
      <c r="A6" s="203" t="s">
        <v>190</v>
      </c>
      <c r="B6" s="204" t="s">
        <v>202</v>
      </c>
      <c r="C6" s="205" t="s">
        <v>203</v>
      </c>
      <c r="D6" s="206" t="s">
        <v>204</v>
      </c>
      <c r="E6" s="208" t="s">
        <v>180</v>
      </c>
      <c r="F6" s="391" t="s">
        <v>180</v>
      </c>
      <c r="G6" s="209" t="s">
        <v>205</v>
      </c>
      <c r="H6" s="208" t="s">
        <v>181</v>
      </c>
      <c r="I6" s="206" t="s">
        <v>206</v>
      </c>
      <c r="J6" s="392" t="s">
        <v>207</v>
      </c>
      <c r="K6" s="212" t="s">
        <v>208</v>
      </c>
      <c r="L6" s="213" t="s">
        <v>209</v>
      </c>
      <c r="M6" s="213" t="s">
        <v>210</v>
      </c>
      <c r="N6" s="213" t="s">
        <v>211</v>
      </c>
      <c r="O6" s="213" t="s">
        <v>212</v>
      </c>
      <c r="P6" s="213" t="s">
        <v>213</v>
      </c>
      <c r="Q6" s="213" t="s">
        <v>214</v>
      </c>
      <c r="R6" s="214" t="s">
        <v>215</v>
      </c>
      <c r="S6" s="215" t="s">
        <v>216</v>
      </c>
      <c r="T6" s="216" t="s">
        <v>217</v>
      </c>
      <c r="U6" s="217" t="s">
        <v>218</v>
      </c>
      <c r="W6" s="218" t="s">
        <v>219</v>
      </c>
      <c r="X6" s="218" t="s">
        <v>220</v>
      </c>
      <c r="Y6" s="218" t="s">
        <v>221</v>
      </c>
      <c r="Z6" s="218" t="s">
        <v>222</v>
      </c>
      <c r="AA6" s="218" t="s">
        <v>219</v>
      </c>
    </row>
    <row r="7" spans="1:28" ht="12.95" customHeight="1" x14ac:dyDescent="0.2">
      <c r="A7" s="219">
        <f ca="1">IF(ISBLANK('Tournament Info'!$B$11),"",INDIRECT(ADDRESS(ROW(),2,1,1,"Optimal Seating "&amp;'Tournament Info'!$B$11-1&amp;"R+F")))</f>
        <v>27</v>
      </c>
      <c r="B7" s="143">
        <f ca="1">IF(ISNUMBER(A7),VLOOKUP(A7,Methuselahs!$A$7:$E$206,2,0),"")</f>
        <v>0</v>
      </c>
      <c r="C7" s="220">
        <f ca="1">IF(ISNUMBER(A7),VLOOKUP(A7,Methuselahs!$A$7:$E$206,3,0),"")</f>
        <v>0</v>
      </c>
      <c r="D7" s="221">
        <f t="shared" ref="D7:D38" ca="1" si="0">IF(ISNUMBER(A7),FLOOR((ROW()-ROW($A$7))/5,1)+1,"")</f>
        <v>1</v>
      </c>
      <c r="E7" s="222"/>
      <c r="F7" s="393">
        <f t="shared" ref="F7:F38" si="1">IF(ISNUMBER(E7),E7,0)</f>
        <v>0</v>
      </c>
      <c r="G7" s="223">
        <f t="shared" ref="G7:G38" ca="1" si="2">IF(ISNUMBER($A7),IF(AND($F7&gt;=2,$H7=60),1,0),"")</f>
        <v>0</v>
      </c>
      <c r="H7" s="224">
        <f ca="1">IF(ISNUMBER(A7),IF(OR($S7=$U7,NOT(ISNA(MATCH($D7*5+$V$4,Override!$C$6:$C$125,0)))),$Q7,0),"")</f>
        <v>30</v>
      </c>
      <c r="I7" s="394">
        <f t="shared" ref="I7:I38" ca="1" si="3">IF(ISNUMBER(A7),IF(J7=5,K7,IF(AND(J7=4,OR(K7=4,K7=3)),K7+1,K7)),"")</f>
        <v>2</v>
      </c>
      <c r="J7" s="225">
        <f ca="1">COUNT(A7:A11)</f>
        <v>5</v>
      </c>
      <c r="K7" s="226">
        <f ca="1">IF(ISNUMBER(A7),RANK(F7,F7:F11),"")</f>
        <v>2</v>
      </c>
      <c r="L7" s="227">
        <f ca="1">IF(J7=5,VLOOKUP(K7,TPMatrix!$A$6:$B$10,2,0),IF(J7=4,VLOOKUP(K7,TPMatrix!$D$6:$E$9,2,0),0))</f>
        <v>48</v>
      </c>
      <c r="M7" s="227">
        <f ca="1">IF(COUNTIF(K7:K11,K7)&gt;=2,IF(J7=5,VLOOKUP(K7+1,TPMatrix!$A$6:$B$10,2,0),IF(J7=4,VLOOKUP(K7+1,TPMatrix!$D$6:$E$9,2,0),0)),"")</f>
        <v>36</v>
      </c>
      <c r="N7" s="227">
        <f ca="1">IF(COUNTIF(K7:K11,K7)&gt;=3,IF(J7=5,VLOOKUP(K7+2,TPMatrix!$A$6:$B$10,2,0),IF(J7=4,VLOOKUP(K7+2,TPMatrix!$D$6:$E$9,2,0),0)),"")</f>
        <v>24</v>
      </c>
      <c r="O7" s="227">
        <f ca="1">IF(COUNTIF(K7:K11,K7)&gt;=4,IF(J7=5,VLOOKUP(K7+3,TPMatrix!$A$6:$B$10,2,0),IF(J7=4,VLOOKUP(K7+3,TPMatrix!$D$6:$E$9,2,0),0)),"")</f>
        <v>12</v>
      </c>
      <c r="P7" s="227" t="str">
        <f ca="1">IF(COUNTIF(K7:K11,K7)&gt;=5,IF(J7=5,VLOOKUP(K7+4,TPMatrix!$A$6:$B$10,2,0),IF(J7=4,VLOOKUP(K7+4,TPMatrix!$D$6:$E$9,2,0),0)),"")</f>
        <v/>
      </c>
      <c r="Q7" s="227">
        <f t="shared" ref="Q7:Q38" ca="1" si="4">SUM(L7:P7)/COUNT(L7:P7)</f>
        <v>30</v>
      </c>
      <c r="R7" s="228">
        <f t="shared" ref="R7:R38" ca="1" si="5">COUNT(L7:P7)</f>
        <v>4</v>
      </c>
      <c r="S7" s="229">
        <f t="shared" ref="S7:S38" ca="1" si="6">IF(ISNUMBER($A7),COUNTIF($D$7:$D$206,$D7),0)</f>
        <v>5</v>
      </c>
      <c r="T7" s="230">
        <f t="shared" ref="T7:T38" si="7">CEILING($F7,1)</f>
        <v>0</v>
      </c>
      <c r="U7" s="231">
        <f t="shared" ref="U7:U38" ca="1" si="8">SUM(OFFSET(T7,-MOD(ROW()-ROW($U$7),5),0,5,1))</f>
        <v>5</v>
      </c>
      <c r="W7" s="36">
        <f t="shared" ref="W7:W38" ca="1" si="9">$I7</f>
        <v>2</v>
      </c>
      <c r="X7" s="36">
        <f ca="1">IF(ISNUMBER($A7),$W7*(Methuselahs!$A$4+1)+$A7,"")</f>
        <v>93</v>
      </c>
      <c r="Y7" s="36">
        <f t="shared" ref="Y7:Y38" ca="1" si="10">IF(ISNUMBER($A7),RANK($X7,$X7:$X11,1),"")</f>
        <v>4</v>
      </c>
      <c r="Z7" s="36">
        <f ca="1">IF(ISNUMBER($A7),VLOOKUP($A7,Methuselahs!$A$7:$X$206,5),"")</f>
        <v>5521202573</v>
      </c>
      <c r="AA7" s="36">
        <f t="shared" ref="AA7:AA38" ca="1" si="11">$I7</f>
        <v>2</v>
      </c>
    </row>
    <row r="8" spans="1:28" ht="12.95" customHeight="1" x14ac:dyDescent="0.2">
      <c r="A8" s="111">
        <f ca="1">IF(ISBLANK('Tournament Info'!$B$11),"",INDIRECT(ADDRESS(ROW(),2,1,1,"Optimal Seating "&amp;'Tournament Info'!$B$11-1&amp;"R+F")))</f>
        <v>18</v>
      </c>
      <c r="B8" s="117">
        <f ca="1">IF(ISNUMBER(A8),VLOOKUP(A8,Methuselahs!$A$7:$E$206,2,0),"")</f>
        <v>0</v>
      </c>
      <c r="C8" s="232">
        <f ca="1">IF(ISNUMBER(A8),VLOOKUP(A8,Methuselahs!$A$7:$E$206,3,0),"")</f>
        <v>0</v>
      </c>
      <c r="D8" s="233">
        <f t="shared" ca="1" si="0"/>
        <v>1</v>
      </c>
      <c r="E8" s="234">
        <v>5</v>
      </c>
      <c r="F8" s="118">
        <f t="shared" si="1"/>
        <v>5</v>
      </c>
      <c r="G8" s="235">
        <f t="shared" ca="1" si="2"/>
        <v>1</v>
      </c>
      <c r="H8" s="236">
        <f ca="1">IF(ISNUMBER(A8),IF(OR($S8=$U8,NOT(ISNA(MATCH($D8*5+$V$4,Override!$C$6:$C$125,0)))),$Q8,0),"")</f>
        <v>60</v>
      </c>
      <c r="I8" s="395">
        <f t="shared" ca="1" si="3"/>
        <v>1</v>
      </c>
      <c r="J8" s="237">
        <f ca="1">COUNT(A7:A11)</f>
        <v>5</v>
      </c>
      <c r="K8" s="238">
        <f ca="1">IF(ISNUMBER(A8),RANK(F8,F7:F11),"")</f>
        <v>1</v>
      </c>
      <c r="L8" s="239">
        <f ca="1">IF(J8=5,VLOOKUP(K8,TPMatrix!$A$6:$B$10,2,0),IF(J8=4,VLOOKUP(K8,TPMatrix!$D$6:$E$9,2,0),0))</f>
        <v>60</v>
      </c>
      <c r="M8" s="239" t="str">
        <f ca="1">IF(COUNTIF(K7:K11,K8)&gt;=2,IF(J8=5,VLOOKUP(K8+1,TPMatrix!$A$6:$B$10,2,0),IF(J8=4,VLOOKUP(K8+1,TPMatrix!$D$6:$E$9,2,0),0)),"")</f>
        <v/>
      </c>
      <c r="N8" s="239" t="str">
        <f ca="1">IF(COUNTIF(K7:K11,K8)&gt;=3,IF(J8=5,VLOOKUP(K8+2,TPMatrix!$A$6:$B$10,2,0),IF(J8=4,VLOOKUP(K8+2,TPMatrix!$D$6:$E$9,2,0),0)),"")</f>
        <v/>
      </c>
      <c r="O8" s="239" t="str">
        <f ca="1">IF(COUNTIF(K7:K11,K8)&gt;=4,IF(J8=5,VLOOKUP(K8+3,TPMatrix!$A$6:$B$10,2,0),IF(J8=4,VLOOKUP(K8+3,TPMatrix!$D$6:$E$9,2,0),0)),"")</f>
        <v/>
      </c>
      <c r="P8" s="239" t="str">
        <f ca="1">IF(COUNTIF(K7:K11,K8)&gt;=5,IF(J8=5,VLOOKUP(K8+4,TPMatrix!$A$6:$B$10,2,0),IF(J8=4,VLOOKUP(K8+4,TPMatrix!$D$6:$E$9,2,0),0)),"")</f>
        <v/>
      </c>
      <c r="Q8" s="239">
        <f t="shared" ca="1" si="4"/>
        <v>60</v>
      </c>
      <c r="R8" s="240">
        <f t="shared" ca="1" si="5"/>
        <v>1</v>
      </c>
      <c r="S8" s="238">
        <f t="shared" ca="1" si="6"/>
        <v>5</v>
      </c>
      <c r="T8" s="239">
        <f t="shared" si="7"/>
        <v>5</v>
      </c>
      <c r="U8" s="240">
        <f t="shared" ca="1" si="8"/>
        <v>5</v>
      </c>
      <c r="W8" s="36">
        <f t="shared" ca="1" si="9"/>
        <v>1</v>
      </c>
      <c r="X8" s="36">
        <f ca="1">IF(ISNUMBER($A8),$W8*(Methuselahs!$A$4+1)+$A8,"")</f>
        <v>51</v>
      </c>
      <c r="Y8" s="36">
        <f t="shared" ca="1" si="10"/>
        <v>1</v>
      </c>
      <c r="Z8" s="36">
        <f ca="1">IF(ISNUMBER($A8),VLOOKUP($A8,Methuselahs!$A$7:$X$206,5),"")</f>
        <v>1028087486</v>
      </c>
      <c r="AA8" s="36">
        <f t="shared" ca="1" si="11"/>
        <v>1</v>
      </c>
    </row>
    <row r="9" spans="1:28" ht="12.95" customHeight="1" x14ac:dyDescent="0.2">
      <c r="A9" s="137">
        <f ca="1">IF(ISBLANK('Tournament Info'!$B$11),"",INDIRECT(ADDRESS(ROW(),2,1,1,"Optimal Seating "&amp;'Tournament Info'!$B$11-1&amp;"R+F")))</f>
        <v>21</v>
      </c>
      <c r="B9" s="143">
        <f ca="1">IF(ISNUMBER(A9),VLOOKUP(A9,Methuselahs!$A$7:$E$206,2,0),"")</f>
        <v>0</v>
      </c>
      <c r="C9" s="241">
        <f ca="1">IF(ISNUMBER(A9),VLOOKUP(A9,Methuselahs!$A$7:$E$206,3,0),"")</f>
        <v>0</v>
      </c>
      <c r="D9" s="242">
        <f t="shared" ca="1" si="0"/>
        <v>1</v>
      </c>
      <c r="E9" s="243"/>
      <c r="F9" s="144">
        <f t="shared" si="1"/>
        <v>0</v>
      </c>
      <c r="G9" s="244">
        <f t="shared" ca="1" si="2"/>
        <v>0</v>
      </c>
      <c r="H9" s="245">
        <f ca="1">IF(ISNUMBER(A9),IF(OR($S9=$U9,NOT(ISNA(MATCH($D9*5+$V$4,Override!$C$6:$C$125,0)))),$Q9,0),"")</f>
        <v>30</v>
      </c>
      <c r="I9" s="396">
        <f t="shared" ca="1" si="3"/>
        <v>2</v>
      </c>
      <c r="J9" s="246">
        <f ca="1">COUNT(A7:A11)</f>
        <v>5</v>
      </c>
      <c r="K9" s="247">
        <f ca="1">IF(ISNUMBER(A9),RANK(F9,F7:F11),"")</f>
        <v>2</v>
      </c>
      <c r="L9" s="142">
        <f ca="1">IF(J9=5,VLOOKUP(K9,TPMatrix!$A$6:$B$10,2,0),IF(J9=4,VLOOKUP(K9,TPMatrix!$D$6:$E$9,2,0),0))</f>
        <v>48</v>
      </c>
      <c r="M9" s="142">
        <f ca="1">IF(COUNTIF(K7:K11,K9)&gt;=2,IF(J9=5,VLOOKUP(K9+1,TPMatrix!$A$6:$B$10,2,0),IF(J9=4,VLOOKUP(K9+1,TPMatrix!$D$6:$E$9,2,0),0)),"")</f>
        <v>36</v>
      </c>
      <c r="N9" s="142">
        <f ca="1">IF(COUNTIF(K7:K11,K9)&gt;=3,IF(J9=5,VLOOKUP(K9+2,TPMatrix!$A$6:$B$10,2,0),IF(J9=4,VLOOKUP(K9+2,TPMatrix!$D$6:$E$9,2,0),0)),"")</f>
        <v>24</v>
      </c>
      <c r="O9" s="142">
        <f ca="1">IF(COUNTIF(K7:K11,K9)&gt;=4,IF(J9=5,VLOOKUP(K9+3,TPMatrix!$A$6:$B$10,2,0),IF(J9=4,VLOOKUP(K9+3,TPMatrix!$D$6:$E$9,2,0),0)),"")</f>
        <v>12</v>
      </c>
      <c r="P9" s="142" t="str">
        <f ca="1">IF(COUNTIF(K7:K11,K9)&gt;=5,IF(J9=5,VLOOKUP(K9+4,TPMatrix!$A$6:$B$10,2,0),IF(J9=4,VLOOKUP(K9+4,TPMatrix!$D$6:$E$9,2,0),0)),"")</f>
        <v/>
      </c>
      <c r="Q9" s="142">
        <f t="shared" ca="1" si="4"/>
        <v>30</v>
      </c>
      <c r="R9" s="248">
        <f t="shared" ca="1" si="5"/>
        <v>4</v>
      </c>
      <c r="S9" s="247">
        <f t="shared" ca="1" si="6"/>
        <v>5</v>
      </c>
      <c r="T9" s="142">
        <f t="shared" si="7"/>
        <v>0</v>
      </c>
      <c r="U9" s="248">
        <f t="shared" ca="1" si="8"/>
        <v>5</v>
      </c>
      <c r="W9" s="36">
        <f t="shared" ca="1" si="9"/>
        <v>2</v>
      </c>
      <c r="X9" s="36">
        <f ca="1">IF(ISNUMBER($A9),$W9*(Methuselahs!$A$4+1)+$A9,"")</f>
        <v>87</v>
      </c>
      <c r="Y9" s="36">
        <f t="shared" ca="1" si="10"/>
        <v>2</v>
      </c>
      <c r="Z9" s="36">
        <f ca="1">IF(ISNUMBER($A9),VLOOKUP($A9,Methuselahs!$A$7:$X$206,5),"")</f>
        <v>9370279301</v>
      </c>
      <c r="AA9" s="36">
        <f t="shared" ca="1" si="11"/>
        <v>2</v>
      </c>
    </row>
    <row r="10" spans="1:28" ht="12.95" customHeight="1" x14ac:dyDescent="0.2">
      <c r="A10" s="249">
        <f ca="1">IF(ISBLANK('Tournament Info'!$B$11),"",INDIRECT(ADDRESS(ROW(),2,1,1,"Optimal Seating "&amp;'Tournament Info'!$B$11-1&amp;"R+F")))</f>
        <v>29</v>
      </c>
      <c r="B10" s="250">
        <f ca="1">IF(ISNUMBER(A10),VLOOKUP(A10,Methuselahs!$A$7:$E$206,2,0),"")</f>
        <v>0</v>
      </c>
      <c r="C10" s="251">
        <f ca="1">IF(ISNUMBER(A10),VLOOKUP(A10,Methuselahs!$A$7:$E$206,3,0),"")</f>
        <v>0</v>
      </c>
      <c r="D10" s="252">
        <f t="shared" ca="1" si="0"/>
        <v>1</v>
      </c>
      <c r="E10" s="253"/>
      <c r="F10" s="397">
        <f t="shared" si="1"/>
        <v>0</v>
      </c>
      <c r="G10" s="235">
        <f t="shared" ca="1" si="2"/>
        <v>0</v>
      </c>
      <c r="H10" s="236">
        <f ca="1">IF(ISNUMBER(A10),IF(OR($S10=$U10,NOT(ISNA(MATCH($D10*5+$V$4,Override!$C$6:$C$125,0)))),$Q10,0),"")</f>
        <v>30</v>
      </c>
      <c r="I10" s="395">
        <f t="shared" ca="1" si="3"/>
        <v>2</v>
      </c>
      <c r="J10" s="254">
        <f ca="1">COUNT(A7:A11)</f>
        <v>5</v>
      </c>
      <c r="K10" s="238">
        <f ca="1">IF(ISNUMBER(A10),RANK(F10,F7:F11),"")</f>
        <v>2</v>
      </c>
      <c r="L10" s="239">
        <f ca="1">IF(J10=5,VLOOKUP(K10,TPMatrix!$A$6:$B$10,2,0),IF(J10=4,VLOOKUP(K10,TPMatrix!$D$6:$E$9,2,0),0))</f>
        <v>48</v>
      </c>
      <c r="M10" s="239">
        <f ca="1">IF(COUNTIF(K7:K11,K10)&gt;=2,IF(J10=5,VLOOKUP(K10+1,TPMatrix!$A$6:$B$10,2,0),IF(J10=4,VLOOKUP(K10+1,TPMatrix!$D$6:$E$9,2,0),0)),"")</f>
        <v>36</v>
      </c>
      <c r="N10" s="239">
        <f ca="1">IF(COUNTIF(K7:K11,K10)&gt;=3,IF(J10=5,VLOOKUP(K10+2,TPMatrix!$A$6:$B$10,2,0),IF(J10=4,VLOOKUP(K10+2,TPMatrix!$D$6:$E$9,2,0),0)),"")</f>
        <v>24</v>
      </c>
      <c r="O10" s="239">
        <f ca="1">IF(COUNTIF(K7:K11,K10)&gt;=4,IF(J10=5,VLOOKUP(K10+3,TPMatrix!$A$6:$B$10,2,0),IF(J10=4,VLOOKUP(K10+3,TPMatrix!$D$6:$E$9,2,0),0)),"")</f>
        <v>12</v>
      </c>
      <c r="P10" s="239" t="str">
        <f ca="1">IF(COUNTIF(K7:K11,K10)&gt;=5,IF(J10=5,VLOOKUP(K10+4,TPMatrix!$A$6:$B$10,2,0),IF(J10=4,VLOOKUP(K10+4,TPMatrix!$D$6:$E$9,2,0),0)),"")</f>
        <v/>
      </c>
      <c r="Q10" s="239">
        <f t="shared" ca="1" si="4"/>
        <v>30</v>
      </c>
      <c r="R10" s="240">
        <f t="shared" ca="1" si="5"/>
        <v>4</v>
      </c>
      <c r="S10" s="238">
        <f t="shared" ca="1" si="6"/>
        <v>5</v>
      </c>
      <c r="T10" s="239">
        <f t="shared" si="7"/>
        <v>0</v>
      </c>
      <c r="U10" s="240">
        <f t="shared" ca="1" si="8"/>
        <v>5</v>
      </c>
      <c r="W10" s="36">
        <f t="shared" ca="1" si="9"/>
        <v>2</v>
      </c>
      <c r="X10" s="36">
        <f ca="1">IF(ISNUMBER($A10),$W10*(Methuselahs!$A$4+1)+$A10,"")</f>
        <v>95</v>
      </c>
      <c r="Y10" s="36">
        <f t="shared" ca="1" si="10"/>
        <v>3</v>
      </c>
      <c r="Z10" s="36">
        <f ca="1">IF(ISNUMBER($A10),VLOOKUP($A10,Methuselahs!$A$7:$X$206,5),"")</f>
        <v>5521202573</v>
      </c>
      <c r="AA10" s="36">
        <f t="shared" ca="1" si="11"/>
        <v>2</v>
      </c>
    </row>
    <row r="11" spans="1:28" ht="12.95" customHeight="1" x14ac:dyDescent="0.2">
      <c r="A11" s="255">
        <f ca="1">IF(ISBLANK('Tournament Info'!$B$11),"",INDIRECT(ADDRESS(ROW(),2,1,1,"Optimal Seating "&amp;'Tournament Info'!$B$11-1&amp;"R+F")))</f>
        <v>6</v>
      </c>
      <c r="B11" s="256">
        <f ca="1">IF(ISNUMBER(A11),VLOOKUP(A11,Methuselahs!$A$7:$E$206,2,0),"")</f>
        <v>0</v>
      </c>
      <c r="C11" s="257">
        <f ca="1">IF(ISNUMBER(A11),VLOOKUP(A11,Methuselahs!$A$7:$E$206,3,0),"")</f>
        <v>0</v>
      </c>
      <c r="D11" s="258">
        <f t="shared" ca="1" si="0"/>
        <v>1</v>
      </c>
      <c r="E11" s="259"/>
      <c r="F11" s="398">
        <f t="shared" si="1"/>
        <v>0</v>
      </c>
      <c r="G11" s="244">
        <f t="shared" ca="1" si="2"/>
        <v>0</v>
      </c>
      <c r="H11" s="245">
        <f ca="1">IF(ISNUMBER(A11),IF(OR($S11=$U11,NOT(ISNA(MATCH($D11*5+$V$4,Override!$C$6:$C$125,0)))),$Q11,0),"")</f>
        <v>30</v>
      </c>
      <c r="I11" s="396">
        <f t="shared" ca="1" si="3"/>
        <v>2</v>
      </c>
      <c r="J11" s="260">
        <f ca="1">COUNT(A7:A11)</f>
        <v>5</v>
      </c>
      <c r="K11" s="261">
        <f ca="1">IF(ISNUMBER(A11),RANK(F11,F7:F11),"")</f>
        <v>2</v>
      </c>
      <c r="L11" s="262">
        <f ca="1">IF(J11=5,VLOOKUP(K11,TPMatrix!$A$6:$B$10,2,0),IF(J11=4,VLOOKUP(K11,TPMatrix!$D$6:$E$9,2,0),0))</f>
        <v>48</v>
      </c>
      <c r="M11" s="262">
        <f ca="1">IF(COUNTIF(K7:K11,K11)&gt;=2,IF(J11=5,VLOOKUP(K11+1,TPMatrix!$A$6:$B$10,2,0),IF(J11=4,VLOOKUP(K11+1,TPMatrix!$D$6:$E$9,2,0),0)),"")</f>
        <v>36</v>
      </c>
      <c r="N11" s="262">
        <f ca="1">IF(COUNTIF(K7:K11,K11)&gt;=3,IF(J11=5,VLOOKUP(K11+2,TPMatrix!$A$6:$B$10,2,0),IF(J11=4,VLOOKUP(K11+2,TPMatrix!$D$6:$E$9,2,0),0)),"")</f>
        <v>24</v>
      </c>
      <c r="O11" s="262">
        <f ca="1">IF(COUNTIF(K7:K11,K11)&gt;=4,IF(J11=5,VLOOKUP(K11+3,TPMatrix!$A$6:$B$10,2,0),IF(J11=4,VLOOKUP(K11+3,TPMatrix!$D$6:$E$9,2,0),0)),"")</f>
        <v>12</v>
      </c>
      <c r="P11" s="262" t="str">
        <f ca="1">IF(COUNTIF(K7:K11,K11)&gt;=5,IF(J11=5,VLOOKUP(K11+4,TPMatrix!$A$6:$B$10,2,0),IF(J11=4,VLOOKUP(K11+4,TPMatrix!$D$6:$E$9,2,0),0)),"")</f>
        <v/>
      </c>
      <c r="Q11" s="262">
        <f t="shared" ca="1" si="4"/>
        <v>30</v>
      </c>
      <c r="R11" s="263">
        <f t="shared" ca="1" si="5"/>
        <v>4</v>
      </c>
      <c r="S11" s="261">
        <f t="shared" ca="1" si="6"/>
        <v>5</v>
      </c>
      <c r="T11" s="262">
        <f t="shared" si="7"/>
        <v>0</v>
      </c>
      <c r="U11" s="263">
        <f t="shared" ca="1" si="8"/>
        <v>5</v>
      </c>
      <c r="W11" s="36">
        <f t="shared" ca="1" si="9"/>
        <v>2</v>
      </c>
      <c r="X11" s="36">
        <f ca="1">IF(ISNUMBER($A11),$W11*(Methuselahs!$A$4+1)+$A11,"")</f>
        <v>72</v>
      </c>
      <c r="Y11" s="36">
        <f t="shared" ca="1" si="10"/>
        <v>2</v>
      </c>
      <c r="Z11" s="36">
        <f ca="1">IF(ISNUMBER($A11),VLOOKUP($A11,Methuselahs!$A$7:$X$206,5),"")</f>
        <v>0</v>
      </c>
      <c r="AA11" s="36">
        <f t="shared" ca="1" si="11"/>
        <v>2</v>
      </c>
    </row>
    <row r="12" spans="1:28" ht="12.95" customHeight="1" x14ac:dyDescent="0.2">
      <c r="A12" s="219">
        <f ca="1">IF(ISBLANK('Tournament Info'!$B$11),"",INDIRECT(ADDRESS(ROW(),2,1,1,"Optimal Seating "&amp;'Tournament Info'!$B$11-1&amp;"R+F")))</f>
        <v>32</v>
      </c>
      <c r="B12" s="143">
        <f ca="1">IF(ISNUMBER(A12),VLOOKUP(A12,Methuselahs!$A$7:$E$206,2,0),"")</f>
        <v>0</v>
      </c>
      <c r="C12" s="220">
        <f ca="1">IF(ISNUMBER(A12),VLOOKUP(A12,Methuselahs!$A$7:$E$206,3,0),"")</f>
        <v>0</v>
      </c>
      <c r="D12" s="221">
        <f t="shared" ca="1" si="0"/>
        <v>2</v>
      </c>
      <c r="E12" s="222">
        <v>1</v>
      </c>
      <c r="F12" s="393">
        <f t="shared" si="1"/>
        <v>1</v>
      </c>
      <c r="G12" s="223">
        <f t="shared" ca="1" si="2"/>
        <v>0</v>
      </c>
      <c r="H12" s="224">
        <f ca="1">IF(ISNUMBER(A12),IF(OR($S12=$U12,NOT(ISNA(MATCH($D12*5+$V$4,Override!$C$6:$C$125,0)))),$Q12,0),"")</f>
        <v>42</v>
      </c>
      <c r="I12" s="394">
        <f t="shared" ca="1" si="3"/>
        <v>2</v>
      </c>
      <c r="J12" s="225">
        <f ca="1">COUNT(A12:A16)</f>
        <v>5</v>
      </c>
      <c r="K12" s="226">
        <f ca="1">IF(ISNUMBER(A12),RANK(F12,F12:F16),"")</f>
        <v>2</v>
      </c>
      <c r="L12" s="227">
        <f ca="1">IF(J12=5,VLOOKUP(K12,TPMatrix!$A$6:$B$10,2,0),IF(J12=4,VLOOKUP(K12,TPMatrix!$D$6:$E$9,2,0),0))</f>
        <v>48</v>
      </c>
      <c r="M12" s="227">
        <f ca="1">IF(COUNTIF(K12:K16,K12)&gt;=2,IF(J12=5,VLOOKUP(K12+1,TPMatrix!$A$6:$B$10,2,0),IF(J12=4,VLOOKUP(K12+1,TPMatrix!$D$6:$E$9,2,0),0)),"")</f>
        <v>36</v>
      </c>
      <c r="N12" s="227" t="str">
        <f ca="1">IF(COUNTIF(K12:K16,K12)&gt;=3,IF(J12=5,VLOOKUP(K12+2,TPMatrix!$A$6:$B$10,2,0),IF(J12=4,VLOOKUP(K12+2,TPMatrix!$D$6:$E$9,2,0),0)),"")</f>
        <v/>
      </c>
      <c r="O12" s="227" t="str">
        <f ca="1">IF(COUNTIF(K12:K16,K12)&gt;=4,IF(J12=5,VLOOKUP(K12+3,TPMatrix!$A$6:$B$10,2,0),IF(J12=4,VLOOKUP(K12+3,TPMatrix!$D$6:$E$9,2,0),0)),"")</f>
        <v/>
      </c>
      <c r="P12" s="227" t="str">
        <f ca="1">IF(COUNTIF(K12:K16,K12)&gt;=5,IF(J12=5,VLOOKUP(K12+4,TPMatrix!$A$6:$B$10,2,0),IF(J12=4,VLOOKUP(K12+4,TPMatrix!$D$6:$E$9,2,0),0)),"")</f>
        <v/>
      </c>
      <c r="Q12" s="227">
        <f t="shared" ca="1" si="4"/>
        <v>42</v>
      </c>
      <c r="R12" s="228">
        <f t="shared" ca="1" si="5"/>
        <v>2</v>
      </c>
      <c r="S12" s="229">
        <f t="shared" ca="1" si="6"/>
        <v>5</v>
      </c>
      <c r="T12" s="230">
        <f t="shared" si="7"/>
        <v>1</v>
      </c>
      <c r="U12" s="231">
        <f t="shared" ca="1" si="8"/>
        <v>5</v>
      </c>
      <c r="W12" s="36">
        <f t="shared" ca="1" si="9"/>
        <v>2</v>
      </c>
      <c r="X12" s="36">
        <f ca="1">IF(ISNUMBER($A12),$W12*(Methuselahs!$A$4+1)+$A12,"")</f>
        <v>98</v>
      </c>
      <c r="Y12" s="36">
        <f t="shared" ca="1" si="10"/>
        <v>3</v>
      </c>
      <c r="Z12" s="36">
        <f ca="1">IF(ISNUMBER($A12),VLOOKUP($A12,Methuselahs!$A$7:$X$206,5),"")</f>
        <v>5521202573</v>
      </c>
      <c r="AA12" s="36">
        <f t="shared" ca="1" si="11"/>
        <v>2</v>
      </c>
    </row>
    <row r="13" spans="1:28" ht="12.95" customHeight="1" x14ac:dyDescent="0.2">
      <c r="A13" s="111">
        <f ca="1">IF(ISBLANK('Tournament Info'!$B$11),"",INDIRECT(ADDRESS(ROW(),2,1,1,"Optimal Seating "&amp;'Tournament Info'!$B$11-1&amp;"R+F")))</f>
        <v>24</v>
      </c>
      <c r="B13" s="117">
        <f ca="1">IF(ISNUMBER(A13),VLOOKUP(A13,Methuselahs!$A$7:$E$206,2,0),"")</f>
        <v>0</v>
      </c>
      <c r="C13" s="232">
        <f ca="1">IF(ISNUMBER(A13),VLOOKUP(A13,Methuselahs!$A$7:$E$206,3,0),"")</f>
        <v>0</v>
      </c>
      <c r="D13" s="233">
        <f t="shared" ca="1" si="0"/>
        <v>2</v>
      </c>
      <c r="E13" s="234"/>
      <c r="F13" s="118">
        <f t="shared" si="1"/>
        <v>0</v>
      </c>
      <c r="G13" s="235">
        <f t="shared" ca="1" si="2"/>
        <v>0</v>
      </c>
      <c r="H13" s="236">
        <f ca="1">IF(ISNUMBER(A13),IF(OR($S13=$U13,NOT(ISNA(MATCH($D13*5+$V$4,Override!$C$6:$C$125,0)))),$Q13,0),"")</f>
        <v>18</v>
      </c>
      <c r="I13" s="395">
        <f t="shared" ca="1" si="3"/>
        <v>4</v>
      </c>
      <c r="J13" s="237">
        <f ca="1">COUNT(A12:A16)</f>
        <v>5</v>
      </c>
      <c r="K13" s="238">
        <f ca="1">IF(ISNUMBER(A13),RANK(F13,F12:F16),"")</f>
        <v>4</v>
      </c>
      <c r="L13" s="239">
        <f ca="1">IF(J13=5,VLOOKUP(K13,TPMatrix!$A$6:$B$10,2,0),IF(J13=4,VLOOKUP(K13,TPMatrix!$D$6:$E$9,2,0),0))</f>
        <v>24</v>
      </c>
      <c r="M13" s="239">
        <f ca="1">IF(COUNTIF(K12:K16,K13)&gt;=2,IF(J13=5,VLOOKUP(K13+1,TPMatrix!$A$6:$B$10,2,0),IF(J13=4,VLOOKUP(K13+1,TPMatrix!$D$6:$E$9,2,0),0)),"")</f>
        <v>12</v>
      </c>
      <c r="N13" s="239" t="str">
        <f ca="1">IF(COUNTIF(K12:K16,K13)&gt;=3,IF(J13=5,VLOOKUP(K13+2,TPMatrix!$A$6:$B$10,2,0),IF(J13=4,VLOOKUP(K13+2,TPMatrix!$D$6:$E$9,2,0),0)),"")</f>
        <v/>
      </c>
      <c r="O13" s="239" t="str">
        <f ca="1">IF(COUNTIF(K12:K16,K13)&gt;=4,IF(J13=5,VLOOKUP(K13+3,TPMatrix!$A$6:$B$10,2,0),IF(J13=4,VLOOKUP(K13+3,TPMatrix!$D$6:$E$9,2,0),0)),"")</f>
        <v/>
      </c>
      <c r="P13" s="239" t="str">
        <f ca="1">IF(COUNTIF(K12:K16,K13)&gt;=5,IF(J13=5,VLOOKUP(K13+4,TPMatrix!$A$6:$B$10,2,0),IF(J13=4,VLOOKUP(K13+4,TPMatrix!$D$6:$E$9,2,0),0)),"")</f>
        <v/>
      </c>
      <c r="Q13" s="239">
        <f t="shared" ca="1" si="4"/>
        <v>18</v>
      </c>
      <c r="R13" s="240">
        <f t="shared" ca="1" si="5"/>
        <v>2</v>
      </c>
      <c r="S13" s="238">
        <f t="shared" ca="1" si="6"/>
        <v>5</v>
      </c>
      <c r="T13" s="239">
        <f t="shared" si="7"/>
        <v>0</v>
      </c>
      <c r="U13" s="240">
        <f t="shared" ca="1" si="8"/>
        <v>5</v>
      </c>
      <c r="W13" s="36">
        <f t="shared" ca="1" si="9"/>
        <v>4</v>
      </c>
      <c r="X13" s="36">
        <f ca="1">IF(ISNUMBER($A13),$W13*(Methuselahs!$A$4+1)+$A13,"")</f>
        <v>156</v>
      </c>
      <c r="Y13" s="36">
        <f t="shared" ca="1" si="10"/>
        <v>5</v>
      </c>
      <c r="Z13" s="36">
        <f ca="1">IF(ISNUMBER($A13),VLOOKUP($A13,Methuselahs!$A$7:$X$206,5),"")</f>
        <v>9370279301</v>
      </c>
      <c r="AA13" s="36">
        <f t="shared" ca="1" si="11"/>
        <v>4</v>
      </c>
    </row>
    <row r="14" spans="1:28" ht="12.95" customHeight="1" x14ac:dyDescent="0.2">
      <c r="A14" s="137">
        <f ca="1">IF(ISBLANK('Tournament Info'!$B$11),"",INDIRECT(ADDRESS(ROW(),2,1,1,"Optimal Seating "&amp;'Tournament Info'!$B$11-1&amp;"R+F")))</f>
        <v>28</v>
      </c>
      <c r="B14" s="143">
        <f ca="1">IF(ISNUMBER(A14),VLOOKUP(A14,Methuselahs!$A$7:$E$206,2,0),"")</f>
        <v>0</v>
      </c>
      <c r="C14" s="241">
        <f ca="1">IF(ISNUMBER(A14),VLOOKUP(A14,Methuselahs!$A$7:$E$206,3,0),"")</f>
        <v>0</v>
      </c>
      <c r="D14" s="242">
        <f t="shared" ca="1" si="0"/>
        <v>2</v>
      </c>
      <c r="E14" s="243">
        <v>3</v>
      </c>
      <c r="F14" s="144">
        <f t="shared" si="1"/>
        <v>3</v>
      </c>
      <c r="G14" s="244">
        <f t="shared" ca="1" si="2"/>
        <v>1</v>
      </c>
      <c r="H14" s="245">
        <f ca="1">IF(ISNUMBER(A14),IF(OR($S14=$U14,NOT(ISNA(MATCH($D14*5+$V$4,Override!$C$6:$C$125,0)))),$Q14,0),"")</f>
        <v>60</v>
      </c>
      <c r="I14" s="396">
        <f t="shared" ca="1" si="3"/>
        <v>1</v>
      </c>
      <c r="J14" s="246">
        <f ca="1">COUNT(A12:A16)</f>
        <v>5</v>
      </c>
      <c r="K14" s="247">
        <f ca="1">IF(ISNUMBER(A14),RANK(F14,F12:F16),"")</f>
        <v>1</v>
      </c>
      <c r="L14" s="142">
        <f ca="1">IF(J14=5,VLOOKUP(K14,TPMatrix!$A$6:$B$10,2,0),IF(J14=4,VLOOKUP(K14,TPMatrix!$D$6:$E$9,2,0),0))</f>
        <v>60</v>
      </c>
      <c r="M14" s="142" t="str">
        <f ca="1">IF(COUNTIF(K12:K16,K14)&gt;=2,IF(J14=5,VLOOKUP(K14+1,TPMatrix!$A$6:$B$10,2,0),IF(J14=4,VLOOKUP(K14+1,TPMatrix!$D$6:$E$9,2,0),0)),"")</f>
        <v/>
      </c>
      <c r="N14" s="142" t="str">
        <f ca="1">IF(COUNTIF(K12:K16,K14)&gt;=3,IF(J14=5,VLOOKUP(K14+2,TPMatrix!$A$6:$B$10,2,0),IF(J14=4,VLOOKUP(K14+2,TPMatrix!$D$6:$E$9,2,0),0)),"")</f>
        <v/>
      </c>
      <c r="O14" s="142" t="str">
        <f ca="1">IF(COUNTIF(K12:K16,K14)&gt;=4,IF(J14=5,VLOOKUP(K14+3,TPMatrix!$A$6:$B$10,2,0),IF(J14=4,VLOOKUP(K14+3,TPMatrix!$D$6:$E$9,2,0),0)),"")</f>
        <v/>
      </c>
      <c r="P14" s="142" t="str">
        <f ca="1">IF(COUNTIF(K12:K16,K14)&gt;=5,IF(J14=5,VLOOKUP(K14+4,TPMatrix!$A$6:$B$10,2,0),IF(J14=4,VLOOKUP(K14+4,TPMatrix!$D$6:$E$9,2,0),0)),"")</f>
        <v/>
      </c>
      <c r="Q14" s="142">
        <f t="shared" ca="1" si="4"/>
        <v>60</v>
      </c>
      <c r="R14" s="248">
        <f t="shared" ca="1" si="5"/>
        <v>1</v>
      </c>
      <c r="S14" s="247">
        <f t="shared" ca="1" si="6"/>
        <v>5</v>
      </c>
      <c r="T14" s="142">
        <f t="shared" si="7"/>
        <v>3</v>
      </c>
      <c r="U14" s="248">
        <f t="shared" ca="1" si="8"/>
        <v>5</v>
      </c>
      <c r="W14" s="36">
        <f t="shared" ca="1" si="9"/>
        <v>1</v>
      </c>
      <c r="X14" s="36">
        <f ca="1">IF(ISNUMBER($A14),$W14*(Methuselahs!$A$4+1)+$A14,"")</f>
        <v>61</v>
      </c>
      <c r="Y14" s="36">
        <f t="shared" ca="1" si="10"/>
        <v>2</v>
      </c>
      <c r="Z14" s="36">
        <f ca="1">IF(ISNUMBER($A14),VLOOKUP($A14,Methuselahs!$A$7:$X$206,5),"")</f>
        <v>5521202573</v>
      </c>
      <c r="AA14" s="36">
        <f t="shared" ca="1" si="11"/>
        <v>1</v>
      </c>
    </row>
    <row r="15" spans="1:28" ht="12.95" customHeight="1" x14ac:dyDescent="0.2">
      <c r="A15" s="249">
        <f ca="1">IF(ISBLANK('Tournament Info'!$B$11),"",INDIRECT(ADDRESS(ROW(),2,1,1,"Optimal Seating "&amp;'Tournament Info'!$B$11-1&amp;"R+F")))</f>
        <v>13</v>
      </c>
      <c r="B15" s="250">
        <f ca="1">IF(ISNUMBER(A15),VLOOKUP(A15,Methuselahs!$A$7:$E$206,2,0),"")</f>
        <v>0</v>
      </c>
      <c r="C15" s="251">
        <f ca="1">IF(ISNUMBER(A15),VLOOKUP(A15,Methuselahs!$A$7:$E$206,3,0),"")</f>
        <v>0</v>
      </c>
      <c r="D15" s="252">
        <f t="shared" ca="1" si="0"/>
        <v>2</v>
      </c>
      <c r="E15" s="253">
        <v>1</v>
      </c>
      <c r="F15" s="397">
        <f t="shared" si="1"/>
        <v>1</v>
      </c>
      <c r="G15" s="235">
        <f t="shared" ca="1" si="2"/>
        <v>0</v>
      </c>
      <c r="H15" s="236">
        <f ca="1">IF(ISNUMBER(A15),IF(OR($S15=$U15,NOT(ISNA(MATCH($D15*5+$V$4,Override!$C$6:$C$125,0)))),$Q15,0),"")</f>
        <v>42</v>
      </c>
      <c r="I15" s="395">
        <f t="shared" ca="1" si="3"/>
        <v>2</v>
      </c>
      <c r="J15" s="254">
        <f ca="1">COUNT(A12:A16)</f>
        <v>5</v>
      </c>
      <c r="K15" s="238">
        <f ca="1">IF(ISNUMBER(A15),RANK(F15,F12:F16),"")</f>
        <v>2</v>
      </c>
      <c r="L15" s="239">
        <f ca="1">IF(J15=5,VLOOKUP(K15,TPMatrix!$A$6:$B$10,2,0),IF(J15=4,VLOOKUP(K15,TPMatrix!$D$6:$E$9,2,0),0))</f>
        <v>48</v>
      </c>
      <c r="M15" s="239">
        <f ca="1">IF(COUNTIF(K12:K16,K15)&gt;=2,IF(J15=5,VLOOKUP(K15+1,TPMatrix!$A$6:$B$10,2,0),IF(J15=4,VLOOKUP(K15+1,TPMatrix!$D$6:$E$9,2,0),0)),"")</f>
        <v>36</v>
      </c>
      <c r="N15" s="239" t="str">
        <f ca="1">IF(COUNTIF(K12:K16,K15)&gt;=3,IF(J15=5,VLOOKUP(K15+2,TPMatrix!$A$6:$B$10,2,0),IF(J15=4,VLOOKUP(K15+2,TPMatrix!$D$6:$E$9,2,0),0)),"")</f>
        <v/>
      </c>
      <c r="O15" s="239" t="str">
        <f ca="1">IF(COUNTIF(K12:K16,K15)&gt;=4,IF(J15=5,VLOOKUP(K15+3,TPMatrix!$A$6:$B$10,2,0),IF(J15=4,VLOOKUP(K15+3,TPMatrix!$D$6:$E$9,2,0),0)),"")</f>
        <v/>
      </c>
      <c r="P15" s="239" t="str">
        <f ca="1">IF(COUNTIF(K12:K16,K15)&gt;=5,IF(J15=5,VLOOKUP(K15+4,TPMatrix!$A$6:$B$10,2,0),IF(J15=4,VLOOKUP(K15+4,TPMatrix!$D$6:$E$9,2,0),0)),"")</f>
        <v/>
      </c>
      <c r="Q15" s="239">
        <f t="shared" ca="1" si="4"/>
        <v>42</v>
      </c>
      <c r="R15" s="240">
        <f t="shared" ca="1" si="5"/>
        <v>2</v>
      </c>
      <c r="S15" s="238">
        <f t="shared" ca="1" si="6"/>
        <v>5</v>
      </c>
      <c r="T15" s="239">
        <f t="shared" si="7"/>
        <v>1</v>
      </c>
      <c r="U15" s="240">
        <f t="shared" ca="1" si="8"/>
        <v>5</v>
      </c>
      <c r="W15" s="36">
        <f t="shared" ca="1" si="9"/>
        <v>2</v>
      </c>
      <c r="X15" s="36">
        <f ca="1">IF(ISNUMBER($A15),$W15*(Methuselahs!$A$4+1)+$A15,"")</f>
        <v>79</v>
      </c>
      <c r="Y15" s="36">
        <f t="shared" ca="1" si="10"/>
        <v>2</v>
      </c>
      <c r="Z15" s="36">
        <f ca="1">IF(ISNUMBER($A15),VLOOKUP($A15,Methuselahs!$A$7:$X$206,5),"")</f>
        <v>0</v>
      </c>
      <c r="AA15" s="36">
        <f t="shared" ca="1" si="11"/>
        <v>2</v>
      </c>
    </row>
    <row r="16" spans="1:28" ht="12.95" customHeight="1" x14ac:dyDescent="0.2">
      <c r="A16" s="255">
        <f ca="1">IF(ISBLANK('Tournament Info'!$B$11),"",INDIRECT(ADDRESS(ROW(),2,1,1,"Optimal Seating "&amp;'Tournament Info'!$B$11-1&amp;"R+F")))</f>
        <v>4</v>
      </c>
      <c r="B16" s="256">
        <f ca="1">IF(ISNUMBER(A16),VLOOKUP(A16,Methuselahs!$A$7:$E$206,2,0),"")</f>
        <v>0</v>
      </c>
      <c r="C16" s="257">
        <f ca="1">IF(ISNUMBER(A16),VLOOKUP(A16,Methuselahs!$A$7:$E$206,3,0),"")</f>
        <v>0</v>
      </c>
      <c r="D16" s="258">
        <f t="shared" ca="1" si="0"/>
        <v>2</v>
      </c>
      <c r="E16" s="259"/>
      <c r="F16" s="398">
        <f t="shared" si="1"/>
        <v>0</v>
      </c>
      <c r="G16" s="244">
        <f t="shared" ca="1" si="2"/>
        <v>0</v>
      </c>
      <c r="H16" s="245">
        <f ca="1">IF(ISNUMBER(A16),IF(OR($S16=$U16,NOT(ISNA(MATCH($D16*5+$V$4,Override!$C$6:$C$125,0)))),$Q16,0),"")</f>
        <v>18</v>
      </c>
      <c r="I16" s="396">
        <f t="shared" ca="1" si="3"/>
        <v>4</v>
      </c>
      <c r="J16" s="260">
        <f ca="1">COUNT(A12:A16)</f>
        <v>5</v>
      </c>
      <c r="K16" s="261">
        <f ca="1">IF(ISNUMBER(A16),RANK(F16,F12:F16),"")</f>
        <v>4</v>
      </c>
      <c r="L16" s="262">
        <f ca="1">IF(J16=5,VLOOKUP(K16,TPMatrix!$A$6:$B$10,2,0),IF(J16=4,VLOOKUP(K16,TPMatrix!$D$6:$E$9,2,0),0))</f>
        <v>24</v>
      </c>
      <c r="M16" s="262">
        <f ca="1">IF(COUNTIF(K12:K16,K16)&gt;=2,IF(J16=5,VLOOKUP(K16+1,TPMatrix!$A$6:$B$10,2,0),IF(J16=4,VLOOKUP(K16+1,TPMatrix!$D$6:$E$9,2,0),0)),"")</f>
        <v>12</v>
      </c>
      <c r="N16" s="262" t="str">
        <f ca="1">IF(COUNTIF(K12:K16,K16)&gt;=3,IF(J16=5,VLOOKUP(K16+2,TPMatrix!$A$6:$B$10,2,0),IF(J16=4,VLOOKUP(K16+2,TPMatrix!$D$6:$E$9,2,0),0)),"")</f>
        <v/>
      </c>
      <c r="O16" s="262" t="str">
        <f ca="1">IF(COUNTIF(K12:K16,K16)&gt;=4,IF(J16=5,VLOOKUP(K16+3,TPMatrix!$A$6:$B$10,2,0),IF(J16=4,VLOOKUP(K16+3,TPMatrix!$D$6:$E$9,2,0),0)),"")</f>
        <v/>
      </c>
      <c r="P16" s="262" t="str">
        <f ca="1">IF(COUNTIF(K12:K16,K16)&gt;=5,IF(J16=5,VLOOKUP(K16+4,TPMatrix!$A$6:$B$10,2,0),IF(J16=4,VLOOKUP(K16+4,TPMatrix!$D$6:$E$9,2,0),0)),"")</f>
        <v/>
      </c>
      <c r="Q16" s="262">
        <f t="shared" ca="1" si="4"/>
        <v>18</v>
      </c>
      <c r="R16" s="263">
        <f t="shared" ca="1" si="5"/>
        <v>2</v>
      </c>
      <c r="S16" s="261">
        <f t="shared" ca="1" si="6"/>
        <v>5</v>
      </c>
      <c r="T16" s="262">
        <f t="shared" si="7"/>
        <v>0</v>
      </c>
      <c r="U16" s="263">
        <f t="shared" ca="1" si="8"/>
        <v>5</v>
      </c>
      <c r="W16" s="36">
        <f t="shared" ca="1" si="9"/>
        <v>4</v>
      </c>
      <c r="X16" s="36">
        <f ca="1">IF(ISNUMBER($A16),$W16*(Methuselahs!$A$4+1)+$A16,"")</f>
        <v>136</v>
      </c>
      <c r="Y16" s="36">
        <f t="shared" ca="1" si="10"/>
        <v>5</v>
      </c>
      <c r="Z16" s="36" t="e">
        <f ca="1">IF(ISNUMBER($A16),VLOOKUP($A16,Methuselahs!$A$7:$X$206,5),"")</f>
        <v>#N/A</v>
      </c>
      <c r="AA16" s="36">
        <f t="shared" ca="1" si="11"/>
        <v>4</v>
      </c>
    </row>
    <row r="17" spans="1:27" ht="12.95" customHeight="1" x14ac:dyDescent="0.2">
      <c r="A17" s="219">
        <f ca="1">IF(ISBLANK('Tournament Info'!$B$11),"",INDIRECT(ADDRESS(ROW(),2,1,1,"Optimal Seating "&amp;'Tournament Info'!$B$11-1&amp;"R+F")))</f>
        <v>10</v>
      </c>
      <c r="B17" s="143">
        <f ca="1">IF(ISNUMBER(A17),VLOOKUP(A17,Methuselahs!$A$7:$E$206,2,0),"")</f>
        <v>0</v>
      </c>
      <c r="C17" s="220">
        <f ca="1">IF(ISNUMBER(A17),VLOOKUP(A17,Methuselahs!$A$7:$E$206,3,0),"")</f>
        <v>0</v>
      </c>
      <c r="D17" s="221">
        <f t="shared" ca="1" si="0"/>
        <v>3</v>
      </c>
      <c r="E17" s="222">
        <v>5</v>
      </c>
      <c r="F17" s="393">
        <f t="shared" si="1"/>
        <v>5</v>
      </c>
      <c r="G17" s="223">
        <f t="shared" ca="1" si="2"/>
        <v>1</v>
      </c>
      <c r="H17" s="224">
        <f ca="1">IF(ISNUMBER(A17),IF(OR($S17=$U17,NOT(ISNA(MATCH($D17*5+$V$4,Override!$C$6:$C$125,0)))),$Q17,0),"")</f>
        <v>60</v>
      </c>
      <c r="I17" s="394">
        <f t="shared" ca="1" si="3"/>
        <v>1</v>
      </c>
      <c r="J17" s="225">
        <f ca="1">COUNT(A17:A21)</f>
        <v>5</v>
      </c>
      <c r="K17" s="226">
        <f ca="1">IF(ISNUMBER(A17),RANK(F17,F17:F21),"")</f>
        <v>1</v>
      </c>
      <c r="L17" s="227">
        <f ca="1">IF(J17=5,VLOOKUP(K17,TPMatrix!$A$6:$B$10,2,0),IF(J17=4,VLOOKUP(K17,TPMatrix!$D$6:$E$9,2,0),0))</f>
        <v>60</v>
      </c>
      <c r="M17" s="227" t="str">
        <f ca="1">IF(COUNTIF(K17:K21,K17)&gt;=2,IF(J17=5,VLOOKUP(K17+1,TPMatrix!$A$6:$B$10,2,0),IF(J17=4,VLOOKUP(K17+1,TPMatrix!$D$6:$E$9,2,0),0)),"")</f>
        <v/>
      </c>
      <c r="N17" s="227" t="str">
        <f ca="1">IF(COUNTIF(K17:K21,K17)&gt;=3,IF(J17=5,VLOOKUP(K17+2,TPMatrix!$A$6:$B$10,2,0),IF(J17=4,VLOOKUP(K17+2,TPMatrix!$D$6:$E$9,2,0),0)),"")</f>
        <v/>
      </c>
      <c r="O17" s="227" t="str">
        <f ca="1">IF(COUNTIF(K17:K21,K17)&gt;=4,IF(J17=5,VLOOKUP(K17+3,TPMatrix!$A$6:$B$10,2,0),IF(J17=4,VLOOKUP(K17+3,TPMatrix!$D$6:$E$9,2,0),0)),"")</f>
        <v/>
      </c>
      <c r="P17" s="227" t="str">
        <f ca="1">IF(COUNTIF(K17:K21,K17)&gt;=5,IF(J17=5,VLOOKUP(K17+4,TPMatrix!$A$6:$B$10,2,0),IF(J17=4,VLOOKUP(K17+4,TPMatrix!$D$6:$E$9,2,0),0)),"")</f>
        <v/>
      </c>
      <c r="Q17" s="227">
        <f t="shared" ca="1" si="4"/>
        <v>60</v>
      </c>
      <c r="R17" s="228">
        <f t="shared" ca="1" si="5"/>
        <v>1</v>
      </c>
      <c r="S17" s="229">
        <f t="shared" ca="1" si="6"/>
        <v>5</v>
      </c>
      <c r="T17" s="230">
        <f t="shared" si="7"/>
        <v>5</v>
      </c>
      <c r="U17" s="231">
        <f t="shared" ca="1" si="8"/>
        <v>5</v>
      </c>
      <c r="W17" s="36">
        <f t="shared" ca="1" si="9"/>
        <v>1</v>
      </c>
      <c r="X17" s="36">
        <f ca="1">IF(ISNUMBER($A17),$W17*(Methuselahs!$A$4+1)+$A17,"")</f>
        <v>43</v>
      </c>
      <c r="Y17" s="36">
        <f t="shared" ca="1" si="10"/>
        <v>1</v>
      </c>
      <c r="Z17" s="36">
        <f ca="1">IF(ISNUMBER($A17),VLOOKUP($A17,Methuselahs!$A$7:$X$206,5),"")</f>
        <v>0</v>
      </c>
      <c r="AA17" s="36">
        <f t="shared" ca="1" si="11"/>
        <v>1</v>
      </c>
    </row>
    <row r="18" spans="1:27" ht="12.95" customHeight="1" x14ac:dyDescent="0.2">
      <c r="A18" s="111">
        <f ca="1">IF(ISBLANK('Tournament Info'!$B$11),"",INDIRECT(ADDRESS(ROW(),2,1,1,"Optimal Seating "&amp;'Tournament Info'!$B$11-1&amp;"R+F")))</f>
        <v>25</v>
      </c>
      <c r="B18" s="117">
        <f ca="1">IF(ISNUMBER(A18),VLOOKUP(A18,Methuselahs!$A$7:$E$206,2,0),"")</f>
        <v>0</v>
      </c>
      <c r="C18" s="232">
        <f ca="1">IF(ISNUMBER(A18),VLOOKUP(A18,Methuselahs!$A$7:$E$206,3,0),"")</f>
        <v>0</v>
      </c>
      <c r="D18" s="233">
        <f t="shared" ca="1" si="0"/>
        <v>3</v>
      </c>
      <c r="E18" s="234"/>
      <c r="F18" s="118">
        <f t="shared" si="1"/>
        <v>0</v>
      </c>
      <c r="G18" s="235">
        <f t="shared" ca="1" si="2"/>
        <v>0</v>
      </c>
      <c r="H18" s="236">
        <f ca="1">IF(ISNUMBER(A18),IF(OR($S18=$U18,NOT(ISNA(MATCH($D18*5+$V$4,Override!$C$6:$C$125,0)))),$Q18,0),"")</f>
        <v>30</v>
      </c>
      <c r="I18" s="395">
        <f t="shared" ca="1" si="3"/>
        <v>2</v>
      </c>
      <c r="J18" s="237">
        <f ca="1">COUNT(A17:A21)</f>
        <v>5</v>
      </c>
      <c r="K18" s="238">
        <f ca="1">IF(ISNUMBER(A18),RANK(F18,F17:F21),"")</f>
        <v>2</v>
      </c>
      <c r="L18" s="239">
        <f ca="1">IF(J18=5,VLOOKUP(K18,TPMatrix!$A$6:$B$10,2,0),IF(J18=4,VLOOKUP(K18,TPMatrix!$D$6:$E$9,2,0),0))</f>
        <v>48</v>
      </c>
      <c r="M18" s="239">
        <f ca="1">IF(COUNTIF(K17:K21,K18)&gt;=2,IF(J18=5,VLOOKUP(K18+1,TPMatrix!$A$6:$B$10,2,0),IF(J18=4,VLOOKUP(K18+1,TPMatrix!$D$6:$E$9,2,0),0)),"")</f>
        <v>36</v>
      </c>
      <c r="N18" s="239">
        <f ca="1">IF(COUNTIF(K17:K21,K18)&gt;=3,IF(J18=5,VLOOKUP(K18+2,TPMatrix!$A$6:$B$10,2,0),IF(J18=4,VLOOKUP(K18+2,TPMatrix!$D$6:$E$9,2,0),0)),"")</f>
        <v>24</v>
      </c>
      <c r="O18" s="239">
        <f ca="1">IF(COUNTIF(K17:K21,K18)&gt;=4,IF(J18=5,VLOOKUP(K18+3,TPMatrix!$A$6:$B$10,2,0),IF(J18=4,VLOOKUP(K18+3,TPMatrix!$D$6:$E$9,2,0),0)),"")</f>
        <v>12</v>
      </c>
      <c r="P18" s="239" t="str">
        <f ca="1">IF(COUNTIF(K17:K21,K18)&gt;=5,IF(J18=5,VLOOKUP(K18+4,TPMatrix!$A$6:$B$10,2,0),IF(J18=4,VLOOKUP(K18+4,TPMatrix!$D$6:$E$9,2,0),0)),"")</f>
        <v/>
      </c>
      <c r="Q18" s="239">
        <f t="shared" ca="1" si="4"/>
        <v>30</v>
      </c>
      <c r="R18" s="240">
        <f t="shared" ca="1" si="5"/>
        <v>4</v>
      </c>
      <c r="S18" s="238">
        <f t="shared" ca="1" si="6"/>
        <v>5</v>
      </c>
      <c r="T18" s="239">
        <f t="shared" si="7"/>
        <v>0</v>
      </c>
      <c r="U18" s="240">
        <f t="shared" ca="1" si="8"/>
        <v>5</v>
      </c>
      <c r="W18" s="36">
        <f t="shared" ca="1" si="9"/>
        <v>2</v>
      </c>
      <c r="X18" s="36">
        <f ca="1">IF(ISNUMBER($A18),$W18*(Methuselahs!$A$4+1)+$A18,"")</f>
        <v>91</v>
      </c>
      <c r="Y18" s="36">
        <f t="shared" ca="1" si="10"/>
        <v>3</v>
      </c>
      <c r="Z18" s="36">
        <f ca="1">IF(ISNUMBER($A18),VLOOKUP($A18,Methuselahs!$A$7:$X$206,5),"")</f>
        <v>9370279301</v>
      </c>
      <c r="AA18" s="36">
        <f t="shared" ca="1" si="11"/>
        <v>2</v>
      </c>
    </row>
    <row r="19" spans="1:27" ht="12.95" customHeight="1" x14ac:dyDescent="0.2">
      <c r="A19" s="137">
        <f ca="1">IF(ISBLANK('Tournament Info'!$B$11),"",INDIRECT(ADDRESS(ROW(),2,1,1,"Optimal Seating "&amp;'Tournament Info'!$B$11-1&amp;"R+F")))</f>
        <v>30</v>
      </c>
      <c r="B19" s="143">
        <f ca="1">IF(ISNUMBER(A19),VLOOKUP(A19,Methuselahs!$A$7:$E$206,2,0),"")</f>
        <v>0</v>
      </c>
      <c r="C19" s="241">
        <f ca="1">IF(ISNUMBER(A19),VLOOKUP(A19,Methuselahs!$A$7:$E$206,3,0),"")</f>
        <v>0</v>
      </c>
      <c r="D19" s="242">
        <f t="shared" ca="1" si="0"/>
        <v>3</v>
      </c>
      <c r="E19" s="243"/>
      <c r="F19" s="144">
        <f t="shared" si="1"/>
        <v>0</v>
      </c>
      <c r="G19" s="244">
        <f t="shared" ca="1" si="2"/>
        <v>0</v>
      </c>
      <c r="H19" s="245">
        <f ca="1">IF(ISNUMBER(A19),IF(OR($S19=$U19,NOT(ISNA(MATCH($D19*5+$V$4,Override!$C$6:$C$125,0)))),$Q19,0),"")</f>
        <v>30</v>
      </c>
      <c r="I19" s="396">
        <f t="shared" ca="1" si="3"/>
        <v>2</v>
      </c>
      <c r="J19" s="246">
        <f ca="1">COUNT(A17:A21)</f>
        <v>5</v>
      </c>
      <c r="K19" s="247">
        <f ca="1">IF(ISNUMBER(A19),RANK(F19,F17:F21),"")</f>
        <v>2</v>
      </c>
      <c r="L19" s="142">
        <f ca="1">IF(J19=5,VLOOKUP(K19,TPMatrix!$A$6:$B$10,2,0),IF(J19=4,VLOOKUP(K19,TPMatrix!$D$6:$E$9,2,0),0))</f>
        <v>48</v>
      </c>
      <c r="M19" s="142">
        <f ca="1">IF(COUNTIF(K17:K21,K19)&gt;=2,IF(J19=5,VLOOKUP(K19+1,TPMatrix!$A$6:$B$10,2,0),IF(J19=4,VLOOKUP(K19+1,TPMatrix!$D$6:$E$9,2,0),0)),"")</f>
        <v>36</v>
      </c>
      <c r="N19" s="142">
        <f ca="1">IF(COUNTIF(K17:K21,K19)&gt;=3,IF(J19=5,VLOOKUP(K19+2,TPMatrix!$A$6:$B$10,2,0),IF(J19=4,VLOOKUP(K19+2,TPMatrix!$D$6:$E$9,2,0),0)),"")</f>
        <v>24</v>
      </c>
      <c r="O19" s="142">
        <f ca="1">IF(COUNTIF(K17:K21,K19)&gt;=4,IF(J19=5,VLOOKUP(K19+3,TPMatrix!$A$6:$B$10,2,0),IF(J19=4,VLOOKUP(K19+3,TPMatrix!$D$6:$E$9,2,0),0)),"")</f>
        <v>12</v>
      </c>
      <c r="P19" s="142" t="str">
        <f ca="1">IF(COUNTIF(K17:K21,K19)&gt;=5,IF(J19=5,VLOOKUP(K19+4,TPMatrix!$A$6:$B$10,2,0),IF(J19=4,VLOOKUP(K19+4,TPMatrix!$D$6:$E$9,2,0),0)),"")</f>
        <v/>
      </c>
      <c r="Q19" s="142">
        <f t="shared" ca="1" si="4"/>
        <v>30</v>
      </c>
      <c r="R19" s="248">
        <f t="shared" ca="1" si="5"/>
        <v>4</v>
      </c>
      <c r="S19" s="247">
        <f t="shared" ca="1" si="6"/>
        <v>5</v>
      </c>
      <c r="T19" s="142">
        <f t="shared" si="7"/>
        <v>0</v>
      </c>
      <c r="U19" s="248">
        <f t="shared" ca="1" si="8"/>
        <v>5</v>
      </c>
      <c r="W19" s="36">
        <f t="shared" ca="1" si="9"/>
        <v>2</v>
      </c>
      <c r="X19" s="36">
        <f ca="1">IF(ISNUMBER($A19),$W19*(Methuselahs!$A$4+1)+$A19,"")</f>
        <v>96</v>
      </c>
      <c r="Y19" s="36">
        <f t="shared" ca="1" si="10"/>
        <v>4</v>
      </c>
      <c r="Z19" s="36">
        <f ca="1">IF(ISNUMBER($A19),VLOOKUP($A19,Methuselahs!$A$7:$X$206,5),"")</f>
        <v>5521202573</v>
      </c>
      <c r="AA19" s="36">
        <f t="shared" ca="1" si="11"/>
        <v>2</v>
      </c>
    </row>
    <row r="20" spans="1:27" ht="12.95" customHeight="1" x14ac:dyDescent="0.2">
      <c r="A20" s="249">
        <f ca="1">IF(ISBLANK('Tournament Info'!$B$11),"",INDIRECT(ADDRESS(ROW(),2,1,1,"Optimal Seating "&amp;'Tournament Info'!$B$11-1&amp;"R+F")))</f>
        <v>11</v>
      </c>
      <c r="B20" s="250">
        <f ca="1">IF(ISNUMBER(A20),VLOOKUP(A20,Methuselahs!$A$7:$E$206,2,0),"")</f>
        <v>0</v>
      </c>
      <c r="C20" s="251">
        <f ca="1">IF(ISNUMBER(A20),VLOOKUP(A20,Methuselahs!$A$7:$E$206,3,0),"")</f>
        <v>0</v>
      </c>
      <c r="D20" s="252">
        <f t="shared" ca="1" si="0"/>
        <v>3</v>
      </c>
      <c r="E20" s="253"/>
      <c r="F20" s="397">
        <f t="shared" si="1"/>
        <v>0</v>
      </c>
      <c r="G20" s="235">
        <f t="shared" ca="1" si="2"/>
        <v>0</v>
      </c>
      <c r="H20" s="236">
        <f ca="1">IF(ISNUMBER(A20),IF(OR($S20=$U20,NOT(ISNA(MATCH($D20*5+$V$4,Override!$C$6:$C$125,0)))),$Q20,0),"")</f>
        <v>30</v>
      </c>
      <c r="I20" s="395">
        <f t="shared" ca="1" si="3"/>
        <v>2</v>
      </c>
      <c r="J20" s="254">
        <f ca="1">COUNT(A17:A21)</f>
        <v>5</v>
      </c>
      <c r="K20" s="238">
        <f ca="1">IF(ISNUMBER(A20),RANK(F20,F17:F21),"")</f>
        <v>2</v>
      </c>
      <c r="L20" s="239">
        <f ca="1">IF(J20=5,VLOOKUP(K20,TPMatrix!$A$6:$B$10,2,0),IF(J20=4,VLOOKUP(K20,TPMatrix!$D$6:$E$9,2,0),0))</f>
        <v>48</v>
      </c>
      <c r="M20" s="239">
        <f ca="1">IF(COUNTIF(K17:K21,K20)&gt;=2,IF(J20=5,VLOOKUP(K20+1,TPMatrix!$A$6:$B$10,2,0),IF(J20=4,VLOOKUP(K20+1,TPMatrix!$D$6:$E$9,2,0),0)),"")</f>
        <v>36</v>
      </c>
      <c r="N20" s="239">
        <f ca="1">IF(COUNTIF(K17:K21,K20)&gt;=3,IF(J20=5,VLOOKUP(K20+2,TPMatrix!$A$6:$B$10,2,0),IF(J20=4,VLOOKUP(K20+2,TPMatrix!$D$6:$E$9,2,0),0)),"")</f>
        <v>24</v>
      </c>
      <c r="O20" s="239">
        <f ca="1">IF(COUNTIF(K17:K21,K20)&gt;=4,IF(J20=5,VLOOKUP(K20+3,TPMatrix!$A$6:$B$10,2,0),IF(J20=4,VLOOKUP(K20+3,TPMatrix!$D$6:$E$9,2,0),0)),"")</f>
        <v>12</v>
      </c>
      <c r="P20" s="239" t="str">
        <f ca="1">IF(COUNTIF(K17:K21,K20)&gt;=5,IF(J20=5,VLOOKUP(K20+4,TPMatrix!$A$6:$B$10,2,0),IF(J20=4,VLOOKUP(K20+4,TPMatrix!$D$6:$E$9,2,0),0)),"")</f>
        <v/>
      </c>
      <c r="Q20" s="239">
        <f t="shared" ca="1" si="4"/>
        <v>30</v>
      </c>
      <c r="R20" s="240">
        <f t="shared" ca="1" si="5"/>
        <v>4</v>
      </c>
      <c r="S20" s="238">
        <f t="shared" ca="1" si="6"/>
        <v>5</v>
      </c>
      <c r="T20" s="239">
        <f t="shared" si="7"/>
        <v>0</v>
      </c>
      <c r="U20" s="240">
        <f t="shared" ca="1" si="8"/>
        <v>5</v>
      </c>
      <c r="W20" s="36">
        <f t="shared" ca="1" si="9"/>
        <v>2</v>
      </c>
      <c r="X20" s="36">
        <f ca="1">IF(ISNUMBER($A20),$W20*(Methuselahs!$A$4+1)+$A20,"")</f>
        <v>77</v>
      </c>
      <c r="Y20" s="36">
        <f t="shared" ca="1" si="10"/>
        <v>1</v>
      </c>
      <c r="Z20" s="36">
        <f ca="1">IF(ISNUMBER($A20),VLOOKUP($A20,Methuselahs!$A$7:$X$206,5),"")</f>
        <v>0</v>
      </c>
      <c r="AA20" s="36">
        <f t="shared" ca="1" si="11"/>
        <v>2</v>
      </c>
    </row>
    <row r="21" spans="1:27" ht="12.95" customHeight="1" x14ac:dyDescent="0.2">
      <c r="A21" s="255">
        <f ca="1">IF(ISBLANK('Tournament Info'!$B$11),"",INDIRECT(ADDRESS(ROW(),2,1,1,"Optimal Seating "&amp;'Tournament Info'!$B$11-1&amp;"R+F")))</f>
        <v>22</v>
      </c>
      <c r="B21" s="256">
        <f ca="1">IF(ISNUMBER(A21),VLOOKUP(A21,Methuselahs!$A$7:$E$206,2,0),"")</f>
        <v>0</v>
      </c>
      <c r="C21" s="257">
        <f ca="1">IF(ISNUMBER(A21),VLOOKUP(A21,Methuselahs!$A$7:$E$206,3,0),"")</f>
        <v>0</v>
      </c>
      <c r="D21" s="258">
        <f t="shared" ca="1" si="0"/>
        <v>3</v>
      </c>
      <c r="E21" s="259"/>
      <c r="F21" s="398">
        <f t="shared" si="1"/>
        <v>0</v>
      </c>
      <c r="G21" s="244">
        <f t="shared" ca="1" si="2"/>
        <v>0</v>
      </c>
      <c r="H21" s="245">
        <f ca="1">IF(ISNUMBER(A21),IF(OR($S21=$U21,NOT(ISNA(MATCH($D21*5+$V$4,Override!$C$6:$C$125,0)))),$Q21,0),"")</f>
        <v>30</v>
      </c>
      <c r="I21" s="396">
        <f t="shared" ca="1" si="3"/>
        <v>2</v>
      </c>
      <c r="J21" s="260">
        <f ca="1">COUNT(A17:A21)</f>
        <v>5</v>
      </c>
      <c r="K21" s="261">
        <f ca="1">IF(ISNUMBER(A21),RANK(F21,F17:F21),"")</f>
        <v>2</v>
      </c>
      <c r="L21" s="262">
        <f ca="1">IF(J21=5,VLOOKUP(K21,TPMatrix!$A$6:$B$10,2,0),IF(J21=4,VLOOKUP(K21,TPMatrix!$D$6:$E$9,2,0),0))</f>
        <v>48</v>
      </c>
      <c r="M21" s="262">
        <f ca="1">IF(COUNTIF(K17:K21,K21)&gt;=2,IF(J21=5,VLOOKUP(K21+1,TPMatrix!$A$6:$B$10,2,0),IF(J21=4,VLOOKUP(K21+1,TPMatrix!$D$6:$E$9,2,0),0)),"")</f>
        <v>36</v>
      </c>
      <c r="N21" s="262">
        <f ca="1">IF(COUNTIF(K17:K21,K21)&gt;=3,IF(J21=5,VLOOKUP(K21+2,TPMatrix!$A$6:$B$10,2,0),IF(J21=4,VLOOKUP(K21+2,TPMatrix!$D$6:$E$9,2,0),0)),"")</f>
        <v>24</v>
      </c>
      <c r="O21" s="262">
        <f ca="1">IF(COUNTIF(K17:K21,K21)&gt;=4,IF(J21=5,VLOOKUP(K21+3,TPMatrix!$A$6:$B$10,2,0),IF(J21=4,VLOOKUP(K21+3,TPMatrix!$D$6:$E$9,2,0),0)),"")</f>
        <v>12</v>
      </c>
      <c r="P21" s="262" t="str">
        <f ca="1">IF(COUNTIF(K17:K21,K21)&gt;=5,IF(J21=5,VLOOKUP(K21+4,TPMatrix!$A$6:$B$10,2,0),IF(J21=4,VLOOKUP(K21+4,TPMatrix!$D$6:$E$9,2,0),0)),"")</f>
        <v/>
      </c>
      <c r="Q21" s="262">
        <f t="shared" ca="1" si="4"/>
        <v>30</v>
      </c>
      <c r="R21" s="263">
        <f t="shared" ca="1" si="5"/>
        <v>4</v>
      </c>
      <c r="S21" s="261">
        <f t="shared" ca="1" si="6"/>
        <v>5</v>
      </c>
      <c r="T21" s="262">
        <f t="shared" si="7"/>
        <v>0</v>
      </c>
      <c r="U21" s="263">
        <f t="shared" ca="1" si="8"/>
        <v>5</v>
      </c>
      <c r="W21" s="36">
        <f t="shared" ca="1" si="9"/>
        <v>2</v>
      </c>
      <c r="X21" s="36">
        <f ca="1">IF(ISNUMBER($A21),$W21*(Methuselahs!$A$4+1)+$A21,"")</f>
        <v>88</v>
      </c>
      <c r="Y21" s="36">
        <f t="shared" ca="1" si="10"/>
        <v>2</v>
      </c>
      <c r="Z21" s="36">
        <f ca="1">IF(ISNUMBER($A21),VLOOKUP($A21,Methuselahs!$A$7:$X$206,5),"")</f>
        <v>9370279301</v>
      </c>
      <c r="AA21" s="36">
        <f t="shared" ca="1" si="11"/>
        <v>2</v>
      </c>
    </row>
    <row r="22" spans="1:27" ht="12.95" customHeight="1" x14ac:dyDescent="0.2">
      <c r="A22" s="219">
        <f ca="1">IF(ISBLANK('Tournament Info'!$B$11),"",INDIRECT(ADDRESS(ROW(),2,1,1,"Optimal Seating "&amp;'Tournament Info'!$B$11-1&amp;"R+F")))</f>
        <v>26</v>
      </c>
      <c r="B22" s="143">
        <f ca="1">IF(ISNUMBER(A22),VLOOKUP(A22,Methuselahs!$A$7:$E$206,2,0),"")</f>
        <v>0</v>
      </c>
      <c r="C22" s="220">
        <f ca="1">IF(ISNUMBER(A22),VLOOKUP(A22,Methuselahs!$A$7:$E$206,3,0),"")</f>
        <v>0</v>
      </c>
      <c r="D22" s="221">
        <f t="shared" ca="1" si="0"/>
        <v>4</v>
      </c>
      <c r="E22" s="222">
        <v>2</v>
      </c>
      <c r="F22" s="393">
        <f t="shared" si="1"/>
        <v>2</v>
      </c>
      <c r="G22" s="223">
        <f t="shared" ca="1" si="2"/>
        <v>0</v>
      </c>
      <c r="H22" s="224">
        <f ca="1">IF(ISNUMBER(A22),IF(OR($S22=$U22,NOT(ISNA(MATCH($D22*5+$V$4,Override!$C$6:$C$125,0)))),$Q22,0),"")</f>
        <v>48</v>
      </c>
      <c r="I22" s="394">
        <f t="shared" ca="1" si="3"/>
        <v>2</v>
      </c>
      <c r="J22" s="225">
        <f ca="1">COUNT(A22:A26)</f>
        <v>5</v>
      </c>
      <c r="K22" s="226">
        <f ca="1">IF(ISNUMBER(A22),RANK(F22,F22:F26),"")</f>
        <v>2</v>
      </c>
      <c r="L22" s="227">
        <f ca="1">IF(J22=5,VLOOKUP(K22,TPMatrix!$A$6:$B$10,2,0),IF(J22=4,VLOOKUP(K22,TPMatrix!$D$6:$E$9,2,0),0))</f>
        <v>48</v>
      </c>
      <c r="M22" s="227" t="str">
        <f ca="1">IF(COUNTIF(K22:K26,K22)&gt;=2,IF(J22=5,VLOOKUP(K22+1,TPMatrix!$A$6:$B$10,2,0),IF(J22=4,VLOOKUP(K22+1,TPMatrix!$D$6:$E$9,2,0),0)),"")</f>
        <v/>
      </c>
      <c r="N22" s="227" t="str">
        <f ca="1">IF(COUNTIF(K22:K26,K22)&gt;=3,IF(J22=5,VLOOKUP(K22+2,TPMatrix!$A$6:$B$10,2,0),IF(J22=4,VLOOKUP(K22+2,TPMatrix!$D$6:$E$9,2,0),0)),"")</f>
        <v/>
      </c>
      <c r="O22" s="227" t="str">
        <f ca="1">IF(COUNTIF(K22:K26,K22)&gt;=4,IF(J22=5,VLOOKUP(K22+3,TPMatrix!$A$6:$B$10,2,0),IF(J22=4,VLOOKUP(K22+3,TPMatrix!$D$6:$E$9,2,0),0)),"")</f>
        <v/>
      </c>
      <c r="P22" s="227" t="str">
        <f ca="1">IF(COUNTIF(K22:K26,K22)&gt;=5,IF(J22=5,VLOOKUP(K22+4,TPMatrix!$A$6:$B$10,2,0),IF(J22=4,VLOOKUP(K22+4,TPMatrix!$D$6:$E$9,2,0),0)),"")</f>
        <v/>
      </c>
      <c r="Q22" s="227">
        <f t="shared" ca="1" si="4"/>
        <v>48</v>
      </c>
      <c r="R22" s="228">
        <f t="shared" ca="1" si="5"/>
        <v>1</v>
      </c>
      <c r="S22" s="229">
        <f t="shared" ca="1" si="6"/>
        <v>5</v>
      </c>
      <c r="T22" s="230">
        <f t="shared" si="7"/>
        <v>2</v>
      </c>
      <c r="U22" s="231">
        <f t="shared" ca="1" si="8"/>
        <v>5</v>
      </c>
      <c r="W22" s="36">
        <f t="shared" ca="1" si="9"/>
        <v>2</v>
      </c>
      <c r="X22" s="36">
        <f ca="1">IF(ISNUMBER($A22),$W22*(Methuselahs!$A$4+1)+$A22,"")</f>
        <v>92</v>
      </c>
      <c r="Y22" s="36">
        <f t="shared" ca="1" si="10"/>
        <v>2</v>
      </c>
      <c r="Z22" s="36">
        <f ca="1">IF(ISNUMBER($A22),VLOOKUP($A22,Methuselahs!$A$7:$X$206,5),"")</f>
        <v>8261671295</v>
      </c>
      <c r="AA22" s="36">
        <f t="shared" ca="1" si="11"/>
        <v>2</v>
      </c>
    </row>
    <row r="23" spans="1:27" ht="12.95" customHeight="1" x14ac:dyDescent="0.2">
      <c r="A23" s="111">
        <f ca="1">IF(ISBLANK('Tournament Info'!$B$11),"",INDIRECT(ADDRESS(ROW(),2,1,1,"Optimal Seating "&amp;'Tournament Info'!$B$11-1&amp;"R+F")))</f>
        <v>9</v>
      </c>
      <c r="B23" s="117">
        <f ca="1">IF(ISNUMBER(A23),VLOOKUP(A23,Methuselahs!$A$7:$E$206,2,0),"")</f>
        <v>0</v>
      </c>
      <c r="C23" s="232">
        <f ca="1">IF(ISNUMBER(A23),VLOOKUP(A23,Methuselahs!$A$7:$E$206,3,0),"")</f>
        <v>0</v>
      </c>
      <c r="D23" s="233">
        <f t="shared" ca="1" si="0"/>
        <v>4</v>
      </c>
      <c r="E23" s="234"/>
      <c r="F23" s="118">
        <f t="shared" si="1"/>
        <v>0</v>
      </c>
      <c r="G23" s="235">
        <f t="shared" ca="1" si="2"/>
        <v>0</v>
      </c>
      <c r="H23" s="236">
        <f ca="1">IF(ISNUMBER(A23),IF(OR($S23=$U23,NOT(ISNA(MATCH($D23*5+$V$4,Override!$C$6:$C$125,0)))),$Q23,0),"")</f>
        <v>24</v>
      </c>
      <c r="I23" s="395">
        <f t="shared" ca="1" si="3"/>
        <v>3</v>
      </c>
      <c r="J23" s="237">
        <f ca="1">COUNT(A22:A26)</f>
        <v>5</v>
      </c>
      <c r="K23" s="238">
        <f ca="1">IF(ISNUMBER(A23),RANK(F23,F22:F26),"")</f>
        <v>3</v>
      </c>
      <c r="L23" s="239">
        <f ca="1">IF(J23=5,VLOOKUP(K23,TPMatrix!$A$6:$B$10,2,0),IF(J23=4,VLOOKUP(K23,TPMatrix!$D$6:$E$9,2,0),0))</f>
        <v>36</v>
      </c>
      <c r="M23" s="239">
        <f ca="1">IF(COUNTIF(K22:K26,K23)&gt;=2,IF(J23=5,VLOOKUP(K23+1,TPMatrix!$A$6:$B$10,2,0),IF(J23=4,VLOOKUP(K23+1,TPMatrix!$D$6:$E$9,2,0),0)),"")</f>
        <v>24</v>
      </c>
      <c r="N23" s="239">
        <f ca="1">IF(COUNTIF(K22:K26,K23)&gt;=3,IF(J23=5,VLOOKUP(K23+2,TPMatrix!$A$6:$B$10,2,0),IF(J23=4,VLOOKUP(K23+2,TPMatrix!$D$6:$E$9,2,0),0)),"")</f>
        <v>12</v>
      </c>
      <c r="O23" s="239" t="str">
        <f ca="1">IF(COUNTIF(K22:K26,K23)&gt;=4,IF(J23=5,VLOOKUP(K23+3,TPMatrix!$A$6:$B$10,2,0),IF(J23=4,VLOOKUP(K23+3,TPMatrix!$D$6:$E$9,2,0),0)),"")</f>
        <v/>
      </c>
      <c r="P23" s="239" t="str">
        <f ca="1">IF(COUNTIF(K22:K26,K23)&gt;=5,IF(J23=5,VLOOKUP(K23+4,TPMatrix!$A$6:$B$10,2,0),IF(J23=4,VLOOKUP(K23+4,TPMatrix!$D$6:$E$9,2,0),0)),"")</f>
        <v/>
      </c>
      <c r="Q23" s="239">
        <f t="shared" ca="1" si="4"/>
        <v>24</v>
      </c>
      <c r="R23" s="240">
        <f t="shared" ca="1" si="5"/>
        <v>3</v>
      </c>
      <c r="S23" s="238">
        <f t="shared" ca="1" si="6"/>
        <v>5</v>
      </c>
      <c r="T23" s="239">
        <f t="shared" si="7"/>
        <v>0</v>
      </c>
      <c r="U23" s="240">
        <f t="shared" ca="1" si="8"/>
        <v>5</v>
      </c>
      <c r="W23" s="36">
        <f t="shared" ca="1" si="9"/>
        <v>3</v>
      </c>
      <c r="X23" s="36">
        <f ca="1">IF(ISNUMBER($A23),$W23*(Methuselahs!$A$4+1)+$A23,"")</f>
        <v>108</v>
      </c>
      <c r="Y23" s="36">
        <f t="shared" ca="1" si="10"/>
        <v>4</v>
      </c>
      <c r="Z23" s="36">
        <f ca="1">IF(ISNUMBER($A23),VLOOKUP($A23,Methuselahs!$A$7:$X$206,5),"")</f>
        <v>0</v>
      </c>
      <c r="AA23" s="36">
        <f t="shared" ca="1" si="11"/>
        <v>3</v>
      </c>
    </row>
    <row r="24" spans="1:27" ht="12.95" customHeight="1" x14ac:dyDescent="0.2">
      <c r="A24" s="137">
        <f ca="1">IF(ISBLANK('Tournament Info'!$B$11),"",INDIRECT(ADDRESS(ROW(),2,1,1,"Optimal Seating "&amp;'Tournament Info'!$B$11-1&amp;"R+F")))</f>
        <v>16</v>
      </c>
      <c r="B24" s="143">
        <f ca="1">IF(ISNUMBER(A24),VLOOKUP(A24,Methuselahs!$A$7:$E$206,2,0),"")</f>
        <v>0</v>
      </c>
      <c r="C24" s="241">
        <f ca="1">IF(ISNUMBER(A24),VLOOKUP(A24,Methuselahs!$A$7:$E$206,3,0),"")</f>
        <v>0</v>
      </c>
      <c r="D24" s="242">
        <f t="shared" ca="1" si="0"/>
        <v>4</v>
      </c>
      <c r="E24" s="243"/>
      <c r="F24" s="144">
        <f t="shared" si="1"/>
        <v>0</v>
      </c>
      <c r="G24" s="244">
        <f t="shared" ca="1" si="2"/>
        <v>0</v>
      </c>
      <c r="H24" s="245">
        <f ca="1">IF(ISNUMBER(A24),IF(OR($S24=$U24,NOT(ISNA(MATCH($D24*5+$V$4,Override!$C$6:$C$125,0)))),$Q24,0),"")</f>
        <v>24</v>
      </c>
      <c r="I24" s="396">
        <f t="shared" ca="1" si="3"/>
        <v>3</v>
      </c>
      <c r="J24" s="246">
        <f ca="1">COUNT(A22:A26)</f>
        <v>5</v>
      </c>
      <c r="K24" s="247">
        <f ca="1">IF(ISNUMBER(A24),RANK(F24,F22:F26),"")</f>
        <v>3</v>
      </c>
      <c r="L24" s="142">
        <f ca="1">IF(J24=5,VLOOKUP(K24,TPMatrix!$A$6:$B$10,2,0),IF(J24=4,VLOOKUP(K24,TPMatrix!$D$6:$E$9,2,0),0))</f>
        <v>36</v>
      </c>
      <c r="M24" s="142">
        <f ca="1">IF(COUNTIF(K22:K26,K24)&gt;=2,IF(J24=5,VLOOKUP(K24+1,TPMatrix!$A$6:$B$10,2,0),IF(J24=4,VLOOKUP(K24+1,TPMatrix!$D$6:$E$9,2,0),0)),"")</f>
        <v>24</v>
      </c>
      <c r="N24" s="142">
        <f ca="1">IF(COUNTIF(K22:K26,K24)&gt;=3,IF(J24=5,VLOOKUP(K24+2,TPMatrix!$A$6:$B$10,2,0),IF(J24=4,VLOOKUP(K24+2,TPMatrix!$D$6:$E$9,2,0),0)),"")</f>
        <v>12</v>
      </c>
      <c r="O24" s="142" t="str">
        <f ca="1">IF(COUNTIF(K22:K26,K24)&gt;=4,IF(J24=5,VLOOKUP(K24+3,TPMatrix!$A$6:$B$10,2,0),IF(J24=4,VLOOKUP(K24+3,TPMatrix!$D$6:$E$9,2,0),0)),"")</f>
        <v/>
      </c>
      <c r="P24" s="142" t="str">
        <f ca="1">IF(COUNTIF(K22:K26,K24)&gt;=5,IF(J24=5,VLOOKUP(K24+4,TPMatrix!$A$6:$B$10,2,0),IF(J24=4,VLOOKUP(K24+4,TPMatrix!$D$6:$E$9,2,0),0)),"")</f>
        <v/>
      </c>
      <c r="Q24" s="142">
        <f t="shared" ca="1" si="4"/>
        <v>24</v>
      </c>
      <c r="R24" s="248">
        <f t="shared" ca="1" si="5"/>
        <v>3</v>
      </c>
      <c r="S24" s="247">
        <f t="shared" ca="1" si="6"/>
        <v>5</v>
      </c>
      <c r="T24" s="142">
        <f t="shared" si="7"/>
        <v>0</v>
      </c>
      <c r="U24" s="248">
        <f t="shared" ca="1" si="8"/>
        <v>5</v>
      </c>
      <c r="W24" s="36">
        <f t="shared" ca="1" si="9"/>
        <v>3</v>
      </c>
      <c r="X24" s="36">
        <f ca="1">IF(ISNUMBER($A24),$W24*(Methuselahs!$A$4+1)+$A24,"")</f>
        <v>115</v>
      </c>
      <c r="Y24" s="36">
        <f t="shared" ca="1" si="10"/>
        <v>4</v>
      </c>
      <c r="Z24" s="36">
        <f ca="1">IF(ISNUMBER($A24),VLOOKUP($A24,Methuselahs!$A$7:$X$206,5),"")</f>
        <v>1631978624</v>
      </c>
      <c r="AA24" s="36">
        <f t="shared" ca="1" si="11"/>
        <v>3</v>
      </c>
    </row>
    <row r="25" spans="1:27" ht="12.95" customHeight="1" x14ac:dyDescent="0.2">
      <c r="A25" s="249">
        <f ca="1">IF(ISBLANK('Tournament Info'!$B$11),"",INDIRECT(ADDRESS(ROW(),2,1,1,"Optimal Seating "&amp;'Tournament Info'!$B$11-1&amp;"R+F")))</f>
        <v>31</v>
      </c>
      <c r="B25" s="250">
        <f ca="1">IF(ISNUMBER(A25),VLOOKUP(A25,Methuselahs!$A$7:$E$206,2,0),"")</f>
        <v>0</v>
      </c>
      <c r="C25" s="251">
        <f ca="1">IF(ISNUMBER(A25),VLOOKUP(A25,Methuselahs!$A$7:$E$206,3,0),"")</f>
        <v>0</v>
      </c>
      <c r="D25" s="252">
        <f t="shared" ca="1" si="0"/>
        <v>4</v>
      </c>
      <c r="E25" s="253">
        <v>3</v>
      </c>
      <c r="F25" s="397">
        <f t="shared" si="1"/>
        <v>3</v>
      </c>
      <c r="G25" s="235">
        <f t="shared" ca="1" si="2"/>
        <v>1</v>
      </c>
      <c r="H25" s="236">
        <f ca="1">IF(ISNUMBER(A25),IF(OR($S25=$U25,NOT(ISNA(MATCH($D25*5+$V$4,Override!$C$6:$C$125,0)))),$Q25,0),"")</f>
        <v>60</v>
      </c>
      <c r="I25" s="395">
        <f t="shared" ca="1" si="3"/>
        <v>1</v>
      </c>
      <c r="J25" s="254">
        <f ca="1">COUNT(A22:A26)</f>
        <v>5</v>
      </c>
      <c r="K25" s="238">
        <f ca="1">IF(ISNUMBER(A25),RANK(F25,F22:F26),"")</f>
        <v>1</v>
      </c>
      <c r="L25" s="239">
        <f ca="1">IF(J25=5,VLOOKUP(K25,TPMatrix!$A$6:$B$10,2,0),IF(J25=4,VLOOKUP(K25,TPMatrix!$D$6:$E$9,2,0),0))</f>
        <v>60</v>
      </c>
      <c r="M25" s="239" t="str">
        <f ca="1">IF(COUNTIF(K22:K26,K25)&gt;=2,IF(J25=5,VLOOKUP(K25+1,TPMatrix!$A$6:$B$10,2,0),IF(J25=4,VLOOKUP(K25+1,TPMatrix!$D$6:$E$9,2,0),0)),"")</f>
        <v/>
      </c>
      <c r="N25" s="239" t="str">
        <f ca="1">IF(COUNTIF(K22:K26,K25)&gt;=3,IF(J25=5,VLOOKUP(K25+2,TPMatrix!$A$6:$B$10,2,0),IF(J25=4,VLOOKUP(K25+2,TPMatrix!$D$6:$E$9,2,0),0)),"")</f>
        <v/>
      </c>
      <c r="O25" s="239" t="str">
        <f ca="1">IF(COUNTIF(K22:K26,K25)&gt;=4,IF(J25=5,VLOOKUP(K25+3,TPMatrix!$A$6:$B$10,2,0),IF(J25=4,VLOOKUP(K25+3,TPMatrix!$D$6:$E$9,2,0),0)),"")</f>
        <v/>
      </c>
      <c r="P25" s="239" t="str">
        <f ca="1">IF(COUNTIF(K22:K26,K25)&gt;=5,IF(J25=5,VLOOKUP(K25+4,TPMatrix!$A$6:$B$10,2,0),IF(J25=4,VLOOKUP(K25+4,TPMatrix!$D$6:$E$9,2,0),0)),"")</f>
        <v/>
      </c>
      <c r="Q25" s="239">
        <f t="shared" ca="1" si="4"/>
        <v>60</v>
      </c>
      <c r="R25" s="240">
        <f t="shared" ca="1" si="5"/>
        <v>1</v>
      </c>
      <c r="S25" s="238">
        <f t="shared" ca="1" si="6"/>
        <v>5</v>
      </c>
      <c r="T25" s="239">
        <f t="shared" si="7"/>
        <v>3</v>
      </c>
      <c r="U25" s="240">
        <f t="shared" ca="1" si="8"/>
        <v>5</v>
      </c>
      <c r="W25" s="36">
        <f t="shared" ca="1" si="9"/>
        <v>1</v>
      </c>
      <c r="X25" s="36">
        <f ca="1">IF(ISNUMBER($A25),$W25*(Methuselahs!$A$4+1)+$A25,"")</f>
        <v>64</v>
      </c>
      <c r="Y25" s="36">
        <f t="shared" ca="1" si="10"/>
        <v>2</v>
      </c>
      <c r="Z25" s="36">
        <f ca="1">IF(ISNUMBER($A25),VLOOKUP($A25,Methuselahs!$A$7:$X$206,5),"")</f>
        <v>5521202573</v>
      </c>
      <c r="AA25" s="36">
        <f t="shared" ca="1" si="11"/>
        <v>1</v>
      </c>
    </row>
    <row r="26" spans="1:27" ht="12.95" customHeight="1" x14ac:dyDescent="0.2">
      <c r="A26" s="255">
        <f ca="1">IF(ISBLANK('Tournament Info'!$B$11),"",INDIRECT(ADDRESS(ROW(),2,1,1,"Optimal Seating "&amp;'Tournament Info'!$B$11-1&amp;"R+F")))</f>
        <v>1</v>
      </c>
      <c r="B26" s="256">
        <f ca="1">IF(ISNUMBER(A26),VLOOKUP(A26,Methuselahs!$A$7:$E$206,2,0),"")</f>
        <v>0</v>
      </c>
      <c r="C26" s="257">
        <f ca="1">IF(ISNUMBER(A26),VLOOKUP(A26,Methuselahs!$A$7:$E$206,3,0),"")</f>
        <v>0</v>
      </c>
      <c r="D26" s="258">
        <f t="shared" ca="1" si="0"/>
        <v>4</v>
      </c>
      <c r="E26" s="259"/>
      <c r="F26" s="398">
        <f t="shared" si="1"/>
        <v>0</v>
      </c>
      <c r="G26" s="244">
        <f t="shared" ca="1" si="2"/>
        <v>0</v>
      </c>
      <c r="H26" s="245">
        <f ca="1">IF(ISNUMBER(A26),IF(OR($S26=$U26,NOT(ISNA(MATCH($D26*5+$V$4,Override!$C$6:$C$125,0)))),$Q26,0),"")</f>
        <v>24</v>
      </c>
      <c r="I26" s="396">
        <f t="shared" ca="1" si="3"/>
        <v>3</v>
      </c>
      <c r="J26" s="260">
        <f ca="1">COUNT(A22:A26)</f>
        <v>5</v>
      </c>
      <c r="K26" s="261">
        <f ca="1">IF(ISNUMBER(A26),RANK(F26,F22:F26),"")</f>
        <v>3</v>
      </c>
      <c r="L26" s="262">
        <f ca="1">IF(J26=5,VLOOKUP(K26,TPMatrix!$A$6:$B$10,2,0),IF(J26=4,VLOOKUP(K26,TPMatrix!$D$6:$E$9,2,0),0))</f>
        <v>36</v>
      </c>
      <c r="M26" s="262">
        <f ca="1">IF(COUNTIF(K22:K26,K26)&gt;=2,IF(J26=5,VLOOKUP(K26+1,TPMatrix!$A$6:$B$10,2,0),IF(J26=4,VLOOKUP(K26+1,TPMatrix!$D$6:$E$9,2,0),0)),"")</f>
        <v>24</v>
      </c>
      <c r="N26" s="262">
        <f ca="1">IF(COUNTIF(K22:K26,K26)&gt;=3,IF(J26=5,VLOOKUP(K26+2,TPMatrix!$A$6:$B$10,2,0),IF(J26=4,VLOOKUP(K26+2,TPMatrix!$D$6:$E$9,2,0),0)),"")</f>
        <v>12</v>
      </c>
      <c r="O26" s="262" t="str">
        <f ca="1">IF(COUNTIF(K22:K26,K26)&gt;=4,IF(J26=5,VLOOKUP(K26+3,TPMatrix!$A$6:$B$10,2,0),IF(J26=4,VLOOKUP(K26+3,TPMatrix!$D$6:$E$9,2,0),0)),"")</f>
        <v/>
      </c>
      <c r="P26" s="262" t="str">
        <f ca="1">IF(COUNTIF(K22:K26,K26)&gt;=5,IF(J26=5,VLOOKUP(K26+4,TPMatrix!$A$6:$B$10,2,0),IF(J26=4,VLOOKUP(K26+4,TPMatrix!$D$6:$E$9,2,0),0)),"")</f>
        <v/>
      </c>
      <c r="Q26" s="262">
        <f t="shared" ca="1" si="4"/>
        <v>24</v>
      </c>
      <c r="R26" s="263">
        <f t="shared" ca="1" si="5"/>
        <v>3</v>
      </c>
      <c r="S26" s="261">
        <f t="shared" ca="1" si="6"/>
        <v>5</v>
      </c>
      <c r="T26" s="262">
        <f t="shared" si="7"/>
        <v>0</v>
      </c>
      <c r="U26" s="263">
        <f t="shared" ca="1" si="8"/>
        <v>5</v>
      </c>
      <c r="W26" s="36">
        <f t="shared" ca="1" si="9"/>
        <v>3</v>
      </c>
      <c r="X26" s="36">
        <f ca="1">IF(ISNUMBER($A26),$W26*(Methuselahs!$A$4+1)+$A26,"")</f>
        <v>100</v>
      </c>
      <c r="Y26" s="36">
        <f t="shared" ca="1" si="10"/>
        <v>3</v>
      </c>
      <c r="Z26" s="36" t="e">
        <f ca="1">IF(ISNUMBER($A26),VLOOKUP($A26,Methuselahs!$A$7:$X$206,5),"")</f>
        <v>#N/A</v>
      </c>
      <c r="AA26" s="36">
        <f t="shared" ca="1" si="11"/>
        <v>3</v>
      </c>
    </row>
    <row r="27" spans="1:27" ht="12.95" customHeight="1" x14ac:dyDescent="0.2">
      <c r="A27" s="219">
        <f ca="1">IF(ISBLANK('Tournament Info'!$B$11),"",INDIRECT(ADDRESS(ROW(),2,1,1,"Optimal Seating "&amp;'Tournament Info'!$B$11-1&amp;"R+F")))</f>
        <v>19</v>
      </c>
      <c r="B27" s="143">
        <f ca="1">IF(ISNUMBER(A27),VLOOKUP(A27,Methuselahs!$A$7:$E$206,2,0),"")</f>
        <v>0</v>
      </c>
      <c r="C27" s="220">
        <f ca="1">IF(ISNUMBER(A27),VLOOKUP(A27,Methuselahs!$A$7:$E$206,3,0),"")</f>
        <v>0</v>
      </c>
      <c r="D27" s="221">
        <f t="shared" ca="1" si="0"/>
        <v>5</v>
      </c>
      <c r="E27" s="222">
        <v>3</v>
      </c>
      <c r="F27" s="393">
        <f t="shared" si="1"/>
        <v>3</v>
      </c>
      <c r="G27" s="223">
        <f t="shared" ca="1" si="2"/>
        <v>1</v>
      </c>
      <c r="H27" s="224">
        <f ca="1">IF(ISNUMBER(A27),IF(OR($S27=$U27,NOT(ISNA(MATCH($D27*5+$V$4,Override!$C$6:$C$125,0)))),$Q27,0),"")</f>
        <v>60</v>
      </c>
      <c r="I27" s="394">
        <f t="shared" ca="1" si="3"/>
        <v>1</v>
      </c>
      <c r="J27" s="225">
        <f ca="1">COUNT(A27:A31)</f>
        <v>4</v>
      </c>
      <c r="K27" s="226">
        <f ca="1">IF(ISNUMBER(A27),RANK(F27,F27:F31),"")</f>
        <v>1</v>
      </c>
      <c r="L27" s="227">
        <f ca="1">IF(J27=5,VLOOKUP(K27,TPMatrix!$A$6:$B$10,2,0),IF(J27=4,VLOOKUP(K27,TPMatrix!$D$6:$E$9,2,0),0))</f>
        <v>60</v>
      </c>
      <c r="M27" s="227" t="str">
        <f ca="1">IF(COUNTIF(K27:K31,K27)&gt;=2,IF(J27=5,VLOOKUP(K27+1,TPMatrix!$A$6:$B$10,2,0),IF(J27=4,VLOOKUP(K27+1,TPMatrix!$D$6:$E$9,2,0),0)),"")</f>
        <v/>
      </c>
      <c r="N27" s="227" t="str">
        <f ca="1">IF(COUNTIF(K27:K31,K27)&gt;=3,IF(J27=5,VLOOKUP(K27+2,TPMatrix!$A$6:$B$10,2,0),IF(J27=4,VLOOKUP(K27+2,TPMatrix!$D$6:$E$9,2,0),0)),"")</f>
        <v/>
      </c>
      <c r="O27" s="227" t="str">
        <f ca="1">IF(COUNTIF(K27:K31,K27)&gt;=4,IF(J27=5,VLOOKUP(K27+3,TPMatrix!$A$6:$B$10,2,0),IF(J27=4,VLOOKUP(K27+3,TPMatrix!$D$6:$E$9,2,0),0)),"")</f>
        <v/>
      </c>
      <c r="P27" s="227" t="str">
        <f ca="1">IF(COUNTIF(K27:K31,K27)&gt;=5,IF(J27=5,VLOOKUP(K27+4,TPMatrix!$A$6:$B$10,2,0),IF(J27=4,VLOOKUP(K27+4,TPMatrix!$D$6:$E$9,2,0),0)),"")</f>
        <v/>
      </c>
      <c r="Q27" s="227">
        <f t="shared" ca="1" si="4"/>
        <v>60</v>
      </c>
      <c r="R27" s="228">
        <f t="shared" ca="1" si="5"/>
        <v>1</v>
      </c>
      <c r="S27" s="229">
        <f t="shared" ca="1" si="6"/>
        <v>4</v>
      </c>
      <c r="T27" s="230">
        <f t="shared" si="7"/>
        <v>3</v>
      </c>
      <c r="U27" s="231">
        <f t="shared" ca="1" si="8"/>
        <v>4</v>
      </c>
      <c r="W27" s="36">
        <f t="shared" ca="1" si="9"/>
        <v>1</v>
      </c>
      <c r="X27" s="36">
        <f ca="1">IF(ISNUMBER($A27),$W27*(Methuselahs!$A$4+1)+$A27,"")</f>
        <v>52</v>
      </c>
      <c r="Y27" s="36">
        <f t="shared" ca="1" si="10"/>
        <v>1</v>
      </c>
      <c r="Z27" s="36">
        <f ca="1">IF(ISNUMBER($A27),VLOOKUP($A27,Methuselahs!$A$7:$X$206,5),"")</f>
        <v>1028087486</v>
      </c>
      <c r="AA27" s="36">
        <f t="shared" ca="1" si="11"/>
        <v>1</v>
      </c>
    </row>
    <row r="28" spans="1:27" ht="12.95" customHeight="1" x14ac:dyDescent="0.2">
      <c r="A28" s="111">
        <f ca="1">IF(ISBLANK('Tournament Info'!$B$11),"",INDIRECT(ADDRESS(ROW(),2,1,1,"Optimal Seating "&amp;'Tournament Info'!$B$11-1&amp;"R+F")))</f>
        <v>5</v>
      </c>
      <c r="B28" s="117">
        <f ca="1">IF(ISNUMBER(A28),VLOOKUP(A28,Methuselahs!$A$7:$E$206,2,0),"")</f>
        <v>0</v>
      </c>
      <c r="C28" s="232">
        <f ca="1">IF(ISNUMBER(A28),VLOOKUP(A28,Methuselahs!$A$7:$E$206,3,0),"")</f>
        <v>0</v>
      </c>
      <c r="D28" s="233">
        <f t="shared" ca="1" si="0"/>
        <v>5</v>
      </c>
      <c r="E28" s="234"/>
      <c r="F28" s="118">
        <f t="shared" si="1"/>
        <v>0</v>
      </c>
      <c r="G28" s="235">
        <f t="shared" ca="1" si="2"/>
        <v>0</v>
      </c>
      <c r="H28" s="236">
        <f ca="1">IF(ISNUMBER(A28),IF(OR($S28=$U28,NOT(ISNA(MATCH($D28*5+$V$4,Override!$C$6:$C$125,0)))),$Q28,0),"")</f>
        <v>18</v>
      </c>
      <c r="I28" s="395">
        <f t="shared" ca="1" si="3"/>
        <v>4</v>
      </c>
      <c r="J28" s="237">
        <f ca="1">COUNT(A27:A31)</f>
        <v>4</v>
      </c>
      <c r="K28" s="238">
        <f ca="1">IF(ISNUMBER(A28),RANK(F28,F27:F31),"")</f>
        <v>3</v>
      </c>
      <c r="L28" s="239">
        <f ca="1">IF(J28=5,VLOOKUP(K28,TPMatrix!$A$6:$B$10,2,0),IF(J28=4,VLOOKUP(K28,TPMatrix!$D$6:$E$9,2,0),0))</f>
        <v>24</v>
      </c>
      <c r="M28" s="239">
        <f ca="1">IF(COUNTIF(K27:K31,K28)&gt;=2,IF(J28=5,VLOOKUP(K28+1,TPMatrix!$A$6:$B$10,2,0),IF(J28=4,VLOOKUP(K28+1,TPMatrix!$D$6:$E$9,2,0),0)),"")</f>
        <v>12</v>
      </c>
      <c r="N28" s="239" t="str">
        <f ca="1">IF(COUNTIF(K27:K31,K28)&gt;=3,IF(J28=5,VLOOKUP(K28+2,TPMatrix!$A$6:$B$10,2,0),IF(J28=4,VLOOKUP(K28+2,TPMatrix!$D$6:$E$9,2,0),0)),"")</f>
        <v/>
      </c>
      <c r="O28" s="239" t="str">
        <f ca="1">IF(COUNTIF(K27:K31,K28)&gt;=4,IF(J28=5,VLOOKUP(K28+3,TPMatrix!$A$6:$B$10,2,0),IF(J28=4,VLOOKUP(K28+3,TPMatrix!$D$6:$E$9,2,0),0)),"")</f>
        <v/>
      </c>
      <c r="P28" s="239" t="str">
        <f ca="1">IF(COUNTIF(K27:K31,K28)&gt;=5,IF(J28=5,VLOOKUP(K28+4,TPMatrix!$A$6:$B$10,2,0),IF(J28=4,VLOOKUP(K28+4,TPMatrix!$D$6:$E$9,2,0),0)),"")</f>
        <v/>
      </c>
      <c r="Q28" s="239">
        <f t="shared" ca="1" si="4"/>
        <v>18</v>
      </c>
      <c r="R28" s="240">
        <f t="shared" ca="1" si="5"/>
        <v>2</v>
      </c>
      <c r="S28" s="238">
        <f t="shared" ca="1" si="6"/>
        <v>4</v>
      </c>
      <c r="T28" s="239">
        <f t="shared" si="7"/>
        <v>0</v>
      </c>
      <c r="U28" s="240">
        <f t="shared" ca="1" si="8"/>
        <v>4</v>
      </c>
      <c r="W28" s="36">
        <f t="shared" ca="1" si="9"/>
        <v>4</v>
      </c>
      <c r="X28" s="36">
        <f ca="1">IF(ISNUMBER($A28),$W28*(Methuselahs!$A$4+1)+$A28,"")</f>
        <v>137</v>
      </c>
      <c r="Y28" s="36">
        <f t="shared" ca="1" si="10"/>
        <v>3</v>
      </c>
      <c r="Z28" s="36" t="e">
        <f ca="1">IF(ISNUMBER($A28),VLOOKUP($A28,Methuselahs!$A$7:$X$206,5),"")</f>
        <v>#N/A</v>
      </c>
      <c r="AA28" s="36">
        <f t="shared" ca="1" si="11"/>
        <v>4</v>
      </c>
    </row>
    <row r="29" spans="1:27" ht="12.95" customHeight="1" x14ac:dyDescent="0.2">
      <c r="A29" s="137">
        <f ca="1">IF(ISBLANK('Tournament Info'!$B$11),"",INDIRECT(ADDRESS(ROW(),2,1,1,"Optimal Seating "&amp;'Tournament Info'!$B$11-1&amp;"R+F")))</f>
        <v>7</v>
      </c>
      <c r="B29" s="143">
        <f ca="1">IF(ISNUMBER(A29),VLOOKUP(A29,Methuselahs!$A$7:$E$206,2,0),"")</f>
        <v>0</v>
      </c>
      <c r="C29" s="241">
        <f ca="1">IF(ISNUMBER(A29),VLOOKUP(A29,Methuselahs!$A$7:$E$206,3,0),"")</f>
        <v>0</v>
      </c>
      <c r="D29" s="242">
        <f t="shared" ca="1" si="0"/>
        <v>5</v>
      </c>
      <c r="E29" s="243">
        <v>1</v>
      </c>
      <c r="F29" s="144">
        <f t="shared" si="1"/>
        <v>1</v>
      </c>
      <c r="G29" s="244">
        <f t="shared" ca="1" si="2"/>
        <v>0</v>
      </c>
      <c r="H29" s="245">
        <f ca="1">IF(ISNUMBER(A29),IF(OR($S29=$U29,NOT(ISNA(MATCH($D29*5+$V$4,Override!$C$6:$C$125,0)))),$Q29,0),"")</f>
        <v>48</v>
      </c>
      <c r="I29" s="396">
        <f t="shared" ca="1" si="3"/>
        <v>2</v>
      </c>
      <c r="J29" s="246">
        <f ca="1">COUNT(A27:A31)</f>
        <v>4</v>
      </c>
      <c r="K29" s="247">
        <f ca="1">IF(ISNUMBER(A29),RANK(F29,F27:F31),"")</f>
        <v>2</v>
      </c>
      <c r="L29" s="142">
        <f ca="1">IF(J29=5,VLOOKUP(K29,TPMatrix!$A$6:$B$10,2,0),IF(J29=4,VLOOKUP(K29,TPMatrix!$D$6:$E$9,2,0),0))</f>
        <v>48</v>
      </c>
      <c r="M29" s="142" t="str">
        <f ca="1">IF(COUNTIF(K27:K31,K29)&gt;=2,IF(J29=5,VLOOKUP(K29+1,TPMatrix!$A$6:$B$10,2,0),IF(J29=4,VLOOKUP(K29+1,TPMatrix!$D$6:$E$9,2,0),0)),"")</f>
        <v/>
      </c>
      <c r="N29" s="142" t="str">
        <f ca="1">IF(COUNTIF(K27:K31,K29)&gt;=3,IF(J29=5,VLOOKUP(K29+2,TPMatrix!$A$6:$B$10,2,0),IF(J29=4,VLOOKUP(K29+2,TPMatrix!$D$6:$E$9,2,0),0)),"")</f>
        <v/>
      </c>
      <c r="O29" s="142" t="str">
        <f ca="1">IF(COUNTIF(K27:K31,K29)&gt;=4,IF(J29=5,VLOOKUP(K29+3,TPMatrix!$A$6:$B$10,2,0),IF(J29=4,VLOOKUP(K29+3,TPMatrix!$D$6:$E$9,2,0),0)),"")</f>
        <v/>
      </c>
      <c r="P29" s="142" t="str">
        <f ca="1">IF(COUNTIF(K27:K31,K29)&gt;=5,IF(J29=5,VLOOKUP(K29+4,TPMatrix!$A$6:$B$10,2,0),IF(J29=4,VLOOKUP(K29+4,TPMatrix!$D$6:$E$9,2,0),0)),"")</f>
        <v/>
      </c>
      <c r="Q29" s="142">
        <f t="shared" ca="1" si="4"/>
        <v>48</v>
      </c>
      <c r="R29" s="248">
        <f t="shared" ca="1" si="5"/>
        <v>1</v>
      </c>
      <c r="S29" s="247">
        <f t="shared" ca="1" si="6"/>
        <v>4</v>
      </c>
      <c r="T29" s="142">
        <f t="shared" si="7"/>
        <v>1</v>
      </c>
      <c r="U29" s="248">
        <f t="shared" ca="1" si="8"/>
        <v>4</v>
      </c>
      <c r="W29" s="36">
        <f t="shared" ca="1" si="9"/>
        <v>2</v>
      </c>
      <c r="X29" s="36">
        <f ca="1">IF(ISNUMBER($A29),$W29*(Methuselahs!$A$4+1)+$A29,"")</f>
        <v>73</v>
      </c>
      <c r="Y29" s="36">
        <f t="shared" ca="1" si="10"/>
        <v>2</v>
      </c>
      <c r="Z29" s="36">
        <f ca="1">IF(ISNUMBER($A29),VLOOKUP($A29,Methuselahs!$A$7:$X$206,5),"")</f>
        <v>0</v>
      </c>
      <c r="AA29" s="36">
        <f t="shared" ca="1" si="11"/>
        <v>2</v>
      </c>
    </row>
    <row r="30" spans="1:27" ht="12.95" customHeight="1" x14ac:dyDescent="0.2">
      <c r="A30" s="249">
        <f ca="1">IF(ISBLANK('Tournament Info'!$B$11),"",INDIRECT(ADDRESS(ROW(),2,1,1,"Optimal Seating "&amp;'Tournament Info'!$B$11-1&amp;"R+F")))</f>
        <v>12</v>
      </c>
      <c r="B30" s="250">
        <f ca="1">IF(ISNUMBER(A30),VLOOKUP(A30,Methuselahs!$A$7:$E$206,2,0),"")</f>
        <v>0</v>
      </c>
      <c r="C30" s="251">
        <f ca="1">IF(ISNUMBER(A30),VLOOKUP(A30,Methuselahs!$A$7:$E$206,3,0),"")</f>
        <v>0</v>
      </c>
      <c r="D30" s="252">
        <f t="shared" ca="1" si="0"/>
        <v>5</v>
      </c>
      <c r="E30" s="253"/>
      <c r="F30" s="397">
        <f t="shared" si="1"/>
        <v>0</v>
      </c>
      <c r="G30" s="235">
        <f t="shared" ca="1" si="2"/>
        <v>0</v>
      </c>
      <c r="H30" s="236">
        <f ca="1">IF(ISNUMBER(A30),IF(OR($S30=$U30,NOT(ISNA(MATCH($D30*5+$V$4,Override!$C$6:$C$125,0)))),$Q30,0),"")</f>
        <v>18</v>
      </c>
      <c r="I30" s="395">
        <f t="shared" ca="1" si="3"/>
        <v>4</v>
      </c>
      <c r="J30" s="254">
        <f ca="1">COUNT(A27:A31)</f>
        <v>4</v>
      </c>
      <c r="K30" s="238">
        <f ca="1">IF(ISNUMBER(A30),RANK(F30,F27:F31),"")</f>
        <v>3</v>
      </c>
      <c r="L30" s="239">
        <f ca="1">IF(J30=5,VLOOKUP(K30,TPMatrix!$A$6:$B$10,2,0),IF(J30=4,VLOOKUP(K30,TPMatrix!$D$6:$E$9,2,0),0))</f>
        <v>24</v>
      </c>
      <c r="M30" s="239">
        <f ca="1">IF(COUNTIF(K27:K31,K30)&gt;=2,IF(J30=5,VLOOKUP(K30+1,TPMatrix!$A$6:$B$10,2,0),IF(J30=4,VLOOKUP(K30+1,TPMatrix!$D$6:$E$9,2,0),0)),"")</f>
        <v>12</v>
      </c>
      <c r="N30" s="239" t="str">
        <f ca="1">IF(COUNTIF(K27:K31,K30)&gt;=3,IF(J30=5,VLOOKUP(K30+2,TPMatrix!$A$6:$B$10,2,0),IF(J30=4,VLOOKUP(K30+2,TPMatrix!$D$6:$E$9,2,0),0)),"")</f>
        <v/>
      </c>
      <c r="O30" s="239" t="str">
        <f ca="1">IF(COUNTIF(K27:K31,K30)&gt;=4,IF(J30=5,VLOOKUP(K30+3,TPMatrix!$A$6:$B$10,2,0),IF(J30=4,VLOOKUP(K30+3,TPMatrix!$D$6:$E$9,2,0),0)),"")</f>
        <v/>
      </c>
      <c r="P30" s="239" t="str">
        <f ca="1">IF(COUNTIF(K27:K31,K30)&gt;=5,IF(J30=5,VLOOKUP(K30+4,TPMatrix!$A$6:$B$10,2,0),IF(J30=4,VLOOKUP(K30+4,TPMatrix!$D$6:$E$9,2,0),0)),"")</f>
        <v/>
      </c>
      <c r="Q30" s="239">
        <f t="shared" ca="1" si="4"/>
        <v>18</v>
      </c>
      <c r="R30" s="240">
        <f t="shared" ca="1" si="5"/>
        <v>2</v>
      </c>
      <c r="S30" s="238">
        <f t="shared" ca="1" si="6"/>
        <v>4</v>
      </c>
      <c r="T30" s="239">
        <f t="shared" si="7"/>
        <v>0</v>
      </c>
      <c r="U30" s="240">
        <f t="shared" ca="1" si="8"/>
        <v>4</v>
      </c>
      <c r="W30" s="36">
        <f t="shared" ca="1" si="9"/>
        <v>4</v>
      </c>
      <c r="X30" s="36">
        <f ca="1">IF(ISNUMBER($A30),$W30*(Methuselahs!$A$4+1)+$A30,"")</f>
        <v>144</v>
      </c>
      <c r="Y30" s="36">
        <f t="shared" ca="1" si="10"/>
        <v>3</v>
      </c>
      <c r="Z30" s="36">
        <f ca="1">IF(ISNUMBER($A30),VLOOKUP($A30,Methuselahs!$A$7:$X$206,5),"")</f>
        <v>0</v>
      </c>
      <c r="AA30" s="36">
        <f t="shared" ca="1" si="11"/>
        <v>4</v>
      </c>
    </row>
    <row r="31" spans="1:27" ht="12.95" customHeight="1" x14ac:dyDescent="0.2">
      <c r="A31" s="255" t="str">
        <f ca="1">IF(ISBLANK('Tournament Info'!$B$11),"",INDIRECT(ADDRESS(ROW(),2,1,1,"Optimal Seating "&amp;'Tournament Info'!$B$11-1&amp;"R+F")))</f>
        <v/>
      </c>
      <c r="B31" s="256" t="str">
        <f ca="1">IF(ISNUMBER(A31),VLOOKUP(A31,Methuselahs!$A$7:$E$206,2,0),"")</f>
        <v/>
      </c>
      <c r="C31" s="257" t="str">
        <f ca="1">IF(ISNUMBER(A31),VLOOKUP(A31,Methuselahs!$A$7:$E$206,3,0),"")</f>
        <v/>
      </c>
      <c r="D31" s="258" t="str">
        <f t="shared" ca="1" si="0"/>
        <v/>
      </c>
      <c r="E31" s="259"/>
      <c r="F31" s="398">
        <f t="shared" si="1"/>
        <v>0</v>
      </c>
      <c r="G31" s="244" t="str">
        <f t="shared" ca="1" si="2"/>
        <v/>
      </c>
      <c r="H31" s="245" t="str">
        <f ca="1">IF(ISNUMBER(A31),IF(OR($S31=$U31,NOT(ISNA(MATCH($D31*5+$V$4,Override!$C$6:$C$125,0)))),$Q31,0),"")</f>
        <v/>
      </c>
      <c r="I31" s="396" t="str">
        <f t="shared" ca="1" si="3"/>
        <v/>
      </c>
      <c r="J31" s="260">
        <f ca="1">COUNT(A27:A31)</f>
        <v>4</v>
      </c>
      <c r="K31" s="261" t="str">
        <f ca="1">IF(ISNUMBER(A31),RANK(F31,F27:F31),"")</f>
        <v/>
      </c>
      <c r="L31" s="262" t="e">
        <f ca="1">IF(J31=5,VLOOKUP(K31,TPMatrix!$A$6:$B$10,2,0),IF(J31=4,VLOOKUP(K31,TPMatrix!$D$6:$E$9,2,0),0))</f>
        <v>#N/A</v>
      </c>
      <c r="M31" s="262" t="str">
        <f ca="1">IF(COUNTIF(K27:K31,K31)&gt;=2,IF(J31=5,VLOOKUP(K31+1,TPMatrix!$A$6:$B$10,2,0),IF(J31=4,VLOOKUP(K31+1,TPMatrix!$D$6:$E$9,2,0),0)),"")</f>
        <v/>
      </c>
      <c r="N31" s="262" t="str">
        <f ca="1">IF(COUNTIF(K27:K31,K31)&gt;=3,IF(J31=5,VLOOKUP(K31+2,TPMatrix!$A$6:$B$10,2,0),IF(J31=4,VLOOKUP(K31+2,TPMatrix!$D$6:$E$9,2,0),0)),"")</f>
        <v/>
      </c>
      <c r="O31" s="262" t="str">
        <f ca="1">IF(COUNTIF(K27:K31,K31)&gt;=4,IF(J31=5,VLOOKUP(K31+3,TPMatrix!$A$6:$B$10,2,0),IF(J31=4,VLOOKUP(K31+3,TPMatrix!$D$6:$E$9,2,0),0)),"")</f>
        <v/>
      </c>
      <c r="P31" s="262" t="str">
        <f ca="1">IF(COUNTIF(K27:K31,K31)&gt;=5,IF(J31=5,VLOOKUP(K31+4,TPMatrix!$A$6:$B$10,2,0),IF(J31=4,VLOOKUP(K31+4,TPMatrix!$D$6:$E$9,2,0),0)),"")</f>
        <v/>
      </c>
      <c r="Q31" s="262" t="e">
        <f t="shared" ca="1" si="4"/>
        <v>#N/A</v>
      </c>
      <c r="R31" s="263">
        <f t="shared" ca="1" si="5"/>
        <v>0</v>
      </c>
      <c r="S31" s="261">
        <f t="shared" ca="1" si="6"/>
        <v>0</v>
      </c>
      <c r="T31" s="262">
        <f t="shared" si="7"/>
        <v>0</v>
      </c>
      <c r="U31" s="263">
        <f t="shared" ca="1" si="8"/>
        <v>4</v>
      </c>
      <c r="W31" s="36" t="str">
        <f t="shared" ca="1" si="9"/>
        <v/>
      </c>
      <c r="X31" s="36" t="str">
        <f ca="1">IF(ISNUMBER($A31),$W31*(Methuselahs!$A$4+1)+$A31,"")</f>
        <v/>
      </c>
      <c r="Y31" s="36" t="str">
        <f t="shared" ca="1" si="10"/>
        <v/>
      </c>
      <c r="Z31" s="36" t="str">
        <f ca="1">IF(ISNUMBER($A31),VLOOKUP($A31,Methuselahs!$A$7:$X$206,5),"")</f>
        <v/>
      </c>
      <c r="AA31" s="36" t="str">
        <f t="shared" ca="1" si="11"/>
        <v/>
      </c>
    </row>
    <row r="32" spans="1:27" ht="12.95" customHeight="1" x14ac:dyDescent="0.2">
      <c r="A32" s="219">
        <f ca="1">IF(ISBLANK('Tournament Info'!$B$11),"",INDIRECT(ADDRESS(ROW(),2,1,1,"Optimal Seating "&amp;'Tournament Info'!$B$11-1&amp;"R+F")))</f>
        <v>15</v>
      </c>
      <c r="B32" s="143">
        <f ca="1">IF(ISNUMBER(A32),VLOOKUP(A32,Methuselahs!$A$7:$E$206,2,0),"")</f>
        <v>0</v>
      </c>
      <c r="C32" s="220">
        <f ca="1">IF(ISNUMBER(A32),VLOOKUP(A32,Methuselahs!$A$7:$E$206,3,0),"")</f>
        <v>0</v>
      </c>
      <c r="D32" s="221">
        <f t="shared" ca="1" si="0"/>
        <v>6</v>
      </c>
      <c r="E32" s="222">
        <v>2</v>
      </c>
      <c r="F32" s="393">
        <f t="shared" si="1"/>
        <v>2</v>
      </c>
      <c r="G32" s="223">
        <f t="shared" ca="1" si="2"/>
        <v>0</v>
      </c>
      <c r="H32" s="224">
        <f ca="1">IF(ISNUMBER(A32),IF(OR($S32=$U32,NOT(ISNA(MATCH($D32*5+$V$4,Override!$C$6:$C$125,0)))),$Q32,0),"")</f>
        <v>54</v>
      </c>
      <c r="I32" s="394">
        <f t="shared" ca="1" si="3"/>
        <v>1</v>
      </c>
      <c r="J32" s="225">
        <f ca="1">COUNT(A32:A36)</f>
        <v>4</v>
      </c>
      <c r="K32" s="226">
        <f ca="1">IF(ISNUMBER(A32),RANK(F32,F32:F36),"")</f>
        <v>1</v>
      </c>
      <c r="L32" s="227">
        <f ca="1">IF(J32=5,VLOOKUP(K32,TPMatrix!$A$6:$B$10,2,0),IF(J32=4,VLOOKUP(K32,TPMatrix!$D$6:$E$9,2,0),0))</f>
        <v>60</v>
      </c>
      <c r="M32" s="227">
        <f ca="1">IF(COUNTIF(K32:K36,K32)&gt;=2,IF(J32=5,VLOOKUP(K32+1,TPMatrix!$A$6:$B$10,2,0),IF(J32=4,VLOOKUP(K32+1,TPMatrix!$D$6:$E$9,2,0),0)),"")</f>
        <v>48</v>
      </c>
      <c r="N32" s="227" t="str">
        <f ca="1">IF(COUNTIF(K32:K36,K32)&gt;=3,IF(J32=5,VLOOKUP(K32+2,TPMatrix!$A$6:$B$10,2,0),IF(J32=4,VLOOKUP(K32+2,TPMatrix!$D$6:$E$9,2,0),0)),"")</f>
        <v/>
      </c>
      <c r="O32" s="227" t="str">
        <f ca="1">IF(COUNTIF(K32:K36,K32)&gt;=4,IF(J32=5,VLOOKUP(K32+3,TPMatrix!$A$6:$B$10,2,0),IF(J32=4,VLOOKUP(K32+3,TPMatrix!$D$6:$E$9,2,0),0)),"")</f>
        <v/>
      </c>
      <c r="P32" s="227" t="str">
        <f ca="1">IF(COUNTIF(K32:K36,K32)&gt;=5,IF(J32=5,VLOOKUP(K32+4,TPMatrix!$A$6:$B$10,2,0),IF(J32=4,VLOOKUP(K32+4,TPMatrix!$D$6:$E$9,2,0),0)),"")</f>
        <v/>
      </c>
      <c r="Q32" s="227">
        <f t="shared" ca="1" si="4"/>
        <v>54</v>
      </c>
      <c r="R32" s="228">
        <f t="shared" ca="1" si="5"/>
        <v>2</v>
      </c>
      <c r="S32" s="229">
        <f t="shared" ca="1" si="6"/>
        <v>4</v>
      </c>
      <c r="T32" s="230">
        <f t="shared" si="7"/>
        <v>2</v>
      </c>
      <c r="U32" s="231">
        <f t="shared" ca="1" si="8"/>
        <v>4</v>
      </c>
      <c r="W32" s="36">
        <f t="shared" ca="1" si="9"/>
        <v>1</v>
      </c>
      <c r="X32" s="36">
        <f ca="1">IF(ISNUMBER($A32),$W32*(Methuselahs!$A$4+1)+$A32,"")</f>
        <v>48</v>
      </c>
      <c r="Y32" s="36">
        <f t="shared" ca="1" si="10"/>
        <v>1</v>
      </c>
      <c r="Z32" s="36">
        <f ca="1">IF(ISNUMBER($A32),VLOOKUP($A32,Methuselahs!$A$7:$X$206,5),"")</f>
        <v>0</v>
      </c>
      <c r="AA32" s="36">
        <f t="shared" ca="1" si="11"/>
        <v>1</v>
      </c>
    </row>
    <row r="33" spans="1:27" ht="12.95" customHeight="1" x14ac:dyDescent="0.2">
      <c r="A33" s="111">
        <f ca="1">IF(ISBLANK('Tournament Info'!$B$11),"",INDIRECT(ADDRESS(ROW(),2,1,1,"Optimal Seating "&amp;'Tournament Info'!$B$11-1&amp;"R+F")))</f>
        <v>23</v>
      </c>
      <c r="B33" s="117">
        <f ca="1">IF(ISNUMBER(A33),VLOOKUP(A33,Methuselahs!$A$7:$E$206,2,0),"")</f>
        <v>0</v>
      </c>
      <c r="C33" s="232">
        <f ca="1">IF(ISNUMBER(A33),VLOOKUP(A33,Methuselahs!$A$7:$E$206,3,0),"")</f>
        <v>0</v>
      </c>
      <c r="D33" s="233">
        <f t="shared" ca="1" si="0"/>
        <v>6</v>
      </c>
      <c r="E33" s="234"/>
      <c r="F33" s="118">
        <f t="shared" si="1"/>
        <v>0</v>
      </c>
      <c r="G33" s="235">
        <f t="shared" ca="1" si="2"/>
        <v>0</v>
      </c>
      <c r="H33" s="236">
        <f ca="1">IF(ISNUMBER(A33),IF(OR($S33=$U33,NOT(ISNA(MATCH($D33*5+$V$4,Override!$C$6:$C$125,0)))),$Q33,0),"")</f>
        <v>18</v>
      </c>
      <c r="I33" s="395">
        <f t="shared" ca="1" si="3"/>
        <v>4</v>
      </c>
      <c r="J33" s="237">
        <f ca="1">COUNT(A32:A36)</f>
        <v>4</v>
      </c>
      <c r="K33" s="238">
        <f ca="1">IF(ISNUMBER(A33),RANK(F33,F32:F36),"")</f>
        <v>3</v>
      </c>
      <c r="L33" s="239">
        <f ca="1">IF(J33=5,VLOOKUP(K33,TPMatrix!$A$6:$B$10,2,0),IF(J33=4,VLOOKUP(K33,TPMatrix!$D$6:$E$9,2,0),0))</f>
        <v>24</v>
      </c>
      <c r="M33" s="239">
        <f ca="1">IF(COUNTIF(K32:K36,K33)&gt;=2,IF(J33=5,VLOOKUP(K33+1,TPMatrix!$A$6:$B$10,2,0),IF(J33=4,VLOOKUP(K33+1,TPMatrix!$D$6:$E$9,2,0),0)),"")</f>
        <v>12</v>
      </c>
      <c r="N33" s="239" t="str">
        <f ca="1">IF(COUNTIF(K32:K36,K33)&gt;=3,IF(J33=5,VLOOKUP(K33+2,TPMatrix!$A$6:$B$10,2,0),IF(J33=4,VLOOKUP(K33+2,TPMatrix!$D$6:$E$9,2,0),0)),"")</f>
        <v/>
      </c>
      <c r="O33" s="239" t="str">
        <f ca="1">IF(COUNTIF(K32:K36,K33)&gt;=4,IF(J33=5,VLOOKUP(K33+3,TPMatrix!$A$6:$B$10,2,0),IF(J33=4,VLOOKUP(K33+3,TPMatrix!$D$6:$E$9,2,0),0)),"")</f>
        <v/>
      </c>
      <c r="P33" s="239" t="str">
        <f ca="1">IF(COUNTIF(K32:K36,K33)&gt;=5,IF(J33=5,VLOOKUP(K33+4,TPMatrix!$A$6:$B$10,2,0),IF(J33=4,VLOOKUP(K33+4,TPMatrix!$D$6:$E$9,2,0),0)),"")</f>
        <v/>
      </c>
      <c r="Q33" s="239">
        <f t="shared" ca="1" si="4"/>
        <v>18</v>
      </c>
      <c r="R33" s="240">
        <f t="shared" ca="1" si="5"/>
        <v>2</v>
      </c>
      <c r="S33" s="238">
        <f t="shared" ca="1" si="6"/>
        <v>4</v>
      </c>
      <c r="T33" s="239">
        <f t="shared" si="7"/>
        <v>0</v>
      </c>
      <c r="U33" s="240">
        <f t="shared" ca="1" si="8"/>
        <v>4</v>
      </c>
      <c r="W33" s="36">
        <f t="shared" ca="1" si="9"/>
        <v>4</v>
      </c>
      <c r="X33" s="36">
        <f ca="1">IF(ISNUMBER($A33),$W33*(Methuselahs!$A$4+1)+$A33,"")</f>
        <v>155</v>
      </c>
      <c r="Y33" s="36">
        <f t="shared" ca="1" si="10"/>
        <v>3</v>
      </c>
      <c r="Z33" s="36">
        <f ca="1">IF(ISNUMBER($A33),VLOOKUP($A33,Methuselahs!$A$7:$X$206,5),"")</f>
        <v>9370279301</v>
      </c>
      <c r="AA33" s="36">
        <f t="shared" ca="1" si="11"/>
        <v>4</v>
      </c>
    </row>
    <row r="34" spans="1:27" ht="12.95" customHeight="1" x14ac:dyDescent="0.2">
      <c r="A34" s="137">
        <f ca="1">IF(ISBLANK('Tournament Info'!$B$11),"",INDIRECT(ADDRESS(ROW(),2,1,1,"Optimal Seating "&amp;'Tournament Info'!$B$11-1&amp;"R+F")))</f>
        <v>2</v>
      </c>
      <c r="B34" s="143">
        <f ca="1">IF(ISNUMBER(A34),VLOOKUP(A34,Methuselahs!$A$7:$E$206,2,0),"")</f>
        <v>0</v>
      </c>
      <c r="C34" s="241">
        <f ca="1">IF(ISNUMBER(A34),VLOOKUP(A34,Methuselahs!$A$7:$E$206,3,0),"")</f>
        <v>0</v>
      </c>
      <c r="D34" s="242">
        <f t="shared" ca="1" si="0"/>
        <v>6</v>
      </c>
      <c r="E34" s="243"/>
      <c r="F34" s="144">
        <f t="shared" si="1"/>
        <v>0</v>
      </c>
      <c r="G34" s="244">
        <f t="shared" ca="1" si="2"/>
        <v>0</v>
      </c>
      <c r="H34" s="245">
        <f ca="1">IF(ISNUMBER(A34),IF(OR($S34=$U34,NOT(ISNA(MATCH($D34*5+$V$4,Override!$C$6:$C$125,0)))),$Q34,0),"")</f>
        <v>18</v>
      </c>
      <c r="I34" s="396">
        <f t="shared" ca="1" si="3"/>
        <v>4</v>
      </c>
      <c r="J34" s="246">
        <f ca="1">COUNT(A32:A36)</f>
        <v>4</v>
      </c>
      <c r="K34" s="247">
        <f ca="1">IF(ISNUMBER(A34),RANK(F34,F32:F36),"")</f>
        <v>3</v>
      </c>
      <c r="L34" s="142">
        <f ca="1">IF(J34=5,VLOOKUP(K34,TPMatrix!$A$6:$B$10,2,0),IF(J34=4,VLOOKUP(K34,TPMatrix!$D$6:$E$9,2,0),0))</f>
        <v>24</v>
      </c>
      <c r="M34" s="142">
        <f ca="1">IF(COUNTIF(K32:K36,K34)&gt;=2,IF(J34=5,VLOOKUP(K34+1,TPMatrix!$A$6:$B$10,2,0),IF(J34=4,VLOOKUP(K34+1,TPMatrix!$D$6:$E$9,2,0),0)),"")</f>
        <v>12</v>
      </c>
      <c r="N34" s="142" t="str">
        <f ca="1">IF(COUNTIF(K32:K36,K34)&gt;=3,IF(J34=5,VLOOKUP(K34+2,TPMatrix!$A$6:$B$10,2,0),IF(J34=4,VLOOKUP(K34+2,TPMatrix!$D$6:$E$9,2,0),0)),"")</f>
        <v/>
      </c>
      <c r="O34" s="142" t="str">
        <f ca="1">IF(COUNTIF(K32:K36,K34)&gt;=4,IF(J34=5,VLOOKUP(K34+3,TPMatrix!$A$6:$B$10,2,0),IF(J34=4,VLOOKUP(K34+3,TPMatrix!$D$6:$E$9,2,0),0)),"")</f>
        <v/>
      </c>
      <c r="P34" s="142" t="str">
        <f ca="1">IF(COUNTIF(K32:K36,K34)&gt;=5,IF(J34=5,VLOOKUP(K34+4,TPMatrix!$A$6:$B$10,2,0),IF(J34=4,VLOOKUP(K34+4,TPMatrix!$D$6:$E$9,2,0),0)),"")</f>
        <v/>
      </c>
      <c r="Q34" s="142">
        <f t="shared" ca="1" si="4"/>
        <v>18</v>
      </c>
      <c r="R34" s="248">
        <f t="shared" ca="1" si="5"/>
        <v>2</v>
      </c>
      <c r="S34" s="247">
        <f t="shared" ca="1" si="6"/>
        <v>4</v>
      </c>
      <c r="T34" s="142">
        <f t="shared" si="7"/>
        <v>0</v>
      </c>
      <c r="U34" s="248">
        <f t="shared" ca="1" si="8"/>
        <v>4</v>
      </c>
      <c r="W34" s="36">
        <f t="shared" ca="1" si="9"/>
        <v>4</v>
      </c>
      <c r="X34" s="36">
        <f ca="1">IF(ISNUMBER($A34),$W34*(Methuselahs!$A$4+1)+$A34,"")</f>
        <v>134</v>
      </c>
      <c r="Y34" s="36">
        <f t="shared" ca="1" si="10"/>
        <v>3</v>
      </c>
      <c r="Z34" s="36" t="e">
        <f ca="1">IF(ISNUMBER($A34),VLOOKUP($A34,Methuselahs!$A$7:$X$206,5),"")</f>
        <v>#N/A</v>
      </c>
      <c r="AA34" s="36">
        <f t="shared" ca="1" si="11"/>
        <v>4</v>
      </c>
    </row>
    <row r="35" spans="1:27" ht="12.95" customHeight="1" x14ac:dyDescent="0.2">
      <c r="A35" s="249">
        <f ca="1">IF(ISBLANK('Tournament Info'!$B$11),"",INDIRECT(ADDRESS(ROW(),2,1,1,"Optimal Seating "&amp;'Tournament Info'!$B$11-1&amp;"R+F")))</f>
        <v>17</v>
      </c>
      <c r="B35" s="250">
        <f ca="1">IF(ISNUMBER(A35),VLOOKUP(A35,Methuselahs!$A$7:$E$206,2,0),"")</f>
        <v>0</v>
      </c>
      <c r="C35" s="251">
        <f ca="1">IF(ISNUMBER(A35),VLOOKUP(A35,Methuselahs!$A$7:$E$206,3,0),"")</f>
        <v>0</v>
      </c>
      <c r="D35" s="252">
        <f t="shared" ca="1" si="0"/>
        <v>6</v>
      </c>
      <c r="E35" s="253">
        <v>2</v>
      </c>
      <c r="F35" s="397">
        <f t="shared" si="1"/>
        <v>2</v>
      </c>
      <c r="G35" s="235">
        <f t="shared" ca="1" si="2"/>
        <v>0</v>
      </c>
      <c r="H35" s="236">
        <f ca="1">IF(ISNUMBER(A35),IF(OR($S35=$U35,NOT(ISNA(MATCH($D35*5+$V$4,Override!$C$6:$C$125,0)))),$Q35,0),"")</f>
        <v>54</v>
      </c>
      <c r="I35" s="395">
        <f t="shared" ca="1" si="3"/>
        <v>1</v>
      </c>
      <c r="J35" s="254">
        <f ca="1">COUNT(A32:A36)</f>
        <v>4</v>
      </c>
      <c r="K35" s="238">
        <f ca="1">IF(ISNUMBER(A35),RANK(F35,F32:F36),"")</f>
        <v>1</v>
      </c>
      <c r="L35" s="239">
        <f ca="1">IF(J35=5,VLOOKUP(K35,TPMatrix!$A$6:$B$10,2,0),IF(J35=4,VLOOKUP(K35,TPMatrix!$D$6:$E$9,2,0),0))</f>
        <v>60</v>
      </c>
      <c r="M35" s="239">
        <f ca="1">IF(COUNTIF(K32:K36,K35)&gt;=2,IF(J35=5,VLOOKUP(K35+1,TPMatrix!$A$6:$B$10,2,0),IF(J35=4,VLOOKUP(K35+1,TPMatrix!$D$6:$E$9,2,0),0)),"")</f>
        <v>48</v>
      </c>
      <c r="N35" s="239" t="str">
        <f ca="1">IF(COUNTIF(K32:K36,K35)&gt;=3,IF(J35=5,VLOOKUP(K35+2,TPMatrix!$A$6:$B$10,2,0),IF(J35=4,VLOOKUP(K35+2,TPMatrix!$D$6:$E$9,2,0),0)),"")</f>
        <v/>
      </c>
      <c r="O35" s="239" t="str">
        <f ca="1">IF(COUNTIF(K32:K36,K35)&gt;=4,IF(J35=5,VLOOKUP(K35+3,TPMatrix!$A$6:$B$10,2,0),IF(J35=4,VLOOKUP(K35+3,TPMatrix!$D$6:$E$9,2,0),0)),"")</f>
        <v/>
      </c>
      <c r="P35" s="239" t="str">
        <f ca="1">IF(COUNTIF(K32:K36,K35)&gt;=5,IF(J35=5,VLOOKUP(K35+4,TPMatrix!$A$6:$B$10,2,0),IF(J35=4,VLOOKUP(K35+4,TPMatrix!$D$6:$E$9,2,0),0)),"")</f>
        <v/>
      </c>
      <c r="Q35" s="239">
        <f t="shared" ca="1" si="4"/>
        <v>54</v>
      </c>
      <c r="R35" s="240">
        <f t="shared" ca="1" si="5"/>
        <v>2</v>
      </c>
      <c r="S35" s="238">
        <f t="shared" ca="1" si="6"/>
        <v>4</v>
      </c>
      <c r="T35" s="239">
        <f t="shared" si="7"/>
        <v>2</v>
      </c>
      <c r="U35" s="240">
        <f t="shared" ca="1" si="8"/>
        <v>4</v>
      </c>
      <c r="W35" s="36">
        <f t="shared" ca="1" si="9"/>
        <v>1</v>
      </c>
      <c r="X35" s="36">
        <f ca="1">IF(ISNUMBER($A35),$W35*(Methuselahs!$A$4+1)+$A35,"")</f>
        <v>50</v>
      </c>
      <c r="Y35" s="36">
        <f t="shared" ca="1" si="10"/>
        <v>1</v>
      </c>
      <c r="Z35" s="36">
        <f ca="1">IF(ISNUMBER($A35),VLOOKUP($A35,Methuselahs!$A$7:$X$206,5),"")</f>
        <v>1028087486</v>
      </c>
      <c r="AA35" s="36">
        <f t="shared" ca="1" si="11"/>
        <v>1</v>
      </c>
    </row>
    <row r="36" spans="1:27" ht="12.95" customHeight="1" x14ac:dyDescent="0.2">
      <c r="A36" s="255" t="str">
        <f ca="1">IF(ISBLANK('Tournament Info'!$B$11),"",INDIRECT(ADDRESS(ROW(),2,1,1,"Optimal Seating "&amp;'Tournament Info'!$B$11-1&amp;"R+F")))</f>
        <v/>
      </c>
      <c r="B36" s="256" t="str">
        <f ca="1">IF(ISNUMBER(A36),VLOOKUP(A36,Methuselahs!$A$7:$E$206,2,0),"")</f>
        <v/>
      </c>
      <c r="C36" s="257" t="str">
        <f ca="1">IF(ISNUMBER(A36),VLOOKUP(A36,Methuselahs!$A$7:$E$206,3,0),"")</f>
        <v/>
      </c>
      <c r="D36" s="258" t="str">
        <f t="shared" ca="1" si="0"/>
        <v/>
      </c>
      <c r="E36" s="259"/>
      <c r="F36" s="398">
        <f t="shared" si="1"/>
        <v>0</v>
      </c>
      <c r="G36" s="244" t="str">
        <f t="shared" ca="1" si="2"/>
        <v/>
      </c>
      <c r="H36" s="245" t="str">
        <f ca="1">IF(ISNUMBER(A36),IF(OR($S36=$U36,NOT(ISNA(MATCH($D36*5+$V$4,Override!$C$6:$C$125,0)))),$Q36,0),"")</f>
        <v/>
      </c>
      <c r="I36" s="396" t="str">
        <f t="shared" ca="1" si="3"/>
        <v/>
      </c>
      <c r="J36" s="260">
        <f ca="1">COUNT(A32:A36)</f>
        <v>4</v>
      </c>
      <c r="K36" s="261" t="str">
        <f ca="1">IF(ISNUMBER(A36),RANK(F36,F32:F36),"")</f>
        <v/>
      </c>
      <c r="L36" s="262" t="e">
        <f ca="1">IF(J36=5,VLOOKUP(K36,TPMatrix!$A$6:$B$10,2,0),IF(J36=4,VLOOKUP(K36,TPMatrix!$D$6:$E$9,2,0),0))</f>
        <v>#N/A</v>
      </c>
      <c r="M36" s="262" t="str">
        <f ca="1">IF(COUNTIF(K32:K36,K36)&gt;=2,IF(J36=5,VLOOKUP(K36+1,TPMatrix!$A$6:$B$10,2,0),IF(J36=4,VLOOKUP(K36+1,TPMatrix!$D$6:$E$9,2,0),0)),"")</f>
        <v/>
      </c>
      <c r="N36" s="262" t="str">
        <f ca="1">IF(COUNTIF(K32:K36,K36)&gt;=3,IF(J36=5,VLOOKUP(K36+2,TPMatrix!$A$6:$B$10,2,0),IF(J36=4,VLOOKUP(K36+2,TPMatrix!$D$6:$E$9,2,0),0)),"")</f>
        <v/>
      </c>
      <c r="O36" s="262" t="str">
        <f ca="1">IF(COUNTIF(K32:K36,K36)&gt;=4,IF(J36=5,VLOOKUP(K36+3,TPMatrix!$A$6:$B$10,2,0),IF(J36=4,VLOOKUP(K36+3,TPMatrix!$D$6:$E$9,2,0),0)),"")</f>
        <v/>
      </c>
      <c r="P36" s="262" t="str">
        <f ca="1">IF(COUNTIF(K32:K36,K36)&gt;=5,IF(J36=5,VLOOKUP(K36+4,TPMatrix!$A$6:$B$10,2,0),IF(J36=4,VLOOKUP(K36+4,TPMatrix!$D$6:$E$9,2,0),0)),"")</f>
        <v/>
      </c>
      <c r="Q36" s="262" t="e">
        <f t="shared" ca="1" si="4"/>
        <v>#N/A</v>
      </c>
      <c r="R36" s="263">
        <f t="shared" ca="1" si="5"/>
        <v>0</v>
      </c>
      <c r="S36" s="261">
        <f t="shared" ca="1" si="6"/>
        <v>0</v>
      </c>
      <c r="T36" s="262">
        <f t="shared" si="7"/>
        <v>0</v>
      </c>
      <c r="U36" s="263">
        <f t="shared" ca="1" si="8"/>
        <v>4</v>
      </c>
      <c r="W36" s="36" t="str">
        <f t="shared" ca="1" si="9"/>
        <v/>
      </c>
      <c r="X36" s="36" t="str">
        <f ca="1">IF(ISNUMBER($A36),$W36*(Methuselahs!$A$4+1)+$A36,"")</f>
        <v/>
      </c>
      <c r="Y36" s="36" t="str">
        <f t="shared" ca="1" si="10"/>
        <v/>
      </c>
      <c r="Z36" s="36" t="str">
        <f ca="1">IF(ISNUMBER($A36),VLOOKUP($A36,Methuselahs!$A$7:$X$206,5),"")</f>
        <v/>
      </c>
      <c r="AA36" s="36" t="str">
        <f t="shared" ca="1" si="11"/>
        <v/>
      </c>
    </row>
    <row r="37" spans="1:27" ht="12.95" customHeight="1" x14ac:dyDescent="0.2">
      <c r="A37" s="219">
        <f ca="1">IF(ISBLANK('Tournament Info'!$B$11),"",INDIRECT(ADDRESS(ROW(),2,1,1,"Optimal Seating "&amp;'Tournament Info'!$B$11-1&amp;"R+F")))</f>
        <v>14</v>
      </c>
      <c r="B37" s="143">
        <f ca="1">IF(ISNUMBER(A37),VLOOKUP(A37,Methuselahs!$A$7:$E$206,2,0),"")</f>
        <v>0</v>
      </c>
      <c r="C37" s="220">
        <f ca="1">IF(ISNUMBER(A37),VLOOKUP(A37,Methuselahs!$A$7:$E$206,3,0),"")</f>
        <v>0</v>
      </c>
      <c r="D37" s="221">
        <f t="shared" ca="1" si="0"/>
        <v>7</v>
      </c>
      <c r="E37" s="399"/>
      <c r="F37" s="393">
        <f t="shared" si="1"/>
        <v>0</v>
      </c>
      <c r="G37" s="223">
        <f t="shared" ca="1" si="2"/>
        <v>0</v>
      </c>
      <c r="H37" s="224">
        <f ca="1">IF(ISNUMBER(A37),IF(OR($S37=$U37,NOT(ISNA(MATCH($D37*5+$V$4,Override!$C$6:$C$125,0)))),$Q37,0),"")</f>
        <v>12</v>
      </c>
      <c r="I37" s="394">
        <f t="shared" ca="1" si="3"/>
        <v>5</v>
      </c>
      <c r="J37" s="225">
        <f ca="1">COUNT(A37:A41)</f>
        <v>4</v>
      </c>
      <c r="K37" s="226">
        <f ca="1">IF(ISNUMBER(A37),RANK(F37,F37:F41),"")</f>
        <v>4</v>
      </c>
      <c r="L37" s="227">
        <f ca="1">IF(J37=5,VLOOKUP(K37,TPMatrix!$A$6:$B$10,2,0),IF(J37=4,VLOOKUP(K37,TPMatrix!$D$6:$E$9,2,0),0))</f>
        <v>12</v>
      </c>
      <c r="M37" s="227" t="str">
        <f ca="1">IF(COUNTIF(K37:K41,K37)&gt;=2,IF(J37=5,VLOOKUP(K37+1,TPMatrix!$A$6:$B$10,2,0),IF(J37=4,VLOOKUP(K37+1,TPMatrix!$D$6:$E$9,2,0),0)),"")</f>
        <v/>
      </c>
      <c r="N37" s="227" t="str">
        <f ca="1">IF(COUNTIF(K37:K41,K37)&gt;=3,IF(J37=5,VLOOKUP(K37+2,TPMatrix!$A$6:$B$10,2,0),IF(J37=4,VLOOKUP(K37+2,TPMatrix!$D$6:$E$9,2,0),0)),"")</f>
        <v/>
      </c>
      <c r="O37" s="227" t="str">
        <f ca="1">IF(COUNTIF(K37:K41,K37)&gt;=4,IF(J37=5,VLOOKUP(K37+3,TPMatrix!$A$6:$B$10,2,0),IF(J37=4,VLOOKUP(K37+3,TPMatrix!$D$6:$E$9,2,0),0)),"")</f>
        <v/>
      </c>
      <c r="P37" s="227" t="str">
        <f ca="1">IF(COUNTIF(K37:K41,K37)&gt;=5,IF(J37=5,VLOOKUP(K37+4,TPMatrix!$A$6:$B$10,2,0),IF(J37=4,VLOOKUP(K37+4,TPMatrix!$D$6:$E$9,2,0),0)),"")</f>
        <v/>
      </c>
      <c r="Q37" s="227">
        <f t="shared" ca="1" si="4"/>
        <v>12</v>
      </c>
      <c r="R37" s="228">
        <f t="shared" ca="1" si="5"/>
        <v>1</v>
      </c>
      <c r="S37" s="229">
        <f t="shared" ca="1" si="6"/>
        <v>4</v>
      </c>
      <c r="T37" s="230">
        <f t="shared" si="7"/>
        <v>0</v>
      </c>
      <c r="U37" s="231">
        <f t="shared" ca="1" si="8"/>
        <v>4</v>
      </c>
      <c r="W37" s="36">
        <f t="shared" ca="1" si="9"/>
        <v>5</v>
      </c>
      <c r="X37" s="36">
        <f ca="1">IF(ISNUMBER($A37),$W37*(Methuselahs!$A$4+1)+$A37,"")</f>
        <v>179</v>
      </c>
      <c r="Y37" s="36">
        <f t="shared" ca="1" si="10"/>
        <v>4</v>
      </c>
      <c r="Z37" s="36">
        <f ca="1">IF(ISNUMBER($A37),VLOOKUP($A37,Methuselahs!$A$7:$X$206,5),"")</f>
        <v>0</v>
      </c>
      <c r="AA37" s="36">
        <f t="shared" ca="1" si="11"/>
        <v>5</v>
      </c>
    </row>
    <row r="38" spans="1:27" ht="12.95" customHeight="1" x14ac:dyDescent="0.2">
      <c r="A38" s="111">
        <f ca="1">IF(ISBLANK('Tournament Info'!$B$11),"",INDIRECT(ADDRESS(ROW(),2,1,1,"Optimal Seating "&amp;'Tournament Info'!$B$11-1&amp;"R+F")))</f>
        <v>8</v>
      </c>
      <c r="B38" s="117">
        <f ca="1">IF(ISNUMBER(A38),VLOOKUP(A38,Methuselahs!$A$7:$E$206,2,0),"")</f>
        <v>0</v>
      </c>
      <c r="C38" s="232">
        <f ca="1">IF(ISNUMBER(A38),VLOOKUP(A38,Methuselahs!$A$7:$E$206,3,0),"")</f>
        <v>0</v>
      </c>
      <c r="D38" s="233">
        <f t="shared" ca="1" si="0"/>
        <v>7</v>
      </c>
      <c r="E38" s="400">
        <v>0.5</v>
      </c>
      <c r="F38" s="118">
        <f t="shared" si="1"/>
        <v>0.5</v>
      </c>
      <c r="G38" s="235">
        <f t="shared" ca="1" si="2"/>
        <v>0</v>
      </c>
      <c r="H38" s="236">
        <f ca="1">IF(ISNUMBER(A38),IF(OR($S38=$U38,NOT(ISNA(MATCH($D38*5+$V$4,Override!$C$6:$C$125,0)))),$Q38,0),"")</f>
        <v>36</v>
      </c>
      <c r="I38" s="395">
        <f t="shared" ca="1" si="3"/>
        <v>2</v>
      </c>
      <c r="J38" s="237">
        <f ca="1">COUNT(A37:A41)</f>
        <v>4</v>
      </c>
      <c r="K38" s="238">
        <f ca="1">IF(ISNUMBER(A38),RANK(F38,F37:F41),"")</f>
        <v>2</v>
      </c>
      <c r="L38" s="239">
        <f ca="1">IF(J38=5,VLOOKUP(K38,TPMatrix!$A$6:$B$10,2,0),IF(J38=4,VLOOKUP(K38,TPMatrix!$D$6:$E$9,2,0),0))</f>
        <v>48</v>
      </c>
      <c r="M38" s="239">
        <f ca="1">IF(COUNTIF(K37:K41,K38)&gt;=2,IF(J38=5,VLOOKUP(K38+1,TPMatrix!$A$6:$B$10,2,0),IF(J38=4,VLOOKUP(K38+1,TPMatrix!$D$6:$E$9,2,0),0)),"")</f>
        <v>24</v>
      </c>
      <c r="N38" s="239" t="str">
        <f ca="1">IF(COUNTIF(K37:K41,K38)&gt;=3,IF(J38=5,VLOOKUP(K38+2,TPMatrix!$A$6:$B$10,2,0),IF(J38=4,VLOOKUP(K38+2,TPMatrix!$D$6:$E$9,2,0),0)),"")</f>
        <v/>
      </c>
      <c r="O38" s="239" t="str">
        <f ca="1">IF(COUNTIF(K37:K41,K38)&gt;=4,IF(J38=5,VLOOKUP(K38+3,TPMatrix!$A$6:$B$10,2,0),IF(J38=4,VLOOKUP(K38+3,TPMatrix!$D$6:$E$9,2,0),0)),"")</f>
        <v/>
      </c>
      <c r="P38" s="239" t="str">
        <f ca="1">IF(COUNTIF(K37:K41,K38)&gt;=5,IF(J38=5,VLOOKUP(K38+4,TPMatrix!$A$6:$B$10,2,0),IF(J38=4,VLOOKUP(K38+4,TPMatrix!$D$6:$E$9,2,0),0)),"")</f>
        <v/>
      </c>
      <c r="Q38" s="239">
        <f t="shared" ca="1" si="4"/>
        <v>36</v>
      </c>
      <c r="R38" s="240">
        <f t="shared" ca="1" si="5"/>
        <v>2</v>
      </c>
      <c r="S38" s="238">
        <f t="shared" ca="1" si="6"/>
        <v>4</v>
      </c>
      <c r="T38" s="239">
        <f t="shared" si="7"/>
        <v>1</v>
      </c>
      <c r="U38" s="240">
        <f t="shared" ca="1" si="8"/>
        <v>4</v>
      </c>
      <c r="W38" s="36">
        <f t="shared" ca="1" si="9"/>
        <v>2</v>
      </c>
      <c r="X38" s="36">
        <f ca="1">IF(ISNUMBER($A38),$W38*(Methuselahs!$A$4+1)+$A38,"")</f>
        <v>74</v>
      </c>
      <c r="Y38" s="36">
        <f t="shared" ca="1" si="10"/>
        <v>2</v>
      </c>
      <c r="Z38" s="36">
        <f ca="1">IF(ISNUMBER($A38),VLOOKUP($A38,Methuselahs!$A$7:$X$206,5),"")</f>
        <v>0</v>
      </c>
      <c r="AA38" s="36">
        <f t="shared" ca="1" si="11"/>
        <v>2</v>
      </c>
    </row>
    <row r="39" spans="1:27" ht="12.95" customHeight="1" x14ac:dyDescent="0.2">
      <c r="A39" s="137">
        <f ca="1">IF(ISBLANK('Tournament Info'!$B$11),"",INDIRECT(ADDRESS(ROW(),2,1,1,"Optimal Seating "&amp;'Tournament Info'!$B$11-1&amp;"R+F")))</f>
        <v>20</v>
      </c>
      <c r="B39" s="143">
        <f ca="1">IF(ISNUMBER(A39),VLOOKUP(A39,Methuselahs!$A$7:$E$206,2,0),"")</f>
        <v>0</v>
      </c>
      <c r="C39" s="241">
        <f ca="1">IF(ISNUMBER(A39),VLOOKUP(A39,Methuselahs!$A$7:$E$206,3,0),"")</f>
        <v>0</v>
      </c>
      <c r="D39" s="242">
        <f t="shared" ref="D39:D70" ca="1" si="12">IF(ISNUMBER(A39),FLOOR((ROW()-ROW($A$7))/5,1)+1,"")</f>
        <v>7</v>
      </c>
      <c r="E39" s="401">
        <v>0.5</v>
      </c>
      <c r="F39" s="144">
        <f t="shared" ref="F39:F70" si="13">IF(ISNUMBER(E39),E39,0)</f>
        <v>0.5</v>
      </c>
      <c r="G39" s="244">
        <f t="shared" ref="G39:G70" ca="1" si="14">IF(ISNUMBER($A39),IF(AND($F39&gt;=2,$H39=60),1,0),"")</f>
        <v>0</v>
      </c>
      <c r="H39" s="245">
        <f ca="1">IF(ISNUMBER(A39),IF(OR($S39=$U39,NOT(ISNA(MATCH($D39*5+$V$4,Override!$C$6:$C$125,0)))),$Q39,0),"")</f>
        <v>36</v>
      </c>
      <c r="I39" s="396">
        <f t="shared" ref="I39:I70" ca="1" si="15">IF(ISNUMBER(A39),IF(J39=5,K39,IF(AND(J39=4,OR(K39=4,K39=3)),K39+1,K39)),"")</f>
        <v>2</v>
      </c>
      <c r="J39" s="246">
        <f ca="1">COUNT(A37:A41)</f>
        <v>4</v>
      </c>
      <c r="K39" s="247">
        <f ca="1">IF(ISNUMBER(A39),RANK(F39,F37:F41),"")</f>
        <v>2</v>
      </c>
      <c r="L39" s="142">
        <f ca="1">IF(J39=5,VLOOKUP(K39,TPMatrix!$A$6:$B$10,2,0),IF(J39=4,VLOOKUP(K39,TPMatrix!$D$6:$E$9,2,0),0))</f>
        <v>48</v>
      </c>
      <c r="M39" s="142">
        <f ca="1">IF(COUNTIF(K37:K41,K39)&gt;=2,IF(J39=5,VLOOKUP(K39+1,TPMatrix!$A$6:$B$10,2,0),IF(J39=4,VLOOKUP(K39+1,TPMatrix!$D$6:$E$9,2,0),0)),"")</f>
        <v>24</v>
      </c>
      <c r="N39" s="142" t="str">
        <f ca="1">IF(COUNTIF(K37:K41,K39)&gt;=3,IF(J39=5,VLOOKUP(K39+2,TPMatrix!$A$6:$B$10,2,0),IF(J39=4,VLOOKUP(K39+2,TPMatrix!$D$6:$E$9,2,0),0)),"")</f>
        <v/>
      </c>
      <c r="O39" s="142" t="str">
        <f ca="1">IF(COUNTIF(K37:K41,K39)&gt;=4,IF(J39=5,VLOOKUP(K39+3,TPMatrix!$A$6:$B$10,2,0),IF(J39=4,VLOOKUP(K39+3,TPMatrix!$D$6:$E$9,2,0),0)),"")</f>
        <v/>
      </c>
      <c r="P39" s="142" t="str">
        <f ca="1">IF(COUNTIF(K37:K41,K39)&gt;=5,IF(J39=5,VLOOKUP(K39+4,TPMatrix!$A$6:$B$10,2,0),IF(J39=4,VLOOKUP(K39+4,TPMatrix!$D$6:$E$9,2,0),0)),"")</f>
        <v/>
      </c>
      <c r="Q39" s="142">
        <f t="shared" ref="Q39:Q70" ca="1" si="16">SUM(L39:P39)/COUNT(L39:P39)</f>
        <v>36</v>
      </c>
      <c r="R39" s="248">
        <f t="shared" ref="R39:R70" ca="1" si="17">COUNT(L39:P39)</f>
        <v>2</v>
      </c>
      <c r="S39" s="247">
        <f t="shared" ref="S39:S70" ca="1" si="18">IF(ISNUMBER($A39),COUNTIF($D$7:$D$206,$D39),0)</f>
        <v>4</v>
      </c>
      <c r="T39" s="142">
        <f t="shared" ref="T39:T70" si="19">CEILING($F39,1)</f>
        <v>1</v>
      </c>
      <c r="U39" s="248">
        <f t="shared" ref="U39:U70" ca="1" si="20">SUM(OFFSET(T39,-MOD(ROW()-ROW($U$7),5),0,5,1))</f>
        <v>4</v>
      </c>
      <c r="W39" s="36">
        <f t="shared" ref="W39:W70" ca="1" si="21">$I39</f>
        <v>2</v>
      </c>
      <c r="X39" s="36">
        <f ca="1">IF(ISNUMBER($A39),$W39*(Methuselahs!$A$4+1)+$A39,"")</f>
        <v>86</v>
      </c>
      <c r="Y39" s="36">
        <f t="shared" ref="Y39:Y70" ca="1" si="22">IF(ISNUMBER($A39),RANK($X39,$X39:$X43,1),"")</f>
        <v>2</v>
      </c>
      <c r="Z39" s="36">
        <f ca="1">IF(ISNUMBER($A39),VLOOKUP($A39,Methuselahs!$A$7:$X$206,5),"")</f>
        <v>1028087486</v>
      </c>
      <c r="AA39" s="36">
        <f t="shared" ref="AA39:AA70" ca="1" si="23">$I39</f>
        <v>2</v>
      </c>
    </row>
    <row r="40" spans="1:27" ht="12.95" customHeight="1" x14ac:dyDescent="0.2">
      <c r="A40" s="249">
        <f ca="1">IF(ISBLANK('Tournament Info'!$B$11),"",INDIRECT(ADDRESS(ROW(),2,1,1,"Optimal Seating "&amp;'Tournament Info'!$B$11-1&amp;"R+F")))</f>
        <v>3</v>
      </c>
      <c r="B40" s="250">
        <f ca="1">IF(ISNUMBER(A40),VLOOKUP(A40,Methuselahs!$A$7:$E$206,2,0),"")</f>
        <v>0</v>
      </c>
      <c r="C40" s="251">
        <f ca="1">IF(ISNUMBER(A40),VLOOKUP(A40,Methuselahs!$A$7:$E$206,3,0),"")</f>
        <v>0</v>
      </c>
      <c r="D40" s="252">
        <f t="shared" ca="1" si="12"/>
        <v>7</v>
      </c>
      <c r="E40" s="402">
        <v>1.5</v>
      </c>
      <c r="F40" s="397">
        <f t="shared" si="13"/>
        <v>1.5</v>
      </c>
      <c r="G40" s="235">
        <f t="shared" ca="1" si="14"/>
        <v>0</v>
      </c>
      <c r="H40" s="236">
        <f ca="1">IF(ISNUMBER(A40),IF(OR($S40=$U40,NOT(ISNA(MATCH($D40*5+$V$4,Override!$C$6:$C$125,0)))),$Q40,0),"")</f>
        <v>60</v>
      </c>
      <c r="I40" s="395">
        <f t="shared" ca="1" si="15"/>
        <v>1</v>
      </c>
      <c r="J40" s="254">
        <f ca="1">COUNT(A37:A41)</f>
        <v>4</v>
      </c>
      <c r="K40" s="238">
        <f ca="1">IF(ISNUMBER(A40),RANK(F40,F37:F41),"")</f>
        <v>1</v>
      </c>
      <c r="L40" s="239">
        <f ca="1">IF(J40=5,VLOOKUP(K40,TPMatrix!$A$6:$B$10,2,0),IF(J40=4,VLOOKUP(K40,TPMatrix!$D$6:$E$9,2,0),0))</f>
        <v>60</v>
      </c>
      <c r="M40" s="239" t="str">
        <f ca="1">IF(COUNTIF(K37:K41,K40)&gt;=2,IF(J40=5,VLOOKUP(K40+1,TPMatrix!$A$6:$B$10,2,0),IF(J40=4,VLOOKUP(K40+1,TPMatrix!$D$6:$E$9,2,0),0)),"")</f>
        <v/>
      </c>
      <c r="N40" s="239" t="str">
        <f ca="1">IF(COUNTIF(K37:K41,K40)&gt;=3,IF(J40=5,VLOOKUP(K40+2,TPMatrix!$A$6:$B$10,2,0),IF(J40=4,VLOOKUP(K40+2,TPMatrix!$D$6:$E$9,2,0),0)),"")</f>
        <v/>
      </c>
      <c r="O40" s="239" t="str">
        <f ca="1">IF(COUNTIF(K37:K41,K40)&gt;=4,IF(J40=5,VLOOKUP(K40+3,TPMatrix!$A$6:$B$10,2,0),IF(J40=4,VLOOKUP(K40+3,TPMatrix!$D$6:$E$9,2,0),0)),"")</f>
        <v/>
      </c>
      <c r="P40" s="239" t="str">
        <f ca="1">IF(COUNTIF(K37:K41,K40)&gt;=5,IF(J40=5,VLOOKUP(K40+4,TPMatrix!$A$6:$B$10,2,0),IF(J40=4,VLOOKUP(K40+4,TPMatrix!$D$6:$E$9,2,0),0)),"")</f>
        <v/>
      </c>
      <c r="Q40" s="239">
        <f t="shared" ca="1" si="16"/>
        <v>60</v>
      </c>
      <c r="R40" s="240">
        <f t="shared" ca="1" si="17"/>
        <v>1</v>
      </c>
      <c r="S40" s="238">
        <f t="shared" ca="1" si="18"/>
        <v>4</v>
      </c>
      <c r="T40" s="239">
        <f t="shared" si="19"/>
        <v>2</v>
      </c>
      <c r="U40" s="240">
        <f t="shared" ca="1" si="20"/>
        <v>4</v>
      </c>
      <c r="W40" s="36">
        <f t="shared" ca="1" si="21"/>
        <v>1</v>
      </c>
      <c r="X40" s="36">
        <f ca="1">IF(ISNUMBER($A40),$W40*(Methuselahs!$A$4+1)+$A40,"")</f>
        <v>36</v>
      </c>
      <c r="Y40" s="36">
        <f t="shared" ca="1" si="22"/>
        <v>1</v>
      </c>
      <c r="Z40" s="36" t="e">
        <f ca="1">IF(ISNUMBER($A40),VLOOKUP($A40,Methuselahs!$A$7:$X$206,5),"")</f>
        <v>#N/A</v>
      </c>
      <c r="AA40" s="36">
        <f t="shared" ca="1" si="23"/>
        <v>1</v>
      </c>
    </row>
    <row r="41" spans="1:27" ht="12.95" customHeight="1" x14ac:dyDescent="0.2">
      <c r="A41" s="255" t="str">
        <f ca="1">IF(ISBLANK('Tournament Info'!$B$11),"",INDIRECT(ADDRESS(ROW(),2,1,1,"Optimal Seating "&amp;'Tournament Info'!$B$11-1&amp;"R+F")))</f>
        <v/>
      </c>
      <c r="B41" s="256" t="str">
        <f ca="1">IF(ISNUMBER(A41),VLOOKUP(A41,Methuselahs!$A$7:$E$206,2,0),"")</f>
        <v/>
      </c>
      <c r="C41" s="257" t="str">
        <f ca="1">IF(ISNUMBER(A41),VLOOKUP(A41,Methuselahs!$A$7:$E$206,3,0),"")</f>
        <v/>
      </c>
      <c r="D41" s="258" t="str">
        <f t="shared" ca="1" si="12"/>
        <v/>
      </c>
      <c r="E41" s="259"/>
      <c r="F41" s="398">
        <f t="shared" si="13"/>
        <v>0</v>
      </c>
      <c r="G41" s="244" t="str">
        <f t="shared" ca="1" si="14"/>
        <v/>
      </c>
      <c r="H41" s="245" t="str">
        <f ca="1">IF(ISNUMBER(A41),IF(OR($S41=$U41,NOT(ISNA(MATCH($D41*5+$V$4,Override!$C$6:$C$125,0)))),$Q41,0),"")</f>
        <v/>
      </c>
      <c r="I41" s="396" t="str">
        <f t="shared" ca="1" si="15"/>
        <v/>
      </c>
      <c r="J41" s="260">
        <f ca="1">COUNT(A37:A41)</f>
        <v>4</v>
      </c>
      <c r="K41" s="261" t="str">
        <f ca="1">IF(ISNUMBER(A41),RANK(F41,F37:F41),"")</f>
        <v/>
      </c>
      <c r="L41" s="262" t="e">
        <f ca="1">IF(J41=5,VLOOKUP(K41,TPMatrix!$A$6:$B$10,2,0),IF(J41=4,VLOOKUP(K41,TPMatrix!$D$6:$E$9,2,0),0))</f>
        <v>#N/A</v>
      </c>
      <c r="M41" s="262" t="str">
        <f ca="1">IF(COUNTIF(K37:K41,K41)&gt;=2,IF(J41=5,VLOOKUP(K41+1,TPMatrix!$A$6:$B$10,2,0),IF(J41=4,VLOOKUP(K41+1,TPMatrix!$D$6:$E$9,2,0),0)),"")</f>
        <v/>
      </c>
      <c r="N41" s="262" t="str">
        <f ca="1">IF(COUNTIF(K37:K41,K41)&gt;=3,IF(J41=5,VLOOKUP(K41+2,TPMatrix!$A$6:$B$10,2,0),IF(J41=4,VLOOKUP(K41+2,TPMatrix!$D$6:$E$9,2,0),0)),"")</f>
        <v/>
      </c>
      <c r="O41" s="262" t="str">
        <f ca="1">IF(COUNTIF(K37:K41,K41)&gt;=4,IF(J41=5,VLOOKUP(K41+3,TPMatrix!$A$6:$B$10,2,0),IF(J41=4,VLOOKUP(K41+3,TPMatrix!$D$6:$E$9,2,0),0)),"")</f>
        <v/>
      </c>
      <c r="P41" s="262" t="str">
        <f ca="1">IF(COUNTIF(K37:K41,K41)&gt;=5,IF(J41=5,VLOOKUP(K41+4,TPMatrix!$A$6:$B$10,2,0),IF(J41=4,VLOOKUP(K41+4,TPMatrix!$D$6:$E$9,2,0),0)),"")</f>
        <v/>
      </c>
      <c r="Q41" s="262" t="e">
        <f t="shared" ca="1" si="16"/>
        <v>#N/A</v>
      </c>
      <c r="R41" s="263">
        <f t="shared" ca="1" si="17"/>
        <v>0</v>
      </c>
      <c r="S41" s="261">
        <f t="shared" ca="1" si="18"/>
        <v>0</v>
      </c>
      <c r="T41" s="262">
        <f t="shared" si="19"/>
        <v>0</v>
      </c>
      <c r="U41" s="263">
        <f t="shared" ca="1" si="20"/>
        <v>4</v>
      </c>
      <c r="W41" s="36" t="str">
        <f t="shared" ca="1" si="21"/>
        <v/>
      </c>
      <c r="X41" s="36" t="str">
        <f ca="1">IF(ISNUMBER($A41),$W41*(Methuselahs!$A$4+1)+$A41,"")</f>
        <v/>
      </c>
      <c r="Y41" s="36" t="str">
        <f t="shared" ca="1" si="22"/>
        <v/>
      </c>
      <c r="Z41" s="36" t="str">
        <f ca="1">IF(ISNUMBER($A41),VLOOKUP($A41,Methuselahs!$A$7:$X$206,5),"")</f>
        <v/>
      </c>
      <c r="AA41" s="36" t="str">
        <f t="shared" ca="1" si="23"/>
        <v/>
      </c>
    </row>
    <row r="42" spans="1:27" ht="12.95" customHeight="1" x14ac:dyDescent="0.2">
      <c r="A42" s="219" t="str">
        <f ca="1">IF(ISBLANK('Tournament Info'!$B$11),"",INDIRECT(ADDRESS(ROW(),2,1,1,"Optimal Seating "&amp;'Tournament Info'!$B$11-1&amp;"R+F")))</f>
        <v/>
      </c>
      <c r="B42" s="143" t="str">
        <f ca="1">IF(ISNUMBER(A42),VLOOKUP(A42,Methuselahs!$A$7:$E$206,2,0),"")</f>
        <v/>
      </c>
      <c r="C42" s="220" t="str">
        <f ca="1">IF(ISNUMBER(A42),VLOOKUP(A42,Methuselahs!$A$7:$E$206,3,0),"")</f>
        <v/>
      </c>
      <c r="D42" s="221" t="str">
        <f t="shared" ca="1" si="12"/>
        <v/>
      </c>
      <c r="E42" s="222"/>
      <c r="F42" s="393">
        <f t="shared" si="13"/>
        <v>0</v>
      </c>
      <c r="G42" s="223" t="str">
        <f t="shared" ca="1" si="14"/>
        <v/>
      </c>
      <c r="H42" s="224" t="str">
        <f ca="1">IF(ISNUMBER(A42),IF(OR($S42=$U42,NOT(ISNA(MATCH($D42*5+$V$4,Override!$C$6:$C$125,0)))),$Q42,0),"")</f>
        <v/>
      </c>
      <c r="I42" s="394" t="str">
        <f t="shared" ca="1" si="15"/>
        <v/>
      </c>
      <c r="J42" s="225">
        <f ca="1">COUNT(A42:A46)</f>
        <v>0</v>
      </c>
      <c r="K42" s="226" t="str">
        <f ca="1">IF(ISNUMBER(A42),RANK(F42,F42:F46),"")</f>
        <v/>
      </c>
      <c r="L42" s="227">
        <f ca="1">IF(J42=5,VLOOKUP(K42,TPMatrix!$A$6:$B$10,2,0),IF(J42=4,VLOOKUP(K42,TPMatrix!$D$6:$E$9,2,0),0))</f>
        <v>0</v>
      </c>
      <c r="M42" s="227">
        <f ca="1">IF(COUNTIF(K42:K46,K42)&gt;=2,IF(J42=5,VLOOKUP(K42+1,TPMatrix!$A$6:$B$10,2,0),IF(J42=4,VLOOKUP(K42+1,TPMatrix!$D$6:$E$9,2,0),0)),"")</f>
        <v>0</v>
      </c>
      <c r="N42" s="227">
        <f ca="1">IF(COUNTIF(K42:K46,K42)&gt;=3,IF(J42=5,VLOOKUP(K42+2,TPMatrix!$A$6:$B$10,2,0),IF(J42=4,VLOOKUP(K42+2,TPMatrix!$D$6:$E$9,2,0),0)),"")</f>
        <v>0</v>
      </c>
      <c r="O42" s="227">
        <f ca="1">IF(COUNTIF(K42:K46,K42)&gt;=4,IF(J42=5,VLOOKUP(K42+3,TPMatrix!$A$6:$B$10,2,0),IF(J42=4,VLOOKUP(K42+3,TPMatrix!$D$6:$E$9,2,0),0)),"")</f>
        <v>0</v>
      </c>
      <c r="P42" s="227">
        <f ca="1">IF(COUNTIF(K42:K46,K42)&gt;=5,IF(J42=5,VLOOKUP(K42+4,TPMatrix!$A$6:$B$10,2,0),IF(J42=4,VLOOKUP(K42+4,TPMatrix!$D$6:$E$9,2,0),0)),"")</f>
        <v>0</v>
      </c>
      <c r="Q42" s="227">
        <f t="shared" ca="1" si="16"/>
        <v>0</v>
      </c>
      <c r="R42" s="228">
        <f t="shared" ca="1" si="17"/>
        <v>5</v>
      </c>
      <c r="S42" s="229">
        <f t="shared" ca="1" si="18"/>
        <v>0</v>
      </c>
      <c r="T42" s="230">
        <f t="shared" si="19"/>
        <v>0</v>
      </c>
      <c r="U42" s="231">
        <f t="shared" ca="1" si="20"/>
        <v>0</v>
      </c>
      <c r="W42" s="36" t="str">
        <f t="shared" ca="1" si="21"/>
        <v/>
      </c>
      <c r="X42" s="36" t="str">
        <f ca="1">IF(ISNUMBER($A42),$W42*(Methuselahs!$A$4+1)+$A42,"")</f>
        <v/>
      </c>
      <c r="Y42" s="36" t="str">
        <f t="shared" ca="1" si="22"/>
        <v/>
      </c>
      <c r="Z42" s="36" t="str">
        <f ca="1">IF(ISNUMBER($A42),VLOOKUP($A42,Methuselahs!$A$7:$X$206,5),"")</f>
        <v/>
      </c>
      <c r="AA42" s="36" t="str">
        <f t="shared" ca="1" si="23"/>
        <v/>
      </c>
    </row>
    <row r="43" spans="1:27" ht="12.95" customHeight="1" x14ac:dyDescent="0.2">
      <c r="A43" s="111" t="str">
        <f ca="1">IF(ISBLANK('Tournament Info'!$B$11),"",INDIRECT(ADDRESS(ROW(),2,1,1,"Optimal Seating "&amp;'Tournament Info'!$B$11-1&amp;"R+F")))</f>
        <v/>
      </c>
      <c r="B43" s="117" t="str">
        <f ca="1">IF(ISNUMBER(A43),VLOOKUP(A43,Methuselahs!$A$7:$E$206,2,0),"")</f>
        <v/>
      </c>
      <c r="C43" s="232" t="str">
        <f ca="1">IF(ISNUMBER(A43),VLOOKUP(A43,Methuselahs!$A$7:$E$206,3,0),"")</f>
        <v/>
      </c>
      <c r="D43" s="233" t="str">
        <f t="shared" ca="1" si="12"/>
        <v/>
      </c>
      <c r="E43" s="234"/>
      <c r="F43" s="118">
        <f t="shared" si="13"/>
        <v>0</v>
      </c>
      <c r="G43" s="235" t="str">
        <f t="shared" ca="1" si="14"/>
        <v/>
      </c>
      <c r="H43" s="236" t="str">
        <f ca="1">IF(ISNUMBER(A43),IF(OR($S43=$U43,NOT(ISNA(MATCH($D43*5+$V$4,Override!$C$6:$C$125,0)))),$Q43,0),"")</f>
        <v/>
      </c>
      <c r="I43" s="395" t="str">
        <f t="shared" ca="1" si="15"/>
        <v/>
      </c>
      <c r="J43" s="237">
        <f ca="1">COUNT(A42:A46)</f>
        <v>0</v>
      </c>
      <c r="K43" s="238" t="str">
        <f ca="1">IF(ISNUMBER(A43),RANK(F43,F42:F46),"")</f>
        <v/>
      </c>
      <c r="L43" s="239">
        <f ca="1">IF(J43=5,VLOOKUP(K43,TPMatrix!$A$6:$B$10,2,0),IF(J43=4,VLOOKUP(K43,TPMatrix!$D$6:$E$9,2,0),0))</f>
        <v>0</v>
      </c>
      <c r="M43" s="239">
        <f ca="1">IF(COUNTIF(K42:K46,K43)&gt;=2,IF(J43=5,VLOOKUP(K43+1,TPMatrix!$A$6:$B$10,2,0),IF(J43=4,VLOOKUP(K43+1,TPMatrix!$D$6:$E$9,2,0),0)),"")</f>
        <v>0</v>
      </c>
      <c r="N43" s="239">
        <f ca="1">IF(COUNTIF(K42:K46,K43)&gt;=3,IF(J43=5,VLOOKUP(K43+2,TPMatrix!$A$6:$B$10,2,0),IF(J43=4,VLOOKUP(K43+2,TPMatrix!$D$6:$E$9,2,0),0)),"")</f>
        <v>0</v>
      </c>
      <c r="O43" s="239">
        <f ca="1">IF(COUNTIF(K42:K46,K43)&gt;=4,IF(J43=5,VLOOKUP(K43+3,TPMatrix!$A$6:$B$10,2,0),IF(J43=4,VLOOKUP(K43+3,TPMatrix!$D$6:$E$9,2,0),0)),"")</f>
        <v>0</v>
      </c>
      <c r="P43" s="239">
        <f ca="1">IF(COUNTIF(K42:K46,K43)&gt;=5,IF(J43=5,VLOOKUP(K43+4,TPMatrix!$A$6:$B$10,2,0),IF(J43=4,VLOOKUP(K43+4,TPMatrix!$D$6:$E$9,2,0),0)),"")</f>
        <v>0</v>
      </c>
      <c r="Q43" s="239">
        <f t="shared" ca="1" si="16"/>
        <v>0</v>
      </c>
      <c r="R43" s="240">
        <f t="shared" ca="1" si="17"/>
        <v>5</v>
      </c>
      <c r="S43" s="238">
        <f t="shared" ca="1" si="18"/>
        <v>0</v>
      </c>
      <c r="T43" s="239">
        <f t="shared" si="19"/>
        <v>0</v>
      </c>
      <c r="U43" s="240">
        <f t="shared" ca="1" si="20"/>
        <v>0</v>
      </c>
      <c r="W43" s="36" t="str">
        <f t="shared" ca="1" si="21"/>
        <v/>
      </c>
      <c r="X43" s="36" t="str">
        <f ca="1">IF(ISNUMBER($A43),$W43*(Methuselahs!$A$4+1)+$A43,"")</f>
        <v/>
      </c>
      <c r="Y43" s="36" t="str">
        <f t="shared" ca="1" si="22"/>
        <v/>
      </c>
      <c r="Z43" s="36" t="str">
        <f ca="1">IF(ISNUMBER($A43),VLOOKUP($A43,Methuselahs!$A$7:$X$206,5),"")</f>
        <v/>
      </c>
      <c r="AA43" s="36" t="str">
        <f t="shared" ca="1" si="23"/>
        <v/>
      </c>
    </row>
    <row r="44" spans="1:27" ht="12.95" customHeight="1" x14ac:dyDescent="0.2">
      <c r="A44" s="137" t="str">
        <f ca="1">IF(ISBLANK('Tournament Info'!$B$11),"",INDIRECT(ADDRESS(ROW(),2,1,1,"Optimal Seating "&amp;'Tournament Info'!$B$11-1&amp;"R+F")))</f>
        <v/>
      </c>
      <c r="B44" s="143" t="str">
        <f ca="1">IF(ISNUMBER(A44),VLOOKUP(A44,Methuselahs!$A$7:$E$206,2,0),"")</f>
        <v/>
      </c>
      <c r="C44" s="241" t="str">
        <f ca="1">IF(ISNUMBER(A44),VLOOKUP(A44,Methuselahs!$A$7:$E$206,3,0),"")</f>
        <v/>
      </c>
      <c r="D44" s="242" t="str">
        <f t="shared" ca="1" si="12"/>
        <v/>
      </c>
      <c r="E44" s="243"/>
      <c r="F44" s="144">
        <f t="shared" si="13"/>
        <v>0</v>
      </c>
      <c r="G44" s="244" t="str">
        <f t="shared" ca="1" si="14"/>
        <v/>
      </c>
      <c r="H44" s="245" t="str">
        <f ca="1">IF(ISNUMBER(A44),IF(OR($S44=$U44,NOT(ISNA(MATCH($D44*5+$V$4,Override!$C$6:$C$125,0)))),$Q44,0),"")</f>
        <v/>
      </c>
      <c r="I44" s="396" t="str">
        <f t="shared" ca="1" si="15"/>
        <v/>
      </c>
      <c r="J44" s="246">
        <f ca="1">COUNT(A42:A46)</f>
        <v>0</v>
      </c>
      <c r="K44" s="247" t="str">
        <f ca="1">IF(ISNUMBER(A44),RANK(F44,F42:F46),"")</f>
        <v/>
      </c>
      <c r="L44" s="142">
        <f ca="1">IF(J44=5,VLOOKUP(K44,TPMatrix!$A$6:$B$10,2,0),IF(J44=4,VLOOKUP(K44,TPMatrix!$D$6:$E$9,2,0),0))</f>
        <v>0</v>
      </c>
      <c r="M44" s="142">
        <f ca="1">IF(COUNTIF(K42:K46,K44)&gt;=2,IF(J44=5,VLOOKUP(K44+1,TPMatrix!$A$6:$B$10,2,0),IF(J44=4,VLOOKUP(K44+1,TPMatrix!$D$6:$E$9,2,0),0)),"")</f>
        <v>0</v>
      </c>
      <c r="N44" s="142">
        <f ca="1">IF(COUNTIF(K42:K46,K44)&gt;=3,IF(J44=5,VLOOKUP(K44+2,TPMatrix!$A$6:$B$10,2,0),IF(J44=4,VLOOKUP(K44+2,TPMatrix!$D$6:$E$9,2,0),0)),"")</f>
        <v>0</v>
      </c>
      <c r="O44" s="142">
        <f ca="1">IF(COUNTIF(K42:K46,K44)&gt;=4,IF(J44=5,VLOOKUP(K44+3,TPMatrix!$A$6:$B$10,2,0),IF(J44=4,VLOOKUP(K44+3,TPMatrix!$D$6:$E$9,2,0),0)),"")</f>
        <v>0</v>
      </c>
      <c r="P44" s="142">
        <f ca="1">IF(COUNTIF(K42:K46,K44)&gt;=5,IF(J44=5,VLOOKUP(K44+4,TPMatrix!$A$6:$B$10,2,0),IF(J44=4,VLOOKUP(K44+4,TPMatrix!$D$6:$E$9,2,0),0)),"")</f>
        <v>0</v>
      </c>
      <c r="Q44" s="142">
        <f t="shared" ca="1" si="16"/>
        <v>0</v>
      </c>
      <c r="R44" s="248">
        <f t="shared" ca="1" si="17"/>
        <v>5</v>
      </c>
      <c r="S44" s="247">
        <f t="shared" ca="1" si="18"/>
        <v>0</v>
      </c>
      <c r="T44" s="142">
        <f t="shared" si="19"/>
        <v>0</v>
      </c>
      <c r="U44" s="248">
        <f t="shared" ca="1" si="20"/>
        <v>0</v>
      </c>
      <c r="W44" s="36" t="str">
        <f t="shared" ca="1" si="21"/>
        <v/>
      </c>
      <c r="X44" s="36" t="str">
        <f ca="1">IF(ISNUMBER($A44),$W44*(Methuselahs!$A$4+1)+$A44,"")</f>
        <v/>
      </c>
      <c r="Y44" s="36" t="str">
        <f t="shared" ca="1" si="22"/>
        <v/>
      </c>
      <c r="Z44" s="36" t="str">
        <f ca="1">IF(ISNUMBER($A44),VLOOKUP($A44,Methuselahs!$A$7:$X$206,5),"")</f>
        <v/>
      </c>
      <c r="AA44" s="36" t="str">
        <f t="shared" ca="1" si="23"/>
        <v/>
      </c>
    </row>
    <row r="45" spans="1:27" ht="12.95" customHeight="1" x14ac:dyDescent="0.2">
      <c r="A45" s="249" t="str">
        <f ca="1">IF(ISBLANK('Tournament Info'!$B$11),"",INDIRECT(ADDRESS(ROW(),2,1,1,"Optimal Seating "&amp;'Tournament Info'!$B$11-1&amp;"R+F")))</f>
        <v/>
      </c>
      <c r="B45" s="250" t="str">
        <f ca="1">IF(ISNUMBER(A45),VLOOKUP(A45,Methuselahs!$A$7:$E$206,2,0),"")</f>
        <v/>
      </c>
      <c r="C45" s="251" t="str">
        <f ca="1">IF(ISNUMBER(A45),VLOOKUP(A45,Methuselahs!$A$7:$E$206,3,0),"")</f>
        <v/>
      </c>
      <c r="D45" s="252" t="str">
        <f t="shared" ca="1" si="12"/>
        <v/>
      </c>
      <c r="E45" s="253"/>
      <c r="F45" s="397">
        <f t="shared" si="13"/>
        <v>0</v>
      </c>
      <c r="G45" s="235" t="str">
        <f t="shared" ca="1" si="14"/>
        <v/>
      </c>
      <c r="H45" s="236" t="str">
        <f ca="1">IF(ISNUMBER(A45),IF(OR($S45=$U45,NOT(ISNA(MATCH($D45*5+$V$4,Override!$C$6:$C$125,0)))),$Q45,0),"")</f>
        <v/>
      </c>
      <c r="I45" s="395" t="str">
        <f t="shared" ca="1" si="15"/>
        <v/>
      </c>
      <c r="J45" s="254">
        <f ca="1">COUNT(A42:A46)</f>
        <v>0</v>
      </c>
      <c r="K45" s="238" t="str">
        <f ca="1">IF(ISNUMBER(A45),RANK(F45,F42:F46),"")</f>
        <v/>
      </c>
      <c r="L45" s="239">
        <f ca="1">IF(J45=5,VLOOKUP(K45,TPMatrix!$A$6:$B$10,2,0),IF(J45=4,VLOOKUP(K45,TPMatrix!$D$6:$E$9,2,0),0))</f>
        <v>0</v>
      </c>
      <c r="M45" s="239">
        <f ca="1">IF(COUNTIF(K42:K46,K45)&gt;=2,IF(J45=5,VLOOKUP(K45+1,TPMatrix!$A$6:$B$10,2,0),IF(J45=4,VLOOKUP(K45+1,TPMatrix!$D$6:$E$9,2,0),0)),"")</f>
        <v>0</v>
      </c>
      <c r="N45" s="239">
        <f ca="1">IF(COUNTIF(K42:K46,K45)&gt;=3,IF(J45=5,VLOOKUP(K45+2,TPMatrix!$A$6:$B$10,2,0),IF(J45=4,VLOOKUP(K45+2,TPMatrix!$D$6:$E$9,2,0),0)),"")</f>
        <v>0</v>
      </c>
      <c r="O45" s="239">
        <f ca="1">IF(COUNTIF(K42:K46,K45)&gt;=4,IF(J45=5,VLOOKUP(K45+3,TPMatrix!$A$6:$B$10,2,0),IF(J45=4,VLOOKUP(K45+3,TPMatrix!$D$6:$E$9,2,0),0)),"")</f>
        <v>0</v>
      </c>
      <c r="P45" s="239">
        <f ca="1">IF(COUNTIF(K42:K46,K45)&gt;=5,IF(J45=5,VLOOKUP(K45+4,TPMatrix!$A$6:$B$10,2,0),IF(J45=4,VLOOKUP(K45+4,TPMatrix!$D$6:$E$9,2,0),0)),"")</f>
        <v>0</v>
      </c>
      <c r="Q45" s="239">
        <f t="shared" ca="1" si="16"/>
        <v>0</v>
      </c>
      <c r="R45" s="240">
        <f t="shared" ca="1" si="17"/>
        <v>5</v>
      </c>
      <c r="S45" s="238">
        <f t="shared" ca="1" si="18"/>
        <v>0</v>
      </c>
      <c r="T45" s="239">
        <f t="shared" si="19"/>
        <v>0</v>
      </c>
      <c r="U45" s="240">
        <f t="shared" ca="1" si="20"/>
        <v>0</v>
      </c>
      <c r="W45" s="36" t="str">
        <f t="shared" ca="1" si="21"/>
        <v/>
      </c>
      <c r="X45" s="36" t="str">
        <f ca="1">IF(ISNUMBER($A45),$W45*(Methuselahs!$A$4+1)+$A45,"")</f>
        <v/>
      </c>
      <c r="Y45" s="36" t="str">
        <f t="shared" ca="1" si="22"/>
        <v/>
      </c>
      <c r="Z45" s="36" t="str">
        <f ca="1">IF(ISNUMBER($A45),VLOOKUP($A45,Methuselahs!$A$7:$X$206,5),"")</f>
        <v/>
      </c>
      <c r="AA45" s="36" t="str">
        <f t="shared" ca="1" si="23"/>
        <v/>
      </c>
    </row>
    <row r="46" spans="1:27" ht="12.95" customHeight="1" x14ac:dyDescent="0.2">
      <c r="A46" s="255" t="str">
        <f ca="1">IF(ISBLANK('Tournament Info'!$B$11),"",INDIRECT(ADDRESS(ROW(),2,1,1,"Optimal Seating "&amp;'Tournament Info'!$B$11-1&amp;"R+F")))</f>
        <v/>
      </c>
      <c r="B46" s="256" t="str">
        <f ca="1">IF(ISNUMBER(A46),VLOOKUP(A46,Methuselahs!$A$7:$E$206,2,0),"")</f>
        <v/>
      </c>
      <c r="C46" s="257" t="str">
        <f ca="1">IF(ISNUMBER(A46),VLOOKUP(A46,Methuselahs!$A$7:$E$206,3,0),"")</f>
        <v/>
      </c>
      <c r="D46" s="258" t="str">
        <f t="shared" ca="1" si="12"/>
        <v/>
      </c>
      <c r="E46" s="259"/>
      <c r="F46" s="398">
        <f t="shared" si="13"/>
        <v>0</v>
      </c>
      <c r="G46" s="244" t="str">
        <f t="shared" ca="1" si="14"/>
        <v/>
      </c>
      <c r="H46" s="245" t="str">
        <f ca="1">IF(ISNUMBER(A46),IF(OR($S46=$U46,NOT(ISNA(MATCH($D46*5+$V$4,Override!$C$6:$C$125,0)))),$Q46,0),"")</f>
        <v/>
      </c>
      <c r="I46" s="396" t="str">
        <f t="shared" ca="1" si="15"/>
        <v/>
      </c>
      <c r="J46" s="260">
        <f ca="1">COUNT(A42:A46)</f>
        <v>0</v>
      </c>
      <c r="K46" s="261" t="str">
        <f ca="1">IF(ISNUMBER(A46),RANK(F46,F42:F46),"")</f>
        <v/>
      </c>
      <c r="L46" s="262">
        <f ca="1">IF(J46=5,VLOOKUP(K46,TPMatrix!$A$6:$B$10,2,0),IF(J46=4,VLOOKUP(K46,TPMatrix!$D$6:$E$9,2,0),0))</f>
        <v>0</v>
      </c>
      <c r="M46" s="262">
        <f ca="1">IF(COUNTIF(K42:K46,K46)&gt;=2,IF(J46=5,VLOOKUP(K46+1,TPMatrix!$A$6:$B$10,2,0),IF(J46=4,VLOOKUP(K46+1,TPMatrix!$D$6:$E$9,2,0),0)),"")</f>
        <v>0</v>
      </c>
      <c r="N46" s="262">
        <f ca="1">IF(COUNTIF(K42:K46,K46)&gt;=3,IF(J46=5,VLOOKUP(K46+2,TPMatrix!$A$6:$B$10,2,0),IF(J46=4,VLOOKUP(K46+2,TPMatrix!$D$6:$E$9,2,0),0)),"")</f>
        <v>0</v>
      </c>
      <c r="O46" s="262">
        <f ca="1">IF(COUNTIF(K42:K46,K46)&gt;=4,IF(J46=5,VLOOKUP(K46+3,TPMatrix!$A$6:$B$10,2,0),IF(J46=4,VLOOKUP(K46+3,TPMatrix!$D$6:$E$9,2,0),0)),"")</f>
        <v>0</v>
      </c>
      <c r="P46" s="262">
        <f ca="1">IF(COUNTIF(K42:K46,K46)&gt;=5,IF(J46=5,VLOOKUP(K46+4,TPMatrix!$A$6:$B$10,2,0),IF(J46=4,VLOOKUP(K46+4,TPMatrix!$D$6:$E$9,2,0),0)),"")</f>
        <v>0</v>
      </c>
      <c r="Q46" s="262">
        <f t="shared" ca="1" si="16"/>
        <v>0</v>
      </c>
      <c r="R46" s="263">
        <f t="shared" ca="1" si="17"/>
        <v>5</v>
      </c>
      <c r="S46" s="261">
        <f t="shared" ca="1" si="18"/>
        <v>0</v>
      </c>
      <c r="T46" s="262">
        <f t="shared" si="19"/>
        <v>0</v>
      </c>
      <c r="U46" s="263">
        <f t="shared" ca="1" si="20"/>
        <v>0</v>
      </c>
      <c r="W46" s="36" t="str">
        <f t="shared" ca="1" si="21"/>
        <v/>
      </c>
      <c r="X46" s="36" t="str">
        <f ca="1">IF(ISNUMBER($A46),$W46*(Methuselahs!$A$4+1)+$A46,"")</f>
        <v/>
      </c>
      <c r="Y46" s="36" t="str">
        <f t="shared" ca="1" si="22"/>
        <v/>
      </c>
      <c r="Z46" s="36" t="str">
        <f ca="1">IF(ISNUMBER($A46),VLOOKUP($A46,Methuselahs!$A$7:$X$206,5),"")</f>
        <v/>
      </c>
      <c r="AA46" s="36" t="str">
        <f t="shared" ca="1" si="23"/>
        <v/>
      </c>
    </row>
    <row r="47" spans="1:27" ht="12.95" customHeight="1" x14ac:dyDescent="0.2">
      <c r="A47" s="219" t="str">
        <f ca="1">IF(ISBLANK('Tournament Info'!$B$11),"",INDIRECT(ADDRESS(ROW(),2,1,1,"Optimal Seating "&amp;'Tournament Info'!$B$11-1&amp;"R+F")))</f>
        <v/>
      </c>
      <c r="B47" s="143" t="str">
        <f ca="1">IF(ISNUMBER(A47),VLOOKUP(A47,Methuselahs!$A$7:$E$206,2,0),"")</f>
        <v/>
      </c>
      <c r="C47" s="220" t="str">
        <f ca="1">IF(ISNUMBER(A47),VLOOKUP(A47,Methuselahs!$A$7:$E$206,3,0),"")</f>
        <v/>
      </c>
      <c r="D47" s="221" t="str">
        <f t="shared" ca="1" si="12"/>
        <v/>
      </c>
      <c r="E47" s="222"/>
      <c r="F47" s="393">
        <f t="shared" si="13"/>
        <v>0</v>
      </c>
      <c r="G47" s="223" t="str">
        <f t="shared" ca="1" si="14"/>
        <v/>
      </c>
      <c r="H47" s="224" t="str">
        <f ca="1">IF(ISNUMBER(A47),IF(OR($S47=$U47,NOT(ISNA(MATCH($D47*5+$V$4,Override!$C$6:$C$125,0)))),$Q47,0),"")</f>
        <v/>
      </c>
      <c r="I47" s="394" t="str">
        <f t="shared" ca="1" si="15"/>
        <v/>
      </c>
      <c r="J47" s="225">
        <f ca="1">COUNT(A47:A51)</f>
        <v>0</v>
      </c>
      <c r="K47" s="226" t="str">
        <f ca="1">IF(ISNUMBER(A47),RANK(F47,F47:F51),"")</f>
        <v/>
      </c>
      <c r="L47" s="227">
        <f ca="1">IF(J47=5,VLOOKUP(K47,TPMatrix!$A$6:$B$10,2,0),IF(J47=4,VLOOKUP(K47,TPMatrix!$D$6:$E$9,2,0),0))</f>
        <v>0</v>
      </c>
      <c r="M47" s="227">
        <f ca="1">IF(COUNTIF(K47:K51,K47)&gt;=2,IF(J47=5,VLOOKUP(K47+1,TPMatrix!$A$6:$B$10,2,0),IF(J47=4,VLOOKUP(K47+1,TPMatrix!$D$6:$E$9,2,0),0)),"")</f>
        <v>0</v>
      </c>
      <c r="N47" s="227">
        <f ca="1">IF(COUNTIF(K47:K51,K47)&gt;=3,IF(J47=5,VLOOKUP(K47+2,TPMatrix!$A$6:$B$10,2,0),IF(J47=4,VLOOKUP(K47+2,TPMatrix!$D$6:$E$9,2,0),0)),"")</f>
        <v>0</v>
      </c>
      <c r="O47" s="227">
        <f ca="1">IF(COUNTIF(K47:K51,K47)&gt;=4,IF(J47=5,VLOOKUP(K47+3,TPMatrix!$A$6:$B$10,2,0),IF(J47=4,VLOOKUP(K47+3,TPMatrix!$D$6:$E$9,2,0),0)),"")</f>
        <v>0</v>
      </c>
      <c r="P47" s="227">
        <f ca="1">IF(COUNTIF(K47:K51,K47)&gt;=5,IF(J47=5,VLOOKUP(K47+4,TPMatrix!$A$6:$B$10,2,0),IF(J47=4,VLOOKUP(K47+4,TPMatrix!$D$6:$E$9,2,0),0)),"")</f>
        <v>0</v>
      </c>
      <c r="Q47" s="227">
        <f t="shared" ca="1" si="16"/>
        <v>0</v>
      </c>
      <c r="R47" s="228">
        <f t="shared" ca="1" si="17"/>
        <v>5</v>
      </c>
      <c r="S47" s="229">
        <f t="shared" ca="1" si="18"/>
        <v>0</v>
      </c>
      <c r="T47" s="230">
        <f t="shared" si="19"/>
        <v>0</v>
      </c>
      <c r="U47" s="231">
        <f t="shared" ca="1" si="20"/>
        <v>0</v>
      </c>
      <c r="W47" s="36" t="str">
        <f t="shared" ca="1" si="21"/>
        <v/>
      </c>
      <c r="X47" s="36" t="str">
        <f ca="1">IF(ISNUMBER($A47),$W47*(Methuselahs!$A$4+1)+$A47,"")</f>
        <v/>
      </c>
      <c r="Y47" s="36" t="str">
        <f t="shared" ca="1" si="22"/>
        <v/>
      </c>
      <c r="Z47" s="36" t="str">
        <f ca="1">IF(ISNUMBER($A47),VLOOKUP($A47,Methuselahs!$A$7:$X$206,5),"")</f>
        <v/>
      </c>
      <c r="AA47" s="36" t="str">
        <f t="shared" ca="1" si="23"/>
        <v/>
      </c>
    </row>
    <row r="48" spans="1:27" ht="12.95" customHeight="1" x14ac:dyDescent="0.2">
      <c r="A48" s="111" t="str">
        <f ca="1">IF(ISBLANK('Tournament Info'!$B$11),"",INDIRECT(ADDRESS(ROW(),2,1,1,"Optimal Seating "&amp;'Tournament Info'!$B$11-1&amp;"R+F")))</f>
        <v/>
      </c>
      <c r="B48" s="117" t="str">
        <f ca="1">IF(ISNUMBER(A48),VLOOKUP(A48,Methuselahs!$A$7:$E$206,2,0),"")</f>
        <v/>
      </c>
      <c r="C48" s="232" t="str">
        <f ca="1">IF(ISNUMBER(A48),VLOOKUP(A48,Methuselahs!$A$7:$E$206,3,0),"")</f>
        <v/>
      </c>
      <c r="D48" s="233" t="str">
        <f t="shared" ca="1" si="12"/>
        <v/>
      </c>
      <c r="E48" s="234"/>
      <c r="F48" s="118">
        <f t="shared" si="13"/>
        <v>0</v>
      </c>
      <c r="G48" s="235" t="str">
        <f t="shared" ca="1" si="14"/>
        <v/>
      </c>
      <c r="H48" s="236" t="str">
        <f ca="1">IF(ISNUMBER(A48),IF(OR($S48=$U48,NOT(ISNA(MATCH($D48*5+$V$4,Override!$C$6:$C$125,0)))),$Q48,0),"")</f>
        <v/>
      </c>
      <c r="I48" s="395" t="str">
        <f t="shared" ca="1" si="15"/>
        <v/>
      </c>
      <c r="J48" s="237">
        <f ca="1">COUNT(A47:A51)</f>
        <v>0</v>
      </c>
      <c r="K48" s="238" t="str">
        <f ca="1">IF(ISNUMBER(A48),RANK(F48,F47:F51),"")</f>
        <v/>
      </c>
      <c r="L48" s="239">
        <f ca="1">IF(J48=5,VLOOKUP(K48,TPMatrix!$A$6:$B$10,2,0),IF(J48=4,VLOOKUP(K48,TPMatrix!$D$6:$E$9,2,0),0))</f>
        <v>0</v>
      </c>
      <c r="M48" s="239">
        <f ca="1">IF(COUNTIF(K47:K51,K48)&gt;=2,IF(J48=5,VLOOKUP(K48+1,TPMatrix!$A$6:$B$10,2,0),IF(J48=4,VLOOKUP(K48+1,TPMatrix!$D$6:$E$9,2,0),0)),"")</f>
        <v>0</v>
      </c>
      <c r="N48" s="239">
        <f ca="1">IF(COUNTIF(K47:K51,K48)&gt;=3,IF(J48=5,VLOOKUP(K48+2,TPMatrix!$A$6:$B$10,2,0),IF(J48=4,VLOOKUP(K48+2,TPMatrix!$D$6:$E$9,2,0),0)),"")</f>
        <v>0</v>
      </c>
      <c r="O48" s="239">
        <f ca="1">IF(COUNTIF(K47:K51,K48)&gt;=4,IF(J48=5,VLOOKUP(K48+3,TPMatrix!$A$6:$B$10,2,0),IF(J48=4,VLOOKUP(K48+3,TPMatrix!$D$6:$E$9,2,0),0)),"")</f>
        <v>0</v>
      </c>
      <c r="P48" s="239">
        <f ca="1">IF(COUNTIF(K47:K51,K48)&gt;=5,IF(J48=5,VLOOKUP(K48+4,TPMatrix!$A$6:$B$10,2,0),IF(J48=4,VLOOKUP(K48+4,TPMatrix!$D$6:$E$9,2,0),0)),"")</f>
        <v>0</v>
      </c>
      <c r="Q48" s="239">
        <f t="shared" ca="1" si="16"/>
        <v>0</v>
      </c>
      <c r="R48" s="240">
        <f t="shared" ca="1" si="17"/>
        <v>5</v>
      </c>
      <c r="S48" s="238">
        <f t="shared" ca="1" si="18"/>
        <v>0</v>
      </c>
      <c r="T48" s="239">
        <f t="shared" si="19"/>
        <v>0</v>
      </c>
      <c r="U48" s="240">
        <f t="shared" ca="1" si="20"/>
        <v>0</v>
      </c>
      <c r="W48" s="36" t="str">
        <f t="shared" ca="1" si="21"/>
        <v/>
      </c>
      <c r="X48" s="36" t="str">
        <f ca="1">IF(ISNUMBER($A48),$W48*(Methuselahs!$A$4+1)+$A48,"")</f>
        <v/>
      </c>
      <c r="Y48" s="36" t="str">
        <f t="shared" ca="1" si="22"/>
        <v/>
      </c>
      <c r="Z48" s="36" t="str">
        <f ca="1">IF(ISNUMBER($A48),VLOOKUP($A48,Methuselahs!$A$7:$X$206,5),"")</f>
        <v/>
      </c>
      <c r="AA48" s="36" t="str">
        <f t="shared" ca="1" si="23"/>
        <v/>
      </c>
    </row>
    <row r="49" spans="1:27" ht="12.95" customHeight="1" x14ac:dyDescent="0.2">
      <c r="A49" s="137" t="str">
        <f ca="1">IF(ISBLANK('Tournament Info'!$B$11),"",INDIRECT(ADDRESS(ROW(),2,1,1,"Optimal Seating "&amp;'Tournament Info'!$B$11-1&amp;"R+F")))</f>
        <v/>
      </c>
      <c r="B49" s="143" t="str">
        <f ca="1">IF(ISNUMBER(A49),VLOOKUP(A49,Methuselahs!$A$7:$E$206,2,0),"")</f>
        <v/>
      </c>
      <c r="C49" s="241" t="str">
        <f ca="1">IF(ISNUMBER(A49),VLOOKUP(A49,Methuselahs!$A$7:$E$206,3,0),"")</f>
        <v/>
      </c>
      <c r="D49" s="242" t="str">
        <f t="shared" ca="1" si="12"/>
        <v/>
      </c>
      <c r="E49" s="243"/>
      <c r="F49" s="144">
        <f t="shared" si="13"/>
        <v>0</v>
      </c>
      <c r="G49" s="244" t="str">
        <f t="shared" ca="1" si="14"/>
        <v/>
      </c>
      <c r="H49" s="245" t="str">
        <f ca="1">IF(ISNUMBER(A49),IF(OR($S49=$U49,NOT(ISNA(MATCH($D49*5+$V$4,Override!$C$6:$C$125,0)))),$Q49,0),"")</f>
        <v/>
      </c>
      <c r="I49" s="396" t="str">
        <f t="shared" ca="1" si="15"/>
        <v/>
      </c>
      <c r="J49" s="246">
        <f ca="1">COUNT(A47:A51)</f>
        <v>0</v>
      </c>
      <c r="K49" s="247" t="str">
        <f ca="1">IF(ISNUMBER(A49),RANK(F49,F47:F51),"")</f>
        <v/>
      </c>
      <c r="L49" s="142">
        <f ca="1">IF(J49=5,VLOOKUP(K49,TPMatrix!$A$6:$B$10,2,0),IF(J49=4,VLOOKUP(K49,TPMatrix!$D$6:$E$9,2,0),0))</f>
        <v>0</v>
      </c>
      <c r="M49" s="142">
        <f ca="1">IF(COUNTIF(K47:K51,K49)&gt;=2,IF(J49=5,VLOOKUP(K49+1,TPMatrix!$A$6:$B$10,2,0),IF(J49=4,VLOOKUP(K49+1,TPMatrix!$D$6:$E$9,2,0),0)),"")</f>
        <v>0</v>
      </c>
      <c r="N49" s="142">
        <f ca="1">IF(COUNTIF(K47:K51,K49)&gt;=3,IF(J49=5,VLOOKUP(K49+2,TPMatrix!$A$6:$B$10,2,0),IF(J49=4,VLOOKUP(K49+2,TPMatrix!$D$6:$E$9,2,0),0)),"")</f>
        <v>0</v>
      </c>
      <c r="O49" s="142">
        <f ca="1">IF(COUNTIF(K47:K51,K49)&gt;=4,IF(J49=5,VLOOKUP(K49+3,TPMatrix!$A$6:$B$10,2,0),IF(J49=4,VLOOKUP(K49+3,TPMatrix!$D$6:$E$9,2,0),0)),"")</f>
        <v>0</v>
      </c>
      <c r="P49" s="142">
        <f ca="1">IF(COUNTIF(K47:K51,K49)&gt;=5,IF(J49=5,VLOOKUP(K49+4,TPMatrix!$A$6:$B$10,2,0),IF(J49=4,VLOOKUP(K49+4,TPMatrix!$D$6:$E$9,2,0),0)),"")</f>
        <v>0</v>
      </c>
      <c r="Q49" s="142">
        <f t="shared" ca="1" si="16"/>
        <v>0</v>
      </c>
      <c r="R49" s="248">
        <f t="shared" ca="1" si="17"/>
        <v>5</v>
      </c>
      <c r="S49" s="247">
        <f t="shared" ca="1" si="18"/>
        <v>0</v>
      </c>
      <c r="T49" s="142">
        <f t="shared" si="19"/>
        <v>0</v>
      </c>
      <c r="U49" s="248">
        <f t="shared" ca="1" si="20"/>
        <v>0</v>
      </c>
      <c r="W49" s="36" t="str">
        <f t="shared" ca="1" si="21"/>
        <v/>
      </c>
      <c r="X49" s="36" t="str">
        <f ca="1">IF(ISNUMBER($A49),$W49*(Methuselahs!$A$4+1)+$A49,"")</f>
        <v/>
      </c>
      <c r="Y49" s="36" t="str">
        <f t="shared" ca="1" si="22"/>
        <v/>
      </c>
      <c r="Z49" s="36" t="str">
        <f ca="1">IF(ISNUMBER($A49),VLOOKUP($A49,Methuselahs!$A$7:$X$206,5),"")</f>
        <v/>
      </c>
      <c r="AA49" s="36" t="str">
        <f t="shared" ca="1" si="23"/>
        <v/>
      </c>
    </row>
    <row r="50" spans="1:27" ht="12.95" customHeight="1" x14ac:dyDescent="0.2">
      <c r="A50" s="249" t="str">
        <f ca="1">IF(ISBLANK('Tournament Info'!$B$11),"",INDIRECT(ADDRESS(ROW(),2,1,1,"Optimal Seating "&amp;'Tournament Info'!$B$11-1&amp;"R+F")))</f>
        <v/>
      </c>
      <c r="B50" s="250" t="str">
        <f ca="1">IF(ISNUMBER(A50),VLOOKUP(A50,Methuselahs!$A$7:$E$206,2,0),"")</f>
        <v/>
      </c>
      <c r="C50" s="251" t="str">
        <f ca="1">IF(ISNUMBER(A50),VLOOKUP(A50,Methuselahs!$A$7:$E$206,3,0),"")</f>
        <v/>
      </c>
      <c r="D50" s="252" t="str">
        <f t="shared" ca="1" si="12"/>
        <v/>
      </c>
      <c r="E50" s="253"/>
      <c r="F50" s="397">
        <f t="shared" si="13"/>
        <v>0</v>
      </c>
      <c r="G50" s="235" t="str">
        <f t="shared" ca="1" si="14"/>
        <v/>
      </c>
      <c r="H50" s="236" t="str">
        <f ca="1">IF(ISNUMBER(A50),IF(OR($S50=$U50,NOT(ISNA(MATCH($D50*5+$V$4,Override!$C$6:$C$125,0)))),$Q50,0),"")</f>
        <v/>
      </c>
      <c r="I50" s="395" t="str">
        <f t="shared" ca="1" si="15"/>
        <v/>
      </c>
      <c r="J50" s="254">
        <f ca="1">COUNT(A47:A51)</f>
        <v>0</v>
      </c>
      <c r="K50" s="238" t="str">
        <f ca="1">IF(ISNUMBER(A50),RANK(F50,F47:F51),"")</f>
        <v/>
      </c>
      <c r="L50" s="239">
        <f ca="1">IF(J50=5,VLOOKUP(K50,TPMatrix!$A$6:$B$10,2,0),IF(J50=4,VLOOKUP(K50,TPMatrix!$D$6:$E$9,2,0),0))</f>
        <v>0</v>
      </c>
      <c r="M50" s="239">
        <f ca="1">IF(COUNTIF(K47:K51,K50)&gt;=2,IF(J50=5,VLOOKUP(K50+1,TPMatrix!$A$6:$B$10,2,0),IF(J50=4,VLOOKUP(K50+1,TPMatrix!$D$6:$E$9,2,0),0)),"")</f>
        <v>0</v>
      </c>
      <c r="N50" s="239">
        <f ca="1">IF(COUNTIF(K47:K51,K50)&gt;=3,IF(J50=5,VLOOKUP(K50+2,TPMatrix!$A$6:$B$10,2,0),IF(J50=4,VLOOKUP(K50+2,TPMatrix!$D$6:$E$9,2,0),0)),"")</f>
        <v>0</v>
      </c>
      <c r="O50" s="239">
        <f ca="1">IF(COUNTIF(K47:K51,K50)&gt;=4,IF(J50=5,VLOOKUP(K50+3,TPMatrix!$A$6:$B$10,2,0),IF(J50=4,VLOOKUP(K50+3,TPMatrix!$D$6:$E$9,2,0),0)),"")</f>
        <v>0</v>
      </c>
      <c r="P50" s="239">
        <f ca="1">IF(COUNTIF(K47:K51,K50)&gt;=5,IF(J50=5,VLOOKUP(K50+4,TPMatrix!$A$6:$B$10,2,0),IF(J50=4,VLOOKUP(K50+4,TPMatrix!$D$6:$E$9,2,0),0)),"")</f>
        <v>0</v>
      </c>
      <c r="Q50" s="239">
        <f t="shared" ca="1" si="16"/>
        <v>0</v>
      </c>
      <c r="R50" s="240">
        <f t="shared" ca="1" si="17"/>
        <v>5</v>
      </c>
      <c r="S50" s="238">
        <f t="shared" ca="1" si="18"/>
        <v>0</v>
      </c>
      <c r="T50" s="239">
        <f t="shared" si="19"/>
        <v>0</v>
      </c>
      <c r="U50" s="240">
        <f t="shared" ca="1" si="20"/>
        <v>0</v>
      </c>
      <c r="W50" s="36" t="str">
        <f t="shared" ca="1" si="21"/>
        <v/>
      </c>
      <c r="X50" s="36" t="str">
        <f ca="1">IF(ISNUMBER($A50),$W50*(Methuselahs!$A$4+1)+$A50,"")</f>
        <v/>
      </c>
      <c r="Y50" s="36" t="str">
        <f t="shared" ca="1" si="22"/>
        <v/>
      </c>
      <c r="Z50" s="36" t="str">
        <f ca="1">IF(ISNUMBER($A50),VLOOKUP($A50,Methuselahs!$A$7:$X$206,5),"")</f>
        <v/>
      </c>
      <c r="AA50" s="36" t="str">
        <f t="shared" ca="1" si="23"/>
        <v/>
      </c>
    </row>
    <row r="51" spans="1:27" ht="12.95" customHeight="1" x14ac:dyDescent="0.2">
      <c r="A51" s="255" t="str">
        <f ca="1">IF(ISBLANK('Tournament Info'!$B$11),"",INDIRECT(ADDRESS(ROW(),2,1,1,"Optimal Seating "&amp;'Tournament Info'!$B$11-1&amp;"R+F")))</f>
        <v/>
      </c>
      <c r="B51" s="256" t="str">
        <f ca="1">IF(ISNUMBER(A51),VLOOKUP(A51,Methuselahs!$A$7:$E$206,2,0),"")</f>
        <v/>
      </c>
      <c r="C51" s="257" t="str">
        <f ca="1">IF(ISNUMBER(A51),VLOOKUP(A51,Methuselahs!$A$7:$E$206,3,0),"")</f>
        <v/>
      </c>
      <c r="D51" s="258" t="str">
        <f t="shared" ca="1" si="12"/>
        <v/>
      </c>
      <c r="E51" s="259"/>
      <c r="F51" s="398">
        <f t="shared" si="13"/>
        <v>0</v>
      </c>
      <c r="G51" s="244" t="str">
        <f t="shared" ca="1" si="14"/>
        <v/>
      </c>
      <c r="H51" s="245" t="str">
        <f ca="1">IF(ISNUMBER(A51),IF(OR($S51=$U51,NOT(ISNA(MATCH($D51*5+$V$4,Override!$C$6:$C$125,0)))),$Q51,0),"")</f>
        <v/>
      </c>
      <c r="I51" s="396" t="str">
        <f t="shared" ca="1" si="15"/>
        <v/>
      </c>
      <c r="J51" s="260">
        <f ca="1">COUNT(A47:A51)</f>
        <v>0</v>
      </c>
      <c r="K51" s="261" t="str">
        <f ca="1">IF(ISNUMBER(A51),RANK(F51,F47:F51),"")</f>
        <v/>
      </c>
      <c r="L51" s="262">
        <f ca="1">IF(J51=5,VLOOKUP(K51,TPMatrix!$A$6:$B$10,2,0),IF(J51=4,VLOOKUP(K51,TPMatrix!$D$6:$E$9,2,0),0))</f>
        <v>0</v>
      </c>
      <c r="M51" s="262">
        <f ca="1">IF(COUNTIF(K47:K51,K51)&gt;=2,IF(J51=5,VLOOKUP(K51+1,TPMatrix!$A$6:$B$10,2,0),IF(J51=4,VLOOKUP(K51+1,TPMatrix!$D$6:$E$9,2,0),0)),"")</f>
        <v>0</v>
      </c>
      <c r="N51" s="262">
        <f ca="1">IF(COUNTIF(K47:K51,K51)&gt;=3,IF(J51=5,VLOOKUP(K51+2,TPMatrix!$A$6:$B$10,2,0),IF(J51=4,VLOOKUP(K51+2,TPMatrix!$D$6:$E$9,2,0),0)),"")</f>
        <v>0</v>
      </c>
      <c r="O51" s="262">
        <f ca="1">IF(COUNTIF(K47:K51,K51)&gt;=4,IF(J51=5,VLOOKUP(K51+3,TPMatrix!$A$6:$B$10,2,0),IF(J51=4,VLOOKUP(K51+3,TPMatrix!$D$6:$E$9,2,0),0)),"")</f>
        <v>0</v>
      </c>
      <c r="P51" s="262">
        <f ca="1">IF(COUNTIF(K47:K51,K51)&gt;=5,IF(J51=5,VLOOKUP(K51+4,TPMatrix!$A$6:$B$10,2,0),IF(J51=4,VLOOKUP(K51+4,TPMatrix!$D$6:$E$9,2,0),0)),"")</f>
        <v>0</v>
      </c>
      <c r="Q51" s="262">
        <f t="shared" ca="1" si="16"/>
        <v>0</v>
      </c>
      <c r="R51" s="263">
        <f t="shared" ca="1" si="17"/>
        <v>5</v>
      </c>
      <c r="S51" s="261">
        <f t="shared" ca="1" si="18"/>
        <v>0</v>
      </c>
      <c r="T51" s="262">
        <f t="shared" si="19"/>
        <v>0</v>
      </c>
      <c r="U51" s="263">
        <f t="shared" ca="1" si="20"/>
        <v>0</v>
      </c>
      <c r="W51" s="36" t="str">
        <f t="shared" ca="1" si="21"/>
        <v/>
      </c>
      <c r="X51" s="36" t="str">
        <f ca="1">IF(ISNUMBER($A51),$W51*(Methuselahs!$A$4+1)+$A51,"")</f>
        <v/>
      </c>
      <c r="Y51" s="36" t="str">
        <f t="shared" ca="1" si="22"/>
        <v/>
      </c>
      <c r="Z51" s="36" t="str">
        <f ca="1">IF(ISNUMBER($A51),VLOOKUP($A51,Methuselahs!$A$7:$X$206,5),"")</f>
        <v/>
      </c>
      <c r="AA51" s="36" t="str">
        <f t="shared" ca="1" si="23"/>
        <v/>
      </c>
    </row>
    <row r="52" spans="1:27" ht="12.95" customHeight="1" x14ac:dyDescent="0.2">
      <c r="A52" s="219" t="str">
        <f ca="1">IF(ISBLANK('Tournament Info'!$B$11),"",INDIRECT(ADDRESS(ROW(),2,1,1,"Optimal Seating "&amp;'Tournament Info'!$B$11-1&amp;"R+F")))</f>
        <v/>
      </c>
      <c r="B52" s="143" t="str">
        <f ca="1">IF(ISNUMBER(A52),VLOOKUP(A52,Methuselahs!$A$7:$E$206,2,0),"")</f>
        <v/>
      </c>
      <c r="C52" s="220" t="str">
        <f ca="1">IF(ISNUMBER(A52),VLOOKUP(A52,Methuselahs!$A$7:$E$206,3,0),"")</f>
        <v/>
      </c>
      <c r="D52" s="221" t="str">
        <f t="shared" ca="1" si="12"/>
        <v/>
      </c>
      <c r="E52" s="222"/>
      <c r="F52" s="393">
        <f t="shared" si="13"/>
        <v>0</v>
      </c>
      <c r="G52" s="223" t="str">
        <f t="shared" ca="1" si="14"/>
        <v/>
      </c>
      <c r="H52" s="224" t="str">
        <f ca="1">IF(ISNUMBER(A52),IF(OR($S52=$U52,NOT(ISNA(MATCH($D52*5+$V$4,Override!$C$6:$C$125,0)))),$Q52,0),"")</f>
        <v/>
      </c>
      <c r="I52" s="394" t="str">
        <f t="shared" ca="1" si="15"/>
        <v/>
      </c>
      <c r="J52" s="225">
        <f ca="1">COUNT(A52:A56)</f>
        <v>0</v>
      </c>
      <c r="K52" s="226" t="str">
        <f ca="1">IF(ISNUMBER(A52),RANK(F52,F52:F56),"")</f>
        <v/>
      </c>
      <c r="L52" s="227">
        <f ca="1">IF(J52=5,VLOOKUP(K52,TPMatrix!$A$6:$B$10,2,0),IF(J52=4,VLOOKUP(K52,TPMatrix!$D$6:$E$9,2,0),0))</f>
        <v>0</v>
      </c>
      <c r="M52" s="227">
        <f ca="1">IF(COUNTIF(K52:K56,K52)&gt;=2,IF(J52=5,VLOOKUP(K52+1,TPMatrix!$A$6:$B$10,2,0),IF(J52=4,VLOOKUP(K52+1,TPMatrix!$D$6:$E$9,2,0),0)),"")</f>
        <v>0</v>
      </c>
      <c r="N52" s="227">
        <f ca="1">IF(COUNTIF(K52:K56,K52)&gt;=3,IF(J52=5,VLOOKUP(K52+2,TPMatrix!$A$6:$B$10,2,0),IF(J52=4,VLOOKUP(K52+2,TPMatrix!$D$6:$E$9,2,0),0)),"")</f>
        <v>0</v>
      </c>
      <c r="O52" s="227">
        <f ca="1">IF(COUNTIF(K52:K56,K52)&gt;=4,IF(J52=5,VLOOKUP(K52+3,TPMatrix!$A$6:$B$10,2,0),IF(J52=4,VLOOKUP(K52+3,TPMatrix!$D$6:$E$9,2,0),0)),"")</f>
        <v>0</v>
      </c>
      <c r="P52" s="227">
        <f ca="1">IF(COUNTIF(K52:K56,K52)&gt;=5,IF(J52=5,VLOOKUP(K52+4,TPMatrix!$A$6:$B$10,2,0),IF(J52=4,VLOOKUP(K52+4,TPMatrix!$D$6:$E$9,2,0),0)),"")</f>
        <v>0</v>
      </c>
      <c r="Q52" s="227">
        <f t="shared" ca="1" si="16"/>
        <v>0</v>
      </c>
      <c r="R52" s="228">
        <f t="shared" ca="1" si="17"/>
        <v>5</v>
      </c>
      <c r="S52" s="229">
        <f t="shared" ca="1" si="18"/>
        <v>0</v>
      </c>
      <c r="T52" s="230">
        <f t="shared" si="19"/>
        <v>0</v>
      </c>
      <c r="U52" s="231">
        <f t="shared" ca="1" si="20"/>
        <v>0</v>
      </c>
      <c r="W52" s="36" t="str">
        <f t="shared" ca="1" si="21"/>
        <v/>
      </c>
      <c r="X52" s="36" t="str">
        <f ca="1">IF(ISNUMBER($A52),$W52*(Methuselahs!$A$4+1)+$A52,"")</f>
        <v/>
      </c>
      <c r="Y52" s="36" t="str">
        <f t="shared" ca="1" si="22"/>
        <v/>
      </c>
      <c r="Z52" s="36" t="str">
        <f ca="1">IF(ISNUMBER($A52),VLOOKUP($A52,Methuselahs!$A$7:$X$206,5),"")</f>
        <v/>
      </c>
      <c r="AA52" s="36" t="str">
        <f t="shared" ca="1" si="23"/>
        <v/>
      </c>
    </row>
    <row r="53" spans="1:27" ht="12.95" customHeight="1" x14ac:dyDescent="0.2">
      <c r="A53" s="111" t="str">
        <f ca="1">IF(ISBLANK('Tournament Info'!$B$11),"",INDIRECT(ADDRESS(ROW(),2,1,1,"Optimal Seating "&amp;'Tournament Info'!$B$11-1&amp;"R+F")))</f>
        <v/>
      </c>
      <c r="B53" s="117" t="str">
        <f ca="1">IF(ISNUMBER(A53),VLOOKUP(A53,Methuselahs!$A$7:$E$206,2,0),"")</f>
        <v/>
      </c>
      <c r="C53" s="232" t="str">
        <f ca="1">IF(ISNUMBER(A53),VLOOKUP(A53,Methuselahs!$A$7:$E$206,3,0),"")</f>
        <v/>
      </c>
      <c r="D53" s="233" t="str">
        <f t="shared" ca="1" si="12"/>
        <v/>
      </c>
      <c r="E53" s="234"/>
      <c r="F53" s="118">
        <f t="shared" si="13"/>
        <v>0</v>
      </c>
      <c r="G53" s="235" t="str">
        <f t="shared" ca="1" si="14"/>
        <v/>
      </c>
      <c r="H53" s="236" t="str">
        <f ca="1">IF(ISNUMBER(A53),IF(OR($S53=$U53,NOT(ISNA(MATCH($D53*5+$V$4,Override!$C$6:$C$125,0)))),$Q53,0),"")</f>
        <v/>
      </c>
      <c r="I53" s="395" t="str">
        <f t="shared" ca="1" si="15"/>
        <v/>
      </c>
      <c r="J53" s="237">
        <f ca="1">COUNT(A52:A56)</f>
        <v>0</v>
      </c>
      <c r="K53" s="238" t="str">
        <f ca="1">IF(ISNUMBER(A53),RANK(F53,F52:F56),"")</f>
        <v/>
      </c>
      <c r="L53" s="239">
        <f ca="1">IF(J53=5,VLOOKUP(K53,TPMatrix!$A$6:$B$10,2,0),IF(J53=4,VLOOKUP(K53,TPMatrix!$D$6:$E$9,2,0),0))</f>
        <v>0</v>
      </c>
      <c r="M53" s="239">
        <f ca="1">IF(COUNTIF(K52:K56,K53)&gt;=2,IF(J53=5,VLOOKUP(K53+1,TPMatrix!$A$6:$B$10,2,0),IF(J53=4,VLOOKUP(K53+1,TPMatrix!$D$6:$E$9,2,0),0)),"")</f>
        <v>0</v>
      </c>
      <c r="N53" s="239">
        <f ca="1">IF(COUNTIF(K52:K56,K53)&gt;=3,IF(J53=5,VLOOKUP(K53+2,TPMatrix!$A$6:$B$10,2,0),IF(J53=4,VLOOKUP(K53+2,TPMatrix!$D$6:$E$9,2,0),0)),"")</f>
        <v>0</v>
      </c>
      <c r="O53" s="239">
        <f ca="1">IF(COUNTIF(K52:K56,K53)&gt;=4,IF(J53=5,VLOOKUP(K53+3,TPMatrix!$A$6:$B$10,2,0),IF(J53=4,VLOOKUP(K53+3,TPMatrix!$D$6:$E$9,2,0),0)),"")</f>
        <v>0</v>
      </c>
      <c r="P53" s="239">
        <f ca="1">IF(COUNTIF(K52:K56,K53)&gt;=5,IF(J53=5,VLOOKUP(K53+4,TPMatrix!$A$6:$B$10,2,0),IF(J53=4,VLOOKUP(K53+4,TPMatrix!$D$6:$E$9,2,0),0)),"")</f>
        <v>0</v>
      </c>
      <c r="Q53" s="239">
        <f t="shared" ca="1" si="16"/>
        <v>0</v>
      </c>
      <c r="R53" s="240">
        <f t="shared" ca="1" si="17"/>
        <v>5</v>
      </c>
      <c r="S53" s="238">
        <f t="shared" ca="1" si="18"/>
        <v>0</v>
      </c>
      <c r="T53" s="239">
        <f t="shared" si="19"/>
        <v>0</v>
      </c>
      <c r="U53" s="240">
        <f t="shared" ca="1" si="20"/>
        <v>0</v>
      </c>
      <c r="W53" s="36" t="str">
        <f t="shared" ca="1" si="21"/>
        <v/>
      </c>
      <c r="X53" s="36" t="str">
        <f ca="1">IF(ISNUMBER($A53),$W53*(Methuselahs!$A$4+1)+$A53,"")</f>
        <v/>
      </c>
      <c r="Y53" s="36" t="str">
        <f t="shared" ca="1" si="22"/>
        <v/>
      </c>
      <c r="Z53" s="36" t="str">
        <f ca="1">IF(ISNUMBER($A53),VLOOKUP($A53,Methuselahs!$A$7:$X$206,5),"")</f>
        <v/>
      </c>
      <c r="AA53" s="36" t="str">
        <f t="shared" ca="1" si="23"/>
        <v/>
      </c>
    </row>
    <row r="54" spans="1:27" ht="12.95" customHeight="1" x14ac:dyDescent="0.2">
      <c r="A54" s="137" t="str">
        <f ca="1">IF(ISBLANK('Tournament Info'!$B$11),"",INDIRECT(ADDRESS(ROW(),2,1,1,"Optimal Seating "&amp;'Tournament Info'!$B$11-1&amp;"R+F")))</f>
        <v/>
      </c>
      <c r="B54" s="143" t="str">
        <f ca="1">IF(ISNUMBER(A54),VLOOKUP(A54,Methuselahs!$A$7:$E$206,2,0),"")</f>
        <v/>
      </c>
      <c r="C54" s="241" t="str">
        <f ca="1">IF(ISNUMBER(A54),VLOOKUP(A54,Methuselahs!$A$7:$E$206,3,0),"")</f>
        <v/>
      </c>
      <c r="D54" s="242" t="str">
        <f t="shared" ca="1" si="12"/>
        <v/>
      </c>
      <c r="E54" s="243"/>
      <c r="F54" s="144">
        <f t="shared" si="13"/>
        <v>0</v>
      </c>
      <c r="G54" s="244" t="str">
        <f t="shared" ca="1" si="14"/>
        <v/>
      </c>
      <c r="H54" s="245" t="str">
        <f ca="1">IF(ISNUMBER(A54),IF(OR($S54=$U54,NOT(ISNA(MATCH($D54*5+$V$4,Override!$C$6:$C$125,0)))),$Q54,0),"")</f>
        <v/>
      </c>
      <c r="I54" s="396" t="str">
        <f t="shared" ca="1" si="15"/>
        <v/>
      </c>
      <c r="J54" s="246">
        <f ca="1">COUNT(A52:A56)</f>
        <v>0</v>
      </c>
      <c r="K54" s="247" t="str">
        <f ca="1">IF(ISNUMBER(A54),RANK(F54,F52:F56),"")</f>
        <v/>
      </c>
      <c r="L54" s="142">
        <f ca="1">IF(J54=5,VLOOKUP(K54,TPMatrix!$A$6:$B$10,2,0),IF(J54=4,VLOOKUP(K54,TPMatrix!$D$6:$E$9,2,0),0))</f>
        <v>0</v>
      </c>
      <c r="M54" s="142">
        <f ca="1">IF(COUNTIF(K52:K56,K54)&gt;=2,IF(J54=5,VLOOKUP(K54+1,TPMatrix!$A$6:$B$10,2,0),IF(J54=4,VLOOKUP(K54+1,TPMatrix!$D$6:$E$9,2,0),0)),"")</f>
        <v>0</v>
      </c>
      <c r="N54" s="142">
        <f ca="1">IF(COUNTIF(K52:K56,K54)&gt;=3,IF(J54=5,VLOOKUP(K54+2,TPMatrix!$A$6:$B$10,2,0),IF(J54=4,VLOOKUP(K54+2,TPMatrix!$D$6:$E$9,2,0),0)),"")</f>
        <v>0</v>
      </c>
      <c r="O54" s="142">
        <f ca="1">IF(COUNTIF(K52:K56,K54)&gt;=4,IF(J54=5,VLOOKUP(K54+3,TPMatrix!$A$6:$B$10,2,0),IF(J54=4,VLOOKUP(K54+3,TPMatrix!$D$6:$E$9,2,0),0)),"")</f>
        <v>0</v>
      </c>
      <c r="P54" s="142">
        <f ca="1">IF(COUNTIF(K52:K56,K54)&gt;=5,IF(J54=5,VLOOKUP(K54+4,TPMatrix!$A$6:$B$10,2,0),IF(J54=4,VLOOKUP(K54+4,TPMatrix!$D$6:$E$9,2,0),0)),"")</f>
        <v>0</v>
      </c>
      <c r="Q54" s="142">
        <f t="shared" ca="1" si="16"/>
        <v>0</v>
      </c>
      <c r="R54" s="248">
        <f t="shared" ca="1" si="17"/>
        <v>5</v>
      </c>
      <c r="S54" s="247">
        <f t="shared" ca="1" si="18"/>
        <v>0</v>
      </c>
      <c r="T54" s="142">
        <f t="shared" si="19"/>
        <v>0</v>
      </c>
      <c r="U54" s="248">
        <f t="shared" ca="1" si="20"/>
        <v>0</v>
      </c>
      <c r="W54" s="36" t="str">
        <f t="shared" ca="1" si="21"/>
        <v/>
      </c>
      <c r="X54" s="36" t="str">
        <f ca="1">IF(ISNUMBER($A54),$W54*(Methuselahs!$A$4+1)+$A54,"")</f>
        <v/>
      </c>
      <c r="Y54" s="36" t="str">
        <f t="shared" ca="1" si="22"/>
        <v/>
      </c>
      <c r="Z54" s="36" t="str">
        <f ca="1">IF(ISNUMBER($A54),VLOOKUP($A54,Methuselahs!$A$7:$X$206,5),"")</f>
        <v/>
      </c>
      <c r="AA54" s="36" t="str">
        <f t="shared" ca="1" si="23"/>
        <v/>
      </c>
    </row>
    <row r="55" spans="1:27" ht="12.95" customHeight="1" x14ac:dyDescent="0.2">
      <c r="A55" s="249" t="str">
        <f ca="1">IF(ISBLANK('Tournament Info'!$B$11),"",INDIRECT(ADDRESS(ROW(),2,1,1,"Optimal Seating "&amp;'Tournament Info'!$B$11-1&amp;"R+F")))</f>
        <v/>
      </c>
      <c r="B55" s="250" t="str">
        <f ca="1">IF(ISNUMBER(A55),VLOOKUP(A55,Methuselahs!$A$7:$E$206,2,0),"")</f>
        <v/>
      </c>
      <c r="C55" s="251" t="str">
        <f ca="1">IF(ISNUMBER(A55),VLOOKUP(A55,Methuselahs!$A$7:$E$206,3,0),"")</f>
        <v/>
      </c>
      <c r="D55" s="252" t="str">
        <f t="shared" ca="1" si="12"/>
        <v/>
      </c>
      <c r="E55" s="253"/>
      <c r="F55" s="397">
        <f t="shared" si="13"/>
        <v>0</v>
      </c>
      <c r="G55" s="235" t="str">
        <f t="shared" ca="1" si="14"/>
        <v/>
      </c>
      <c r="H55" s="236" t="str">
        <f ca="1">IF(ISNUMBER(A55),IF(OR($S55=$U55,NOT(ISNA(MATCH($D55*5+$V$4,Override!$C$6:$C$125,0)))),$Q55,0),"")</f>
        <v/>
      </c>
      <c r="I55" s="395" t="str">
        <f t="shared" ca="1" si="15"/>
        <v/>
      </c>
      <c r="J55" s="254">
        <f ca="1">COUNT(A52:A56)</f>
        <v>0</v>
      </c>
      <c r="K55" s="238" t="str">
        <f ca="1">IF(ISNUMBER(A55),RANK(F55,F52:F56),"")</f>
        <v/>
      </c>
      <c r="L55" s="239">
        <f ca="1">IF(J55=5,VLOOKUP(K55,TPMatrix!$A$6:$B$10,2,0),IF(J55=4,VLOOKUP(K55,TPMatrix!$D$6:$E$9,2,0),0))</f>
        <v>0</v>
      </c>
      <c r="M55" s="239">
        <f ca="1">IF(COUNTIF(K52:K56,K55)&gt;=2,IF(J55=5,VLOOKUP(K55+1,TPMatrix!$A$6:$B$10,2,0),IF(J55=4,VLOOKUP(K55+1,TPMatrix!$D$6:$E$9,2,0),0)),"")</f>
        <v>0</v>
      </c>
      <c r="N55" s="239">
        <f ca="1">IF(COUNTIF(K52:K56,K55)&gt;=3,IF(J55=5,VLOOKUP(K55+2,TPMatrix!$A$6:$B$10,2,0),IF(J55=4,VLOOKUP(K55+2,TPMatrix!$D$6:$E$9,2,0),0)),"")</f>
        <v>0</v>
      </c>
      <c r="O55" s="239">
        <f ca="1">IF(COUNTIF(K52:K56,K55)&gt;=4,IF(J55=5,VLOOKUP(K55+3,TPMatrix!$A$6:$B$10,2,0),IF(J55=4,VLOOKUP(K55+3,TPMatrix!$D$6:$E$9,2,0),0)),"")</f>
        <v>0</v>
      </c>
      <c r="P55" s="239">
        <f ca="1">IF(COUNTIF(K52:K56,K55)&gt;=5,IF(J55=5,VLOOKUP(K55+4,TPMatrix!$A$6:$B$10,2,0),IF(J55=4,VLOOKUP(K55+4,TPMatrix!$D$6:$E$9,2,0),0)),"")</f>
        <v>0</v>
      </c>
      <c r="Q55" s="239">
        <f t="shared" ca="1" si="16"/>
        <v>0</v>
      </c>
      <c r="R55" s="240">
        <f t="shared" ca="1" si="17"/>
        <v>5</v>
      </c>
      <c r="S55" s="238">
        <f t="shared" ca="1" si="18"/>
        <v>0</v>
      </c>
      <c r="T55" s="239">
        <f t="shared" si="19"/>
        <v>0</v>
      </c>
      <c r="U55" s="240">
        <f t="shared" ca="1" si="20"/>
        <v>0</v>
      </c>
      <c r="W55" s="36" t="str">
        <f t="shared" ca="1" si="21"/>
        <v/>
      </c>
      <c r="X55" s="36" t="str">
        <f ca="1">IF(ISNUMBER($A55),$W55*(Methuselahs!$A$4+1)+$A55,"")</f>
        <v/>
      </c>
      <c r="Y55" s="36" t="str">
        <f t="shared" ca="1" si="22"/>
        <v/>
      </c>
      <c r="Z55" s="36" t="str">
        <f ca="1">IF(ISNUMBER($A55),VLOOKUP($A55,Methuselahs!$A$7:$X$206,5),"")</f>
        <v/>
      </c>
      <c r="AA55" s="36" t="str">
        <f t="shared" ca="1" si="23"/>
        <v/>
      </c>
    </row>
    <row r="56" spans="1:27" ht="12.95" customHeight="1" x14ac:dyDescent="0.2">
      <c r="A56" s="255" t="str">
        <f ca="1">IF(ISBLANK('Tournament Info'!$B$11),"",INDIRECT(ADDRESS(ROW(),2,1,1,"Optimal Seating "&amp;'Tournament Info'!$B$11-1&amp;"R+F")))</f>
        <v/>
      </c>
      <c r="B56" s="256" t="str">
        <f ca="1">IF(ISNUMBER(A56),VLOOKUP(A56,Methuselahs!$A$7:$E$206,2,0),"")</f>
        <v/>
      </c>
      <c r="C56" s="257" t="str">
        <f ca="1">IF(ISNUMBER(A56),VLOOKUP(A56,Methuselahs!$A$7:$E$206,3,0),"")</f>
        <v/>
      </c>
      <c r="D56" s="258" t="str">
        <f t="shared" ca="1" si="12"/>
        <v/>
      </c>
      <c r="E56" s="259"/>
      <c r="F56" s="398">
        <f t="shared" si="13"/>
        <v>0</v>
      </c>
      <c r="G56" s="244" t="str">
        <f t="shared" ca="1" si="14"/>
        <v/>
      </c>
      <c r="H56" s="245" t="str">
        <f ca="1">IF(ISNUMBER(A56),IF(OR($S56=$U56,NOT(ISNA(MATCH($D56*5+$V$4,Override!$C$6:$C$125,0)))),$Q56,0),"")</f>
        <v/>
      </c>
      <c r="I56" s="396" t="str">
        <f t="shared" ca="1" si="15"/>
        <v/>
      </c>
      <c r="J56" s="260">
        <f ca="1">COUNT(A52:A56)</f>
        <v>0</v>
      </c>
      <c r="K56" s="261" t="str">
        <f ca="1">IF(ISNUMBER(A56),RANK(F56,F52:F56),"")</f>
        <v/>
      </c>
      <c r="L56" s="262">
        <f ca="1">IF(J56=5,VLOOKUP(K56,TPMatrix!$A$6:$B$10,2,0),IF(J56=4,VLOOKUP(K56,TPMatrix!$D$6:$E$9,2,0),0))</f>
        <v>0</v>
      </c>
      <c r="M56" s="262">
        <f ca="1">IF(COUNTIF(K52:K56,K56)&gt;=2,IF(J56=5,VLOOKUP(K56+1,TPMatrix!$A$6:$B$10,2,0),IF(J56=4,VLOOKUP(K56+1,TPMatrix!$D$6:$E$9,2,0),0)),"")</f>
        <v>0</v>
      </c>
      <c r="N56" s="262">
        <f ca="1">IF(COUNTIF(K52:K56,K56)&gt;=3,IF(J56=5,VLOOKUP(K56+2,TPMatrix!$A$6:$B$10,2,0),IF(J56=4,VLOOKUP(K56+2,TPMatrix!$D$6:$E$9,2,0),0)),"")</f>
        <v>0</v>
      </c>
      <c r="O56" s="262">
        <f ca="1">IF(COUNTIF(K52:K56,K56)&gt;=4,IF(J56=5,VLOOKUP(K56+3,TPMatrix!$A$6:$B$10,2,0),IF(J56=4,VLOOKUP(K56+3,TPMatrix!$D$6:$E$9,2,0),0)),"")</f>
        <v>0</v>
      </c>
      <c r="P56" s="262">
        <f ca="1">IF(COUNTIF(K52:K56,K56)&gt;=5,IF(J56=5,VLOOKUP(K56+4,TPMatrix!$A$6:$B$10,2,0),IF(J56=4,VLOOKUP(K56+4,TPMatrix!$D$6:$E$9,2,0),0)),"")</f>
        <v>0</v>
      </c>
      <c r="Q56" s="262">
        <f t="shared" ca="1" si="16"/>
        <v>0</v>
      </c>
      <c r="R56" s="263">
        <f t="shared" ca="1" si="17"/>
        <v>5</v>
      </c>
      <c r="S56" s="261">
        <f t="shared" ca="1" si="18"/>
        <v>0</v>
      </c>
      <c r="T56" s="262">
        <f t="shared" si="19"/>
        <v>0</v>
      </c>
      <c r="U56" s="263">
        <f t="shared" ca="1" si="20"/>
        <v>0</v>
      </c>
      <c r="W56" s="36" t="str">
        <f t="shared" ca="1" si="21"/>
        <v/>
      </c>
      <c r="X56" s="36" t="str">
        <f ca="1">IF(ISNUMBER($A56),$W56*(Methuselahs!$A$4+1)+$A56,"")</f>
        <v/>
      </c>
      <c r="Y56" s="36" t="str">
        <f t="shared" ca="1" si="22"/>
        <v/>
      </c>
      <c r="Z56" s="36" t="str">
        <f ca="1">IF(ISNUMBER($A56),VLOOKUP($A56,Methuselahs!$A$7:$X$206,5),"")</f>
        <v/>
      </c>
      <c r="AA56" s="36" t="str">
        <f t="shared" ca="1" si="23"/>
        <v/>
      </c>
    </row>
    <row r="57" spans="1:27" ht="12.95" customHeight="1" x14ac:dyDescent="0.2">
      <c r="A57" s="219" t="str">
        <f ca="1">IF(ISBLANK('Tournament Info'!$B$11),"",INDIRECT(ADDRESS(ROW(),2,1,1,"Optimal Seating "&amp;'Tournament Info'!$B$11-1&amp;"R+F")))</f>
        <v/>
      </c>
      <c r="B57" s="143" t="str">
        <f ca="1">IF(ISNUMBER(A57),VLOOKUP(A57,Methuselahs!$A$7:$E$206,2,0),"")</f>
        <v/>
      </c>
      <c r="C57" s="220" t="str">
        <f ca="1">IF(ISNUMBER(A57),VLOOKUP(A57,Methuselahs!$A$7:$E$206,3,0),"")</f>
        <v/>
      </c>
      <c r="D57" s="221" t="str">
        <f t="shared" ca="1" si="12"/>
        <v/>
      </c>
      <c r="E57" s="222"/>
      <c r="F57" s="393">
        <f t="shared" si="13"/>
        <v>0</v>
      </c>
      <c r="G57" s="223" t="str">
        <f t="shared" ca="1" si="14"/>
        <v/>
      </c>
      <c r="H57" s="224" t="str">
        <f ca="1">IF(ISNUMBER(A57),IF(OR($S57=$U57,NOT(ISNA(MATCH($D57*5+$V$4,Override!$C$6:$C$125,0)))),$Q57,0),"")</f>
        <v/>
      </c>
      <c r="I57" s="394" t="str">
        <f t="shared" ca="1" si="15"/>
        <v/>
      </c>
      <c r="J57" s="225">
        <f ca="1">COUNT(A57:A61)</f>
        <v>0</v>
      </c>
      <c r="K57" s="226" t="str">
        <f ca="1">IF(ISNUMBER(A57),RANK(F57,F57:F61),"")</f>
        <v/>
      </c>
      <c r="L57" s="227">
        <f ca="1">IF(J57=5,VLOOKUP(K57,TPMatrix!$A$6:$B$10,2,0),IF(J57=4,VLOOKUP(K57,TPMatrix!$D$6:$E$9,2,0),0))</f>
        <v>0</v>
      </c>
      <c r="M57" s="227">
        <f ca="1">IF(COUNTIF(K57:K61,K57)&gt;=2,IF(J57=5,VLOOKUP(K57+1,TPMatrix!$A$6:$B$10,2,0),IF(J57=4,VLOOKUP(K57+1,TPMatrix!$D$6:$E$9,2,0),0)),"")</f>
        <v>0</v>
      </c>
      <c r="N57" s="227">
        <f ca="1">IF(COUNTIF(K57:K61,K57)&gt;=3,IF(J57=5,VLOOKUP(K57+2,TPMatrix!$A$6:$B$10,2,0),IF(J57=4,VLOOKUP(K57+2,TPMatrix!$D$6:$E$9,2,0),0)),"")</f>
        <v>0</v>
      </c>
      <c r="O57" s="227">
        <f ca="1">IF(COUNTIF(K57:K61,K57)&gt;=4,IF(J57=5,VLOOKUP(K57+3,TPMatrix!$A$6:$B$10,2,0),IF(J57=4,VLOOKUP(K57+3,TPMatrix!$D$6:$E$9,2,0),0)),"")</f>
        <v>0</v>
      </c>
      <c r="P57" s="227">
        <f ca="1">IF(COUNTIF(K57:K61,K57)&gt;=5,IF(J57=5,VLOOKUP(K57+4,TPMatrix!$A$6:$B$10,2,0),IF(J57=4,VLOOKUP(K57+4,TPMatrix!$D$6:$E$9,2,0),0)),"")</f>
        <v>0</v>
      </c>
      <c r="Q57" s="227">
        <f t="shared" ca="1" si="16"/>
        <v>0</v>
      </c>
      <c r="R57" s="228">
        <f t="shared" ca="1" si="17"/>
        <v>5</v>
      </c>
      <c r="S57" s="229">
        <f t="shared" ca="1" si="18"/>
        <v>0</v>
      </c>
      <c r="T57" s="230">
        <f t="shared" si="19"/>
        <v>0</v>
      </c>
      <c r="U57" s="231">
        <f t="shared" ca="1" si="20"/>
        <v>0</v>
      </c>
      <c r="W57" s="36" t="str">
        <f t="shared" ca="1" si="21"/>
        <v/>
      </c>
      <c r="X57" s="36" t="str">
        <f ca="1">IF(ISNUMBER($A57),$W57*(Methuselahs!$A$4+1)+$A57,"")</f>
        <v/>
      </c>
      <c r="Y57" s="36" t="str">
        <f t="shared" ca="1" si="22"/>
        <v/>
      </c>
      <c r="Z57" s="36" t="str">
        <f ca="1">IF(ISNUMBER($A57),VLOOKUP($A57,Methuselahs!$A$7:$X$206,5),"")</f>
        <v/>
      </c>
      <c r="AA57" s="36" t="str">
        <f t="shared" ca="1" si="23"/>
        <v/>
      </c>
    </row>
    <row r="58" spans="1:27" ht="12.95" customHeight="1" x14ac:dyDescent="0.2">
      <c r="A58" s="111" t="str">
        <f ca="1">IF(ISBLANK('Tournament Info'!$B$11),"",INDIRECT(ADDRESS(ROW(),2,1,1,"Optimal Seating "&amp;'Tournament Info'!$B$11-1&amp;"R+F")))</f>
        <v/>
      </c>
      <c r="B58" s="117" t="str">
        <f ca="1">IF(ISNUMBER(A58),VLOOKUP(A58,Methuselahs!$A$7:$E$206,2,0),"")</f>
        <v/>
      </c>
      <c r="C58" s="232" t="str">
        <f ca="1">IF(ISNUMBER(A58),VLOOKUP(A58,Methuselahs!$A$7:$E$206,3,0),"")</f>
        <v/>
      </c>
      <c r="D58" s="233" t="str">
        <f t="shared" ca="1" si="12"/>
        <v/>
      </c>
      <c r="E58" s="234"/>
      <c r="F58" s="118">
        <f t="shared" si="13"/>
        <v>0</v>
      </c>
      <c r="G58" s="235" t="str">
        <f t="shared" ca="1" si="14"/>
        <v/>
      </c>
      <c r="H58" s="236" t="str">
        <f ca="1">IF(ISNUMBER(A58),IF(OR($S58=$U58,NOT(ISNA(MATCH($D58*5+$V$4,Override!$C$6:$C$125,0)))),$Q58,0),"")</f>
        <v/>
      </c>
      <c r="I58" s="395" t="str">
        <f t="shared" ca="1" si="15"/>
        <v/>
      </c>
      <c r="J58" s="237">
        <f ca="1">COUNT(A57:A61)</f>
        <v>0</v>
      </c>
      <c r="K58" s="238" t="str">
        <f ca="1">IF(ISNUMBER(A58),RANK(F58,F57:F61),"")</f>
        <v/>
      </c>
      <c r="L58" s="239">
        <f ca="1">IF(J58=5,VLOOKUP(K58,TPMatrix!$A$6:$B$10,2,0),IF(J58=4,VLOOKUP(K58,TPMatrix!$D$6:$E$9,2,0),0))</f>
        <v>0</v>
      </c>
      <c r="M58" s="239">
        <f ca="1">IF(COUNTIF(K57:K61,K58)&gt;=2,IF(J58=5,VLOOKUP(K58+1,TPMatrix!$A$6:$B$10,2,0),IF(J58=4,VLOOKUP(K58+1,TPMatrix!$D$6:$E$9,2,0),0)),"")</f>
        <v>0</v>
      </c>
      <c r="N58" s="239">
        <f ca="1">IF(COUNTIF(K57:K61,K58)&gt;=3,IF(J58=5,VLOOKUP(K58+2,TPMatrix!$A$6:$B$10,2,0),IF(J58=4,VLOOKUP(K58+2,TPMatrix!$D$6:$E$9,2,0),0)),"")</f>
        <v>0</v>
      </c>
      <c r="O58" s="239">
        <f ca="1">IF(COUNTIF(K57:K61,K58)&gt;=4,IF(J58=5,VLOOKUP(K58+3,TPMatrix!$A$6:$B$10,2,0),IF(J58=4,VLOOKUP(K58+3,TPMatrix!$D$6:$E$9,2,0),0)),"")</f>
        <v>0</v>
      </c>
      <c r="P58" s="239">
        <f ca="1">IF(COUNTIF(K57:K61,K58)&gt;=5,IF(J58=5,VLOOKUP(K58+4,TPMatrix!$A$6:$B$10,2,0),IF(J58=4,VLOOKUP(K58+4,TPMatrix!$D$6:$E$9,2,0),0)),"")</f>
        <v>0</v>
      </c>
      <c r="Q58" s="239">
        <f t="shared" ca="1" si="16"/>
        <v>0</v>
      </c>
      <c r="R58" s="240">
        <f t="shared" ca="1" si="17"/>
        <v>5</v>
      </c>
      <c r="S58" s="238">
        <f t="shared" ca="1" si="18"/>
        <v>0</v>
      </c>
      <c r="T58" s="239">
        <f t="shared" si="19"/>
        <v>0</v>
      </c>
      <c r="U58" s="240">
        <f t="shared" ca="1" si="20"/>
        <v>0</v>
      </c>
      <c r="W58" s="36" t="str">
        <f t="shared" ca="1" si="21"/>
        <v/>
      </c>
      <c r="X58" s="36" t="str">
        <f ca="1">IF(ISNUMBER($A58),$W58*(Methuselahs!$A$4+1)+$A58,"")</f>
        <v/>
      </c>
      <c r="Y58" s="36" t="str">
        <f t="shared" ca="1" si="22"/>
        <v/>
      </c>
      <c r="Z58" s="36" t="str">
        <f ca="1">IF(ISNUMBER($A58),VLOOKUP($A58,Methuselahs!$A$7:$X$206,5),"")</f>
        <v/>
      </c>
      <c r="AA58" s="36" t="str">
        <f t="shared" ca="1" si="23"/>
        <v/>
      </c>
    </row>
    <row r="59" spans="1:27" ht="12.95" customHeight="1" x14ac:dyDescent="0.2">
      <c r="A59" s="137" t="str">
        <f ca="1">IF(ISBLANK('Tournament Info'!$B$11),"",INDIRECT(ADDRESS(ROW(),2,1,1,"Optimal Seating "&amp;'Tournament Info'!$B$11-1&amp;"R+F")))</f>
        <v/>
      </c>
      <c r="B59" s="143" t="str">
        <f ca="1">IF(ISNUMBER(A59),VLOOKUP(A59,Methuselahs!$A$7:$E$206,2,0),"")</f>
        <v/>
      </c>
      <c r="C59" s="241" t="str">
        <f ca="1">IF(ISNUMBER(A59),VLOOKUP(A59,Methuselahs!$A$7:$E$206,3,0),"")</f>
        <v/>
      </c>
      <c r="D59" s="242" t="str">
        <f t="shared" ca="1" si="12"/>
        <v/>
      </c>
      <c r="E59" s="243"/>
      <c r="F59" s="144">
        <f t="shared" si="13"/>
        <v>0</v>
      </c>
      <c r="G59" s="244" t="str">
        <f t="shared" ca="1" si="14"/>
        <v/>
      </c>
      <c r="H59" s="245" t="str">
        <f ca="1">IF(ISNUMBER(A59),IF(OR($S59=$U59,NOT(ISNA(MATCH($D59*5+$V$4,Override!$C$6:$C$125,0)))),$Q59,0),"")</f>
        <v/>
      </c>
      <c r="I59" s="396" t="str">
        <f t="shared" ca="1" si="15"/>
        <v/>
      </c>
      <c r="J59" s="246">
        <f ca="1">COUNT(A57:A61)</f>
        <v>0</v>
      </c>
      <c r="K59" s="247" t="str">
        <f ca="1">IF(ISNUMBER(A59),RANK(F59,F57:F61),"")</f>
        <v/>
      </c>
      <c r="L59" s="142">
        <f ca="1">IF(J59=5,VLOOKUP(K59,TPMatrix!$A$6:$B$10,2,0),IF(J59=4,VLOOKUP(K59,TPMatrix!$D$6:$E$9,2,0),0))</f>
        <v>0</v>
      </c>
      <c r="M59" s="142">
        <f ca="1">IF(COUNTIF(K57:K61,K59)&gt;=2,IF(J59=5,VLOOKUP(K59+1,TPMatrix!$A$6:$B$10,2,0),IF(J59=4,VLOOKUP(K59+1,TPMatrix!$D$6:$E$9,2,0),0)),"")</f>
        <v>0</v>
      </c>
      <c r="N59" s="142">
        <f ca="1">IF(COUNTIF(K57:K61,K59)&gt;=3,IF(J59=5,VLOOKUP(K59+2,TPMatrix!$A$6:$B$10,2,0),IF(J59=4,VLOOKUP(K59+2,TPMatrix!$D$6:$E$9,2,0),0)),"")</f>
        <v>0</v>
      </c>
      <c r="O59" s="142">
        <f ca="1">IF(COUNTIF(K57:K61,K59)&gt;=4,IF(J59=5,VLOOKUP(K59+3,TPMatrix!$A$6:$B$10,2,0),IF(J59=4,VLOOKUP(K59+3,TPMatrix!$D$6:$E$9,2,0),0)),"")</f>
        <v>0</v>
      </c>
      <c r="P59" s="142">
        <f ca="1">IF(COUNTIF(K57:K61,K59)&gt;=5,IF(J59=5,VLOOKUP(K59+4,TPMatrix!$A$6:$B$10,2,0),IF(J59=4,VLOOKUP(K59+4,TPMatrix!$D$6:$E$9,2,0),0)),"")</f>
        <v>0</v>
      </c>
      <c r="Q59" s="142">
        <f t="shared" ca="1" si="16"/>
        <v>0</v>
      </c>
      <c r="R59" s="248">
        <f t="shared" ca="1" si="17"/>
        <v>5</v>
      </c>
      <c r="S59" s="247">
        <f t="shared" ca="1" si="18"/>
        <v>0</v>
      </c>
      <c r="T59" s="142">
        <f t="shared" si="19"/>
        <v>0</v>
      </c>
      <c r="U59" s="248">
        <f t="shared" ca="1" si="20"/>
        <v>0</v>
      </c>
      <c r="W59" s="36" t="str">
        <f t="shared" ca="1" si="21"/>
        <v/>
      </c>
      <c r="X59" s="36" t="str">
        <f ca="1">IF(ISNUMBER($A59),$W59*(Methuselahs!$A$4+1)+$A59,"")</f>
        <v/>
      </c>
      <c r="Y59" s="36" t="str">
        <f t="shared" ca="1" si="22"/>
        <v/>
      </c>
      <c r="Z59" s="36" t="str">
        <f ca="1">IF(ISNUMBER($A59),VLOOKUP($A59,Methuselahs!$A$7:$X$206,5),"")</f>
        <v/>
      </c>
      <c r="AA59" s="36" t="str">
        <f t="shared" ca="1" si="23"/>
        <v/>
      </c>
    </row>
    <row r="60" spans="1:27" ht="12.95" customHeight="1" x14ac:dyDescent="0.2">
      <c r="A60" s="249" t="str">
        <f ca="1">IF(ISBLANK('Tournament Info'!$B$11),"",INDIRECT(ADDRESS(ROW(),2,1,1,"Optimal Seating "&amp;'Tournament Info'!$B$11-1&amp;"R+F")))</f>
        <v/>
      </c>
      <c r="B60" s="250" t="str">
        <f ca="1">IF(ISNUMBER(A60),VLOOKUP(A60,Methuselahs!$A$7:$E$206,2,0),"")</f>
        <v/>
      </c>
      <c r="C60" s="251" t="str">
        <f ca="1">IF(ISNUMBER(A60),VLOOKUP(A60,Methuselahs!$A$7:$E$206,3,0),"")</f>
        <v/>
      </c>
      <c r="D60" s="252" t="str">
        <f t="shared" ca="1" si="12"/>
        <v/>
      </c>
      <c r="E60" s="253"/>
      <c r="F60" s="397">
        <f t="shared" si="13"/>
        <v>0</v>
      </c>
      <c r="G60" s="235" t="str">
        <f t="shared" ca="1" si="14"/>
        <v/>
      </c>
      <c r="H60" s="236" t="str">
        <f ca="1">IF(ISNUMBER(A60),IF(OR($S60=$U60,NOT(ISNA(MATCH($D60*5+$V$4,Override!$C$6:$C$125,0)))),$Q60,0),"")</f>
        <v/>
      </c>
      <c r="I60" s="395" t="str">
        <f t="shared" ca="1" si="15"/>
        <v/>
      </c>
      <c r="J60" s="254">
        <f ca="1">COUNT(A57:A61)</f>
        <v>0</v>
      </c>
      <c r="K60" s="238" t="str">
        <f ca="1">IF(ISNUMBER(A60),RANK(F60,F57:F61),"")</f>
        <v/>
      </c>
      <c r="L60" s="239">
        <f ca="1">IF(J60=5,VLOOKUP(K60,TPMatrix!$A$6:$B$10,2,0),IF(J60=4,VLOOKUP(K60,TPMatrix!$D$6:$E$9,2,0),0))</f>
        <v>0</v>
      </c>
      <c r="M60" s="239">
        <f ca="1">IF(COUNTIF(K57:K61,K60)&gt;=2,IF(J60=5,VLOOKUP(K60+1,TPMatrix!$A$6:$B$10,2,0),IF(J60=4,VLOOKUP(K60+1,TPMatrix!$D$6:$E$9,2,0),0)),"")</f>
        <v>0</v>
      </c>
      <c r="N60" s="239">
        <f ca="1">IF(COUNTIF(K57:K61,K60)&gt;=3,IF(J60=5,VLOOKUP(K60+2,TPMatrix!$A$6:$B$10,2,0),IF(J60=4,VLOOKUP(K60+2,TPMatrix!$D$6:$E$9,2,0),0)),"")</f>
        <v>0</v>
      </c>
      <c r="O60" s="239">
        <f ca="1">IF(COUNTIF(K57:K61,K60)&gt;=4,IF(J60=5,VLOOKUP(K60+3,TPMatrix!$A$6:$B$10,2,0),IF(J60=4,VLOOKUP(K60+3,TPMatrix!$D$6:$E$9,2,0),0)),"")</f>
        <v>0</v>
      </c>
      <c r="P60" s="239">
        <f ca="1">IF(COUNTIF(K57:K61,K60)&gt;=5,IF(J60=5,VLOOKUP(K60+4,TPMatrix!$A$6:$B$10,2,0),IF(J60=4,VLOOKUP(K60+4,TPMatrix!$D$6:$E$9,2,0),0)),"")</f>
        <v>0</v>
      </c>
      <c r="Q60" s="239">
        <f t="shared" ca="1" si="16"/>
        <v>0</v>
      </c>
      <c r="R60" s="240">
        <f t="shared" ca="1" si="17"/>
        <v>5</v>
      </c>
      <c r="S60" s="238">
        <f t="shared" ca="1" si="18"/>
        <v>0</v>
      </c>
      <c r="T60" s="239">
        <f t="shared" si="19"/>
        <v>0</v>
      </c>
      <c r="U60" s="240">
        <f t="shared" ca="1" si="20"/>
        <v>0</v>
      </c>
      <c r="W60" s="36" t="str">
        <f t="shared" ca="1" si="21"/>
        <v/>
      </c>
      <c r="X60" s="36" t="str">
        <f ca="1">IF(ISNUMBER($A60),$W60*(Methuselahs!$A$4+1)+$A60,"")</f>
        <v/>
      </c>
      <c r="Y60" s="36" t="str">
        <f t="shared" ca="1" si="22"/>
        <v/>
      </c>
      <c r="Z60" s="36" t="str">
        <f ca="1">IF(ISNUMBER($A60),VLOOKUP($A60,Methuselahs!$A$7:$X$206,5),"")</f>
        <v/>
      </c>
      <c r="AA60" s="36" t="str">
        <f t="shared" ca="1" si="23"/>
        <v/>
      </c>
    </row>
    <row r="61" spans="1:27" ht="12.95" customHeight="1" x14ac:dyDescent="0.2">
      <c r="A61" s="255" t="str">
        <f ca="1">IF(ISBLANK('Tournament Info'!$B$11),"",INDIRECT(ADDRESS(ROW(),2,1,1,"Optimal Seating "&amp;'Tournament Info'!$B$11-1&amp;"R+F")))</f>
        <v/>
      </c>
      <c r="B61" s="256" t="str">
        <f ca="1">IF(ISNUMBER(A61),VLOOKUP(A61,Methuselahs!$A$7:$E$206,2,0),"")</f>
        <v/>
      </c>
      <c r="C61" s="257" t="str">
        <f ca="1">IF(ISNUMBER(A61),VLOOKUP(A61,Methuselahs!$A$7:$E$206,3,0),"")</f>
        <v/>
      </c>
      <c r="D61" s="258" t="str">
        <f t="shared" ca="1" si="12"/>
        <v/>
      </c>
      <c r="E61" s="259"/>
      <c r="F61" s="398">
        <f t="shared" si="13"/>
        <v>0</v>
      </c>
      <c r="G61" s="244" t="str">
        <f t="shared" ca="1" si="14"/>
        <v/>
      </c>
      <c r="H61" s="245" t="str">
        <f ca="1">IF(ISNUMBER(A61),IF(OR($S61=$U61,NOT(ISNA(MATCH($D61*5+$V$4,Override!$C$6:$C$125,0)))),$Q61,0),"")</f>
        <v/>
      </c>
      <c r="I61" s="396" t="str">
        <f t="shared" ca="1" si="15"/>
        <v/>
      </c>
      <c r="J61" s="260">
        <f ca="1">COUNT(A57:A61)</f>
        <v>0</v>
      </c>
      <c r="K61" s="261" t="str">
        <f ca="1">IF(ISNUMBER(A61),RANK(F61,F57:F61),"")</f>
        <v/>
      </c>
      <c r="L61" s="262">
        <f ca="1">IF(J61=5,VLOOKUP(K61,TPMatrix!$A$6:$B$10,2,0),IF(J61=4,VLOOKUP(K61,TPMatrix!$D$6:$E$9,2,0),0))</f>
        <v>0</v>
      </c>
      <c r="M61" s="262">
        <f ca="1">IF(COUNTIF(K57:K61,K61)&gt;=2,IF(J61=5,VLOOKUP(K61+1,TPMatrix!$A$6:$B$10,2,0),IF(J61=4,VLOOKUP(K61+1,TPMatrix!$D$6:$E$9,2,0),0)),"")</f>
        <v>0</v>
      </c>
      <c r="N61" s="262">
        <f ca="1">IF(COUNTIF(K57:K61,K61)&gt;=3,IF(J61=5,VLOOKUP(K61+2,TPMatrix!$A$6:$B$10,2,0),IF(J61=4,VLOOKUP(K61+2,TPMatrix!$D$6:$E$9,2,0),0)),"")</f>
        <v>0</v>
      </c>
      <c r="O61" s="262">
        <f ca="1">IF(COUNTIF(K57:K61,K61)&gt;=4,IF(J61=5,VLOOKUP(K61+3,TPMatrix!$A$6:$B$10,2,0),IF(J61=4,VLOOKUP(K61+3,TPMatrix!$D$6:$E$9,2,0),0)),"")</f>
        <v>0</v>
      </c>
      <c r="P61" s="262">
        <f ca="1">IF(COUNTIF(K57:K61,K61)&gt;=5,IF(J61=5,VLOOKUP(K61+4,TPMatrix!$A$6:$B$10,2,0),IF(J61=4,VLOOKUP(K61+4,TPMatrix!$D$6:$E$9,2,0),0)),"")</f>
        <v>0</v>
      </c>
      <c r="Q61" s="262">
        <f t="shared" ca="1" si="16"/>
        <v>0</v>
      </c>
      <c r="R61" s="263">
        <f t="shared" ca="1" si="17"/>
        <v>5</v>
      </c>
      <c r="S61" s="261">
        <f t="shared" ca="1" si="18"/>
        <v>0</v>
      </c>
      <c r="T61" s="262">
        <f t="shared" si="19"/>
        <v>0</v>
      </c>
      <c r="U61" s="263">
        <f t="shared" ca="1" si="20"/>
        <v>0</v>
      </c>
      <c r="W61" s="36" t="str">
        <f t="shared" ca="1" si="21"/>
        <v/>
      </c>
      <c r="X61" s="36" t="str">
        <f ca="1">IF(ISNUMBER($A61),$W61*(Methuselahs!$A$4+1)+$A61,"")</f>
        <v/>
      </c>
      <c r="Y61" s="36" t="str">
        <f t="shared" ca="1" si="22"/>
        <v/>
      </c>
      <c r="Z61" s="36" t="str">
        <f ca="1">IF(ISNUMBER($A61),VLOOKUP($A61,Methuselahs!$A$7:$X$206,5),"")</f>
        <v/>
      </c>
      <c r="AA61" s="36" t="str">
        <f t="shared" ca="1" si="23"/>
        <v/>
      </c>
    </row>
    <row r="62" spans="1:27" ht="12.95" customHeight="1" x14ac:dyDescent="0.2">
      <c r="A62" s="219" t="str">
        <f ca="1">IF(ISBLANK('Tournament Info'!$B$11),"",INDIRECT(ADDRESS(ROW(),2,1,1,"Optimal Seating "&amp;'Tournament Info'!$B$11-1&amp;"R+F")))</f>
        <v/>
      </c>
      <c r="B62" s="143" t="str">
        <f ca="1">IF(ISNUMBER(A62),VLOOKUP(A62,Methuselahs!$A$7:$E$206,2,0),"")</f>
        <v/>
      </c>
      <c r="C62" s="220" t="str">
        <f ca="1">IF(ISNUMBER(A62),VLOOKUP(A62,Methuselahs!$A$7:$E$206,3,0),"")</f>
        <v/>
      </c>
      <c r="D62" s="221" t="str">
        <f t="shared" ca="1" si="12"/>
        <v/>
      </c>
      <c r="E62" s="222"/>
      <c r="F62" s="393">
        <f t="shared" si="13"/>
        <v>0</v>
      </c>
      <c r="G62" s="223" t="str">
        <f t="shared" ca="1" si="14"/>
        <v/>
      </c>
      <c r="H62" s="224" t="str">
        <f ca="1">IF(ISNUMBER(A62),IF(OR($S62=$U62,NOT(ISNA(MATCH($D62*5+$V$4,Override!$C$6:$C$125,0)))),$Q62,0),"")</f>
        <v/>
      </c>
      <c r="I62" s="394" t="str">
        <f t="shared" ca="1" si="15"/>
        <v/>
      </c>
      <c r="J62" s="225">
        <f ca="1">COUNT(A62:A66)</f>
        <v>0</v>
      </c>
      <c r="K62" s="226" t="str">
        <f ca="1">IF(ISNUMBER(A62),RANK(F62,F62:F66),"")</f>
        <v/>
      </c>
      <c r="L62" s="227">
        <f ca="1">IF(J62=5,VLOOKUP(K62,TPMatrix!$A$6:$B$10,2,0),IF(J62=4,VLOOKUP(K62,TPMatrix!$D$6:$E$9,2,0),0))</f>
        <v>0</v>
      </c>
      <c r="M62" s="227">
        <f ca="1">IF(COUNTIF(K62:K66,K62)&gt;=2,IF(J62=5,VLOOKUP(K62+1,TPMatrix!$A$6:$B$10,2,0),IF(J62=4,VLOOKUP(K62+1,TPMatrix!$D$6:$E$9,2,0),0)),"")</f>
        <v>0</v>
      </c>
      <c r="N62" s="227">
        <f ca="1">IF(COUNTIF(K62:K66,K62)&gt;=3,IF(J62=5,VLOOKUP(K62+2,TPMatrix!$A$6:$B$10,2,0),IF(J62=4,VLOOKUP(K62+2,TPMatrix!$D$6:$E$9,2,0),0)),"")</f>
        <v>0</v>
      </c>
      <c r="O62" s="227">
        <f ca="1">IF(COUNTIF(K62:K66,K62)&gt;=4,IF(J62=5,VLOOKUP(K62+3,TPMatrix!$A$6:$B$10,2,0),IF(J62=4,VLOOKUP(K62+3,TPMatrix!$D$6:$E$9,2,0),0)),"")</f>
        <v>0</v>
      </c>
      <c r="P62" s="227">
        <f ca="1">IF(COUNTIF(K62:K66,K62)&gt;=5,IF(J62=5,VLOOKUP(K62+4,TPMatrix!$A$6:$B$10,2,0),IF(J62=4,VLOOKUP(K62+4,TPMatrix!$D$6:$E$9,2,0),0)),"")</f>
        <v>0</v>
      </c>
      <c r="Q62" s="227">
        <f t="shared" ca="1" si="16"/>
        <v>0</v>
      </c>
      <c r="R62" s="228">
        <f t="shared" ca="1" si="17"/>
        <v>5</v>
      </c>
      <c r="S62" s="229">
        <f t="shared" ca="1" si="18"/>
        <v>0</v>
      </c>
      <c r="T62" s="230">
        <f t="shared" si="19"/>
        <v>0</v>
      </c>
      <c r="U62" s="231">
        <f t="shared" ca="1" si="20"/>
        <v>0</v>
      </c>
      <c r="W62" s="36" t="str">
        <f t="shared" ca="1" si="21"/>
        <v/>
      </c>
      <c r="X62" s="36" t="str">
        <f ca="1">IF(ISNUMBER($A62),$W62*(Methuselahs!$A$4+1)+$A62,"")</f>
        <v/>
      </c>
      <c r="Y62" s="36" t="str">
        <f t="shared" ca="1" si="22"/>
        <v/>
      </c>
      <c r="Z62" s="36" t="str">
        <f ca="1">IF(ISNUMBER($A62),VLOOKUP($A62,Methuselahs!$A$7:$X$206,5),"")</f>
        <v/>
      </c>
      <c r="AA62" s="36" t="str">
        <f t="shared" ca="1" si="23"/>
        <v/>
      </c>
    </row>
    <row r="63" spans="1:27" ht="12.95" customHeight="1" x14ac:dyDescent="0.2">
      <c r="A63" s="111" t="str">
        <f ca="1">IF(ISBLANK('Tournament Info'!$B$11),"",INDIRECT(ADDRESS(ROW(),2,1,1,"Optimal Seating "&amp;'Tournament Info'!$B$11-1&amp;"R+F")))</f>
        <v/>
      </c>
      <c r="B63" s="117" t="str">
        <f ca="1">IF(ISNUMBER(A63),VLOOKUP(A63,Methuselahs!$A$7:$E$206,2,0),"")</f>
        <v/>
      </c>
      <c r="C63" s="232" t="str">
        <f ca="1">IF(ISNUMBER(A63),VLOOKUP(A63,Methuselahs!$A$7:$E$206,3,0),"")</f>
        <v/>
      </c>
      <c r="D63" s="233" t="str">
        <f t="shared" ca="1" si="12"/>
        <v/>
      </c>
      <c r="E63" s="234"/>
      <c r="F63" s="118">
        <f t="shared" si="13"/>
        <v>0</v>
      </c>
      <c r="G63" s="235" t="str">
        <f t="shared" ca="1" si="14"/>
        <v/>
      </c>
      <c r="H63" s="236" t="str">
        <f ca="1">IF(ISNUMBER(A63),IF(OR($S63=$U63,NOT(ISNA(MATCH($D63*5+$V$4,Override!$C$6:$C$125,0)))),$Q63,0),"")</f>
        <v/>
      </c>
      <c r="I63" s="395" t="str">
        <f t="shared" ca="1" si="15"/>
        <v/>
      </c>
      <c r="J63" s="237">
        <f ca="1">COUNT(A62:A66)</f>
        <v>0</v>
      </c>
      <c r="K63" s="238" t="str">
        <f ca="1">IF(ISNUMBER(A63),RANK(F63,F62:F66),"")</f>
        <v/>
      </c>
      <c r="L63" s="239">
        <f ca="1">IF(J63=5,VLOOKUP(K63,TPMatrix!$A$6:$B$10,2,0),IF(J63=4,VLOOKUP(K63,TPMatrix!$D$6:$E$9,2,0),0))</f>
        <v>0</v>
      </c>
      <c r="M63" s="239">
        <f ca="1">IF(COUNTIF(K62:K66,K63)&gt;=2,IF(J63=5,VLOOKUP(K63+1,TPMatrix!$A$6:$B$10,2,0),IF(J63=4,VLOOKUP(K63+1,TPMatrix!$D$6:$E$9,2,0),0)),"")</f>
        <v>0</v>
      </c>
      <c r="N63" s="239">
        <f ca="1">IF(COUNTIF(K62:K66,K63)&gt;=3,IF(J63=5,VLOOKUP(K63+2,TPMatrix!$A$6:$B$10,2,0),IF(J63=4,VLOOKUP(K63+2,TPMatrix!$D$6:$E$9,2,0),0)),"")</f>
        <v>0</v>
      </c>
      <c r="O63" s="239">
        <f ca="1">IF(COUNTIF(K62:K66,K63)&gt;=4,IF(J63=5,VLOOKUP(K63+3,TPMatrix!$A$6:$B$10,2,0),IF(J63=4,VLOOKUP(K63+3,TPMatrix!$D$6:$E$9,2,0),0)),"")</f>
        <v>0</v>
      </c>
      <c r="P63" s="239">
        <f ca="1">IF(COUNTIF(K62:K66,K63)&gt;=5,IF(J63=5,VLOOKUP(K63+4,TPMatrix!$A$6:$B$10,2,0),IF(J63=4,VLOOKUP(K63+4,TPMatrix!$D$6:$E$9,2,0),0)),"")</f>
        <v>0</v>
      </c>
      <c r="Q63" s="239">
        <f t="shared" ca="1" si="16"/>
        <v>0</v>
      </c>
      <c r="R63" s="240">
        <f t="shared" ca="1" si="17"/>
        <v>5</v>
      </c>
      <c r="S63" s="238">
        <f t="shared" ca="1" si="18"/>
        <v>0</v>
      </c>
      <c r="T63" s="239">
        <f t="shared" si="19"/>
        <v>0</v>
      </c>
      <c r="U63" s="240">
        <f t="shared" ca="1" si="20"/>
        <v>0</v>
      </c>
      <c r="W63" s="36" t="str">
        <f t="shared" ca="1" si="21"/>
        <v/>
      </c>
      <c r="X63" s="36" t="str">
        <f ca="1">IF(ISNUMBER($A63),$W63*(Methuselahs!$A$4+1)+$A63,"")</f>
        <v/>
      </c>
      <c r="Y63" s="36" t="str">
        <f t="shared" ca="1" si="22"/>
        <v/>
      </c>
      <c r="Z63" s="36" t="str">
        <f ca="1">IF(ISNUMBER($A63),VLOOKUP($A63,Methuselahs!$A$7:$X$206,5),"")</f>
        <v/>
      </c>
      <c r="AA63" s="36" t="str">
        <f t="shared" ca="1" si="23"/>
        <v/>
      </c>
    </row>
    <row r="64" spans="1:27" ht="12.95" customHeight="1" x14ac:dyDescent="0.2">
      <c r="A64" s="137" t="str">
        <f ca="1">IF(ISBLANK('Tournament Info'!$B$11),"",INDIRECT(ADDRESS(ROW(),2,1,1,"Optimal Seating "&amp;'Tournament Info'!$B$11-1&amp;"R+F")))</f>
        <v/>
      </c>
      <c r="B64" s="143" t="str">
        <f ca="1">IF(ISNUMBER(A64),VLOOKUP(A64,Methuselahs!$A$7:$E$206,2,0),"")</f>
        <v/>
      </c>
      <c r="C64" s="241" t="str">
        <f ca="1">IF(ISNUMBER(A64),VLOOKUP(A64,Methuselahs!$A$7:$E$206,3,0),"")</f>
        <v/>
      </c>
      <c r="D64" s="242" t="str">
        <f t="shared" ca="1" si="12"/>
        <v/>
      </c>
      <c r="E64" s="243"/>
      <c r="F64" s="144">
        <f t="shared" si="13"/>
        <v>0</v>
      </c>
      <c r="G64" s="244" t="str">
        <f t="shared" ca="1" si="14"/>
        <v/>
      </c>
      <c r="H64" s="245" t="str">
        <f ca="1">IF(ISNUMBER(A64),IF(OR($S64=$U64,NOT(ISNA(MATCH($D64*5+$V$4,Override!$C$6:$C$125,0)))),$Q64,0),"")</f>
        <v/>
      </c>
      <c r="I64" s="396" t="str">
        <f t="shared" ca="1" si="15"/>
        <v/>
      </c>
      <c r="J64" s="246">
        <f ca="1">COUNT(A62:A66)</f>
        <v>0</v>
      </c>
      <c r="K64" s="247" t="str">
        <f ca="1">IF(ISNUMBER(A64),RANK(F64,F62:F66),"")</f>
        <v/>
      </c>
      <c r="L64" s="142">
        <f ca="1">IF(J64=5,VLOOKUP(K64,TPMatrix!$A$6:$B$10,2,0),IF(J64=4,VLOOKUP(K64,TPMatrix!$D$6:$E$9,2,0),0))</f>
        <v>0</v>
      </c>
      <c r="M64" s="142">
        <f ca="1">IF(COUNTIF(K62:K66,K64)&gt;=2,IF(J64=5,VLOOKUP(K64+1,TPMatrix!$A$6:$B$10,2,0),IF(J64=4,VLOOKUP(K64+1,TPMatrix!$D$6:$E$9,2,0),0)),"")</f>
        <v>0</v>
      </c>
      <c r="N64" s="142">
        <f ca="1">IF(COUNTIF(K62:K66,K64)&gt;=3,IF(J64=5,VLOOKUP(K64+2,TPMatrix!$A$6:$B$10,2,0),IF(J64=4,VLOOKUP(K64+2,TPMatrix!$D$6:$E$9,2,0),0)),"")</f>
        <v>0</v>
      </c>
      <c r="O64" s="142">
        <f ca="1">IF(COUNTIF(K62:K66,K64)&gt;=4,IF(J64=5,VLOOKUP(K64+3,TPMatrix!$A$6:$B$10,2,0),IF(J64=4,VLOOKUP(K64+3,TPMatrix!$D$6:$E$9,2,0),0)),"")</f>
        <v>0</v>
      </c>
      <c r="P64" s="142">
        <f ca="1">IF(COUNTIF(K62:K66,K64)&gt;=5,IF(J64=5,VLOOKUP(K64+4,TPMatrix!$A$6:$B$10,2,0),IF(J64=4,VLOOKUP(K64+4,TPMatrix!$D$6:$E$9,2,0),0)),"")</f>
        <v>0</v>
      </c>
      <c r="Q64" s="142">
        <f t="shared" ca="1" si="16"/>
        <v>0</v>
      </c>
      <c r="R64" s="248">
        <f t="shared" ca="1" si="17"/>
        <v>5</v>
      </c>
      <c r="S64" s="247">
        <f t="shared" ca="1" si="18"/>
        <v>0</v>
      </c>
      <c r="T64" s="142">
        <f t="shared" si="19"/>
        <v>0</v>
      </c>
      <c r="U64" s="248">
        <f t="shared" ca="1" si="20"/>
        <v>0</v>
      </c>
      <c r="W64" s="36" t="str">
        <f t="shared" ca="1" si="21"/>
        <v/>
      </c>
      <c r="X64" s="36" t="str">
        <f ca="1">IF(ISNUMBER($A64),$W64*(Methuselahs!$A$4+1)+$A64,"")</f>
        <v/>
      </c>
      <c r="Y64" s="36" t="str">
        <f t="shared" ca="1" si="22"/>
        <v/>
      </c>
      <c r="Z64" s="36" t="str">
        <f ca="1">IF(ISNUMBER($A64),VLOOKUP($A64,Methuselahs!$A$7:$X$206,5),"")</f>
        <v/>
      </c>
      <c r="AA64" s="36" t="str">
        <f t="shared" ca="1" si="23"/>
        <v/>
      </c>
    </row>
    <row r="65" spans="1:27" ht="12.95" customHeight="1" x14ac:dyDescent="0.2">
      <c r="A65" s="249" t="str">
        <f ca="1">IF(ISBLANK('Tournament Info'!$B$11),"",INDIRECT(ADDRESS(ROW(),2,1,1,"Optimal Seating "&amp;'Tournament Info'!$B$11-1&amp;"R+F")))</f>
        <v/>
      </c>
      <c r="B65" s="250" t="str">
        <f ca="1">IF(ISNUMBER(A65),VLOOKUP(A65,Methuselahs!$A$7:$E$206,2,0),"")</f>
        <v/>
      </c>
      <c r="C65" s="251" t="str">
        <f ca="1">IF(ISNUMBER(A65),VLOOKUP(A65,Methuselahs!$A$7:$E$206,3,0),"")</f>
        <v/>
      </c>
      <c r="D65" s="252" t="str">
        <f t="shared" ca="1" si="12"/>
        <v/>
      </c>
      <c r="E65" s="253"/>
      <c r="F65" s="397">
        <f t="shared" si="13"/>
        <v>0</v>
      </c>
      <c r="G65" s="235" t="str">
        <f t="shared" ca="1" si="14"/>
        <v/>
      </c>
      <c r="H65" s="236" t="str">
        <f ca="1">IF(ISNUMBER(A65),IF(OR($S65=$U65,NOT(ISNA(MATCH($D65*5+$V$4,Override!$C$6:$C$125,0)))),$Q65,0),"")</f>
        <v/>
      </c>
      <c r="I65" s="395" t="str">
        <f t="shared" ca="1" si="15"/>
        <v/>
      </c>
      <c r="J65" s="254">
        <f ca="1">COUNT(A62:A66)</f>
        <v>0</v>
      </c>
      <c r="K65" s="238" t="str">
        <f ca="1">IF(ISNUMBER(A65),RANK(F65,F62:F66),"")</f>
        <v/>
      </c>
      <c r="L65" s="239">
        <f ca="1">IF(J65=5,VLOOKUP(K65,TPMatrix!$A$6:$B$10,2,0),IF(J65=4,VLOOKUP(K65,TPMatrix!$D$6:$E$9,2,0),0))</f>
        <v>0</v>
      </c>
      <c r="M65" s="239">
        <f ca="1">IF(COUNTIF(K62:K66,K65)&gt;=2,IF(J65=5,VLOOKUP(K65+1,TPMatrix!$A$6:$B$10,2,0),IF(J65=4,VLOOKUP(K65+1,TPMatrix!$D$6:$E$9,2,0),0)),"")</f>
        <v>0</v>
      </c>
      <c r="N65" s="239">
        <f ca="1">IF(COUNTIF(K62:K66,K65)&gt;=3,IF(J65=5,VLOOKUP(K65+2,TPMatrix!$A$6:$B$10,2,0),IF(J65=4,VLOOKUP(K65+2,TPMatrix!$D$6:$E$9,2,0),0)),"")</f>
        <v>0</v>
      </c>
      <c r="O65" s="239">
        <f ca="1">IF(COUNTIF(K62:K66,K65)&gt;=4,IF(J65=5,VLOOKUP(K65+3,TPMatrix!$A$6:$B$10,2,0),IF(J65=4,VLOOKUP(K65+3,TPMatrix!$D$6:$E$9,2,0),0)),"")</f>
        <v>0</v>
      </c>
      <c r="P65" s="239">
        <f ca="1">IF(COUNTIF(K62:K66,K65)&gt;=5,IF(J65=5,VLOOKUP(K65+4,TPMatrix!$A$6:$B$10,2,0),IF(J65=4,VLOOKUP(K65+4,TPMatrix!$D$6:$E$9,2,0),0)),"")</f>
        <v>0</v>
      </c>
      <c r="Q65" s="239">
        <f t="shared" ca="1" si="16"/>
        <v>0</v>
      </c>
      <c r="R65" s="240">
        <f t="shared" ca="1" si="17"/>
        <v>5</v>
      </c>
      <c r="S65" s="238">
        <f t="shared" ca="1" si="18"/>
        <v>0</v>
      </c>
      <c r="T65" s="239">
        <f t="shared" si="19"/>
        <v>0</v>
      </c>
      <c r="U65" s="240">
        <f t="shared" ca="1" si="20"/>
        <v>0</v>
      </c>
      <c r="W65" s="36" t="str">
        <f t="shared" ca="1" si="21"/>
        <v/>
      </c>
      <c r="X65" s="36" t="str">
        <f ca="1">IF(ISNUMBER($A65),$W65*(Methuselahs!$A$4+1)+$A65,"")</f>
        <v/>
      </c>
      <c r="Y65" s="36" t="str">
        <f t="shared" ca="1" si="22"/>
        <v/>
      </c>
      <c r="Z65" s="36" t="str">
        <f ca="1">IF(ISNUMBER($A65),VLOOKUP($A65,Methuselahs!$A$7:$X$206,5),"")</f>
        <v/>
      </c>
      <c r="AA65" s="36" t="str">
        <f t="shared" ca="1" si="23"/>
        <v/>
      </c>
    </row>
    <row r="66" spans="1:27" ht="12.95" customHeight="1" x14ac:dyDescent="0.2">
      <c r="A66" s="255" t="str">
        <f ca="1">IF(ISBLANK('Tournament Info'!$B$11),"",INDIRECT(ADDRESS(ROW(),2,1,1,"Optimal Seating "&amp;'Tournament Info'!$B$11-1&amp;"R+F")))</f>
        <v/>
      </c>
      <c r="B66" s="256" t="str">
        <f ca="1">IF(ISNUMBER(A66),VLOOKUP(A66,Methuselahs!$A$7:$E$206,2,0),"")</f>
        <v/>
      </c>
      <c r="C66" s="257" t="str">
        <f ca="1">IF(ISNUMBER(A66),VLOOKUP(A66,Methuselahs!$A$7:$E$206,3,0),"")</f>
        <v/>
      </c>
      <c r="D66" s="258" t="str">
        <f t="shared" ca="1" si="12"/>
        <v/>
      </c>
      <c r="E66" s="259"/>
      <c r="F66" s="398">
        <f t="shared" si="13"/>
        <v>0</v>
      </c>
      <c r="G66" s="244" t="str">
        <f t="shared" ca="1" si="14"/>
        <v/>
      </c>
      <c r="H66" s="245" t="str">
        <f ca="1">IF(ISNUMBER(A66),IF(OR($S66=$U66,NOT(ISNA(MATCH($D66*5+$V$4,Override!$C$6:$C$125,0)))),$Q66,0),"")</f>
        <v/>
      </c>
      <c r="I66" s="396" t="str">
        <f t="shared" ca="1" si="15"/>
        <v/>
      </c>
      <c r="J66" s="260">
        <f ca="1">COUNT(A62:A66)</f>
        <v>0</v>
      </c>
      <c r="K66" s="261" t="str">
        <f ca="1">IF(ISNUMBER(A66),RANK(F66,F62:F66),"")</f>
        <v/>
      </c>
      <c r="L66" s="262">
        <f ca="1">IF(J66=5,VLOOKUP(K66,TPMatrix!$A$6:$B$10,2,0),IF(J66=4,VLOOKUP(K66,TPMatrix!$D$6:$E$9,2,0),0))</f>
        <v>0</v>
      </c>
      <c r="M66" s="262">
        <f ca="1">IF(COUNTIF(K62:K66,K66)&gt;=2,IF(J66=5,VLOOKUP(K66+1,TPMatrix!$A$6:$B$10,2,0),IF(J66=4,VLOOKUP(K66+1,TPMatrix!$D$6:$E$9,2,0),0)),"")</f>
        <v>0</v>
      </c>
      <c r="N66" s="262">
        <f ca="1">IF(COUNTIF(K62:K66,K66)&gt;=3,IF(J66=5,VLOOKUP(K66+2,TPMatrix!$A$6:$B$10,2,0),IF(J66=4,VLOOKUP(K66+2,TPMatrix!$D$6:$E$9,2,0),0)),"")</f>
        <v>0</v>
      </c>
      <c r="O66" s="262">
        <f ca="1">IF(COUNTIF(K62:K66,K66)&gt;=4,IF(J66=5,VLOOKUP(K66+3,TPMatrix!$A$6:$B$10,2,0),IF(J66=4,VLOOKUP(K66+3,TPMatrix!$D$6:$E$9,2,0),0)),"")</f>
        <v>0</v>
      </c>
      <c r="P66" s="262">
        <f ca="1">IF(COUNTIF(K62:K66,K66)&gt;=5,IF(J66=5,VLOOKUP(K66+4,TPMatrix!$A$6:$B$10,2,0),IF(J66=4,VLOOKUP(K66+4,TPMatrix!$D$6:$E$9,2,0),0)),"")</f>
        <v>0</v>
      </c>
      <c r="Q66" s="262">
        <f t="shared" ca="1" si="16"/>
        <v>0</v>
      </c>
      <c r="R66" s="263">
        <f t="shared" ca="1" si="17"/>
        <v>5</v>
      </c>
      <c r="S66" s="261">
        <f t="shared" ca="1" si="18"/>
        <v>0</v>
      </c>
      <c r="T66" s="262">
        <f t="shared" si="19"/>
        <v>0</v>
      </c>
      <c r="U66" s="263">
        <f t="shared" ca="1" si="20"/>
        <v>0</v>
      </c>
      <c r="W66" s="36" t="str">
        <f t="shared" ca="1" si="21"/>
        <v/>
      </c>
      <c r="X66" s="36" t="str">
        <f ca="1">IF(ISNUMBER($A66),$W66*(Methuselahs!$A$4+1)+$A66,"")</f>
        <v/>
      </c>
      <c r="Y66" s="36" t="str">
        <f t="shared" ca="1" si="22"/>
        <v/>
      </c>
      <c r="Z66" s="36" t="str">
        <f ca="1">IF(ISNUMBER($A66),VLOOKUP($A66,Methuselahs!$A$7:$X$206,5),"")</f>
        <v/>
      </c>
      <c r="AA66" s="36" t="str">
        <f t="shared" ca="1" si="23"/>
        <v/>
      </c>
    </row>
    <row r="67" spans="1:27" ht="12.95" customHeight="1" x14ac:dyDescent="0.2">
      <c r="A67" s="219" t="str">
        <f ca="1">IF(ISBLANK('Tournament Info'!$B$11),"",INDIRECT(ADDRESS(ROW(),2,1,1,"Optimal Seating "&amp;'Tournament Info'!$B$11-1&amp;"R+F")))</f>
        <v/>
      </c>
      <c r="B67" s="143" t="str">
        <f ca="1">IF(ISNUMBER(A67),VLOOKUP(A67,Methuselahs!$A$7:$E$206,2,0),"")</f>
        <v/>
      </c>
      <c r="C67" s="220" t="str">
        <f ca="1">IF(ISNUMBER(A67),VLOOKUP(A67,Methuselahs!$A$7:$E$206,3,0),"")</f>
        <v/>
      </c>
      <c r="D67" s="221" t="str">
        <f t="shared" ca="1" si="12"/>
        <v/>
      </c>
      <c r="E67" s="222"/>
      <c r="F67" s="393">
        <f t="shared" si="13"/>
        <v>0</v>
      </c>
      <c r="G67" s="223" t="str">
        <f t="shared" ca="1" si="14"/>
        <v/>
      </c>
      <c r="H67" s="224" t="str">
        <f ca="1">IF(ISNUMBER(A67),IF(OR($S67=$U67,NOT(ISNA(MATCH($D67*5+$V$4,Override!$C$6:$C$125,0)))),$Q67,0),"")</f>
        <v/>
      </c>
      <c r="I67" s="394" t="str">
        <f t="shared" ca="1" si="15"/>
        <v/>
      </c>
      <c r="J67" s="225">
        <f ca="1">COUNT(A67:A71)</f>
        <v>0</v>
      </c>
      <c r="K67" s="226" t="str">
        <f ca="1">IF(ISNUMBER(A67),RANK(F67,F67:F71),"")</f>
        <v/>
      </c>
      <c r="L67" s="227">
        <f ca="1">IF(J67=5,VLOOKUP(K67,TPMatrix!$A$6:$B$10,2,0),IF(J67=4,VLOOKUP(K67,TPMatrix!$D$6:$E$9,2,0),0))</f>
        <v>0</v>
      </c>
      <c r="M67" s="227">
        <f ca="1">IF(COUNTIF(K67:K71,K67)&gt;=2,IF(J67=5,VLOOKUP(K67+1,TPMatrix!$A$6:$B$10,2,0),IF(J67=4,VLOOKUP(K67+1,TPMatrix!$D$6:$E$9,2,0),0)),"")</f>
        <v>0</v>
      </c>
      <c r="N67" s="227">
        <f ca="1">IF(COUNTIF(K67:K71,K67)&gt;=3,IF(J67=5,VLOOKUP(K67+2,TPMatrix!$A$6:$B$10,2,0),IF(J67=4,VLOOKUP(K67+2,TPMatrix!$D$6:$E$9,2,0),0)),"")</f>
        <v>0</v>
      </c>
      <c r="O67" s="227">
        <f ca="1">IF(COUNTIF(K67:K71,K67)&gt;=4,IF(J67=5,VLOOKUP(K67+3,TPMatrix!$A$6:$B$10,2,0),IF(J67=4,VLOOKUP(K67+3,TPMatrix!$D$6:$E$9,2,0),0)),"")</f>
        <v>0</v>
      </c>
      <c r="P67" s="227">
        <f ca="1">IF(COUNTIF(K67:K71,K67)&gt;=5,IF(J67=5,VLOOKUP(K67+4,TPMatrix!$A$6:$B$10,2,0),IF(J67=4,VLOOKUP(K67+4,TPMatrix!$D$6:$E$9,2,0),0)),"")</f>
        <v>0</v>
      </c>
      <c r="Q67" s="227">
        <f t="shared" ca="1" si="16"/>
        <v>0</v>
      </c>
      <c r="R67" s="228">
        <f t="shared" ca="1" si="17"/>
        <v>5</v>
      </c>
      <c r="S67" s="229">
        <f t="shared" ca="1" si="18"/>
        <v>0</v>
      </c>
      <c r="T67" s="230">
        <f t="shared" si="19"/>
        <v>0</v>
      </c>
      <c r="U67" s="231">
        <f t="shared" ca="1" si="20"/>
        <v>0</v>
      </c>
      <c r="W67" s="36" t="str">
        <f t="shared" ca="1" si="21"/>
        <v/>
      </c>
      <c r="X67" s="36" t="str">
        <f ca="1">IF(ISNUMBER($A67),$W67*(Methuselahs!$A$4+1)+$A67,"")</f>
        <v/>
      </c>
      <c r="Y67" s="36" t="str">
        <f t="shared" ca="1" si="22"/>
        <v/>
      </c>
      <c r="Z67" s="36" t="str">
        <f ca="1">IF(ISNUMBER($A67),VLOOKUP($A67,Methuselahs!$A$7:$X$206,5),"")</f>
        <v/>
      </c>
      <c r="AA67" s="36" t="str">
        <f t="shared" ca="1" si="23"/>
        <v/>
      </c>
    </row>
    <row r="68" spans="1:27" ht="12.95" customHeight="1" x14ac:dyDescent="0.2">
      <c r="A68" s="111" t="str">
        <f ca="1">IF(ISBLANK('Tournament Info'!$B$11),"",INDIRECT(ADDRESS(ROW(),2,1,1,"Optimal Seating "&amp;'Tournament Info'!$B$11-1&amp;"R+F")))</f>
        <v/>
      </c>
      <c r="B68" s="117" t="str">
        <f ca="1">IF(ISNUMBER(A68),VLOOKUP(A68,Methuselahs!$A$7:$E$206,2,0),"")</f>
        <v/>
      </c>
      <c r="C68" s="232" t="str">
        <f ca="1">IF(ISNUMBER(A68),VLOOKUP(A68,Methuselahs!$A$7:$E$206,3,0),"")</f>
        <v/>
      </c>
      <c r="D68" s="233" t="str">
        <f t="shared" ca="1" si="12"/>
        <v/>
      </c>
      <c r="E68" s="234"/>
      <c r="F68" s="118">
        <f t="shared" si="13"/>
        <v>0</v>
      </c>
      <c r="G68" s="235" t="str">
        <f t="shared" ca="1" si="14"/>
        <v/>
      </c>
      <c r="H68" s="236" t="str">
        <f ca="1">IF(ISNUMBER(A68),IF(OR($S68=$U68,NOT(ISNA(MATCH($D68*5+$V$4,Override!$C$6:$C$125,0)))),$Q68,0),"")</f>
        <v/>
      </c>
      <c r="I68" s="395" t="str">
        <f t="shared" ca="1" si="15"/>
        <v/>
      </c>
      <c r="J68" s="237">
        <f ca="1">COUNT(A67:A71)</f>
        <v>0</v>
      </c>
      <c r="K68" s="238" t="str">
        <f ca="1">IF(ISNUMBER(A68),RANK(F68,F67:F71),"")</f>
        <v/>
      </c>
      <c r="L68" s="239">
        <f ca="1">IF(J68=5,VLOOKUP(K68,TPMatrix!$A$6:$B$10,2,0),IF(J68=4,VLOOKUP(K68,TPMatrix!$D$6:$E$9,2,0),0))</f>
        <v>0</v>
      </c>
      <c r="M68" s="239">
        <f ca="1">IF(COUNTIF(K67:K71,K68)&gt;=2,IF(J68=5,VLOOKUP(K68+1,TPMatrix!$A$6:$B$10,2,0),IF(J68=4,VLOOKUP(K68+1,TPMatrix!$D$6:$E$9,2,0),0)),"")</f>
        <v>0</v>
      </c>
      <c r="N68" s="239">
        <f ca="1">IF(COUNTIF(K67:K71,K68)&gt;=3,IF(J68=5,VLOOKUP(K68+2,TPMatrix!$A$6:$B$10,2,0),IF(J68=4,VLOOKUP(K68+2,TPMatrix!$D$6:$E$9,2,0),0)),"")</f>
        <v>0</v>
      </c>
      <c r="O68" s="239">
        <f ca="1">IF(COUNTIF(K67:K71,K68)&gt;=4,IF(J68=5,VLOOKUP(K68+3,TPMatrix!$A$6:$B$10,2,0),IF(J68=4,VLOOKUP(K68+3,TPMatrix!$D$6:$E$9,2,0),0)),"")</f>
        <v>0</v>
      </c>
      <c r="P68" s="239">
        <f ca="1">IF(COUNTIF(K67:K71,K68)&gt;=5,IF(J68=5,VLOOKUP(K68+4,TPMatrix!$A$6:$B$10,2,0),IF(J68=4,VLOOKUP(K68+4,TPMatrix!$D$6:$E$9,2,0),0)),"")</f>
        <v>0</v>
      </c>
      <c r="Q68" s="239">
        <f t="shared" ca="1" si="16"/>
        <v>0</v>
      </c>
      <c r="R68" s="240">
        <f t="shared" ca="1" si="17"/>
        <v>5</v>
      </c>
      <c r="S68" s="238">
        <f t="shared" ca="1" si="18"/>
        <v>0</v>
      </c>
      <c r="T68" s="239">
        <f t="shared" si="19"/>
        <v>0</v>
      </c>
      <c r="U68" s="240">
        <f t="shared" ca="1" si="20"/>
        <v>0</v>
      </c>
      <c r="W68" s="36" t="str">
        <f t="shared" ca="1" si="21"/>
        <v/>
      </c>
      <c r="X68" s="36" t="str">
        <f ca="1">IF(ISNUMBER($A68),$W68*(Methuselahs!$A$4+1)+$A68,"")</f>
        <v/>
      </c>
      <c r="Y68" s="36" t="str">
        <f t="shared" ca="1" si="22"/>
        <v/>
      </c>
      <c r="Z68" s="36" t="str">
        <f ca="1">IF(ISNUMBER($A68),VLOOKUP($A68,Methuselahs!$A$7:$X$206,5),"")</f>
        <v/>
      </c>
      <c r="AA68" s="36" t="str">
        <f t="shared" ca="1" si="23"/>
        <v/>
      </c>
    </row>
    <row r="69" spans="1:27" ht="12.95" customHeight="1" x14ac:dyDescent="0.2">
      <c r="A69" s="137" t="str">
        <f ca="1">IF(ISBLANK('Tournament Info'!$B$11),"",INDIRECT(ADDRESS(ROW(),2,1,1,"Optimal Seating "&amp;'Tournament Info'!$B$11-1&amp;"R+F")))</f>
        <v/>
      </c>
      <c r="B69" s="143" t="str">
        <f ca="1">IF(ISNUMBER(A69),VLOOKUP(A69,Methuselahs!$A$7:$E$206,2,0),"")</f>
        <v/>
      </c>
      <c r="C69" s="241" t="str">
        <f ca="1">IF(ISNUMBER(A69),VLOOKUP(A69,Methuselahs!$A$7:$E$206,3,0),"")</f>
        <v/>
      </c>
      <c r="D69" s="242" t="str">
        <f t="shared" ca="1" si="12"/>
        <v/>
      </c>
      <c r="E69" s="243"/>
      <c r="F69" s="144">
        <f t="shared" si="13"/>
        <v>0</v>
      </c>
      <c r="G69" s="244" t="str">
        <f t="shared" ca="1" si="14"/>
        <v/>
      </c>
      <c r="H69" s="245" t="str">
        <f ca="1">IF(ISNUMBER(A69),IF(OR($S69=$U69,NOT(ISNA(MATCH($D69*5+$V$4,Override!$C$6:$C$125,0)))),$Q69,0),"")</f>
        <v/>
      </c>
      <c r="I69" s="396" t="str">
        <f t="shared" ca="1" si="15"/>
        <v/>
      </c>
      <c r="J69" s="246">
        <f ca="1">COUNT(A67:A71)</f>
        <v>0</v>
      </c>
      <c r="K69" s="247" t="str">
        <f ca="1">IF(ISNUMBER(A69),RANK(F69,F67:F71),"")</f>
        <v/>
      </c>
      <c r="L69" s="142">
        <f ca="1">IF(J69=5,VLOOKUP(K69,TPMatrix!$A$6:$B$10,2,0),IF(J69=4,VLOOKUP(K69,TPMatrix!$D$6:$E$9,2,0),0))</f>
        <v>0</v>
      </c>
      <c r="M69" s="142">
        <f ca="1">IF(COUNTIF(K67:K71,K69)&gt;=2,IF(J69=5,VLOOKUP(K69+1,TPMatrix!$A$6:$B$10,2,0),IF(J69=4,VLOOKUP(K69+1,TPMatrix!$D$6:$E$9,2,0),0)),"")</f>
        <v>0</v>
      </c>
      <c r="N69" s="142">
        <f ca="1">IF(COUNTIF(K67:K71,K69)&gt;=3,IF(J69=5,VLOOKUP(K69+2,TPMatrix!$A$6:$B$10,2,0),IF(J69=4,VLOOKUP(K69+2,TPMatrix!$D$6:$E$9,2,0),0)),"")</f>
        <v>0</v>
      </c>
      <c r="O69" s="142">
        <f ca="1">IF(COUNTIF(K67:K71,K69)&gt;=4,IF(J69=5,VLOOKUP(K69+3,TPMatrix!$A$6:$B$10,2,0),IF(J69=4,VLOOKUP(K69+3,TPMatrix!$D$6:$E$9,2,0),0)),"")</f>
        <v>0</v>
      </c>
      <c r="P69" s="142">
        <f ca="1">IF(COUNTIF(K67:K71,K69)&gt;=5,IF(J69=5,VLOOKUP(K69+4,TPMatrix!$A$6:$B$10,2,0),IF(J69=4,VLOOKUP(K69+4,TPMatrix!$D$6:$E$9,2,0),0)),"")</f>
        <v>0</v>
      </c>
      <c r="Q69" s="142">
        <f t="shared" ca="1" si="16"/>
        <v>0</v>
      </c>
      <c r="R69" s="248">
        <f t="shared" ca="1" si="17"/>
        <v>5</v>
      </c>
      <c r="S69" s="247">
        <f t="shared" ca="1" si="18"/>
        <v>0</v>
      </c>
      <c r="T69" s="142">
        <f t="shared" si="19"/>
        <v>0</v>
      </c>
      <c r="U69" s="248">
        <f t="shared" ca="1" si="20"/>
        <v>0</v>
      </c>
      <c r="W69" s="36" t="str">
        <f t="shared" ca="1" si="21"/>
        <v/>
      </c>
      <c r="X69" s="36" t="str">
        <f ca="1">IF(ISNUMBER($A69),$W69*(Methuselahs!$A$4+1)+$A69,"")</f>
        <v/>
      </c>
      <c r="Y69" s="36" t="str">
        <f t="shared" ca="1" si="22"/>
        <v/>
      </c>
      <c r="Z69" s="36" t="str">
        <f ca="1">IF(ISNUMBER($A69),VLOOKUP($A69,Methuselahs!$A$7:$X$206,5),"")</f>
        <v/>
      </c>
      <c r="AA69" s="36" t="str">
        <f t="shared" ca="1" si="23"/>
        <v/>
      </c>
    </row>
    <row r="70" spans="1:27" ht="12.95" customHeight="1" x14ac:dyDescent="0.2">
      <c r="A70" s="249" t="str">
        <f ca="1">IF(ISBLANK('Tournament Info'!$B$11),"",INDIRECT(ADDRESS(ROW(),2,1,1,"Optimal Seating "&amp;'Tournament Info'!$B$11-1&amp;"R+F")))</f>
        <v/>
      </c>
      <c r="B70" s="250" t="str">
        <f ca="1">IF(ISNUMBER(A70),VLOOKUP(A70,Methuselahs!$A$7:$E$206,2,0),"")</f>
        <v/>
      </c>
      <c r="C70" s="251" t="str">
        <f ca="1">IF(ISNUMBER(A70),VLOOKUP(A70,Methuselahs!$A$7:$E$206,3,0),"")</f>
        <v/>
      </c>
      <c r="D70" s="252" t="str">
        <f t="shared" ca="1" si="12"/>
        <v/>
      </c>
      <c r="E70" s="253"/>
      <c r="F70" s="397">
        <f t="shared" si="13"/>
        <v>0</v>
      </c>
      <c r="G70" s="235" t="str">
        <f t="shared" ca="1" si="14"/>
        <v/>
      </c>
      <c r="H70" s="236" t="str">
        <f ca="1">IF(ISNUMBER(A70),IF(OR($S70=$U70,NOT(ISNA(MATCH($D70*5+$V$4,Override!$C$6:$C$125,0)))),$Q70,0),"")</f>
        <v/>
      </c>
      <c r="I70" s="395" t="str">
        <f t="shared" ca="1" si="15"/>
        <v/>
      </c>
      <c r="J70" s="254">
        <f ca="1">COUNT(A67:A71)</f>
        <v>0</v>
      </c>
      <c r="K70" s="238" t="str">
        <f ca="1">IF(ISNUMBER(A70),RANK(F70,F67:F71),"")</f>
        <v/>
      </c>
      <c r="L70" s="239">
        <f ca="1">IF(J70=5,VLOOKUP(K70,TPMatrix!$A$6:$B$10,2,0),IF(J70=4,VLOOKUP(K70,TPMatrix!$D$6:$E$9,2,0),0))</f>
        <v>0</v>
      </c>
      <c r="M70" s="239">
        <f ca="1">IF(COUNTIF(K67:K71,K70)&gt;=2,IF(J70=5,VLOOKUP(K70+1,TPMatrix!$A$6:$B$10,2,0),IF(J70=4,VLOOKUP(K70+1,TPMatrix!$D$6:$E$9,2,0),0)),"")</f>
        <v>0</v>
      </c>
      <c r="N70" s="239">
        <f ca="1">IF(COUNTIF(K67:K71,K70)&gt;=3,IF(J70=5,VLOOKUP(K70+2,TPMatrix!$A$6:$B$10,2,0),IF(J70=4,VLOOKUP(K70+2,TPMatrix!$D$6:$E$9,2,0),0)),"")</f>
        <v>0</v>
      </c>
      <c r="O70" s="239">
        <f ca="1">IF(COUNTIF(K67:K71,K70)&gt;=4,IF(J70=5,VLOOKUP(K70+3,TPMatrix!$A$6:$B$10,2,0),IF(J70=4,VLOOKUP(K70+3,TPMatrix!$D$6:$E$9,2,0),0)),"")</f>
        <v>0</v>
      </c>
      <c r="P70" s="239">
        <f ca="1">IF(COUNTIF(K67:K71,K70)&gt;=5,IF(J70=5,VLOOKUP(K70+4,TPMatrix!$A$6:$B$10,2,0),IF(J70=4,VLOOKUP(K70+4,TPMatrix!$D$6:$E$9,2,0),0)),"")</f>
        <v>0</v>
      </c>
      <c r="Q70" s="239">
        <f t="shared" ca="1" si="16"/>
        <v>0</v>
      </c>
      <c r="R70" s="240">
        <f t="shared" ca="1" si="17"/>
        <v>5</v>
      </c>
      <c r="S70" s="238">
        <f t="shared" ca="1" si="18"/>
        <v>0</v>
      </c>
      <c r="T70" s="239">
        <f t="shared" si="19"/>
        <v>0</v>
      </c>
      <c r="U70" s="240">
        <f t="shared" ca="1" si="20"/>
        <v>0</v>
      </c>
      <c r="W70" s="36" t="str">
        <f t="shared" ca="1" si="21"/>
        <v/>
      </c>
      <c r="X70" s="36" t="str">
        <f ca="1">IF(ISNUMBER($A70),$W70*(Methuselahs!$A$4+1)+$A70,"")</f>
        <v/>
      </c>
      <c r="Y70" s="36" t="str">
        <f t="shared" ca="1" si="22"/>
        <v/>
      </c>
      <c r="Z70" s="36" t="str">
        <f ca="1">IF(ISNUMBER($A70),VLOOKUP($A70,Methuselahs!$A$7:$X$206,5),"")</f>
        <v/>
      </c>
      <c r="AA70" s="36" t="str">
        <f t="shared" ca="1" si="23"/>
        <v/>
      </c>
    </row>
    <row r="71" spans="1:27" ht="12.95" customHeight="1" x14ac:dyDescent="0.2">
      <c r="A71" s="255" t="str">
        <f ca="1">IF(ISBLANK('Tournament Info'!$B$11),"",INDIRECT(ADDRESS(ROW(),2,1,1,"Optimal Seating "&amp;'Tournament Info'!$B$11-1&amp;"R+F")))</f>
        <v/>
      </c>
      <c r="B71" s="256" t="str">
        <f ca="1">IF(ISNUMBER(A71),VLOOKUP(A71,Methuselahs!$A$7:$E$206,2,0),"")</f>
        <v/>
      </c>
      <c r="C71" s="257" t="str">
        <f ca="1">IF(ISNUMBER(A71),VLOOKUP(A71,Methuselahs!$A$7:$E$206,3,0),"")</f>
        <v/>
      </c>
      <c r="D71" s="258" t="str">
        <f t="shared" ref="D71:D102" ca="1" si="24">IF(ISNUMBER(A71),FLOOR((ROW()-ROW($A$7))/5,1)+1,"")</f>
        <v/>
      </c>
      <c r="E71" s="259"/>
      <c r="F71" s="398">
        <f t="shared" ref="F71:F102" si="25">IF(ISNUMBER(E71),E71,0)</f>
        <v>0</v>
      </c>
      <c r="G71" s="244" t="str">
        <f t="shared" ref="G71:G102" ca="1" si="26">IF(ISNUMBER($A71),IF(AND($F71&gt;=2,$H71=60),1,0),"")</f>
        <v/>
      </c>
      <c r="H71" s="245" t="str">
        <f ca="1">IF(ISNUMBER(A71),IF(OR($S71=$U71,NOT(ISNA(MATCH($D71*5+$V$4,Override!$C$6:$C$125,0)))),$Q71,0),"")</f>
        <v/>
      </c>
      <c r="I71" s="396" t="str">
        <f t="shared" ref="I71:I102" ca="1" si="27">IF(ISNUMBER(A71),IF(J71=5,K71,IF(AND(J71=4,OR(K71=4,K71=3)),K71+1,K71)),"")</f>
        <v/>
      </c>
      <c r="J71" s="260">
        <f ca="1">COUNT(A67:A71)</f>
        <v>0</v>
      </c>
      <c r="K71" s="261" t="str">
        <f ca="1">IF(ISNUMBER(A71),RANK(F71,F67:F71),"")</f>
        <v/>
      </c>
      <c r="L71" s="262">
        <f ca="1">IF(J71=5,VLOOKUP(K71,TPMatrix!$A$6:$B$10,2,0),IF(J71=4,VLOOKUP(K71,TPMatrix!$D$6:$E$9,2,0),0))</f>
        <v>0</v>
      </c>
      <c r="M71" s="262">
        <f ca="1">IF(COUNTIF(K67:K71,K71)&gt;=2,IF(J71=5,VLOOKUP(K71+1,TPMatrix!$A$6:$B$10,2,0),IF(J71=4,VLOOKUP(K71+1,TPMatrix!$D$6:$E$9,2,0),0)),"")</f>
        <v>0</v>
      </c>
      <c r="N71" s="262">
        <f ca="1">IF(COUNTIF(K67:K71,K71)&gt;=3,IF(J71=5,VLOOKUP(K71+2,TPMatrix!$A$6:$B$10,2,0),IF(J71=4,VLOOKUP(K71+2,TPMatrix!$D$6:$E$9,2,0),0)),"")</f>
        <v>0</v>
      </c>
      <c r="O71" s="262">
        <f ca="1">IF(COUNTIF(K67:K71,K71)&gt;=4,IF(J71=5,VLOOKUP(K71+3,TPMatrix!$A$6:$B$10,2,0),IF(J71=4,VLOOKUP(K71+3,TPMatrix!$D$6:$E$9,2,0),0)),"")</f>
        <v>0</v>
      </c>
      <c r="P71" s="262">
        <f ca="1">IF(COUNTIF(K67:K71,K71)&gt;=5,IF(J71=5,VLOOKUP(K71+4,TPMatrix!$A$6:$B$10,2,0),IF(J71=4,VLOOKUP(K71+4,TPMatrix!$D$6:$E$9,2,0),0)),"")</f>
        <v>0</v>
      </c>
      <c r="Q71" s="262">
        <f t="shared" ref="Q71:Q102" ca="1" si="28">SUM(L71:P71)/COUNT(L71:P71)</f>
        <v>0</v>
      </c>
      <c r="R71" s="263">
        <f t="shared" ref="R71:R102" ca="1" si="29">COUNT(L71:P71)</f>
        <v>5</v>
      </c>
      <c r="S71" s="261">
        <f t="shared" ref="S71:S102" ca="1" si="30">IF(ISNUMBER($A71),COUNTIF($D$7:$D$206,$D71),0)</f>
        <v>0</v>
      </c>
      <c r="T71" s="262">
        <f t="shared" ref="T71:T102" si="31">CEILING($F71,1)</f>
        <v>0</v>
      </c>
      <c r="U71" s="263">
        <f t="shared" ref="U71:U102" ca="1" si="32">SUM(OFFSET(T71,-MOD(ROW()-ROW($U$7),5),0,5,1))</f>
        <v>0</v>
      </c>
      <c r="W71" s="36" t="str">
        <f t="shared" ref="W71:W102" ca="1" si="33">$I71</f>
        <v/>
      </c>
      <c r="X71" s="36" t="str">
        <f ca="1">IF(ISNUMBER($A71),$W71*(Methuselahs!$A$4+1)+$A71,"")</f>
        <v/>
      </c>
      <c r="Y71" s="36" t="str">
        <f t="shared" ref="Y71:Y102" ca="1" si="34">IF(ISNUMBER($A71),RANK($X71,$X71:$X75,1),"")</f>
        <v/>
      </c>
      <c r="Z71" s="36" t="str">
        <f ca="1">IF(ISNUMBER($A71),VLOOKUP($A71,Methuselahs!$A$7:$X$206,5),"")</f>
        <v/>
      </c>
      <c r="AA71" s="36" t="str">
        <f t="shared" ref="AA71:AA102" ca="1" si="35">$I71</f>
        <v/>
      </c>
    </row>
    <row r="72" spans="1:27" ht="12.95" customHeight="1" x14ac:dyDescent="0.2">
      <c r="A72" s="219" t="str">
        <f ca="1">IF(ISBLANK('Tournament Info'!$B$11),"",INDIRECT(ADDRESS(ROW(),2,1,1,"Optimal Seating "&amp;'Tournament Info'!$B$11-1&amp;"R+F")))</f>
        <v/>
      </c>
      <c r="B72" s="143" t="str">
        <f ca="1">IF(ISNUMBER(A72),VLOOKUP(A72,Methuselahs!$A$7:$E$206,2,0),"")</f>
        <v/>
      </c>
      <c r="C72" s="220" t="str">
        <f ca="1">IF(ISNUMBER(A72),VLOOKUP(A72,Methuselahs!$A$7:$E$206,3,0),"")</f>
        <v/>
      </c>
      <c r="D72" s="221" t="str">
        <f t="shared" ca="1" si="24"/>
        <v/>
      </c>
      <c r="E72" s="222"/>
      <c r="F72" s="393">
        <f t="shared" si="25"/>
        <v>0</v>
      </c>
      <c r="G72" s="223" t="str">
        <f t="shared" ca="1" si="26"/>
        <v/>
      </c>
      <c r="H72" s="224" t="str">
        <f ca="1">IF(ISNUMBER(A72),IF(OR($S72=$U72,NOT(ISNA(MATCH($D72*5+$V$4,Override!$C$6:$C$125,0)))),$Q72,0),"")</f>
        <v/>
      </c>
      <c r="I72" s="394" t="str">
        <f t="shared" ca="1" si="27"/>
        <v/>
      </c>
      <c r="J72" s="225">
        <f ca="1">COUNT(A72:A76)</f>
        <v>0</v>
      </c>
      <c r="K72" s="226" t="str">
        <f ca="1">IF(ISNUMBER(A72),RANK(F72,F72:F76),"")</f>
        <v/>
      </c>
      <c r="L72" s="227">
        <f ca="1">IF(J72=5,VLOOKUP(K72,TPMatrix!$A$6:$B$10,2,0),IF(J72=4,VLOOKUP(K72,TPMatrix!$D$6:$E$9,2,0),0))</f>
        <v>0</v>
      </c>
      <c r="M72" s="227">
        <f ca="1">IF(COUNTIF(K72:K76,K72)&gt;=2,IF(J72=5,VLOOKUP(K72+1,TPMatrix!$A$6:$B$10,2,0),IF(J72=4,VLOOKUP(K72+1,TPMatrix!$D$6:$E$9,2,0),0)),"")</f>
        <v>0</v>
      </c>
      <c r="N72" s="227">
        <f ca="1">IF(COUNTIF(K72:K76,K72)&gt;=3,IF(J72=5,VLOOKUP(K72+2,TPMatrix!$A$6:$B$10,2,0),IF(J72=4,VLOOKUP(K72+2,TPMatrix!$D$6:$E$9,2,0),0)),"")</f>
        <v>0</v>
      </c>
      <c r="O72" s="227">
        <f ca="1">IF(COUNTIF(K72:K76,K72)&gt;=4,IF(J72=5,VLOOKUP(K72+3,TPMatrix!$A$6:$B$10,2,0),IF(J72=4,VLOOKUP(K72+3,TPMatrix!$D$6:$E$9,2,0),0)),"")</f>
        <v>0</v>
      </c>
      <c r="P72" s="227">
        <f ca="1">IF(COUNTIF(K72:K76,K72)&gt;=5,IF(J72=5,VLOOKUP(K72+4,TPMatrix!$A$6:$B$10,2,0),IF(J72=4,VLOOKUP(K72+4,TPMatrix!$D$6:$E$9,2,0),0)),"")</f>
        <v>0</v>
      </c>
      <c r="Q72" s="227">
        <f t="shared" ca="1" si="28"/>
        <v>0</v>
      </c>
      <c r="R72" s="228">
        <f t="shared" ca="1" si="29"/>
        <v>5</v>
      </c>
      <c r="S72" s="229">
        <f t="shared" ca="1" si="30"/>
        <v>0</v>
      </c>
      <c r="T72" s="230">
        <f t="shared" si="31"/>
        <v>0</v>
      </c>
      <c r="U72" s="231">
        <f t="shared" ca="1" si="32"/>
        <v>0</v>
      </c>
      <c r="W72" s="36" t="str">
        <f t="shared" ca="1" si="33"/>
        <v/>
      </c>
      <c r="X72" s="36" t="str">
        <f ca="1">IF(ISNUMBER($A72),$W72*(Methuselahs!$A$4+1)+$A72,"")</f>
        <v/>
      </c>
      <c r="Y72" s="36" t="str">
        <f t="shared" ca="1" si="34"/>
        <v/>
      </c>
      <c r="Z72" s="36" t="str">
        <f ca="1">IF(ISNUMBER($A72),VLOOKUP($A72,Methuselahs!$A$7:$X$206,5),"")</f>
        <v/>
      </c>
      <c r="AA72" s="36" t="str">
        <f t="shared" ca="1" si="35"/>
        <v/>
      </c>
    </row>
    <row r="73" spans="1:27" ht="12.95" customHeight="1" x14ac:dyDescent="0.2">
      <c r="A73" s="111" t="str">
        <f ca="1">IF(ISBLANK('Tournament Info'!$B$11),"",INDIRECT(ADDRESS(ROW(),2,1,1,"Optimal Seating "&amp;'Tournament Info'!$B$11-1&amp;"R+F")))</f>
        <v/>
      </c>
      <c r="B73" s="117" t="str">
        <f ca="1">IF(ISNUMBER(A73),VLOOKUP(A73,Methuselahs!$A$7:$E$206,2,0),"")</f>
        <v/>
      </c>
      <c r="C73" s="232" t="str">
        <f ca="1">IF(ISNUMBER(A73),VLOOKUP(A73,Methuselahs!$A$7:$E$206,3,0),"")</f>
        <v/>
      </c>
      <c r="D73" s="233" t="str">
        <f t="shared" ca="1" si="24"/>
        <v/>
      </c>
      <c r="E73" s="234"/>
      <c r="F73" s="118">
        <f t="shared" si="25"/>
        <v>0</v>
      </c>
      <c r="G73" s="235" t="str">
        <f t="shared" ca="1" si="26"/>
        <v/>
      </c>
      <c r="H73" s="236" t="str">
        <f ca="1">IF(ISNUMBER(A73),IF(OR($S73=$U73,NOT(ISNA(MATCH($D73*5+$V$4,Override!$C$6:$C$125,0)))),$Q73,0),"")</f>
        <v/>
      </c>
      <c r="I73" s="395" t="str">
        <f t="shared" ca="1" si="27"/>
        <v/>
      </c>
      <c r="J73" s="237">
        <f ca="1">COUNT(A72:A76)</f>
        <v>0</v>
      </c>
      <c r="K73" s="238" t="str">
        <f ca="1">IF(ISNUMBER(A73),RANK(F73,F72:F76),"")</f>
        <v/>
      </c>
      <c r="L73" s="239">
        <f ca="1">IF(J73=5,VLOOKUP(K73,TPMatrix!$A$6:$B$10,2,0),IF(J73=4,VLOOKUP(K73,TPMatrix!$D$6:$E$9,2,0),0))</f>
        <v>0</v>
      </c>
      <c r="M73" s="239">
        <f ca="1">IF(COUNTIF(K72:K76,K73)&gt;=2,IF(J73=5,VLOOKUP(K73+1,TPMatrix!$A$6:$B$10,2,0),IF(J73=4,VLOOKUP(K73+1,TPMatrix!$D$6:$E$9,2,0),0)),"")</f>
        <v>0</v>
      </c>
      <c r="N73" s="239">
        <f ca="1">IF(COUNTIF(K72:K76,K73)&gt;=3,IF(J73=5,VLOOKUP(K73+2,TPMatrix!$A$6:$B$10,2,0),IF(J73=4,VLOOKUP(K73+2,TPMatrix!$D$6:$E$9,2,0),0)),"")</f>
        <v>0</v>
      </c>
      <c r="O73" s="239">
        <f ca="1">IF(COUNTIF(K72:K76,K73)&gt;=4,IF(J73=5,VLOOKUP(K73+3,TPMatrix!$A$6:$B$10,2,0),IF(J73=4,VLOOKUP(K73+3,TPMatrix!$D$6:$E$9,2,0),0)),"")</f>
        <v>0</v>
      </c>
      <c r="P73" s="239">
        <f ca="1">IF(COUNTIF(K72:K76,K73)&gt;=5,IF(J73=5,VLOOKUP(K73+4,TPMatrix!$A$6:$B$10,2,0),IF(J73=4,VLOOKUP(K73+4,TPMatrix!$D$6:$E$9,2,0),0)),"")</f>
        <v>0</v>
      </c>
      <c r="Q73" s="239">
        <f t="shared" ca="1" si="28"/>
        <v>0</v>
      </c>
      <c r="R73" s="240">
        <f t="shared" ca="1" si="29"/>
        <v>5</v>
      </c>
      <c r="S73" s="238">
        <f t="shared" ca="1" si="30"/>
        <v>0</v>
      </c>
      <c r="T73" s="239">
        <f t="shared" si="31"/>
        <v>0</v>
      </c>
      <c r="U73" s="240">
        <f t="shared" ca="1" si="32"/>
        <v>0</v>
      </c>
      <c r="W73" s="36" t="str">
        <f t="shared" ca="1" si="33"/>
        <v/>
      </c>
      <c r="X73" s="36" t="str">
        <f ca="1">IF(ISNUMBER($A73),$W73*(Methuselahs!$A$4+1)+$A73,"")</f>
        <v/>
      </c>
      <c r="Y73" s="36" t="str">
        <f t="shared" ca="1" si="34"/>
        <v/>
      </c>
      <c r="Z73" s="36" t="str">
        <f ca="1">IF(ISNUMBER($A73),VLOOKUP($A73,Methuselahs!$A$7:$X$206,5),"")</f>
        <v/>
      </c>
      <c r="AA73" s="36" t="str">
        <f t="shared" ca="1" si="35"/>
        <v/>
      </c>
    </row>
    <row r="74" spans="1:27" ht="12.95" customHeight="1" x14ac:dyDescent="0.2">
      <c r="A74" s="137" t="str">
        <f ca="1">IF(ISBLANK('Tournament Info'!$B$11),"",INDIRECT(ADDRESS(ROW(),2,1,1,"Optimal Seating "&amp;'Tournament Info'!$B$11-1&amp;"R+F")))</f>
        <v/>
      </c>
      <c r="B74" s="143" t="str">
        <f ca="1">IF(ISNUMBER(A74),VLOOKUP(A74,Methuselahs!$A$7:$E$206,2,0),"")</f>
        <v/>
      </c>
      <c r="C74" s="241" t="str">
        <f ca="1">IF(ISNUMBER(A74),VLOOKUP(A74,Methuselahs!$A$7:$E$206,3,0),"")</f>
        <v/>
      </c>
      <c r="D74" s="242" t="str">
        <f t="shared" ca="1" si="24"/>
        <v/>
      </c>
      <c r="E74" s="243"/>
      <c r="F74" s="144">
        <f t="shared" si="25"/>
        <v>0</v>
      </c>
      <c r="G74" s="244" t="str">
        <f t="shared" ca="1" si="26"/>
        <v/>
      </c>
      <c r="H74" s="245" t="str">
        <f ca="1">IF(ISNUMBER(A74),IF(OR($S74=$U74,NOT(ISNA(MATCH($D74*5+$V$4,Override!$C$6:$C$125,0)))),$Q74,0),"")</f>
        <v/>
      </c>
      <c r="I74" s="396" t="str">
        <f t="shared" ca="1" si="27"/>
        <v/>
      </c>
      <c r="J74" s="246">
        <f ca="1">COUNT(A72:A76)</f>
        <v>0</v>
      </c>
      <c r="K74" s="247" t="str">
        <f ca="1">IF(ISNUMBER(A74),RANK(F74,F72:F76),"")</f>
        <v/>
      </c>
      <c r="L74" s="142">
        <f ca="1">IF(J74=5,VLOOKUP(K74,TPMatrix!$A$6:$B$10,2,0),IF(J74=4,VLOOKUP(K74,TPMatrix!$D$6:$E$9,2,0),0))</f>
        <v>0</v>
      </c>
      <c r="M74" s="142">
        <f ca="1">IF(COUNTIF(K72:K76,K74)&gt;=2,IF(J74=5,VLOOKUP(K74+1,TPMatrix!$A$6:$B$10,2,0),IF(J74=4,VLOOKUP(K74+1,TPMatrix!$D$6:$E$9,2,0),0)),"")</f>
        <v>0</v>
      </c>
      <c r="N74" s="142">
        <f ca="1">IF(COUNTIF(K72:K76,K74)&gt;=3,IF(J74=5,VLOOKUP(K74+2,TPMatrix!$A$6:$B$10,2,0),IF(J74=4,VLOOKUP(K74+2,TPMatrix!$D$6:$E$9,2,0),0)),"")</f>
        <v>0</v>
      </c>
      <c r="O74" s="142">
        <f ca="1">IF(COUNTIF(K72:K76,K74)&gt;=4,IF(J74=5,VLOOKUP(K74+3,TPMatrix!$A$6:$B$10,2,0),IF(J74=4,VLOOKUP(K74+3,TPMatrix!$D$6:$E$9,2,0),0)),"")</f>
        <v>0</v>
      </c>
      <c r="P74" s="142">
        <f ca="1">IF(COUNTIF(K72:K76,K74)&gt;=5,IF(J74=5,VLOOKUP(K74+4,TPMatrix!$A$6:$B$10,2,0),IF(J74=4,VLOOKUP(K74+4,TPMatrix!$D$6:$E$9,2,0),0)),"")</f>
        <v>0</v>
      </c>
      <c r="Q74" s="142">
        <f t="shared" ca="1" si="28"/>
        <v>0</v>
      </c>
      <c r="R74" s="248">
        <f t="shared" ca="1" si="29"/>
        <v>5</v>
      </c>
      <c r="S74" s="247">
        <f t="shared" ca="1" si="30"/>
        <v>0</v>
      </c>
      <c r="T74" s="142">
        <f t="shared" si="31"/>
        <v>0</v>
      </c>
      <c r="U74" s="248">
        <f t="shared" ca="1" si="32"/>
        <v>0</v>
      </c>
      <c r="W74" s="36" t="str">
        <f t="shared" ca="1" si="33"/>
        <v/>
      </c>
      <c r="X74" s="36" t="str">
        <f ca="1">IF(ISNUMBER($A74),$W74*(Methuselahs!$A$4+1)+$A74,"")</f>
        <v/>
      </c>
      <c r="Y74" s="36" t="str">
        <f t="shared" ca="1" si="34"/>
        <v/>
      </c>
      <c r="Z74" s="36" t="str">
        <f ca="1">IF(ISNUMBER($A74),VLOOKUP($A74,Methuselahs!$A$7:$X$206,5),"")</f>
        <v/>
      </c>
      <c r="AA74" s="36" t="str">
        <f t="shared" ca="1" si="35"/>
        <v/>
      </c>
    </row>
    <row r="75" spans="1:27" ht="12.95" customHeight="1" x14ac:dyDescent="0.2">
      <c r="A75" s="249" t="str">
        <f ca="1">IF(ISBLANK('Tournament Info'!$B$11),"",INDIRECT(ADDRESS(ROW(),2,1,1,"Optimal Seating "&amp;'Tournament Info'!$B$11-1&amp;"R+F")))</f>
        <v/>
      </c>
      <c r="B75" s="250" t="str">
        <f ca="1">IF(ISNUMBER(A75),VLOOKUP(A75,Methuselahs!$A$7:$E$206,2,0),"")</f>
        <v/>
      </c>
      <c r="C75" s="251" t="str">
        <f ca="1">IF(ISNUMBER(A75),VLOOKUP(A75,Methuselahs!$A$7:$E$206,3,0),"")</f>
        <v/>
      </c>
      <c r="D75" s="252" t="str">
        <f t="shared" ca="1" si="24"/>
        <v/>
      </c>
      <c r="E75" s="253"/>
      <c r="F75" s="397">
        <f t="shared" si="25"/>
        <v>0</v>
      </c>
      <c r="G75" s="235" t="str">
        <f t="shared" ca="1" si="26"/>
        <v/>
      </c>
      <c r="H75" s="236" t="str">
        <f ca="1">IF(ISNUMBER(A75),IF(OR($S75=$U75,NOT(ISNA(MATCH($D75*5+$V$4,Override!$C$6:$C$125,0)))),$Q75,0),"")</f>
        <v/>
      </c>
      <c r="I75" s="395" t="str">
        <f t="shared" ca="1" si="27"/>
        <v/>
      </c>
      <c r="J75" s="254">
        <f ca="1">COUNT(A72:A76)</f>
        <v>0</v>
      </c>
      <c r="K75" s="238" t="str">
        <f ca="1">IF(ISNUMBER(A75),RANK(F75,F72:F76),"")</f>
        <v/>
      </c>
      <c r="L75" s="239">
        <f ca="1">IF(J75=5,VLOOKUP(K75,TPMatrix!$A$6:$B$10,2,0),IF(J75=4,VLOOKUP(K75,TPMatrix!$D$6:$E$9,2,0),0))</f>
        <v>0</v>
      </c>
      <c r="M75" s="239">
        <f ca="1">IF(COUNTIF(K72:K76,K75)&gt;=2,IF(J75=5,VLOOKUP(K75+1,TPMatrix!$A$6:$B$10,2,0),IF(J75=4,VLOOKUP(K75+1,TPMatrix!$D$6:$E$9,2,0),0)),"")</f>
        <v>0</v>
      </c>
      <c r="N75" s="239">
        <f ca="1">IF(COUNTIF(K72:K76,K75)&gt;=3,IF(J75=5,VLOOKUP(K75+2,TPMatrix!$A$6:$B$10,2,0),IF(J75=4,VLOOKUP(K75+2,TPMatrix!$D$6:$E$9,2,0),0)),"")</f>
        <v>0</v>
      </c>
      <c r="O75" s="239">
        <f ca="1">IF(COUNTIF(K72:K76,K75)&gt;=4,IF(J75=5,VLOOKUP(K75+3,TPMatrix!$A$6:$B$10,2,0),IF(J75=4,VLOOKUP(K75+3,TPMatrix!$D$6:$E$9,2,0),0)),"")</f>
        <v>0</v>
      </c>
      <c r="P75" s="239">
        <f ca="1">IF(COUNTIF(K72:K76,K75)&gt;=5,IF(J75=5,VLOOKUP(K75+4,TPMatrix!$A$6:$B$10,2,0),IF(J75=4,VLOOKUP(K75+4,TPMatrix!$D$6:$E$9,2,0),0)),"")</f>
        <v>0</v>
      </c>
      <c r="Q75" s="239">
        <f t="shared" ca="1" si="28"/>
        <v>0</v>
      </c>
      <c r="R75" s="240">
        <f t="shared" ca="1" si="29"/>
        <v>5</v>
      </c>
      <c r="S75" s="238">
        <f t="shared" ca="1" si="30"/>
        <v>0</v>
      </c>
      <c r="T75" s="239">
        <f t="shared" si="31"/>
        <v>0</v>
      </c>
      <c r="U75" s="240">
        <f t="shared" ca="1" si="32"/>
        <v>0</v>
      </c>
      <c r="W75" s="36" t="str">
        <f t="shared" ca="1" si="33"/>
        <v/>
      </c>
      <c r="X75" s="36" t="str">
        <f ca="1">IF(ISNUMBER($A75),$W75*(Methuselahs!$A$4+1)+$A75,"")</f>
        <v/>
      </c>
      <c r="Y75" s="36" t="str">
        <f t="shared" ca="1" si="34"/>
        <v/>
      </c>
      <c r="Z75" s="36" t="str">
        <f ca="1">IF(ISNUMBER($A75),VLOOKUP($A75,Methuselahs!$A$7:$X$206,5),"")</f>
        <v/>
      </c>
      <c r="AA75" s="36" t="str">
        <f t="shared" ca="1" si="35"/>
        <v/>
      </c>
    </row>
    <row r="76" spans="1:27" ht="12.95" customHeight="1" x14ac:dyDescent="0.2">
      <c r="A76" s="255" t="str">
        <f ca="1">IF(ISBLANK('Tournament Info'!$B$11),"",INDIRECT(ADDRESS(ROW(),2,1,1,"Optimal Seating "&amp;'Tournament Info'!$B$11-1&amp;"R+F")))</f>
        <v/>
      </c>
      <c r="B76" s="256" t="str">
        <f ca="1">IF(ISNUMBER(A76),VLOOKUP(A76,Methuselahs!$A$7:$E$206,2,0),"")</f>
        <v/>
      </c>
      <c r="C76" s="257" t="str">
        <f ca="1">IF(ISNUMBER(A76),VLOOKUP(A76,Methuselahs!$A$7:$E$206,3,0),"")</f>
        <v/>
      </c>
      <c r="D76" s="258" t="str">
        <f t="shared" ca="1" si="24"/>
        <v/>
      </c>
      <c r="E76" s="259"/>
      <c r="F76" s="398">
        <f t="shared" si="25"/>
        <v>0</v>
      </c>
      <c r="G76" s="244" t="str">
        <f t="shared" ca="1" si="26"/>
        <v/>
      </c>
      <c r="H76" s="245" t="str">
        <f ca="1">IF(ISNUMBER(A76),IF(OR($S76=$U76,NOT(ISNA(MATCH($D76*5+$V$4,Override!$C$6:$C$125,0)))),$Q76,0),"")</f>
        <v/>
      </c>
      <c r="I76" s="396" t="str">
        <f t="shared" ca="1" si="27"/>
        <v/>
      </c>
      <c r="J76" s="260">
        <f ca="1">COUNT(A72:A76)</f>
        <v>0</v>
      </c>
      <c r="K76" s="261" t="str">
        <f ca="1">IF(ISNUMBER(A76),RANK(F76,F72:F76),"")</f>
        <v/>
      </c>
      <c r="L76" s="262">
        <f ca="1">IF(J76=5,VLOOKUP(K76,TPMatrix!$A$6:$B$10,2,0),IF(J76=4,VLOOKUP(K76,TPMatrix!$D$6:$E$9,2,0),0))</f>
        <v>0</v>
      </c>
      <c r="M76" s="262">
        <f ca="1">IF(COUNTIF(K72:K76,K76)&gt;=2,IF(J76=5,VLOOKUP(K76+1,TPMatrix!$A$6:$B$10,2,0),IF(J76=4,VLOOKUP(K76+1,TPMatrix!$D$6:$E$9,2,0),0)),"")</f>
        <v>0</v>
      </c>
      <c r="N76" s="262">
        <f ca="1">IF(COUNTIF(K72:K76,K76)&gt;=3,IF(J76=5,VLOOKUP(K76+2,TPMatrix!$A$6:$B$10,2,0),IF(J76=4,VLOOKUP(K76+2,TPMatrix!$D$6:$E$9,2,0),0)),"")</f>
        <v>0</v>
      </c>
      <c r="O76" s="262">
        <f ca="1">IF(COUNTIF(K72:K76,K76)&gt;=4,IF(J76=5,VLOOKUP(K76+3,TPMatrix!$A$6:$B$10,2,0),IF(J76=4,VLOOKUP(K76+3,TPMatrix!$D$6:$E$9,2,0),0)),"")</f>
        <v>0</v>
      </c>
      <c r="P76" s="262">
        <f ca="1">IF(COUNTIF(K72:K76,K76)&gt;=5,IF(J76=5,VLOOKUP(K76+4,TPMatrix!$A$6:$B$10,2,0),IF(J76=4,VLOOKUP(K76+4,TPMatrix!$D$6:$E$9,2,0),0)),"")</f>
        <v>0</v>
      </c>
      <c r="Q76" s="262">
        <f t="shared" ca="1" si="28"/>
        <v>0</v>
      </c>
      <c r="R76" s="263">
        <f t="shared" ca="1" si="29"/>
        <v>5</v>
      </c>
      <c r="S76" s="261">
        <f t="shared" ca="1" si="30"/>
        <v>0</v>
      </c>
      <c r="T76" s="262">
        <f t="shared" si="31"/>
        <v>0</v>
      </c>
      <c r="U76" s="263">
        <f t="shared" ca="1" si="32"/>
        <v>0</v>
      </c>
      <c r="W76" s="36" t="str">
        <f t="shared" ca="1" si="33"/>
        <v/>
      </c>
      <c r="X76" s="36" t="str">
        <f ca="1">IF(ISNUMBER($A76),$W76*(Methuselahs!$A$4+1)+$A76,"")</f>
        <v/>
      </c>
      <c r="Y76" s="36" t="str">
        <f t="shared" ca="1" si="34"/>
        <v/>
      </c>
      <c r="Z76" s="36" t="str">
        <f ca="1">IF(ISNUMBER($A76),VLOOKUP($A76,Methuselahs!$A$7:$X$206,5),"")</f>
        <v/>
      </c>
      <c r="AA76" s="36" t="str">
        <f t="shared" ca="1" si="35"/>
        <v/>
      </c>
    </row>
    <row r="77" spans="1:27" ht="12.95" customHeight="1" x14ac:dyDescent="0.2">
      <c r="A77" s="219" t="str">
        <f ca="1">IF(ISBLANK('Tournament Info'!$B$11),"",INDIRECT(ADDRESS(ROW(),2,1,1,"Optimal Seating "&amp;'Tournament Info'!$B$11-1&amp;"R+F")))</f>
        <v/>
      </c>
      <c r="B77" s="143" t="str">
        <f ca="1">IF(ISNUMBER(A77),VLOOKUP(A77,Methuselahs!$A$7:$E$206,2,0),"")</f>
        <v/>
      </c>
      <c r="C77" s="220" t="str">
        <f ca="1">IF(ISNUMBER(A77),VLOOKUP(A77,Methuselahs!$A$7:$E$206,3,0),"")</f>
        <v/>
      </c>
      <c r="D77" s="221" t="str">
        <f t="shared" ca="1" si="24"/>
        <v/>
      </c>
      <c r="E77" s="222"/>
      <c r="F77" s="393">
        <f t="shared" si="25"/>
        <v>0</v>
      </c>
      <c r="G77" s="223" t="str">
        <f t="shared" ca="1" si="26"/>
        <v/>
      </c>
      <c r="H77" s="224" t="str">
        <f ca="1">IF(ISNUMBER(A77),IF(OR($S77=$U77,NOT(ISNA(MATCH($D77*5+$V$4,Override!$C$6:$C$125,0)))),$Q77,0),"")</f>
        <v/>
      </c>
      <c r="I77" s="394" t="str">
        <f t="shared" ca="1" si="27"/>
        <v/>
      </c>
      <c r="J77" s="225">
        <f ca="1">COUNT(A77:A81)</f>
        <v>0</v>
      </c>
      <c r="K77" s="226" t="str">
        <f ca="1">IF(ISNUMBER(A77),RANK(F77,F77:F81),"")</f>
        <v/>
      </c>
      <c r="L77" s="227">
        <f ca="1">IF(J77=5,VLOOKUP(K77,TPMatrix!$A$6:$B$10,2,0),IF(J77=4,VLOOKUP(K77,TPMatrix!$D$6:$E$9,2,0),0))</f>
        <v>0</v>
      </c>
      <c r="M77" s="227">
        <f ca="1">IF(COUNTIF(K77:K81,K77)&gt;=2,IF(J77=5,VLOOKUP(K77+1,TPMatrix!$A$6:$B$10,2,0),IF(J77=4,VLOOKUP(K77+1,TPMatrix!$D$6:$E$9,2,0),0)),"")</f>
        <v>0</v>
      </c>
      <c r="N77" s="227">
        <f ca="1">IF(COUNTIF(K77:K81,K77)&gt;=3,IF(J77=5,VLOOKUP(K77+2,TPMatrix!$A$6:$B$10,2,0),IF(J77=4,VLOOKUP(K77+2,TPMatrix!$D$6:$E$9,2,0),0)),"")</f>
        <v>0</v>
      </c>
      <c r="O77" s="227">
        <f ca="1">IF(COUNTIF(K77:K81,K77)&gt;=4,IF(J77=5,VLOOKUP(K77+3,TPMatrix!$A$6:$B$10,2,0),IF(J77=4,VLOOKUP(K77+3,TPMatrix!$D$6:$E$9,2,0),0)),"")</f>
        <v>0</v>
      </c>
      <c r="P77" s="227">
        <f ca="1">IF(COUNTIF(K77:K81,K77)&gt;=5,IF(J77=5,VLOOKUP(K77+4,TPMatrix!$A$6:$B$10,2,0),IF(J77=4,VLOOKUP(K77+4,TPMatrix!$D$6:$E$9,2,0),0)),"")</f>
        <v>0</v>
      </c>
      <c r="Q77" s="227">
        <f t="shared" ca="1" si="28"/>
        <v>0</v>
      </c>
      <c r="R77" s="228">
        <f t="shared" ca="1" si="29"/>
        <v>5</v>
      </c>
      <c r="S77" s="229">
        <f t="shared" ca="1" si="30"/>
        <v>0</v>
      </c>
      <c r="T77" s="230">
        <f t="shared" si="31"/>
        <v>0</v>
      </c>
      <c r="U77" s="231">
        <f t="shared" ca="1" si="32"/>
        <v>0</v>
      </c>
      <c r="W77" s="36" t="str">
        <f t="shared" ca="1" si="33"/>
        <v/>
      </c>
      <c r="X77" s="36" t="str">
        <f ca="1">IF(ISNUMBER($A77),$W77*(Methuselahs!$A$4+1)+$A77,"")</f>
        <v/>
      </c>
      <c r="Y77" s="36" t="str">
        <f t="shared" ca="1" si="34"/>
        <v/>
      </c>
      <c r="Z77" s="36" t="str">
        <f ca="1">IF(ISNUMBER($A77),VLOOKUP($A77,Methuselahs!$A$7:$X$206,5),"")</f>
        <v/>
      </c>
      <c r="AA77" s="36" t="str">
        <f t="shared" ca="1" si="35"/>
        <v/>
      </c>
    </row>
    <row r="78" spans="1:27" ht="12.95" customHeight="1" x14ac:dyDescent="0.2">
      <c r="A78" s="111" t="str">
        <f ca="1">IF(ISBLANK('Tournament Info'!$B$11),"",INDIRECT(ADDRESS(ROW(),2,1,1,"Optimal Seating "&amp;'Tournament Info'!$B$11-1&amp;"R+F")))</f>
        <v/>
      </c>
      <c r="B78" s="117" t="str">
        <f ca="1">IF(ISNUMBER(A78),VLOOKUP(A78,Methuselahs!$A$7:$E$206,2,0),"")</f>
        <v/>
      </c>
      <c r="C78" s="232" t="str">
        <f ca="1">IF(ISNUMBER(A78),VLOOKUP(A78,Methuselahs!$A$7:$E$206,3,0),"")</f>
        <v/>
      </c>
      <c r="D78" s="233" t="str">
        <f t="shared" ca="1" si="24"/>
        <v/>
      </c>
      <c r="E78" s="234"/>
      <c r="F78" s="118">
        <f t="shared" si="25"/>
        <v>0</v>
      </c>
      <c r="G78" s="235" t="str">
        <f t="shared" ca="1" si="26"/>
        <v/>
      </c>
      <c r="H78" s="236" t="str">
        <f ca="1">IF(ISNUMBER(A78),IF(OR($S78=$U78,NOT(ISNA(MATCH($D78*5+$V$4,Override!$C$6:$C$125,0)))),$Q78,0),"")</f>
        <v/>
      </c>
      <c r="I78" s="395" t="str">
        <f t="shared" ca="1" si="27"/>
        <v/>
      </c>
      <c r="J78" s="237">
        <f ca="1">COUNT(A77:A81)</f>
        <v>0</v>
      </c>
      <c r="K78" s="238" t="str">
        <f ca="1">IF(ISNUMBER(A78),RANK(F78,F77:F81),"")</f>
        <v/>
      </c>
      <c r="L78" s="239">
        <f ca="1">IF(J78=5,VLOOKUP(K78,TPMatrix!$A$6:$B$10,2,0),IF(J78=4,VLOOKUP(K78,TPMatrix!$D$6:$E$9,2,0),0))</f>
        <v>0</v>
      </c>
      <c r="M78" s="239">
        <f ca="1">IF(COUNTIF(K77:K81,K78)&gt;=2,IF(J78=5,VLOOKUP(K78+1,TPMatrix!$A$6:$B$10,2,0),IF(J78=4,VLOOKUP(K78+1,TPMatrix!$D$6:$E$9,2,0),0)),"")</f>
        <v>0</v>
      </c>
      <c r="N78" s="239">
        <f ca="1">IF(COUNTIF(K77:K81,K78)&gt;=3,IF(J78=5,VLOOKUP(K78+2,TPMatrix!$A$6:$B$10,2,0),IF(J78=4,VLOOKUP(K78+2,TPMatrix!$D$6:$E$9,2,0),0)),"")</f>
        <v>0</v>
      </c>
      <c r="O78" s="239">
        <f ca="1">IF(COUNTIF(K77:K81,K78)&gt;=4,IF(J78=5,VLOOKUP(K78+3,TPMatrix!$A$6:$B$10,2,0),IF(J78=4,VLOOKUP(K78+3,TPMatrix!$D$6:$E$9,2,0),0)),"")</f>
        <v>0</v>
      </c>
      <c r="P78" s="239">
        <f ca="1">IF(COUNTIF(K77:K81,K78)&gt;=5,IF(J78=5,VLOOKUP(K78+4,TPMatrix!$A$6:$B$10,2,0),IF(J78=4,VLOOKUP(K78+4,TPMatrix!$D$6:$E$9,2,0),0)),"")</f>
        <v>0</v>
      </c>
      <c r="Q78" s="239">
        <f t="shared" ca="1" si="28"/>
        <v>0</v>
      </c>
      <c r="R78" s="240">
        <f t="shared" ca="1" si="29"/>
        <v>5</v>
      </c>
      <c r="S78" s="238">
        <f t="shared" ca="1" si="30"/>
        <v>0</v>
      </c>
      <c r="T78" s="239">
        <f t="shared" si="31"/>
        <v>0</v>
      </c>
      <c r="U78" s="240">
        <f t="shared" ca="1" si="32"/>
        <v>0</v>
      </c>
      <c r="W78" s="36" t="str">
        <f t="shared" ca="1" si="33"/>
        <v/>
      </c>
      <c r="X78" s="36" t="str">
        <f ca="1">IF(ISNUMBER($A78),$W78*(Methuselahs!$A$4+1)+$A78,"")</f>
        <v/>
      </c>
      <c r="Y78" s="36" t="str">
        <f t="shared" ca="1" si="34"/>
        <v/>
      </c>
      <c r="Z78" s="36" t="str">
        <f ca="1">IF(ISNUMBER($A78),VLOOKUP($A78,Methuselahs!$A$7:$X$206,5),"")</f>
        <v/>
      </c>
      <c r="AA78" s="36" t="str">
        <f t="shared" ca="1" si="35"/>
        <v/>
      </c>
    </row>
    <row r="79" spans="1:27" ht="12.95" customHeight="1" x14ac:dyDescent="0.2">
      <c r="A79" s="137" t="str">
        <f ca="1">IF(ISBLANK('Tournament Info'!$B$11),"",INDIRECT(ADDRESS(ROW(),2,1,1,"Optimal Seating "&amp;'Tournament Info'!$B$11-1&amp;"R+F")))</f>
        <v/>
      </c>
      <c r="B79" s="143" t="str">
        <f ca="1">IF(ISNUMBER(A79),VLOOKUP(A79,Methuselahs!$A$7:$E$206,2,0),"")</f>
        <v/>
      </c>
      <c r="C79" s="241" t="str">
        <f ca="1">IF(ISNUMBER(A79),VLOOKUP(A79,Methuselahs!$A$7:$E$206,3,0),"")</f>
        <v/>
      </c>
      <c r="D79" s="242" t="str">
        <f t="shared" ca="1" si="24"/>
        <v/>
      </c>
      <c r="E79" s="243"/>
      <c r="F79" s="144">
        <f t="shared" si="25"/>
        <v>0</v>
      </c>
      <c r="G79" s="244" t="str">
        <f t="shared" ca="1" si="26"/>
        <v/>
      </c>
      <c r="H79" s="245" t="str">
        <f ca="1">IF(ISNUMBER(A79),IF(OR($S79=$U79,NOT(ISNA(MATCH($D79*5+$V$4,Override!$C$6:$C$125,0)))),$Q79,0),"")</f>
        <v/>
      </c>
      <c r="I79" s="396" t="str">
        <f t="shared" ca="1" si="27"/>
        <v/>
      </c>
      <c r="J79" s="246">
        <f ca="1">COUNT(A77:A81)</f>
        <v>0</v>
      </c>
      <c r="K79" s="247" t="str">
        <f ca="1">IF(ISNUMBER(A79),RANK(F79,F77:F81),"")</f>
        <v/>
      </c>
      <c r="L79" s="142">
        <f ca="1">IF(J79=5,VLOOKUP(K79,TPMatrix!$A$6:$B$10,2,0),IF(J79=4,VLOOKUP(K79,TPMatrix!$D$6:$E$9,2,0),0))</f>
        <v>0</v>
      </c>
      <c r="M79" s="142">
        <f ca="1">IF(COUNTIF(K77:K81,K79)&gt;=2,IF(J79=5,VLOOKUP(K79+1,TPMatrix!$A$6:$B$10,2,0),IF(J79=4,VLOOKUP(K79+1,TPMatrix!$D$6:$E$9,2,0),0)),"")</f>
        <v>0</v>
      </c>
      <c r="N79" s="142">
        <f ca="1">IF(COUNTIF(K77:K81,K79)&gt;=3,IF(J79=5,VLOOKUP(K79+2,TPMatrix!$A$6:$B$10,2,0),IF(J79=4,VLOOKUP(K79+2,TPMatrix!$D$6:$E$9,2,0),0)),"")</f>
        <v>0</v>
      </c>
      <c r="O79" s="142">
        <f ca="1">IF(COUNTIF(K77:K81,K79)&gt;=4,IF(J79=5,VLOOKUP(K79+3,TPMatrix!$A$6:$B$10,2,0),IF(J79=4,VLOOKUP(K79+3,TPMatrix!$D$6:$E$9,2,0),0)),"")</f>
        <v>0</v>
      </c>
      <c r="P79" s="142">
        <f ca="1">IF(COUNTIF(K77:K81,K79)&gt;=5,IF(J79=5,VLOOKUP(K79+4,TPMatrix!$A$6:$B$10,2,0),IF(J79=4,VLOOKUP(K79+4,TPMatrix!$D$6:$E$9,2,0),0)),"")</f>
        <v>0</v>
      </c>
      <c r="Q79" s="142">
        <f t="shared" ca="1" si="28"/>
        <v>0</v>
      </c>
      <c r="R79" s="248">
        <f t="shared" ca="1" si="29"/>
        <v>5</v>
      </c>
      <c r="S79" s="247">
        <f t="shared" ca="1" si="30"/>
        <v>0</v>
      </c>
      <c r="T79" s="142">
        <f t="shared" si="31"/>
        <v>0</v>
      </c>
      <c r="U79" s="248">
        <f t="shared" ca="1" si="32"/>
        <v>0</v>
      </c>
      <c r="W79" s="36" t="str">
        <f t="shared" ca="1" si="33"/>
        <v/>
      </c>
      <c r="X79" s="36" t="str">
        <f ca="1">IF(ISNUMBER($A79),$W79*(Methuselahs!$A$4+1)+$A79,"")</f>
        <v/>
      </c>
      <c r="Y79" s="36" t="str">
        <f t="shared" ca="1" si="34"/>
        <v/>
      </c>
      <c r="Z79" s="36" t="str">
        <f ca="1">IF(ISNUMBER($A79),VLOOKUP($A79,Methuselahs!$A$7:$X$206,5),"")</f>
        <v/>
      </c>
      <c r="AA79" s="36" t="str">
        <f t="shared" ca="1" si="35"/>
        <v/>
      </c>
    </row>
    <row r="80" spans="1:27" ht="12.95" customHeight="1" x14ac:dyDescent="0.2">
      <c r="A80" s="249" t="str">
        <f ca="1">IF(ISBLANK('Tournament Info'!$B$11),"",INDIRECT(ADDRESS(ROW(),2,1,1,"Optimal Seating "&amp;'Tournament Info'!$B$11-1&amp;"R+F")))</f>
        <v/>
      </c>
      <c r="B80" s="250" t="str">
        <f ca="1">IF(ISNUMBER(A80),VLOOKUP(A80,Methuselahs!$A$7:$E$206,2,0),"")</f>
        <v/>
      </c>
      <c r="C80" s="251" t="str">
        <f ca="1">IF(ISNUMBER(A80),VLOOKUP(A80,Methuselahs!$A$7:$E$206,3,0),"")</f>
        <v/>
      </c>
      <c r="D80" s="252" t="str">
        <f t="shared" ca="1" si="24"/>
        <v/>
      </c>
      <c r="E80" s="253"/>
      <c r="F80" s="397">
        <f t="shared" si="25"/>
        <v>0</v>
      </c>
      <c r="G80" s="235" t="str">
        <f t="shared" ca="1" si="26"/>
        <v/>
      </c>
      <c r="H80" s="236" t="str">
        <f ca="1">IF(ISNUMBER(A80),IF(OR($S80=$U80,NOT(ISNA(MATCH($D80*5+$V$4,Override!$C$6:$C$125,0)))),$Q80,0),"")</f>
        <v/>
      </c>
      <c r="I80" s="395" t="str">
        <f t="shared" ca="1" si="27"/>
        <v/>
      </c>
      <c r="J80" s="254">
        <f ca="1">COUNT(A77:A81)</f>
        <v>0</v>
      </c>
      <c r="K80" s="238" t="str">
        <f ca="1">IF(ISNUMBER(A80),RANK(F80,F77:F81),"")</f>
        <v/>
      </c>
      <c r="L80" s="239">
        <f ca="1">IF(J80=5,VLOOKUP(K80,TPMatrix!$A$6:$B$10,2,0),IF(J80=4,VLOOKUP(K80,TPMatrix!$D$6:$E$9,2,0),0))</f>
        <v>0</v>
      </c>
      <c r="M80" s="239">
        <f ca="1">IF(COUNTIF(K77:K81,K80)&gt;=2,IF(J80=5,VLOOKUP(K80+1,TPMatrix!$A$6:$B$10,2,0),IF(J80=4,VLOOKUP(K80+1,TPMatrix!$D$6:$E$9,2,0),0)),"")</f>
        <v>0</v>
      </c>
      <c r="N80" s="239">
        <f ca="1">IF(COUNTIF(K77:K81,K80)&gt;=3,IF(J80=5,VLOOKUP(K80+2,TPMatrix!$A$6:$B$10,2,0),IF(J80=4,VLOOKUP(K80+2,TPMatrix!$D$6:$E$9,2,0),0)),"")</f>
        <v>0</v>
      </c>
      <c r="O80" s="239">
        <f ca="1">IF(COUNTIF(K77:K81,K80)&gt;=4,IF(J80=5,VLOOKUP(K80+3,TPMatrix!$A$6:$B$10,2,0),IF(J80=4,VLOOKUP(K80+3,TPMatrix!$D$6:$E$9,2,0),0)),"")</f>
        <v>0</v>
      </c>
      <c r="P80" s="239">
        <f ca="1">IF(COUNTIF(K77:K81,K80)&gt;=5,IF(J80=5,VLOOKUP(K80+4,TPMatrix!$A$6:$B$10,2,0),IF(J80=4,VLOOKUP(K80+4,TPMatrix!$D$6:$E$9,2,0),0)),"")</f>
        <v>0</v>
      </c>
      <c r="Q80" s="239">
        <f t="shared" ca="1" si="28"/>
        <v>0</v>
      </c>
      <c r="R80" s="240">
        <f t="shared" ca="1" si="29"/>
        <v>5</v>
      </c>
      <c r="S80" s="238">
        <f t="shared" ca="1" si="30"/>
        <v>0</v>
      </c>
      <c r="T80" s="239">
        <f t="shared" si="31"/>
        <v>0</v>
      </c>
      <c r="U80" s="240">
        <f t="shared" ca="1" si="32"/>
        <v>0</v>
      </c>
      <c r="W80" s="36" t="str">
        <f t="shared" ca="1" si="33"/>
        <v/>
      </c>
      <c r="X80" s="36" t="str">
        <f ca="1">IF(ISNUMBER($A80),$W80*(Methuselahs!$A$4+1)+$A80,"")</f>
        <v/>
      </c>
      <c r="Y80" s="36" t="str">
        <f t="shared" ca="1" si="34"/>
        <v/>
      </c>
      <c r="Z80" s="36" t="str">
        <f ca="1">IF(ISNUMBER($A80),VLOOKUP($A80,Methuselahs!$A$7:$X$206,5),"")</f>
        <v/>
      </c>
      <c r="AA80" s="36" t="str">
        <f t="shared" ca="1" si="35"/>
        <v/>
      </c>
    </row>
    <row r="81" spans="1:27" ht="12.95" customHeight="1" x14ac:dyDescent="0.2">
      <c r="A81" s="255" t="str">
        <f ca="1">IF(ISBLANK('Tournament Info'!$B$11),"",INDIRECT(ADDRESS(ROW(),2,1,1,"Optimal Seating "&amp;'Tournament Info'!$B$11-1&amp;"R+F")))</f>
        <v/>
      </c>
      <c r="B81" s="256" t="str">
        <f ca="1">IF(ISNUMBER(A81),VLOOKUP(A81,Methuselahs!$A$7:$E$206,2,0),"")</f>
        <v/>
      </c>
      <c r="C81" s="257" t="str">
        <f ca="1">IF(ISNUMBER(A81),VLOOKUP(A81,Methuselahs!$A$7:$E$206,3,0),"")</f>
        <v/>
      </c>
      <c r="D81" s="258" t="str">
        <f t="shared" ca="1" si="24"/>
        <v/>
      </c>
      <c r="E81" s="259"/>
      <c r="F81" s="398">
        <f t="shared" si="25"/>
        <v>0</v>
      </c>
      <c r="G81" s="244" t="str">
        <f t="shared" ca="1" si="26"/>
        <v/>
      </c>
      <c r="H81" s="245" t="str">
        <f ca="1">IF(ISNUMBER(A81),IF(OR($S81=$U81,NOT(ISNA(MATCH($D81*5+$V$4,Override!$C$6:$C$125,0)))),$Q81,0),"")</f>
        <v/>
      </c>
      <c r="I81" s="396" t="str">
        <f t="shared" ca="1" si="27"/>
        <v/>
      </c>
      <c r="J81" s="260">
        <f ca="1">COUNT(A77:A81)</f>
        <v>0</v>
      </c>
      <c r="K81" s="261" t="str">
        <f ca="1">IF(ISNUMBER(A81),RANK(F81,F77:F81),"")</f>
        <v/>
      </c>
      <c r="L81" s="262">
        <f ca="1">IF(J81=5,VLOOKUP(K81,TPMatrix!$A$6:$B$10,2,0),IF(J81=4,VLOOKUP(K81,TPMatrix!$D$6:$E$9,2,0),0))</f>
        <v>0</v>
      </c>
      <c r="M81" s="262">
        <f ca="1">IF(COUNTIF(K77:K81,K81)&gt;=2,IF(J81=5,VLOOKUP(K81+1,TPMatrix!$A$6:$B$10,2,0),IF(J81=4,VLOOKUP(K81+1,TPMatrix!$D$6:$E$9,2,0),0)),"")</f>
        <v>0</v>
      </c>
      <c r="N81" s="262">
        <f ca="1">IF(COUNTIF(K77:K81,K81)&gt;=3,IF(J81=5,VLOOKUP(K81+2,TPMatrix!$A$6:$B$10,2,0),IF(J81=4,VLOOKUP(K81+2,TPMatrix!$D$6:$E$9,2,0),0)),"")</f>
        <v>0</v>
      </c>
      <c r="O81" s="262">
        <f ca="1">IF(COUNTIF(K77:K81,K81)&gt;=4,IF(J81=5,VLOOKUP(K81+3,TPMatrix!$A$6:$B$10,2,0),IF(J81=4,VLOOKUP(K81+3,TPMatrix!$D$6:$E$9,2,0),0)),"")</f>
        <v>0</v>
      </c>
      <c r="P81" s="262">
        <f ca="1">IF(COUNTIF(K77:K81,K81)&gt;=5,IF(J81=5,VLOOKUP(K81+4,TPMatrix!$A$6:$B$10,2,0),IF(J81=4,VLOOKUP(K81+4,TPMatrix!$D$6:$E$9,2,0),0)),"")</f>
        <v>0</v>
      </c>
      <c r="Q81" s="262">
        <f t="shared" ca="1" si="28"/>
        <v>0</v>
      </c>
      <c r="R81" s="263">
        <f t="shared" ca="1" si="29"/>
        <v>5</v>
      </c>
      <c r="S81" s="261">
        <f t="shared" ca="1" si="30"/>
        <v>0</v>
      </c>
      <c r="T81" s="262">
        <f t="shared" si="31"/>
        <v>0</v>
      </c>
      <c r="U81" s="263">
        <f t="shared" ca="1" si="32"/>
        <v>0</v>
      </c>
      <c r="W81" s="36" t="str">
        <f t="shared" ca="1" si="33"/>
        <v/>
      </c>
      <c r="X81" s="36" t="str">
        <f ca="1">IF(ISNUMBER($A81),$W81*(Methuselahs!$A$4+1)+$A81,"")</f>
        <v/>
      </c>
      <c r="Y81" s="36" t="str">
        <f t="shared" ca="1" si="34"/>
        <v/>
      </c>
      <c r="Z81" s="36" t="str">
        <f ca="1">IF(ISNUMBER($A81),VLOOKUP($A81,Methuselahs!$A$7:$X$206,5),"")</f>
        <v/>
      </c>
      <c r="AA81" s="36" t="str">
        <f t="shared" ca="1" si="35"/>
        <v/>
      </c>
    </row>
    <row r="82" spans="1:27" ht="12.95" customHeight="1" x14ac:dyDescent="0.2">
      <c r="A82" s="219" t="str">
        <f ca="1">IF(ISBLANK('Tournament Info'!$B$11),"",INDIRECT(ADDRESS(ROW(),2,1,1,"Optimal Seating "&amp;'Tournament Info'!$B$11-1&amp;"R+F")))</f>
        <v/>
      </c>
      <c r="B82" s="143" t="str">
        <f ca="1">IF(ISNUMBER(A82),VLOOKUP(A82,Methuselahs!$A$7:$E$206,2,0),"")</f>
        <v/>
      </c>
      <c r="C82" s="220" t="str">
        <f ca="1">IF(ISNUMBER(A82),VLOOKUP(A82,Methuselahs!$A$7:$E$206,3,0),"")</f>
        <v/>
      </c>
      <c r="D82" s="221" t="str">
        <f t="shared" ca="1" si="24"/>
        <v/>
      </c>
      <c r="E82" s="222"/>
      <c r="F82" s="393">
        <f t="shared" si="25"/>
        <v>0</v>
      </c>
      <c r="G82" s="223" t="str">
        <f t="shared" ca="1" si="26"/>
        <v/>
      </c>
      <c r="H82" s="224" t="str">
        <f ca="1">IF(ISNUMBER(A82),IF(OR($S82=$U82,NOT(ISNA(MATCH($D82*5+$V$4,Override!$C$6:$C$125,0)))),$Q82,0),"")</f>
        <v/>
      </c>
      <c r="I82" s="394" t="str">
        <f t="shared" ca="1" si="27"/>
        <v/>
      </c>
      <c r="J82" s="225">
        <f ca="1">COUNT(A82:A86)</f>
        <v>0</v>
      </c>
      <c r="K82" s="226" t="str">
        <f ca="1">IF(ISNUMBER(A82),RANK(F82,F82:F86),"")</f>
        <v/>
      </c>
      <c r="L82" s="227">
        <f ca="1">IF(J82=5,VLOOKUP(K82,TPMatrix!$A$6:$B$10,2,0),IF(J82=4,VLOOKUP(K82,TPMatrix!$D$6:$E$9,2,0),0))</f>
        <v>0</v>
      </c>
      <c r="M82" s="227">
        <f ca="1">IF(COUNTIF(K82:K86,K82)&gt;=2,IF(J82=5,VLOOKUP(K82+1,TPMatrix!$A$6:$B$10,2,0),IF(J82=4,VLOOKUP(K82+1,TPMatrix!$D$6:$E$9,2,0),0)),"")</f>
        <v>0</v>
      </c>
      <c r="N82" s="227">
        <f ca="1">IF(COUNTIF(K82:K86,K82)&gt;=3,IF(J82=5,VLOOKUP(K82+2,TPMatrix!$A$6:$B$10,2,0),IF(J82=4,VLOOKUP(K82+2,TPMatrix!$D$6:$E$9,2,0),0)),"")</f>
        <v>0</v>
      </c>
      <c r="O82" s="227">
        <f ca="1">IF(COUNTIF(K82:K86,K82)&gt;=4,IF(J82=5,VLOOKUP(K82+3,TPMatrix!$A$6:$B$10,2,0),IF(J82=4,VLOOKUP(K82+3,TPMatrix!$D$6:$E$9,2,0),0)),"")</f>
        <v>0</v>
      </c>
      <c r="P82" s="227">
        <f ca="1">IF(COUNTIF(K82:K86,K82)&gt;=5,IF(J82=5,VLOOKUP(K82+4,TPMatrix!$A$6:$B$10,2,0),IF(J82=4,VLOOKUP(K82+4,TPMatrix!$D$6:$E$9,2,0),0)),"")</f>
        <v>0</v>
      </c>
      <c r="Q82" s="227">
        <f t="shared" ca="1" si="28"/>
        <v>0</v>
      </c>
      <c r="R82" s="228">
        <f t="shared" ca="1" si="29"/>
        <v>5</v>
      </c>
      <c r="S82" s="229">
        <f t="shared" ca="1" si="30"/>
        <v>0</v>
      </c>
      <c r="T82" s="230">
        <f t="shared" si="31"/>
        <v>0</v>
      </c>
      <c r="U82" s="231">
        <f t="shared" ca="1" si="32"/>
        <v>0</v>
      </c>
      <c r="W82" s="36" t="str">
        <f t="shared" ca="1" si="33"/>
        <v/>
      </c>
      <c r="X82" s="36" t="str">
        <f ca="1">IF(ISNUMBER($A82),$W82*(Methuselahs!$A$4+1)+$A82,"")</f>
        <v/>
      </c>
      <c r="Y82" s="36" t="str">
        <f t="shared" ca="1" si="34"/>
        <v/>
      </c>
      <c r="Z82" s="36" t="str">
        <f ca="1">IF(ISNUMBER($A82),VLOOKUP($A82,Methuselahs!$A$7:$X$206,5),"")</f>
        <v/>
      </c>
      <c r="AA82" s="36" t="str">
        <f t="shared" ca="1" si="35"/>
        <v/>
      </c>
    </row>
    <row r="83" spans="1:27" ht="12.95" customHeight="1" x14ac:dyDescent="0.2">
      <c r="A83" s="111" t="str">
        <f ca="1">IF(ISBLANK('Tournament Info'!$B$11),"",INDIRECT(ADDRESS(ROW(),2,1,1,"Optimal Seating "&amp;'Tournament Info'!$B$11-1&amp;"R+F")))</f>
        <v/>
      </c>
      <c r="B83" s="117" t="str">
        <f ca="1">IF(ISNUMBER(A83),VLOOKUP(A83,Methuselahs!$A$7:$E$206,2,0),"")</f>
        <v/>
      </c>
      <c r="C83" s="232" t="str">
        <f ca="1">IF(ISNUMBER(A83),VLOOKUP(A83,Methuselahs!$A$7:$E$206,3,0),"")</f>
        <v/>
      </c>
      <c r="D83" s="233" t="str">
        <f t="shared" ca="1" si="24"/>
        <v/>
      </c>
      <c r="E83" s="234"/>
      <c r="F83" s="118">
        <f t="shared" si="25"/>
        <v>0</v>
      </c>
      <c r="G83" s="235" t="str">
        <f t="shared" ca="1" si="26"/>
        <v/>
      </c>
      <c r="H83" s="236" t="str">
        <f ca="1">IF(ISNUMBER(A83),IF(OR($S83=$U83,NOT(ISNA(MATCH($D83*5+$V$4,Override!$C$6:$C$125,0)))),$Q83,0),"")</f>
        <v/>
      </c>
      <c r="I83" s="395" t="str">
        <f t="shared" ca="1" si="27"/>
        <v/>
      </c>
      <c r="J83" s="237">
        <f ca="1">COUNT(A82:A86)</f>
        <v>0</v>
      </c>
      <c r="K83" s="238" t="str">
        <f ca="1">IF(ISNUMBER(A83),RANK(F83,F82:F86),"")</f>
        <v/>
      </c>
      <c r="L83" s="239">
        <f ca="1">IF(J83=5,VLOOKUP(K83,TPMatrix!$A$6:$B$10,2,0),IF(J83=4,VLOOKUP(K83,TPMatrix!$D$6:$E$9,2,0),0))</f>
        <v>0</v>
      </c>
      <c r="M83" s="239">
        <f ca="1">IF(COUNTIF(K82:K86,K83)&gt;=2,IF(J83=5,VLOOKUP(K83+1,TPMatrix!$A$6:$B$10,2,0),IF(J83=4,VLOOKUP(K83+1,TPMatrix!$D$6:$E$9,2,0),0)),"")</f>
        <v>0</v>
      </c>
      <c r="N83" s="239">
        <f ca="1">IF(COUNTIF(K82:K86,K83)&gt;=3,IF(J83=5,VLOOKUP(K83+2,TPMatrix!$A$6:$B$10,2,0),IF(J83=4,VLOOKUP(K83+2,TPMatrix!$D$6:$E$9,2,0),0)),"")</f>
        <v>0</v>
      </c>
      <c r="O83" s="239">
        <f ca="1">IF(COUNTIF(K82:K86,K83)&gt;=4,IF(J83=5,VLOOKUP(K83+3,TPMatrix!$A$6:$B$10,2,0),IF(J83=4,VLOOKUP(K83+3,TPMatrix!$D$6:$E$9,2,0),0)),"")</f>
        <v>0</v>
      </c>
      <c r="P83" s="239">
        <f ca="1">IF(COUNTIF(K82:K86,K83)&gt;=5,IF(J83=5,VLOOKUP(K83+4,TPMatrix!$A$6:$B$10,2,0),IF(J83=4,VLOOKUP(K83+4,TPMatrix!$D$6:$E$9,2,0),0)),"")</f>
        <v>0</v>
      </c>
      <c r="Q83" s="239">
        <f t="shared" ca="1" si="28"/>
        <v>0</v>
      </c>
      <c r="R83" s="240">
        <f t="shared" ca="1" si="29"/>
        <v>5</v>
      </c>
      <c r="S83" s="238">
        <f t="shared" ca="1" si="30"/>
        <v>0</v>
      </c>
      <c r="T83" s="239">
        <f t="shared" si="31"/>
        <v>0</v>
      </c>
      <c r="U83" s="240">
        <f t="shared" ca="1" si="32"/>
        <v>0</v>
      </c>
      <c r="W83" s="36" t="str">
        <f t="shared" ca="1" si="33"/>
        <v/>
      </c>
      <c r="X83" s="36" t="str">
        <f ca="1">IF(ISNUMBER($A83),$W83*(Methuselahs!$A$4+1)+$A83,"")</f>
        <v/>
      </c>
      <c r="Y83" s="36" t="str">
        <f t="shared" ca="1" si="34"/>
        <v/>
      </c>
      <c r="Z83" s="36" t="str">
        <f ca="1">IF(ISNUMBER($A83),VLOOKUP($A83,Methuselahs!$A$7:$X$206,5),"")</f>
        <v/>
      </c>
      <c r="AA83" s="36" t="str">
        <f t="shared" ca="1" si="35"/>
        <v/>
      </c>
    </row>
    <row r="84" spans="1:27" ht="12.95" customHeight="1" x14ac:dyDescent="0.2">
      <c r="A84" s="137" t="str">
        <f ca="1">IF(ISBLANK('Tournament Info'!$B$11),"",INDIRECT(ADDRESS(ROW(),2,1,1,"Optimal Seating "&amp;'Tournament Info'!$B$11-1&amp;"R+F")))</f>
        <v/>
      </c>
      <c r="B84" s="143" t="str">
        <f ca="1">IF(ISNUMBER(A84),VLOOKUP(A84,Methuselahs!$A$7:$E$206,2,0),"")</f>
        <v/>
      </c>
      <c r="C84" s="241" t="str">
        <f ca="1">IF(ISNUMBER(A84),VLOOKUP(A84,Methuselahs!$A$7:$E$206,3,0),"")</f>
        <v/>
      </c>
      <c r="D84" s="242" t="str">
        <f t="shared" ca="1" si="24"/>
        <v/>
      </c>
      <c r="E84" s="243"/>
      <c r="F84" s="144">
        <f t="shared" si="25"/>
        <v>0</v>
      </c>
      <c r="G84" s="244" t="str">
        <f t="shared" ca="1" si="26"/>
        <v/>
      </c>
      <c r="H84" s="245" t="str">
        <f ca="1">IF(ISNUMBER(A84),IF(OR($S84=$U84,NOT(ISNA(MATCH($D84*5+$V$4,Override!$C$6:$C$125,0)))),$Q84,0),"")</f>
        <v/>
      </c>
      <c r="I84" s="396" t="str">
        <f t="shared" ca="1" si="27"/>
        <v/>
      </c>
      <c r="J84" s="246">
        <f ca="1">COUNT(A82:A86)</f>
        <v>0</v>
      </c>
      <c r="K84" s="247" t="str">
        <f ca="1">IF(ISNUMBER(A84),RANK(F84,F82:F86),"")</f>
        <v/>
      </c>
      <c r="L84" s="142">
        <f ca="1">IF(J84=5,VLOOKUP(K84,TPMatrix!$A$6:$B$10,2,0),IF(J84=4,VLOOKUP(K84,TPMatrix!$D$6:$E$9,2,0),0))</f>
        <v>0</v>
      </c>
      <c r="M84" s="142">
        <f ca="1">IF(COUNTIF(K82:K86,K84)&gt;=2,IF(J84=5,VLOOKUP(K84+1,TPMatrix!$A$6:$B$10,2,0),IF(J84=4,VLOOKUP(K84+1,TPMatrix!$D$6:$E$9,2,0),0)),"")</f>
        <v>0</v>
      </c>
      <c r="N84" s="142">
        <f ca="1">IF(COUNTIF(K82:K86,K84)&gt;=3,IF(J84=5,VLOOKUP(K84+2,TPMatrix!$A$6:$B$10,2,0),IF(J84=4,VLOOKUP(K84+2,TPMatrix!$D$6:$E$9,2,0),0)),"")</f>
        <v>0</v>
      </c>
      <c r="O84" s="142">
        <f ca="1">IF(COUNTIF(K82:K86,K84)&gt;=4,IF(J84=5,VLOOKUP(K84+3,TPMatrix!$A$6:$B$10,2,0),IF(J84=4,VLOOKUP(K84+3,TPMatrix!$D$6:$E$9,2,0),0)),"")</f>
        <v>0</v>
      </c>
      <c r="P84" s="142">
        <f ca="1">IF(COUNTIF(K82:K86,K84)&gt;=5,IF(J84=5,VLOOKUP(K84+4,TPMatrix!$A$6:$B$10,2,0),IF(J84=4,VLOOKUP(K84+4,TPMatrix!$D$6:$E$9,2,0),0)),"")</f>
        <v>0</v>
      </c>
      <c r="Q84" s="142">
        <f t="shared" ca="1" si="28"/>
        <v>0</v>
      </c>
      <c r="R84" s="248">
        <f t="shared" ca="1" si="29"/>
        <v>5</v>
      </c>
      <c r="S84" s="247">
        <f t="shared" ca="1" si="30"/>
        <v>0</v>
      </c>
      <c r="T84" s="142">
        <f t="shared" si="31"/>
        <v>0</v>
      </c>
      <c r="U84" s="248">
        <f t="shared" ca="1" si="32"/>
        <v>0</v>
      </c>
      <c r="W84" s="36" t="str">
        <f t="shared" ca="1" si="33"/>
        <v/>
      </c>
      <c r="X84" s="36" t="str">
        <f ca="1">IF(ISNUMBER($A84),$W84*(Methuselahs!$A$4+1)+$A84,"")</f>
        <v/>
      </c>
      <c r="Y84" s="36" t="str">
        <f t="shared" ca="1" si="34"/>
        <v/>
      </c>
      <c r="Z84" s="36" t="str">
        <f ca="1">IF(ISNUMBER($A84),VLOOKUP($A84,Methuselahs!$A$7:$X$206,5),"")</f>
        <v/>
      </c>
      <c r="AA84" s="36" t="str">
        <f t="shared" ca="1" si="35"/>
        <v/>
      </c>
    </row>
    <row r="85" spans="1:27" ht="12.95" customHeight="1" x14ac:dyDescent="0.2">
      <c r="A85" s="249" t="str">
        <f ca="1">IF(ISBLANK('Tournament Info'!$B$11),"",INDIRECT(ADDRESS(ROW(),2,1,1,"Optimal Seating "&amp;'Tournament Info'!$B$11-1&amp;"R+F")))</f>
        <v/>
      </c>
      <c r="B85" s="250" t="str">
        <f ca="1">IF(ISNUMBER(A85),VLOOKUP(A85,Methuselahs!$A$7:$E$206,2,0),"")</f>
        <v/>
      </c>
      <c r="C85" s="251" t="str">
        <f ca="1">IF(ISNUMBER(A85),VLOOKUP(A85,Methuselahs!$A$7:$E$206,3,0),"")</f>
        <v/>
      </c>
      <c r="D85" s="252" t="str">
        <f t="shared" ca="1" si="24"/>
        <v/>
      </c>
      <c r="E85" s="253"/>
      <c r="F85" s="397">
        <f t="shared" si="25"/>
        <v>0</v>
      </c>
      <c r="G85" s="235" t="str">
        <f t="shared" ca="1" si="26"/>
        <v/>
      </c>
      <c r="H85" s="236" t="str">
        <f ca="1">IF(ISNUMBER(A85),IF(OR($S85=$U85,NOT(ISNA(MATCH($D85*5+$V$4,Override!$C$6:$C$125,0)))),$Q85,0),"")</f>
        <v/>
      </c>
      <c r="I85" s="395" t="str">
        <f t="shared" ca="1" si="27"/>
        <v/>
      </c>
      <c r="J85" s="254">
        <f ca="1">COUNT(A82:A86)</f>
        <v>0</v>
      </c>
      <c r="K85" s="238" t="str">
        <f ca="1">IF(ISNUMBER(A85),RANK(F85,F82:F86),"")</f>
        <v/>
      </c>
      <c r="L85" s="239">
        <f ca="1">IF(J85=5,VLOOKUP(K85,TPMatrix!$A$6:$B$10,2,0),IF(J85=4,VLOOKUP(K85,TPMatrix!$D$6:$E$9,2,0),0))</f>
        <v>0</v>
      </c>
      <c r="M85" s="239">
        <f ca="1">IF(COUNTIF(K82:K86,K85)&gt;=2,IF(J85=5,VLOOKUP(K85+1,TPMatrix!$A$6:$B$10,2,0),IF(J85=4,VLOOKUP(K85+1,TPMatrix!$D$6:$E$9,2,0),0)),"")</f>
        <v>0</v>
      </c>
      <c r="N85" s="239">
        <f ca="1">IF(COUNTIF(K82:K86,K85)&gt;=3,IF(J85=5,VLOOKUP(K85+2,TPMatrix!$A$6:$B$10,2,0),IF(J85=4,VLOOKUP(K85+2,TPMatrix!$D$6:$E$9,2,0),0)),"")</f>
        <v>0</v>
      </c>
      <c r="O85" s="239">
        <f ca="1">IF(COUNTIF(K82:K86,K85)&gt;=4,IF(J85=5,VLOOKUP(K85+3,TPMatrix!$A$6:$B$10,2,0),IF(J85=4,VLOOKUP(K85+3,TPMatrix!$D$6:$E$9,2,0),0)),"")</f>
        <v>0</v>
      </c>
      <c r="P85" s="239">
        <f ca="1">IF(COUNTIF(K82:K86,K85)&gt;=5,IF(J85=5,VLOOKUP(K85+4,TPMatrix!$A$6:$B$10,2,0),IF(J85=4,VLOOKUP(K85+4,TPMatrix!$D$6:$E$9,2,0),0)),"")</f>
        <v>0</v>
      </c>
      <c r="Q85" s="239">
        <f t="shared" ca="1" si="28"/>
        <v>0</v>
      </c>
      <c r="R85" s="240">
        <f t="shared" ca="1" si="29"/>
        <v>5</v>
      </c>
      <c r="S85" s="238">
        <f t="shared" ca="1" si="30"/>
        <v>0</v>
      </c>
      <c r="T85" s="239">
        <f t="shared" si="31"/>
        <v>0</v>
      </c>
      <c r="U85" s="240">
        <f t="shared" ca="1" si="32"/>
        <v>0</v>
      </c>
      <c r="W85" s="36" t="str">
        <f t="shared" ca="1" si="33"/>
        <v/>
      </c>
      <c r="X85" s="36" t="str">
        <f ca="1">IF(ISNUMBER($A85),$W85*(Methuselahs!$A$4+1)+$A85,"")</f>
        <v/>
      </c>
      <c r="Y85" s="36" t="str">
        <f t="shared" ca="1" si="34"/>
        <v/>
      </c>
      <c r="Z85" s="36" t="str">
        <f ca="1">IF(ISNUMBER($A85),VLOOKUP($A85,Methuselahs!$A$7:$X$206,5),"")</f>
        <v/>
      </c>
      <c r="AA85" s="36" t="str">
        <f t="shared" ca="1" si="35"/>
        <v/>
      </c>
    </row>
    <row r="86" spans="1:27" ht="12.95" customHeight="1" x14ac:dyDescent="0.2">
      <c r="A86" s="255" t="str">
        <f ca="1">IF(ISBLANK('Tournament Info'!$B$11),"",INDIRECT(ADDRESS(ROW(),2,1,1,"Optimal Seating "&amp;'Tournament Info'!$B$11-1&amp;"R+F")))</f>
        <v/>
      </c>
      <c r="B86" s="256" t="str">
        <f ca="1">IF(ISNUMBER(A86),VLOOKUP(A86,Methuselahs!$A$7:$E$206,2,0),"")</f>
        <v/>
      </c>
      <c r="C86" s="257" t="str">
        <f ca="1">IF(ISNUMBER(A86),VLOOKUP(A86,Methuselahs!$A$7:$E$206,3,0),"")</f>
        <v/>
      </c>
      <c r="D86" s="258" t="str">
        <f t="shared" ca="1" si="24"/>
        <v/>
      </c>
      <c r="E86" s="259"/>
      <c r="F86" s="398">
        <f t="shared" si="25"/>
        <v>0</v>
      </c>
      <c r="G86" s="244" t="str">
        <f t="shared" ca="1" si="26"/>
        <v/>
      </c>
      <c r="H86" s="245" t="str">
        <f ca="1">IF(ISNUMBER(A86),IF(OR($S86=$U86,NOT(ISNA(MATCH($D86*5+$V$4,Override!$C$6:$C$125,0)))),$Q86,0),"")</f>
        <v/>
      </c>
      <c r="I86" s="396" t="str">
        <f t="shared" ca="1" si="27"/>
        <v/>
      </c>
      <c r="J86" s="260">
        <f ca="1">COUNT(A82:A86)</f>
        <v>0</v>
      </c>
      <c r="K86" s="261" t="str">
        <f ca="1">IF(ISNUMBER(A86),RANK(F86,F82:F86),"")</f>
        <v/>
      </c>
      <c r="L86" s="262">
        <f ca="1">IF(J86=5,VLOOKUP(K86,TPMatrix!$A$6:$B$10,2,0),IF(J86=4,VLOOKUP(K86,TPMatrix!$D$6:$E$9,2,0),0))</f>
        <v>0</v>
      </c>
      <c r="M86" s="262">
        <f ca="1">IF(COUNTIF(K82:K86,K86)&gt;=2,IF(J86=5,VLOOKUP(K86+1,TPMatrix!$A$6:$B$10,2,0),IF(J86=4,VLOOKUP(K86+1,TPMatrix!$D$6:$E$9,2,0),0)),"")</f>
        <v>0</v>
      </c>
      <c r="N86" s="262">
        <f ca="1">IF(COUNTIF(K82:K86,K86)&gt;=3,IF(J86=5,VLOOKUP(K86+2,TPMatrix!$A$6:$B$10,2,0),IF(J86=4,VLOOKUP(K86+2,TPMatrix!$D$6:$E$9,2,0),0)),"")</f>
        <v>0</v>
      </c>
      <c r="O86" s="262">
        <f ca="1">IF(COUNTIF(K82:K86,K86)&gt;=4,IF(J86=5,VLOOKUP(K86+3,TPMatrix!$A$6:$B$10,2,0),IF(J86=4,VLOOKUP(K86+3,TPMatrix!$D$6:$E$9,2,0),0)),"")</f>
        <v>0</v>
      </c>
      <c r="P86" s="262">
        <f ca="1">IF(COUNTIF(K82:K86,K86)&gt;=5,IF(J86=5,VLOOKUP(K86+4,TPMatrix!$A$6:$B$10,2,0),IF(J86=4,VLOOKUP(K86+4,TPMatrix!$D$6:$E$9,2,0),0)),"")</f>
        <v>0</v>
      </c>
      <c r="Q86" s="262">
        <f t="shared" ca="1" si="28"/>
        <v>0</v>
      </c>
      <c r="R86" s="263">
        <f t="shared" ca="1" si="29"/>
        <v>5</v>
      </c>
      <c r="S86" s="261">
        <f t="shared" ca="1" si="30"/>
        <v>0</v>
      </c>
      <c r="T86" s="262">
        <f t="shared" si="31"/>
        <v>0</v>
      </c>
      <c r="U86" s="263">
        <f t="shared" ca="1" si="32"/>
        <v>0</v>
      </c>
      <c r="W86" s="36" t="str">
        <f t="shared" ca="1" si="33"/>
        <v/>
      </c>
      <c r="X86" s="36" t="str">
        <f ca="1">IF(ISNUMBER($A86),$W86*(Methuselahs!$A$4+1)+$A86,"")</f>
        <v/>
      </c>
      <c r="Y86" s="36" t="str">
        <f t="shared" ca="1" si="34"/>
        <v/>
      </c>
      <c r="Z86" s="36" t="str">
        <f ca="1">IF(ISNUMBER($A86),VLOOKUP($A86,Methuselahs!$A$7:$X$206,5),"")</f>
        <v/>
      </c>
      <c r="AA86" s="36" t="str">
        <f t="shared" ca="1" si="35"/>
        <v/>
      </c>
    </row>
    <row r="87" spans="1:27" ht="12.95" customHeight="1" x14ac:dyDescent="0.2">
      <c r="A87" s="219" t="str">
        <f ca="1">IF(ISBLANK('Tournament Info'!$B$11),"",INDIRECT(ADDRESS(ROW(),2,1,1,"Optimal Seating "&amp;'Tournament Info'!$B$11-1&amp;"R+F")))</f>
        <v/>
      </c>
      <c r="B87" s="143" t="str">
        <f ca="1">IF(ISNUMBER(A87),VLOOKUP(A87,Methuselahs!$A$7:$E$206,2,0),"")</f>
        <v/>
      </c>
      <c r="C87" s="220" t="str">
        <f ca="1">IF(ISNUMBER(A87),VLOOKUP(A87,Methuselahs!$A$7:$E$206,3,0),"")</f>
        <v/>
      </c>
      <c r="D87" s="221" t="str">
        <f t="shared" ca="1" si="24"/>
        <v/>
      </c>
      <c r="E87" s="222"/>
      <c r="F87" s="393">
        <f t="shared" si="25"/>
        <v>0</v>
      </c>
      <c r="G87" s="223" t="str">
        <f t="shared" ca="1" si="26"/>
        <v/>
      </c>
      <c r="H87" s="224" t="str">
        <f ca="1">IF(ISNUMBER(A87),IF(OR($S87=$U87,NOT(ISNA(MATCH($D87*5+$V$4,Override!$C$6:$C$125,0)))),$Q87,0),"")</f>
        <v/>
      </c>
      <c r="I87" s="394" t="str">
        <f t="shared" ca="1" si="27"/>
        <v/>
      </c>
      <c r="J87" s="225">
        <f ca="1">COUNT(A87:A91)</f>
        <v>0</v>
      </c>
      <c r="K87" s="226" t="str">
        <f ca="1">IF(ISNUMBER(A87),RANK(F87,F87:F91),"")</f>
        <v/>
      </c>
      <c r="L87" s="227">
        <f ca="1">IF(J87=5,VLOOKUP(K87,TPMatrix!$A$6:$B$10,2,0),IF(J87=4,VLOOKUP(K87,TPMatrix!$D$6:$E$9,2,0),0))</f>
        <v>0</v>
      </c>
      <c r="M87" s="227">
        <f ca="1">IF(COUNTIF(K87:K91,K87)&gt;=2,IF(J87=5,VLOOKUP(K87+1,TPMatrix!$A$6:$B$10,2,0),IF(J87=4,VLOOKUP(K87+1,TPMatrix!$D$6:$E$9,2,0),0)),"")</f>
        <v>0</v>
      </c>
      <c r="N87" s="227">
        <f ca="1">IF(COUNTIF(K87:K91,K87)&gt;=3,IF(J87=5,VLOOKUP(K87+2,TPMatrix!$A$6:$B$10,2,0),IF(J87=4,VLOOKUP(K87+2,TPMatrix!$D$6:$E$9,2,0),0)),"")</f>
        <v>0</v>
      </c>
      <c r="O87" s="227">
        <f ca="1">IF(COUNTIF(K87:K91,K87)&gt;=4,IF(J87=5,VLOOKUP(K87+3,TPMatrix!$A$6:$B$10,2,0),IF(J87=4,VLOOKUP(K87+3,TPMatrix!$D$6:$E$9,2,0),0)),"")</f>
        <v>0</v>
      </c>
      <c r="P87" s="227">
        <f ca="1">IF(COUNTIF(K87:K91,K87)&gt;=5,IF(J87=5,VLOOKUP(K87+4,TPMatrix!$A$6:$B$10,2,0),IF(J87=4,VLOOKUP(K87+4,TPMatrix!$D$6:$E$9,2,0),0)),"")</f>
        <v>0</v>
      </c>
      <c r="Q87" s="227">
        <f t="shared" ca="1" si="28"/>
        <v>0</v>
      </c>
      <c r="R87" s="228">
        <f t="shared" ca="1" si="29"/>
        <v>5</v>
      </c>
      <c r="S87" s="229">
        <f t="shared" ca="1" si="30"/>
        <v>0</v>
      </c>
      <c r="T87" s="230">
        <f t="shared" si="31"/>
        <v>0</v>
      </c>
      <c r="U87" s="231">
        <f t="shared" ca="1" si="32"/>
        <v>0</v>
      </c>
      <c r="W87" s="36" t="str">
        <f t="shared" ca="1" si="33"/>
        <v/>
      </c>
      <c r="X87" s="36" t="str">
        <f ca="1">IF(ISNUMBER($A87),$W87*(Methuselahs!$A$4+1)+$A87,"")</f>
        <v/>
      </c>
      <c r="Y87" s="36" t="str">
        <f t="shared" ca="1" si="34"/>
        <v/>
      </c>
      <c r="Z87" s="36" t="str">
        <f ca="1">IF(ISNUMBER($A87),VLOOKUP($A87,Methuselahs!$A$7:$X$206,5),"")</f>
        <v/>
      </c>
      <c r="AA87" s="36" t="str">
        <f t="shared" ca="1" si="35"/>
        <v/>
      </c>
    </row>
    <row r="88" spans="1:27" ht="12.95" customHeight="1" x14ac:dyDescent="0.2">
      <c r="A88" s="111" t="str">
        <f ca="1">IF(ISBLANK('Tournament Info'!$B$11),"",INDIRECT(ADDRESS(ROW(),2,1,1,"Optimal Seating "&amp;'Tournament Info'!$B$11-1&amp;"R+F")))</f>
        <v/>
      </c>
      <c r="B88" s="117" t="str">
        <f ca="1">IF(ISNUMBER(A88),VLOOKUP(A88,Methuselahs!$A$7:$E$206,2,0),"")</f>
        <v/>
      </c>
      <c r="C88" s="232" t="str">
        <f ca="1">IF(ISNUMBER(A88),VLOOKUP(A88,Methuselahs!$A$7:$E$206,3,0),"")</f>
        <v/>
      </c>
      <c r="D88" s="233" t="str">
        <f t="shared" ca="1" si="24"/>
        <v/>
      </c>
      <c r="E88" s="234"/>
      <c r="F88" s="118">
        <f t="shared" si="25"/>
        <v>0</v>
      </c>
      <c r="G88" s="235" t="str">
        <f t="shared" ca="1" si="26"/>
        <v/>
      </c>
      <c r="H88" s="236" t="str">
        <f ca="1">IF(ISNUMBER(A88),IF(OR($S88=$U88,NOT(ISNA(MATCH($D88*5+$V$4,Override!$C$6:$C$125,0)))),$Q88,0),"")</f>
        <v/>
      </c>
      <c r="I88" s="395" t="str">
        <f t="shared" ca="1" si="27"/>
        <v/>
      </c>
      <c r="J88" s="237">
        <f ca="1">COUNT(A87:A91)</f>
        <v>0</v>
      </c>
      <c r="K88" s="238" t="str">
        <f ca="1">IF(ISNUMBER(A88),RANK(F88,F87:F91),"")</f>
        <v/>
      </c>
      <c r="L88" s="239">
        <f ca="1">IF(J88=5,VLOOKUP(K88,TPMatrix!$A$6:$B$10,2,0),IF(J88=4,VLOOKUP(K88,TPMatrix!$D$6:$E$9,2,0),0))</f>
        <v>0</v>
      </c>
      <c r="M88" s="239">
        <f ca="1">IF(COUNTIF(K87:K91,K88)&gt;=2,IF(J88=5,VLOOKUP(K88+1,TPMatrix!$A$6:$B$10,2,0),IF(J88=4,VLOOKUP(K88+1,TPMatrix!$D$6:$E$9,2,0),0)),"")</f>
        <v>0</v>
      </c>
      <c r="N88" s="239">
        <f ca="1">IF(COUNTIF(K87:K91,K88)&gt;=3,IF(J88=5,VLOOKUP(K88+2,TPMatrix!$A$6:$B$10,2,0),IF(J88=4,VLOOKUP(K88+2,TPMatrix!$D$6:$E$9,2,0),0)),"")</f>
        <v>0</v>
      </c>
      <c r="O88" s="239">
        <f ca="1">IF(COUNTIF(K87:K91,K88)&gt;=4,IF(J88=5,VLOOKUP(K88+3,TPMatrix!$A$6:$B$10,2,0),IF(J88=4,VLOOKUP(K88+3,TPMatrix!$D$6:$E$9,2,0),0)),"")</f>
        <v>0</v>
      </c>
      <c r="P88" s="239">
        <f ca="1">IF(COUNTIF(K87:K91,K88)&gt;=5,IF(J88=5,VLOOKUP(K88+4,TPMatrix!$A$6:$B$10,2,0),IF(J88=4,VLOOKUP(K88+4,TPMatrix!$D$6:$E$9,2,0),0)),"")</f>
        <v>0</v>
      </c>
      <c r="Q88" s="239">
        <f t="shared" ca="1" si="28"/>
        <v>0</v>
      </c>
      <c r="R88" s="240">
        <f t="shared" ca="1" si="29"/>
        <v>5</v>
      </c>
      <c r="S88" s="238">
        <f t="shared" ca="1" si="30"/>
        <v>0</v>
      </c>
      <c r="T88" s="239">
        <f t="shared" si="31"/>
        <v>0</v>
      </c>
      <c r="U88" s="240">
        <f t="shared" ca="1" si="32"/>
        <v>0</v>
      </c>
      <c r="W88" s="36" t="str">
        <f t="shared" ca="1" si="33"/>
        <v/>
      </c>
      <c r="X88" s="36" t="str">
        <f ca="1">IF(ISNUMBER($A88),$W88*(Methuselahs!$A$4+1)+$A88,"")</f>
        <v/>
      </c>
      <c r="Y88" s="36" t="str">
        <f t="shared" ca="1" si="34"/>
        <v/>
      </c>
      <c r="Z88" s="36" t="str">
        <f ca="1">IF(ISNUMBER($A88),VLOOKUP($A88,Methuselahs!$A$7:$X$206,5),"")</f>
        <v/>
      </c>
      <c r="AA88" s="36" t="str">
        <f t="shared" ca="1" si="35"/>
        <v/>
      </c>
    </row>
    <row r="89" spans="1:27" ht="12.95" customHeight="1" x14ac:dyDescent="0.2">
      <c r="A89" s="137" t="str">
        <f ca="1">IF(ISBLANK('Tournament Info'!$B$11),"",INDIRECT(ADDRESS(ROW(),2,1,1,"Optimal Seating "&amp;'Tournament Info'!$B$11-1&amp;"R+F")))</f>
        <v/>
      </c>
      <c r="B89" s="143" t="str">
        <f ca="1">IF(ISNUMBER(A89),VLOOKUP(A89,Methuselahs!$A$7:$E$206,2,0),"")</f>
        <v/>
      </c>
      <c r="C89" s="241" t="str">
        <f ca="1">IF(ISNUMBER(A89),VLOOKUP(A89,Methuselahs!$A$7:$E$206,3,0),"")</f>
        <v/>
      </c>
      <c r="D89" s="242" t="str">
        <f t="shared" ca="1" si="24"/>
        <v/>
      </c>
      <c r="E89" s="243"/>
      <c r="F89" s="144">
        <f t="shared" si="25"/>
        <v>0</v>
      </c>
      <c r="G89" s="244" t="str">
        <f t="shared" ca="1" si="26"/>
        <v/>
      </c>
      <c r="H89" s="245" t="str">
        <f ca="1">IF(ISNUMBER(A89),IF(OR($S89=$U89,NOT(ISNA(MATCH($D89*5+$V$4,Override!$C$6:$C$125,0)))),$Q89,0),"")</f>
        <v/>
      </c>
      <c r="I89" s="396" t="str">
        <f t="shared" ca="1" si="27"/>
        <v/>
      </c>
      <c r="J89" s="246">
        <f ca="1">COUNT(A87:A91)</f>
        <v>0</v>
      </c>
      <c r="K89" s="247" t="str">
        <f ca="1">IF(ISNUMBER(A89),RANK(F89,F87:F91),"")</f>
        <v/>
      </c>
      <c r="L89" s="142">
        <f ca="1">IF(J89=5,VLOOKUP(K89,TPMatrix!$A$6:$B$10,2,0),IF(J89=4,VLOOKUP(K89,TPMatrix!$D$6:$E$9,2,0),0))</f>
        <v>0</v>
      </c>
      <c r="M89" s="142">
        <f ca="1">IF(COUNTIF(K87:K91,K89)&gt;=2,IF(J89=5,VLOOKUP(K89+1,TPMatrix!$A$6:$B$10,2,0),IF(J89=4,VLOOKUP(K89+1,TPMatrix!$D$6:$E$9,2,0),0)),"")</f>
        <v>0</v>
      </c>
      <c r="N89" s="142">
        <f ca="1">IF(COUNTIF(K87:K91,K89)&gt;=3,IF(J89=5,VLOOKUP(K89+2,TPMatrix!$A$6:$B$10,2,0),IF(J89=4,VLOOKUP(K89+2,TPMatrix!$D$6:$E$9,2,0),0)),"")</f>
        <v>0</v>
      </c>
      <c r="O89" s="142">
        <f ca="1">IF(COUNTIF(K87:K91,K89)&gt;=4,IF(J89=5,VLOOKUP(K89+3,TPMatrix!$A$6:$B$10,2,0),IF(J89=4,VLOOKUP(K89+3,TPMatrix!$D$6:$E$9,2,0),0)),"")</f>
        <v>0</v>
      </c>
      <c r="P89" s="142">
        <f ca="1">IF(COUNTIF(K87:K91,K89)&gt;=5,IF(J89=5,VLOOKUP(K89+4,TPMatrix!$A$6:$B$10,2,0),IF(J89=4,VLOOKUP(K89+4,TPMatrix!$D$6:$E$9,2,0),0)),"")</f>
        <v>0</v>
      </c>
      <c r="Q89" s="142">
        <f t="shared" ca="1" si="28"/>
        <v>0</v>
      </c>
      <c r="R89" s="248">
        <f t="shared" ca="1" si="29"/>
        <v>5</v>
      </c>
      <c r="S89" s="247">
        <f t="shared" ca="1" si="30"/>
        <v>0</v>
      </c>
      <c r="T89" s="142">
        <f t="shared" si="31"/>
        <v>0</v>
      </c>
      <c r="U89" s="248">
        <f t="shared" ca="1" si="32"/>
        <v>0</v>
      </c>
      <c r="W89" s="36" t="str">
        <f t="shared" ca="1" si="33"/>
        <v/>
      </c>
      <c r="X89" s="36" t="str">
        <f ca="1">IF(ISNUMBER($A89),$W89*(Methuselahs!$A$4+1)+$A89,"")</f>
        <v/>
      </c>
      <c r="Y89" s="36" t="str">
        <f t="shared" ca="1" si="34"/>
        <v/>
      </c>
      <c r="Z89" s="36" t="str">
        <f ca="1">IF(ISNUMBER($A89),VLOOKUP($A89,Methuselahs!$A$7:$X$206,5),"")</f>
        <v/>
      </c>
      <c r="AA89" s="36" t="str">
        <f t="shared" ca="1" si="35"/>
        <v/>
      </c>
    </row>
    <row r="90" spans="1:27" ht="12.95" customHeight="1" x14ac:dyDescent="0.2">
      <c r="A90" s="249" t="str">
        <f ca="1">IF(ISBLANK('Tournament Info'!$B$11),"",INDIRECT(ADDRESS(ROW(),2,1,1,"Optimal Seating "&amp;'Tournament Info'!$B$11-1&amp;"R+F")))</f>
        <v/>
      </c>
      <c r="B90" s="250" t="str">
        <f ca="1">IF(ISNUMBER(A90),VLOOKUP(A90,Methuselahs!$A$7:$E$206,2,0),"")</f>
        <v/>
      </c>
      <c r="C90" s="251" t="str">
        <f ca="1">IF(ISNUMBER(A90),VLOOKUP(A90,Methuselahs!$A$7:$E$206,3,0),"")</f>
        <v/>
      </c>
      <c r="D90" s="252" t="str">
        <f t="shared" ca="1" si="24"/>
        <v/>
      </c>
      <c r="E90" s="253"/>
      <c r="F90" s="397">
        <f t="shared" si="25"/>
        <v>0</v>
      </c>
      <c r="G90" s="235" t="str">
        <f t="shared" ca="1" si="26"/>
        <v/>
      </c>
      <c r="H90" s="236" t="str">
        <f ca="1">IF(ISNUMBER(A90),IF(OR($S90=$U90,NOT(ISNA(MATCH($D90*5+$V$4,Override!$C$6:$C$125,0)))),$Q90,0),"")</f>
        <v/>
      </c>
      <c r="I90" s="395" t="str">
        <f t="shared" ca="1" si="27"/>
        <v/>
      </c>
      <c r="J90" s="254">
        <f ca="1">COUNT(A87:A91)</f>
        <v>0</v>
      </c>
      <c r="K90" s="238" t="str">
        <f ca="1">IF(ISNUMBER(A90),RANK(F90,F87:F91),"")</f>
        <v/>
      </c>
      <c r="L90" s="239">
        <f ca="1">IF(J90=5,VLOOKUP(K90,TPMatrix!$A$6:$B$10,2,0),IF(J90=4,VLOOKUP(K90,TPMatrix!$D$6:$E$9,2,0),0))</f>
        <v>0</v>
      </c>
      <c r="M90" s="239">
        <f ca="1">IF(COUNTIF(K87:K91,K90)&gt;=2,IF(J90=5,VLOOKUP(K90+1,TPMatrix!$A$6:$B$10,2,0),IF(J90=4,VLOOKUP(K90+1,TPMatrix!$D$6:$E$9,2,0),0)),"")</f>
        <v>0</v>
      </c>
      <c r="N90" s="239">
        <f ca="1">IF(COUNTIF(K87:K91,K90)&gt;=3,IF(J90=5,VLOOKUP(K90+2,TPMatrix!$A$6:$B$10,2,0),IF(J90=4,VLOOKUP(K90+2,TPMatrix!$D$6:$E$9,2,0),0)),"")</f>
        <v>0</v>
      </c>
      <c r="O90" s="239">
        <f ca="1">IF(COUNTIF(K87:K91,K90)&gt;=4,IF(J90=5,VLOOKUP(K90+3,TPMatrix!$A$6:$B$10,2,0),IF(J90=4,VLOOKUP(K90+3,TPMatrix!$D$6:$E$9,2,0),0)),"")</f>
        <v>0</v>
      </c>
      <c r="P90" s="239">
        <f ca="1">IF(COUNTIF(K87:K91,K90)&gt;=5,IF(J90=5,VLOOKUP(K90+4,TPMatrix!$A$6:$B$10,2,0),IF(J90=4,VLOOKUP(K90+4,TPMatrix!$D$6:$E$9,2,0),0)),"")</f>
        <v>0</v>
      </c>
      <c r="Q90" s="239">
        <f t="shared" ca="1" si="28"/>
        <v>0</v>
      </c>
      <c r="R90" s="240">
        <f t="shared" ca="1" si="29"/>
        <v>5</v>
      </c>
      <c r="S90" s="238">
        <f t="shared" ca="1" si="30"/>
        <v>0</v>
      </c>
      <c r="T90" s="239">
        <f t="shared" si="31"/>
        <v>0</v>
      </c>
      <c r="U90" s="240">
        <f t="shared" ca="1" si="32"/>
        <v>0</v>
      </c>
      <c r="W90" s="36" t="str">
        <f t="shared" ca="1" si="33"/>
        <v/>
      </c>
      <c r="X90" s="36" t="str">
        <f ca="1">IF(ISNUMBER($A90),$W90*(Methuselahs!$A$4+1)+$A90,"")</f>
        <v/>
      </c>
      <c r="Y90" s="36" t="str">
        <f t="shared" ca="1" si="34"/>
        <v/>
      </c>
      <c r="Z90" s="36" t="str">
        <f ca="1">IF(ISNUMBER($A90),VLOOKUP($A90,Methuselahs!$A$7:$X$206,5),"")</f>
        <v/>
      </c>
      <c r="AA90" s="36" t="str">
        <f t="shared" ca="1" si="35"/>
        <v/>
      </c>
    </row>
    <row r="91" spans="1:27" ht="12.95" customHeight="1" x14ac:dyDescent="0.2">
      <c r="A91" s="255" t="str">
        <f ca="1">IF(ISBLANK('Tournament Info'!$B$11),"",INDIRECT(ADDRESS(ROW(),2,1,1,"Optimal Seating "&amp;'Tournament Info'!$B$11-1&amp;"R+F")))</f>
        <v/>
      </c>
      <c r="B91" s="256" t="str">
        <f ca="1">IF(ISNUMBER(A91),VLOOKUP(A91,Methuselahs!$A$7:$E$206,2,0),"")</f>
        <v/>
      </c>
      <c r="C91" s="257" t="str">
        <f ca="1">IF(ISNUMBER(A91),VLOOKUP(A91,Methuselahs!$A$7:$E$206,3,0),"")</f>
        <v/>
      </c>
      <c r="D91" s="258" t="str">
        <f t="shared" ca="1" si="24"/>
        <v/>
      </c>
      <c r="E91" s="259"/>
      <c r="F91" s="398">
        <f t="shared" si="25"/>
        <v>0</v>
      </c>
      <c r="G91" s="244" t="str">
        <f t="shared" ca="1" si="26"/>
        <v/>
      </c>
      <c r="H91" s="245" t="str">
        <f ca="1">IF(ISNUMBER(A91),IF(OR($S91=$U91,NOT(ISNA(MATCH($D91*5+$V$4,Override!$C$6:$C$125,0)))),$Q91,0),"")</f>
        <v/>
      </c>
      <c r="I91" s="396" t="str">
        <f t="shared" ca="1" si="27"/>
        <v/>
      </c>
      <c r="J91" s="260">
        <f ca="1">COUNT(A87:A91)</f>
        <v>0</v>
      </c>
      <c r="K91" s="261" t="str">
        <f ca="1">IF(ISNUMBER(A91),RANK(F91,F87:F91),"")</f>
        <v/>
      </c>
      <c r="L91" s="262">
        <f ca="1">IF(J91=5,VLOOKUP(K91,TPMatrix!$A$6:$B$10,2,0),IF(J91=4,VLOOKUP(K91,TPMatrix!$D$6:$E$9,2,0),0))</f>
        <v>0</v>
      </c>
      <c r="M91" s="262">
        <f ca="1">IF(COUNTIF(K87:K91,K91)&gt;=2,IF(J91=5,VLOOKUP(K91+1,TPMatrix!$A$6:$B$10,2,0),IF(J91=4,VLOOKUP(K91+1,TPMatrix!$D$6:$E$9,2,0),0)),"")</f>
        <v>0</v>
      </c>
      <c r="N91" s="262">
        <f ca="1">IF(COUNTIF(K87:K91,K91)&gt;=3,IF(J91=5,VLOOKUP(K91+2,TPMatrix!$A$6:$B$10,2,0),IF(J91=4,VLOOKUP(K91+2,TPMatrix!$D$6:$E$9,2,0),0)),"")</f>
        <v>0</v>
      </c>
      <c r="O91" s="262">
        <f ca="1">IF(COUNTIF(K87:K91,K91)&gt;=4,IF(J91=5,VLOOKUP(K91+3,TPMatrix!$A$6:$B$10,2,0),IF(J91=4,VLOOKUP(K91+3,TPMatrix!$D$6:$E$9,2,0),0)),"")</f>
        <v>0</v>
      </c>
      <c r="P91" s="262">
        <f ca="1">IF(COUNTIF(K87:K91,K91)&gt;=5,IF(J91=5,VLOOKUP(K91+4,TPMatrix!$A$6:$B$10,2,0),IF(J91=4,VLOOKUP(K91+4,TPMatrix!$D$6:$E$9,2,0),0)),"")</f>
        <v>0</v>
      </c>
      <c r="Q91" s="262">
        <f t="shared" ca="1" si="28"/>
        <v>0</v>
      </c>
      <c r="R91" s="263">
        <f t="shared" ca="1" si="29"/>
        <v>5</v>
      </c>
      <c r="S91" s="261">
        <f t="shared" ca="1" si="30"/>
        <v>0</v>
      </c>
      <c r="T91" s="262">
        <f t="shared" si="31"/>
        <v>0</v>
      </c>
      <c r="U91" s="263">
        <f t="shared" ca="1" si="32"/>
        <v>0</v>
      </c>
      <c r="W91" s="36" t="str">
        <f t="shared" ca="1" si="33"/>
        <v/>
      </c>
      <c r="X91" s="36" t="str">
        <f ca="1">IF(ISNUMBER($A91),$W91*(Methuselahs!$A$4+1)+$A91,"")</f>
        <v/>
      </c>
      <c r="Y91" s="36" t="str">
        <f t="shared" ca="1" si="34"/>
        <v/>
      </c>
      <c r="Z91" s="36" t="str">
        <f ca="1">IF(ISNUMBER($A91),VLOOKUP($A91,Methuselahs!$A$7:$X$206,5),"")</f>
        <v/>
      </c>
      <c r="AA91" s="36" t="str">
        <f t="shared" ca="1" si="35"/>
        <v/>
      </c>
    </row>
    <row r="92" spans="1:27" ht="12.95" customHeight="1" x14ac:dyDescent="0.2">
      <c r="A92" s="219" t="str">
        <f ca="1">IF(ISBLANK('Tournament Info'!$B$11),"",INDIRECT(ADDRESS(ROW(),2,1,1,"Optimal Seating "&amp;'Tournament Info'!$B$11-1&amp;"R+F")))</f>
        <v/>
      </c>
      <c r="B92" s="143" t="str">
        <f ca="1">IF(ISNUMBER(A92),VLOOKUP(A92,Methuselahs!$A$7:$E$206,2,0),"")</f>
        <v/>
      </c>
      <c r="C92" s="220" t="str">
        <f ca="1">IF(ISNUMBER(A92),VLOOKUP(A92,Methuselahs!$A$7:$E$206,3,0),"")</f>
        <v/>
      </c>
      <c r="D92" s="221" t="str">
        <f t="shared" ca="1" si="24"/>
        <v/>
      </c>
      <c r="E92" s="222"/>
      <c r="F92" s="393">
        <f t="shared" si="25"/>
        <v>0</v>
      </c>
      <c r="G92" s="223" t="str">
        <f t="shared" ca="1" si="26"/>
        <v/>
      </c>
      <c r="H92" s="224" t="str">
        <f ca="1">IF(ISNUMBER(A92),IF(OR($S92=$U92,NOT(ISNA(MATCH($D92*5+$V$4,Override!$C$6:$C$125,0)))),$Q92,0),"")</f>
        <v/>
      </c>
      <c r="I92" s="394" t="str">
        <f t="shared" ca="1" si="27"/>
        <v/>
      </c>
      <c r="J92" s="225">
        <f ca="1">COUNT(A92:A96)</f>
        <v>0</v>
      </c>
      <c r="K92" s="226" t="str">
        <f ca="1">IF(ISNUMBER(A92),RANK(F92,F92:F96),"")</f>
        <v/>
      </c>
      <c r="L92" s="227">
        <f ca="1">IF(J92=5,VLOOKUP(K92,TPMatrix!$A$6:$B$10,2,0),IF(J92=4,VLOOKUP(K92,TPMatrix!$D$6:$E$9,2,0),0))</f>
        <v>0</v>
      </c>
      <c r="M92" s="227">
        <f ca="1">IF(COUNTIF(K92:K96,K92)&gt;=2,IF(J92=5,VLOOKUP(K92+1,TPMatrix!$A$6:$B$10,2,0),IF(J92=4,VLOOKUP(K92+1,TPMatrix!$D$6:$E$9,2,0),0)),"")</f>
        <v>0</v>
      </c>
      <c r="N92" s="227">
        <f ca="1">IF(COUNTIF(K92:K96,K92)&gt;=3,IF(J92=5,VLOOKUP(K92+2,TPMatrix!$A$6:$B$10,2,0),IF(J92=4,VLOOKUP(K92+2,TPMatrix!$D$6:$E$9,2,0),0)),"")</f>
        <v>0</v>
      </c>
      <c r="O92" s="227">
        <f ca="1">IF(COUNTIF(K92:K96,K92)&gt;=4,IF(J92=5,VLOOKUP(K92+3,TPMatrix!$A$6:$B$10,2,0),IF(J92=4,VLOOKUP(K92+3,TPMatrix!$D$6:$E$9,2,0),0)),"")</f>
        <v>0</v>
      </c>
      <c r="P92" s="227">
        <f ca="1">IF(COUNTIF(K92:K96,K92)&gt;=5,IF(J92=5,VLOOKUP(K92+4,TPMatrix!$A$6:$B$10,2,0),IF(J92=4,VLOOKUP(K92+4,TPMatrix!$D$6:$E$9,2,0),0)),"")</f>
        <v>0</v>
      </c>
      <c r="Q92" s="227">
        <f t="shared" ca="1" si="28"/>
        <v>0</v>
      </c>
      <c r="R92" s="228">
        <f t="shared" ca="1" si="29"/>
        <v>5</v>
      </c>
      <c r="S92" s="229">
        <f t="shared" ca="1" si="30"/>
        <v>0</v>
      </c>
      <c r="T92" s="230">
        <f t="shared" si="31"/>
        <v>0</v>
      </c>
      <c r="U92" s="231">
        <f t="shared" ca="1" si="32"/>
        <v>0</v>
      </c>
      <c r="W92" s="36" t="str">
        <f t="shared" ca="1" si="33"/>
        <v/>
      </c>
      <c r="X92" s="36" t="str">
        <f ca="1">IF(ISNUMBER($A92),$W92*(Methuselahs!$A$4+1)+$A92,"")</f>
        <v/>
      </c>
      <c r="Y92" s="36" t="str">
        <f t="shared" ca="1" si="34"/>
        <v/>
      </c>
      <c r="Z92" s="36" t="str">
        <f ca="1">IF(ISNUMBER($A92),VLOOKUP($A92,Methuselahs!$A$7:$X$206,5),"")</f>
        <v/>
      </c>
      <c r="AA92" s="36" t="str">
        <f t="shared" ca="1" si="35"/>
        <v/>
      </c>
    </row>
    <row r="93" spans="1:27" ht="12.95" customHeight="1" x14ac:dyDescent="0.2">
      <c r="A93" s="111" t="str">
        <f ca="1">IF(ISBLANK('Tournament Info'!$B$11),"",INDIRECT(ADDRESS(ROW(),2,1,1,"Optimal Seating "&amp;'Tournament Info'!$B$11-1&amp;"R+F")))</f>
        <v/>
      </c>
      <c r="B93" s="117" t="str">
        <f ca="1">IF(ISNUMBER(A93),VLOOKUP(A93,Methuselahs!$A$7:$E$206,2,0),"")</f>
        <v/>
      </c>
      <c r="C93" s="232" t="str">
        <f ca="1">IF(ISNUMBER(A93),VLOOKUP(A93,Methuselahs!$A$7:$E$206,3,0),"")</f>
        <v/>
      </c>
      <c r="D93" s="233" t="str">
        <f t="shared" ca="1" si="24"/>
        <v/>
      </c>
      <c r="E93" s="234"/>
      <c r="F93" s="118">
        <f t="shared" si="25"/>
        <v>0</v>
      </c>
      <c r="G93" s="235" t="str">
        <f t="shared" ca="1" si="26"/>
        <v/>
      </c>
      <c r="H93" s="236" t="str">
        <f ca="1">IF(ISNUMBER(A93),IF(OR($S93=$U93,NOT(ISNA(MATCH($D93*5+$V$4,Override!$C$6:$C$125,0)))),$Q93,0),"")</f>
        <v/>
      </c>
      <c r="I93" s="395" t="str">
        <f t="shared" ca="1" si="27"/>
        <v/>
      </c>
      <c r="J93" s="237">
        <f ca="1">COUNT(A92:A96)</f>
        <v>0</v>
      </c>
      <c r="K93" s="238" t="str">
        <f ca="1">IF(ISNUMBER(A93),RANK(F93,F92:F96),"")</f>
        <v/>
      </c>
      <c r="L93" s="239">
        <f ca="1">IF(J93=5,VLOOKUP(K93,TPMatrix!$A$6:$B$10,2,0),IF(J93=4,VLOOKUP(K93,TPMatrix!$D$6:$E$9,2,0),0))</f>
        <v>0</v>
      </c>
      <c r="M93" s="239">
        <f ca="1">IF(COUNTIF(K92:K96,K93)&gt;=2,IF(J93=5,VLOOKUP(K93+1,TPMatrix!$A$6:$B$10,2,0),IF(J93=4,VLOOKUP(K93+1,TPMatrix!$D$6:$E$9,2,0),0)),"")</f>
        <v>0</v>
      </c>
      <c r="N93" s="239">
        <f ca="1">IF(COUNTIF(K92:K96,K93)&gt;=3,IF(J93=5,VLOOKUP(K93+2,TPMatrix!$A$6:$B$10,2,0),IF(J93=4,VLOOKUP(K93+2,TPMatrix!$D$6:$E$9,2,0),0)),"")</f>
        <v>0</v>
      </c>
      <c r="O93" s="239">
        <f ca="1">IF(COUNTIF(K92:K96,K93)&gt;=4,IF(J93=5,VLOOKUP(K93+3,TPMatrix!$A$6:$B$10,2,0),IF(J93=4,VLOOKUP(K93+3,TPMatrix!$D$6:$E$9,2,0),0)),"")</f>
        <v>0</v>
      </c>
      <c r="P93" s="239">
        <f ca="1">IF(COUNTIF(K92:K96,K93)&gt;=5,IF(J93=5,VLOOKUP(K93+4,TPMatrix!$A$6:$B$10,2,0),IF(J93=4,VLOOKUP(K93+4,TPMatrix!$D$6:$E$9,2,0),0)),"")</f>
        <v>0</v>
      </c>
      <c r="Q93" s="239">
        <f t="shared" ca="1" si="28"/>
        <v>0</v>
      </c>
      <c r="R93" s="240">
        <f t="shared" ca="1" si="29"/>
        <v>5</v>
      </c>
      <c r="S93" s="238">
        <f t="shared" ca="1" si="30"/>
        <v>0</v>
      </c>
      <c r="T93" s="239">
        <f t="shared" si="31"/>
        <v>0</v>
      </c>
      <c r="U93" s="240">
        <f t="shared" ca="1" si="32"/>
        <v>0</v>
      </c>
      <c r="W93" s="36" t="str">
        <f t="shared" ca="1" si="33"/>
        <v/>
      </c>
      <c r="X93" s="36" t="str">
        <f ca="1">IF(ISNUMBER($A93),$W93*(Methuselahs!$A$4+1)+$A93,"")</f>
        <v/>
      </c>
      <c r="Y93" s="36" t="str">
        <f t="shared" ca="1" si="34"/>
        <v/>
      </c>
      <c r="Z93" s="36" t="str">
        <f ca="1">IF(ISNUMBER($A93),VLOOKUP($A93,Methuselahs!$A$7:$X$206,5),"")</f>
        <v/>
      </c>
      <c r="AA93" s="36" t="str">
        <f t="shared" ca="1" si="35"/>
        <v/>
      </c>
    </row>
    <row r="94" spans="1:27" ht="12.95" customHeight="1" x14ac:dyDescent="0.2">
      <c r="A94" s="137" t="str">
        <f ca="1">IF(ISBLANK('Tournament Info'!$B$11),"",INDIRECT(ADDRESS(ROW(),2,1,1,"Optimal Seating "&amp;'Tournament Info'!$B$11-1&amp;"R+F")))</f>
        <v/>
      </c>
      <c r="B94" s="143" t="str">
        <f ca="1">IF(ISNUMBER(A94),VLOOKUP(A94,Methuselahs!$A$7:$E$206,2,0),"")</f>
        <v/>
      </c>
      <c r="C94" s="241" t="str">
        <f ca="1">IF(ISNUMBER(A94),VLOOKUP(A94,Methuselahs!$A$7:$E$206,3,0),"")</f>
        <v/>
      </c>
      <c r="D94" s="242" t="str">
        <f t="shared" ca="1" si="24"/>
        <v/>
      </c>
      <c r="E94" s="243"/>
      <c r="F94" s="144">
        <f t="shared" si="25"/>
        <v>0</v>
      </c>
      <c r="G94" s="244" t="str">
        <f t="shared" ca="1" si="26"/>
        <v/>
      </c>
      <c r="H94" s="245" t="str">
        <f ca="1">IF(ISNUMBER(A94),IF(OR($S94=$U94,NOT(ISNA(MATCH($D94*5+$V$4,Override!$C$6:$C$125,0)))),$Q94,0),"")</f>
        <v/>
      </c>
      <c r="I94" s="396" t="str">
        <f t="shared" ca="1" si="27"/>
        <v/>
      </c>
      <c r="J94" s="246">
        <f ca="1">COUNT(A92:A96)</f>
        <v>0</v>
      </c>
      <c r="K94" s="247" t="str">
        <f ca="1">IF(ISNUMBER(A94),RANK(F94,F92:F96),"")</f>
        <v/>
      </c>
      <c r="L94" s="142">
        <f ca="1">IF(J94=5,VLOOKUP(K94,TPMatrix!$A$6:$B$10,2,0),IF(J94=4,VLOOKUP(K94,TPMatrix!$D$6:$E$9,2,0),0))</f>
        <v>0</v>
      </c>
      <c r="M94" s="142">
        <f ca="1">IF(COUNTIF(K92:K96,K94)&gt;=2,IF(J94=5,VLOOKUP(K94+1,TPMatrix!$A$6:$B$10,2,0),IF(J94=4,VLOOKUP(K94+1,TPMatrix!$D$6:$E$9,2,0),0)),"")</f>
        <v>0</v>
      </c>
      <c r="N94" s="142">
        <f ca="1">IF(COUNTIF(K92:K96,K94)&gt;=3,IF(J94=5,VLOOKUP(K94+2,TPMatrix!$A$6:$B$10,2,0),IF(J94=4,VLOOKUP(K94+2,TPMatrix!$D$6:$E$9,2,0),0)),"")</f>
        <v>0</v>
      </c>
      <c r="O94" s="142">
        <f ca="1">IF(COUNTIF(K92:K96,K94)&gt;=4,IF(J94=5,VLOOKUP(K94+3,TPMatrix!$A$6:$B$10,2,0),IF(J94=4,VLOOKUP(K94+3,TPMatrix!$D$6:$E$9,2,0),0)),"")</f>
        <v>0</v>
      </c>
      <c r="P94" s="142">
        <f ca="1">IF(COUNTIF(K92:K96,K94)&gt;=5,IF(J94=5,VLOOKUP(K94+4,TPMatrix!$A$6:$B$10,2,0),IF(J94=4,VLOOKUP(K94+4,TPMatrix!$D$6:$E$9,2,0),0)),"")</f>
        <v>0</v>
      </c>
      <c r="Q94" s="142">
        <f t="shared" ca="1" si="28"/>
        <v>0</v>
      </c>
      <c r="R94" s="248">
        <f t="shared" ca="1" si="29"/>
        <v>5</v>
      </c>
      <c r="S94" s="247">
        <f t="shared" ca="1" si="30"/>
        <v>0</v>
      </c>
      <c r="T94" s="142">
        <f t="shared" si="31"/>
        <v>0</v>
      </c>
      <c r="U94" s="248">
        <f t="shared" ca="1" si="32"/>
        <v>0</v>
      </c>
      <c r="W94" s="36" t="str">
        <f t="shared" ca="1" si="33"/>
        <v/>
      </c>
      <c r="X94" s="36" t="str">
        <f ca="1">IF(ISNUMBER($A94),$W94*(Methuselahs!$A$4+1)+$A94,"")</f>
        <v/>
      </c>
      <c r="Y94" s="36" t="str">
        <f t="shared" ca="1" si="34"/>
        <v/>
      </c>
      <c r="Z94" s="36" t="str">
        <f ca="1">IF(ISNUMBER($A94),VLOOKUP($A94,Methuselahs!$A$7:$X$206,5),"")</f>
        <v/>
      </c>
      <c r="AA94" s="36" t="str">
        <f t="shared" ca="1" si="35"/>
        <v/>
      </c>
    </row>
    <row r="95" spans="1:27" ht="12.95" customHeight="1" x14ac:dyDescent="0.2">
      <c r="A95" s="249" t="str">
        <f ca="1">IF(ISBLANK('Tournament Info'!$B$11),"",INDIRECT(ADDRESS(ROW(),2,1,1,"Optimal Seating "&amp;'Tournament Info'!$B$11-1&amp;"R+F")))</f>
        <v/>
      </c>
      <c r="B95" s="250" t="str">
        <f ca="1">IF(ISNUMBER(A95),VLOOKUP(A95,Methuselahs!$A$7:$E$206,2,0),"")</f>
        <v/>
      </c>
      <c r="C95" s="251" t="str">
        <f ca="1">IF(ISNUMBER(A95),VLOOKUP(A95,Methuselahs!$A$7:$E$206,3,0),"")</f>
        <v/>
      </c>
      <c r="D95" s="252" t="str">
        <f t="shared" ca="1" si="24"/>
        <v/>
      </c>
      <c r="E95" s="253"/>
      <c r="F95" s="397">
        <f t="shared" si="25"/>
        <v>0</v>
      </c>
      <c r="G95" s="235" t="str">
        <f t="shared" ca="1" si="26"/>
        <v/>
      </c>
      <c r="H95" s="236" t="str">
        <f ca="1">IF(ISNUMBER(A95),IF(OR($S95=$U95,NOT(ISNA(MATCH($D95*5+$V$4,Override!$C$6:$C$125,0)))),$Q95,0),"")</f>
        <v/>
      </c>
      <c r="I95" s="395" t="str">
        <f t="shared" ca="1" si="27"/>
        <v/>
      </c>
      <c r="J95" s="254">
        <f ca="1">COUNT(A92:A96)</f>
        <v>0</v>
      </c>
      <c r="K95" s="238" t="str">
        <f ca="1">IF(ISNUMBER(A95),RANK(F95,F92:F96),"")</f>
        <v/>
      </c>
      <c r="L95" s="239">
        <f ca="1">IF(J95=5,VLOOKUP(K95,TPMatrix!$A$6:$B$10,2,0),IF(J95=4,VLOOKUP(K95,TPMatrix!$D$6:$E$9,2,0),0))</f>
        <v>0</v>
      </c>
      <c r="M95" s="239">
        <f ca="1">IF(COUNTIF(K92:K96,K95)&gt;=2,IF(J95=5,VLOOKUP(K95+1,TPMatrix!$A$6:$B$10,2,0),IF(J95=4,VLOOKUP(K95+1,TPMatrix!$D$6:$E$9,2,0),0)),"")</f>
        <v>0</v>
      </c>
      <c r="N95" s="239">
        <f ca="1">IF(COUNTIF(K92:K96,K95)&gt;=3,IF(J95=5,VLOOKUP(K95+2,TPMatrix!$A$6:$B$10,2,0),IF(J95=4,VLOOKUP(K95+2,TPMatrix!$D$6:$E$9,2,0),0)),"")</f>
        <v>0</v>
      </c>
      <c r="O95" s="239">
        <f ca="1">IF(COUNTIF(K92:K96,K95)&gt;=4,IF(J95=5,VLOOKUP(K95+3,TPMatrix!$A$6:$B$10,2,0),IF(J95=4,VLOOKUP(K95+3,TPMatrix!$D$6:$E$9,2,0),0)),"")</f>
        <v>0</v>
      </c>
      <c r="P95" s="239">
        <f ca="1">IF(COUNTIF(K92:K96,K95)&gt;=5,IF(J95=5,VLOOKUP(K95+4,TPMatrix!$A$6:$B$10,2,0),IF(J95=4,VLOOKUP(K95+4,TPMatrix!$D$6:$E$9,2,0),0)),"")</f>
        <v>0</v>
      </c>
      <c r="Q95" s="239">
        <f t="shared" ca="1" si="28"/>
        <v>0</v>
      </c>
      <c r="R95" s="240">
        <f t="shared" ca="1" si="29"/>
        <v>5</v>
      </c>
      <c r="S95" s="238">
        <f t="shared" ca="1" si="30"/>
        <v>0</v>
      </c>
      <c r="T95" s="239">
        <f t="shared" si="31"/>
        <v>0</v>
      </c>
      <c r="U95" s="240">
        <f t="shared" ca="1" si="32"/>
        <v>0</v>
      </c>
      <c r="W95" s="36" t="str">
        <f t="shared" ca="1" si="33"/>
        <v/>
      </c>
      <c r="X95" s="36" t="str">
        <f ca="1">IF(ISNUMBER($A95),$W95*(Methuselahs!$A$4+1)+$A95,"")</f>
        <v/>
      </c>
      <c r="Y95" s="36" t="str">
        <f t="shared" ca="1" si="34"/>
        <v/>
      </c>
      <c r="Z95" s="36" t="str">
        <f ca="1">IF(ISNUMBER($A95),VLOOKUP($A95,Methuselahs!$A$7:$X$206,5),"")</f>
        <v/>
      </c>
      <c r="AA95" s="36" t="str">
        <f t="shared" ca="1" si="35"/>
        <v/>
      </c>
    </row>
    <row r="96" spans="1:27" ht="12.95" customHeight="1" x14ac:dyDescent="0.2">
      <c r="A96" s="255" t="str">
        <f ca="1">IF(ISBLANK('Tournament Info'!$B$11),"",INDIRECT(ADDRESS(ROW(),2,1,1,"Optimal Seating "&amp;'Tournament Info'!$B$11-1&amp;"R+F")))</f>
        <v/>
      </c>
      <c r="B96" s="256" t="str">
        <f ca="1">IF(ISNUMBER(A96),VLOOKUP(A96,Methuselahs!$A$7:$E$206,2,0),"")</f>
        <v/>
      </c>
      <c r="C96" s="257" t="str">
        <f ca="1">IF(ISNUMBER(A96),VLOOKUP(A96,Methuselahs!$A$7:$E$206,3,0),"")</f>
        <v/>
      </c>
      <c r="D96" s="258" t="str">
        <f t="shared" ca="1" si="24"/>
        <v/>
      </c>
      <c r="E96" s="259"/>
      <c r="F96" s="398">
        <f t="shared" si="25"/>
        <v>0</v>
      </c>
      <c r="G96" s="244" t="str">
        <f t="shared" ca="1" si="26"/>
        <v/>
      </c>
      <c r="H96" s="245" t="str">
        <f ca="1">IF(ISNUMBER(A96),IF(OR($S96=$U96,NOT(ISNA(MATCH($D96*5+$V$4,Override!$C$6:$C$125,0)))),$Q96,0),"")</f>
        <v/>
      </c>
      <c r="I96" s="396" t="str">
        <f t="shared" ca="1" si="27"/>
        <v/>
      </c>
      <c r="J96" s="260">
        <f ca="1">COUNT(A92:A96)</f>
        <v>0</v>
      </c>
      <c r="K96" s="261" t="str">
        <f ca="1">IF(ISNUMBER(A96),RANK(F96,F92:F96),"")</f>
        <v/>
      </c>
      <c r="L96" s="262">
        <f ca="1">IF(J96=5,VLOOKUP(K96,TPMatrix!$A$6:$B$10,2,0),IF(J96=4,VLOOKUP(K96,TPMatrix!$D$6:$E$9,2,0),0))</f>
        <v>0</v>
      </c>
      <c r="M96" s="262">
        <f ca="1">IF(COUNTIF(K92:K96,K96)&gt;=2,IF(J96=5,VLOOKUP(K96+1,TPMatrix!$A$6:$B$10,2,0),IF(J96=4,VLOOKUP(K96+1,TPMatrix!$D$6:$E$9,2,0),0)),"")</f>
        <v>0</v>
      </c>
      <c r="N96" s="262">
        <f ca="1">IF(COUNTIF(K92:K96,K96)&gt;=3,IF(J96=5,VLOOKUP(K96+2,TPMatrix!$A$6:$B$10,2,0),IF(J96=4,VLOOKUP(K96+2,TPMatrix!$D$6:$E$9,2,0),0)),"")</f>
        <v>0</v>
      </c>
      <c r="O96" s="262">
        <f ca="1">IF(COUNTIF(K92:K96,K96)&gt;=4,IF(J96=5,VLOOKUP(K96+3,TPMatrix!$A$6:$B$10,2,0),IF(J96=4,VLOOKUP(K96+3,TPMatrix!$D$6:$E$9,2,0),0)),"")</f>
        <v>0</v>
      </c>
      <c r="P96" s="262">
        <f ca="1">IF(COUNTIF(K92:K96,K96)&gt;=5,IF(J96=5,VLOOKUP(K96+4,TPMatrix!$A$6:$B$10,2,0),IF(J96=4,VLOOKUP(K96+4,TPMatrix!$D$6:$E$9,2,0),0)),"")</f>
        <v>0</v>
      </c>
      <c r="Q96" s="262">
        <f t="shared" ca="1" si="28"/>
        <v>0</v>
      </c>
      <c r="R96" s="263">
        <f t="shared" ca="1" si="29"/>
        <v>5</v>
      </c>
      <c r="S96" s="261">
        <f t="shared" ca="1" si="30"/>
        <v>0</v>
      </c>
      <c r="T96" s="262">
        <f t="shared" si="31"/>
        <v>0</v>
      </c>
      <c r="U96" s="263">
        <f t="shared" ca="1" si="32"/>
        <v>0</v>
      </c>
      <c r="W96" s="36" t="str">
        <f t="shared" ca="1" si="33"/>
        <v/>
      </c>
      <c r="X96" s="36" t="str">
        <f ca="1">IF(ISNUMBER($A96),$W96*(Methuselahs!$A$4+1)+$A96,"")</f>
        <v/>
      </c>
      <c r="Y96" s="36" t="str">
        <f t="shared" ca="1" si="34"/>
        <v/>
      </c>
      <c r="Z96" s="36" t="str">
        <f ca="1">IF(ISNUMBER($A96),VLOOKUP($A96,Methuselahs!$A$7:$X$206,5),"")</f>
        <v/>
      </c>
      <c r="AA96" s="36" t="str">
        <f t="shared" ca="1" si="35"/>
        <v/>
      </c>
    </row>
    <row r="97" spans="1:27" ht="12.95" customHeight="1" x14ac:dyDescent="0.2">
      <c r="A97" s="219" t="str">
        <f ca="1">IF(ISBLANK('Tournament Info'!$B$11),"",INDIRECT(ADDRESS(ROW(),2,1,1,"Optimal Seating "&amp;'Tournament Info'!$B$11-1&amp;"R+F")))</f>
        <v/>
      </c>
      <c r="B97" s="143" t="str">
        <f ca="1">IF(ISNUMBER(A97),VLOOKUP(A97,Methuselahs!$A$7:$E$206,2,0),"")</f>
        <v/>
      </c>
      <c r="C97" s="220" t="str">
        <f ca="1">IF(ISNUMBER(A97),VLOOKUP(A97,Methuselahs!$A$7:$E$206,3,0),"")</f>
        <v/>
      </c>
      <c r="D97" s="221" t="str">
        <f t="shared" ca="1" si="24"/>
        <v/>
      </c>
      <c r="E97" s="222"/>
      <c r="F97" s="393">
        <f t="shared" si="25"/>
        <v>0</v>
      </c>
      <c r="G97" s="223" t="str">
        <f t="shared" ca="1" si="26"/>
        <v/>
      </c>
      <c r="H97" s="224" t="str">
        <f ca="1">IF(ISNUMBER(A97),IF(OR($S97=$U97,NOT(ISNA(MATCH($D97*5+$V$4,Override!$C$6:$C$125,0)))),$Q97,0),"")</f>
        <v/>
      </c>
      <c r="I97" s="394" t="str">
        <f t="shared" ca="1" si="27"/>
        <v/>
      </c>
      <c r="J97" s="225">
        <f ca="1">COUNT(A97:A101)</f>
        <v>0</v>
      </c>
      <c r="K97" s="226" t="str">
        <f ca="1">IF(ISNUMBER(A97),RANK(F97,F97:F101),"")</f>
        <v/>
      </c>
      <c r="L97" s="227">
        <f ca="1">IF(J97=5,VLOOKUP(K97,TPMatrix!$A$6:$B$10,2,0),IF(J97=4,VLOOKUP(K97,TPMatrix!$D$6:$E$9,2,0),0))</f>
        <v>0</v>
      </c>
      <c r="M97" s="227">
        <f ca="1">IF(COUNTIF(K97:K101,K97)&gt;=2,IF(J97=5,VLOOKUP(K97+1,TPMatrix!$A$6:$B$10,2,0),IF(J97=4,VLOOKUP(K97+1,TPMatrix!$D$6:$E$9,2,0),0)),"")</f>
        <v>0</v>
      </c>
      <c r="N97" s="227">
        <f ca="1">IF(COUNTIF(K97:K101,K97)&gt;=3,IF(J97=5,VLOOKUP(K97+2,TPMatrix!$A$6:$B$10,2,0),IF(J97=4,VLOOKUP(K97+2,TPMatrix!$D$6:$E$9,2,0),0)),"")</f>
        <v>0</v>
      </c>
      <c r="O97" s="227">
        <f ca="1">IF(COUNTIF(K97:K101,K97)&gt;=4,IF(J97=5,VLOOKUP(K97+3,TPMatrix!$A$6:$B$10,2,0),IF(J97=4,VLOOKUP(K97+3,TPMatrix!$D$6:$E$9,2,0),0)),"")</f>
        <v>0</v>
      </c>
      <c r="P97" s="227">
        <f ca="1">IF(COUNTIF(K97:K101,K97)&gt;=5,IF(J97=5,VLOOKUP(K97+4,TPMatrix!$A$6:$B$10,2,0),IF(J97=4,VLOOKUP(K97+4,TPMatrix!$D$6:$E$9,2,0),0)),"")</f>
        <v>0</v>
      </c>
      <c r="Q97" s="227">
        <f t="shared" ca="1" si="28"/>
        <v>0</v>
      </c>
      <c r="R97" s="228">
        <f t="shared" ca="1" si="29"/>
        <v>5</v>
      </c>
      <c r="S97" s="229">
        <f t="shared" ca="1" si="30"/>
        <v>0</v>
      </c>
      <c r="T97" s="230">
        <f t="shared" si="31"/>
        <v>0</v>
      </c>
      <c r="U97" s="231">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2.95" customHeight="1" x14ac:dyDescent="0.2">
      <c r="A98" s="111" t="str">
        <f ca="1">IF(ISBLANK('Tournament Info'!$B$11),"",INDIRECT(ADDRESS(ROW(),2,1,1,"Optimal Seating "&amp;'Tournament Info'!$B$11-1&amp;"R+F")))</f>
        <v/>
      </c>
      <c r="B98" s="117" t="str">
        <f ca="1">IF(ISNUMBER(A98),VLOOKUP(A98,Methuselahs!$A$7:$E$206,2,0),"")</f>
        <v/>
      </c>
      <c r="C98" s="232" t="str">
        <f ca="1">IF(ISNUMBER(A98),VLOOKUP(A98,Methuselahs!$A$7:$E$206,3,0),"")</f>
        <v/>
      </c>
      <c r="D98" s="233" t="str">
        <f t="shared" ca="1" si="24"/>
        <v/>
      </c>
      <c r="E98" s="234"/>
      <c r="F98" s="118">
        <f t="shared" si="25"/>
        <v>0</v>
      </c>
      <c r="G98" s="235" t="str">
        <f t="shared" ca="1" si="26"/>
        <v/>
      </c>
      <c r="H98" s="236" t="str">
        <f ca="1">IF(ISNUMBER(A98),IF(OR($S98=$U98,NOT(ISNA(MATCH($D98*5+$V$4,Override!$C$6:$C$125,0)))),$Q98,0),"")</f>
        <v/>
      </c>
      <c r="I98" s="395" t="str">
        <f t="shared" ca="1" si="27"/>
        <v/>
      </c>
      <c r="J98" s="237">
        <f ca="1">COUNT(A97:A101)</f>
        <v>0</v>
      </c>
      <c r="K98" s="238" t="str">
        <f ca="1">IF(ISNUMBER(A98),RANK(F98,F97:F101),"")</f>
        <v/>
      </c>
      <c r="L98" s="239">
        <f ca="1">IF(J98=5,VLOOKUP(K98,TPMatrix!$A$6:$B$10,2,0),IF(J98=4,VLOOKUP(K98,TPMatrix!$D$6:$E$9,2,0),0))</f>
        <v>0</v>
      </c>
      <c r="M98" s="239">
        <f ca="1">IF(COUNTIF(K97:K101,K98)&gt;=2,IF(J98=5,VLOOKUP(K98+1,TPMatrix!$A$6:$B$10,2,0),IF(J98=4,VLOOKUP(K98+1,TPMatrix!$D$6:$E$9,2,0),0)),"")</f>
        <v>0</v>
      </c>
      <c r="N98" s="239">
        <f ca="1">IF(COUNTIF(K97:K101,K98)&gt;=3,IF(J98=5,VLOOKUP(K98+2,TPMatrix!$A$6:$B$10,2,0),IF(J98=4,VLOOKUP(K98+2,TPMatrix!$D$6:$E$9,2,0),0)),"")</f>
        <v>0</v>
      </c>
      <c r="O98" s="239">
        <f ca="1">IF(COUNTIF(K97:K101,K98)&gt;=4,IF(J98=5,VLOOKUP(K98+3,TPMatrix!$A$6:$B$10,2,0),IF(J98=4,VLOOKUP(K98+3,TPMatrix!$D$6:$E$9,2,0),0)),"")</f>
        <v>0</v>
      </c>
      <c r="P98" s="239">
        <f ca="1">IF(COUNTIF(K97:K101,K98)&gt;=5,IF(J98=5,VLOOKUP(K98+4,TPMatrix!$A$6:$B$10,2,0),IF(J98=4,VLOOKUP(K98+4,TPMatrix!$D$6:$E$9,2,0),0)),"")</f>
        <v>0</v>
      </c>
      <c r="Q98" s="239">
        <f t="shared" ca="1" si="28"/>
        <v>0</v>
      </c>
      <c r="R98" s="240">
        <f t="shared" ca="1" si="29"/>
        <v>5</v>
      </c>
      <c r="S98" s="238">
        <f t="shared" ca="1" si="30"/>
        <v>0</v>
      </c>
      <c r="T98" s="239">
        <f t="shared" si="31"/>
        <v>0</v>
      </c>
      <c r="U98" s="240">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2.95" customHeight="1" x14ac:dyDescent="0.2">
      <c r="A99" s="137" t="str">
        <f ca="1">IF(ISBLANK('Tournament Info'!$B$11),"",INDIRECT(ADDRESS(ROW(),2,1,1,"Optimal Seating "&amp;'Tournament Info'!$B$11-1&amp;"R+F")))</f>
        <v/>
      </c>
      <c r="B99" s="143" t="str">
        <f ca="1">IF(ISNUMBER(A99),VLOOKUP(A99,Methuselahs!$A$7:$E$206,2,0),"")</f>
        <v/>
      </c>
      <c r="C99" s="241" t="str">
        <f ca="1">IF(ISNUMBER(A99),VLOOKUP(A99,Methuselahs!$A$7:$E$206,3,0),"")</f>
        <v/>
      </c>
      <c r="D99" s="242" t="str">
        <f t="shared" ca="1" si="24"/>
        <v/>
      </c>
      <c r="E99" s="243"/>
      <c r="F99" s="144">
        <f t="shared" si="25"/>
        <v>0</v>
      </c>
      <c r="G99" s="244" t="str">
        <f t="shared" ca="1" si="26"/>
        <v/>
      </c>
      <c r="H99" s="245" t="str">
        <f ca="1">IF(ISNUMBER(A99),IF(OR($S99=$U99,NOT(ISNA(MATCH($D99*5+$V$4,Override!$C$6:$C$125,0)))),$Q99,0),"")</f>
        <v/>
      </c>
      <c r="I99" s="396" t="str">
        <f t="shared" ca="1" si="27"/>
        <v/>
      </c>
      <c r="J99" s="246">
        <f ca="1">COUNT(A97:A101)</f>
        <v>0</v>
      </c>
      <c r="K99" s="247" t="str">
        <f ca="1">IF(ISNUMBER(A99),RANK(F99,F97:F101),"")</f>
        <v/>
      </c>
      <c r="L99" s="142">
        <f ca="1">IF(J99=5,VLOOKUP(K99,TPMatrix!$A$6:$B$10,2,0),IF(J99=4,VLOOKUP(K99,TPMatrix!$D$6:$E$9,2,0),0))</f>
        <v>0</v>
      </c>
      <c r="M99" s="142">
        <f ca="1">IF(COUNTIF(K97:K101,K99)&gt;=2,IF(J99=5,VLOOKUP(K99+1,TPMatrix!$A$6:$B$10,2,0),IF(J99=4,VLOOKUP(K99+1,TPMatrix!$D$6:$E$9,2,0),0)),"")</f>
        <v>0</v>
      </c>
      <c r="N99" s="142">
        <f ca="1">IF(COUNTIF(K97:K101,K99)&gt;=3,IF(J99=5,VLOOKUP(K99+2,TPMatrix!$A$6:$B$10,2,0),IF(J99=4,VLOOKUP(K99+2,TPMatrix!$D$6:$E$9,2,0),0)),"")</f>
        <v>0</v>
      </c>
      <c r="O99" s="142">
        <f ca="1">IF(COUNTIF(K97:K101,K99)&gt;=4,IF(J99=5,VLOOKUP(K99+3,TPMatrix!$A$6:$B$10,2,0),IF(J99=4,VLOOKUP(K99+3,TPMatrix!$D$6:$E$9,2,0),0)),"")</f>
        <v>0</v>
      </c>
      <c r="P99" s="142">
        <f ca="1">IF(COUNTIF(K97:K101,K99)&gt;=5,IF(J99=5,VLOOKUP(K99+4,TPMatrix!$A$6:$B$10,2,0),IF(J99=4,VLOOKUP(K99+4,TPMatrix!$D$6:$E$9,2,0),0)),"")</f>
        <v>0</v>
      </c>
      <c r="Q99" s="142">
        <f t="shared" ca="1" si="28"/>
        <v>0</v>
      </c>
      <c r="R99" s="248">
        <f t="shared" ca="1" si="29"/>
        <v>5</v>
      </c>
      <c r="S99" s="247">
        <f t="shared" ca="1" si="30"/>
        <v>0</v>
      </c>
      <c r="T99" s="142">
        <f t="shared" si="31"/>
        <v>0</v>
      </c>
      <c r="U99" s="248">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2.95" customHeight="1" x14ac:dyDescent="0.2">
      <c r="A100" s="249" t="str">
        <f ca="1">IF(ISBLANK('Tournament Info'!$B$11),"",INDIRECT(ADDRESS(ROW(),2,1,1,"Optimal Seating "&amp;'Tournament Info'!$B$11-1&amp;"R+F")))</f>
        <v/>
      </c>
      <c r="B100" s="250" t="str">
        <f ca="1">IF(ISNUMBER(A100),VLOOKUP(A100,Methuselahs!$A$7:$E$206,2,0),"")</f>
        <v/>
      </c>
      <c r="C100" s="251" t="str">
        <f ca="1">IF(ISNUMBER(A100),VLOOKUP(A100,Methuselahs!$A$7:$E$206,3,0),"")</f>
        <v/>
      </c>
      <c r="D100" s="252" t="str">
        <f t="shared" ca="1" si="24"/>
        <v/>
      </c>
      <c r="E100" s="253"/>
      <c r="F100" s="397">
        <f t="shared" si="25"/>
        <v>0</v>
      </c>
      <c r="G100" s="235" t="str">
        <f t="shared" ca="1" si="26"/>
        <v/>
      </c>
      <c r="H100" s="236" t="str">
        <f ca="1">IF(ISNUMBER(A100),IF(OR($S100=$U100,NOT(ISNA(MATCH($D100*5+$V$4,Override!$C$6:$C$125,0)))),$Q100,0),"")</f>
        <v/>
      </c>
      <c r="I100" s="395" t="str">
        <f t="shared" ca="1" si="27"/>
        <v/>
      </c>
      <c r="J100" s="254">
        <f ca="1">COUNT(A97:A101)</f>
        <v>0</v>
      </c>
      <c r="K100" s="238" t="str">
        <f ca="1">IF(ISNUMBER(A100),RANK(F100,F97:F101),"")</f>
        <v/>
      </c>
      <c r="L100" s="239">
        <f ca="1">IF(J100=5,VLOOKUP(K100,TPMatrix!$A$6:$B$10,2,0),IF(J100=4,VLOOKUP(K100,TPMatrix!$D$6:$E$9,2,0),0))</f>
        <v>0</v>
      </c>
      <c r="M100" s="239">
        <f ca="1">IF(COUNTIF(K97:K101,K100)&gt;=2,IF(J100=5,VLOOKUP(K100+1,TPMatrix!$A$6:$B$10,2,0),IF(J100=4,VLOOKUP(K100+1,TPMatrix!$D$6:$E$9,2,0),0)),"")</f>
        <v>0</v>
      </c>
      <c r="N100" s="239">
        <f ca="1">IF(COUNTIF(K97:K101,K100)&gt;=3,IF(J100=5,VLOOKUP(K100+2,TPMatrix!$A$6:$B$10,2,0),IF(J100=4,VLOOKUP(K100+2,TPMatrix!$D$6:$E$9,2,0),0)),"")</f>
        <v>0</v>
      </c>
      <c r="O100" s="239">
        <f ca="1">IF(COUNTIF(K97:K101,K100)&gt;=4,IF(J100=5,VLOOKUP(K100+3,TPMatrix!$A$6:$B$10,2,0),IF(J100=4,VLOOKUP(K100+3,TPMatrix!$D$6:$E$9,2,0),0)),"")</f>
        <v>0</v>
      </c>
      <c r="P100" s="239">
        <f ca="1">IF(COUNTIF(K97:K101,K100)&gt;=5,IF(J100=5,VLOOKUP(K100+4,TPMatrix!$A$6:$B$10,2,0),IF(J100=4,VLOOKUP(K100+4,TPMatrix!$D$6:$E$9,2,0),0)),"")</f>
        <v>0</v>
      </c>
      <c r="Q100" s="239">
        <f t="shared" ca="1" si="28"/>
        <v>0</v>
      </c>
      <c r="R100" s="240">
        <f t="shared" ca="1" si="29"/>
        <v>5</v>
      </c>
      <c r="S100" s="238">
        <f t="shared" ca="1" si="30"/>
        <v>0</v>
      </c>
      <c r="T100" s="239">
        <f t="shared" si="31"/>
        <v>0</v>
      </c>
      <c r="U100" s="240">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2.95" customHeight="1" x14ac:dyDescent="0.2">
      <c r="A101" s="255" t="str">
        <f ca="1">IF(ISBLANK('Tournament Info'!$B$11),"",INDIRECT(ADDRESS(ROW(),2,1,1,"Optimal Seating "&amp;'Tournament Info'!$B$11-1&amp;"R+F")))</f>
        <v/>
      </c>
      <c r="B101" s="256" t="str">
        <f ca="1">IF(ISNUMBER(A101),VLOOKUP(A101,Methuselahs!$A$7:$E$206,2,0),"")</f>
        <v/>
      </c>
      <c r="C101" s="257" t="str">
        <f ca="1">IF(ISNUMBER(A101),VLOOKUP(A101,Methuselahs!$A$7:$E$206,3,0),"")</f>
        <v/>
      </c>
      <c r="D101" s="258" t="str">
        <f t="shared" ca="1" si="24"/>
        <v/>
      </c>
      <c r="E101" s="259"/>
      <c r="F101" s="398">
        <f t="shared" si="25"/>
        <v>0</v>
      </c>
      <c r="G101" s="244" t="str">
        <f t="shared" ca="1" si="26"/>
        <v/>
      </c>
      <c r="H101" s="245" t="str">
        <f ca="1">IF(ISNUMBER(A101),IF(OR($S101=$U101,NOT(ISNA(MATCH($D101*5+$V$4,Override!$C$6:$C$125,0)))),$Q101,0),"")</f>
        <v/>
      </c>
      <c r="I101" s="396" t="str">
        <f t="shared" ca="1" si="27"/>
        <v/>
      </c>
      <c r="J101" s="260">
        <f ca="1">COUNT(A97:A101)</f>
        <v>0</v>
      </c>
      <c r="K101" s="261" t="str">
        <f ca="1">IF(ISNUMBER(A101),RANK(F101,F97:F101),"")</f>
        <v/>
      </c>
      <c r="L101" s="262">
        <f ca="1">IF(J101=5,VLOOKUP(K101,TPMatrix!$A$6:$B$10,2,0),IF(J101=4,VLOOKUP(K101,TPMatrix!$D$6:$E$9,2,0),0))</f>
        <v>0</v>
      </c>
      <c r="M101" s="262">
        <f ca="1">IF(COUNTIF(K97:K101,K101)&gt;=2,IF(J101=5,VLOOKUP(K101+1,TPMatrix!$A$6:$B$10,2,0),IF(J101=4,VLOOKUP(K101+1,TPMatrix!$D$6:$E$9,2,0),0)),"")</f>
        <v>0</v>
      </c>
      <c r="N101" s="262">
        <f ca="1">IF(COUNTIF(K97:K101,K101)&gt;=3,IF(J101=5,VLOOKUP(K101+2,TPMatrix!$A$6:$B$10,2,0),IF(J101=4,VLOOKUP(K101+2,TPMatrix!$D$6:$E$9,2,0),0)),"")</f>
        <v>0</v>
      </c>
      <c r="O101" s="262">
        <f ca="1">IF(COUNTIF(K97:K101,K101)&gt;=4,IF(J101=5,VLOOKUP(K101+3,TPMatrix!$A$6:$B$10,2,0),IF(J101=4,VLOOKUP(K101+3,TPMatrix!$D$6:$E$9,2,0),0)),"")</f>
        <v>0</v>
      </c>
      <c r="P101" s="262">
        <f ca="1">IF(COUNTIF(K97:K101,K101)&gt;=5,IF(J101=5,VLOOKUP(K101+4,TPMatrix!$A$6:$B$10,2,0),IF(J101=4,VLOOKUP(K101+4,TPMatrix!$D$6:$E$9,2,0),0)),"")</f>
        <v>0</v>
      </c>
      <c r="Q101" s="262">
        <f t="shared" ca="1" si="28"/>
        <v>0</v>
      </c>
      <c r="R101" s="263">
        <f t="shared" ca="1" si="29"/>
        <v>5</v>
      </c>
      <c r="S101" s="261">
        <f t="shared" ca="1" si="30"/>
        <v>0</v>
      </c>
      <c r="T101" s="262">
        <f t="shared" si="31"/>
        <v>0</v>
      </c>
      <c r="U101" s="263">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2.95" customHeight="1" x14ac:dyDescent="0.2">
      <c r="A102" s="219" t="str">
        <f ca="1">IF(ISBLANK('Tournament Info'!$B$11),"",INDIRECT(ADDRESS(ROW(),2,1,1,"Optimal Seating "&amp;'Tournament Info'!$B$11-1&amp;"R+F")))</f>
        <v/>
      </c>
      <c r="B102" s="143" t="str">
        <f ca="1">IF(ISNUMBER(A102),VLOOKUP(A102,Methuselahs!$A$7:$E$206,2,0),"")</f>
        <v/>
      </c>
      <c r="C102" s="220" t="str">
        <f ca="1">IF(ISNUMBER(A102),VLOOKUP(A102,Methuselahs!$A$7:$E$206,3,0),"")</f>
        <v/>
      </c>
      <c r="D102" s="221" t="str">
        <f t="shared" ca="1" si="24"/>
        <v/>
      </c>
      <c r="E102" s="222"/>
      <c r="F102" s="393">
        <f t="shared" si="25"/>
        <v>0</v>
      </c>
      <c r="G102" s="223" t="str">
        <f t="shared" ca="1" si="26"/>
        <v/>
      </c>
      <c r="H102" s="224" t="str">
        <f ca="1">IF(ISNUMBER(A102),IF(OR($S102=$U102,NOT(ISNA(MATCH($D102*5+$V$4,Override!$C$6:$C$125,0)))),$Q102,0),"")</f>
        <v/>
      </c>
      <c r="I102" s="394" t="str">
        <f t="shared" ca="1" si="27"/>
        <v/>
      </c>
      <c r="J102" s="225">
        <f ca="1">COUNT(A102:A106)</f>
        <v>0</v>
      </c>
      <c r="K102" s="226" t="str">
        <f ca="1">IF(ISNUMBER(A102),RANK(F102,F102:F106),"")</f>
        <v/>
      </c>
      <c r="L102" s="227">
        <f ca="1">IF(J102=5,VLOOKUP(K102,TPMatrix!$A$6:$B$10,2,0),IF(J102=4,VLOOKUP(K102,TPMatrix!$D$6:$E$9,2,0),0))</f>
        <v>0</v>
      </c>
      <c r="M102" s="227">
        <f ca="1">IF(COUNTIF(K102:K106,K102)&gt;=2,IF(J102=5,VLOOKUP(K102+1,TPMatrix!$A$6:$B$10,2,0),IF(J102=4,VLOOKUP(K102+1,TPMatrix!$D$6:$E$9,2,0),0)),"")</f>
        <v>0</v>
      </c>
      <c r="N102" s="227">
        <f ca="1">IF(COUNTIF(K102:K106,K102)&gt;=3,IF(J102=5,VLOOKUP(K102+2,TPMatrix!$A$6:$B$10,2,0),IF(J102=4,VLOOKUP(K102+2,TPMatrix!$D$6:$E$9,2,0),0)),"")</f>
        <v>0</v>
      </c>
      <c r="O102" s="227">
        <f ca="1">IF(COUNTIF(K102:K106,K102)&gt;=4,IF(J102=5,VLOOKUP(K102+3,TPMatrix!$A$6:$B$10,2,0),IF(J102=4,VLOOKUP(K102+3,TPMatrix!$D$6:$E$9,2,0),0)),"")</f>
        <v>0</v>
      </c>
      <c r="P102" s="227">
        <f ca="1">IF(COUNTIF(K102:K106,K102)&gt;=5,IF(J102=5,VLOOKUP(K102+4,TPMatrix!$A$6:$B$10,2,0),IF(J102=4,VLOOKUP(K102+4,TPMatrix!$D$6:$E$9,2,0),0)),"")</f>
        <v>0</v>
      </c>
      <c r="Q102" s="227">
        <f t="shared" ca="1" si="28"/>
        <v>0</v>
      </c>
      <c r="R102" s="228">
        <f t="shared" ca="1" si="29"/>
        <v>5</v>
      </c>
      <c r="S102" s="229">
        <f t="shared" ca="1" si="30"/>
        <v>0</v>
      </c>
      <c r="T102" s="230">
        <f t="shared" si="31"/>
        <v>0</v>
      </c>
      <c r="U102" s="231">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2.95" customHeight="1" x14ac:dyDescent="0.2">
      <c r="A103" s="111" t="str">
        <f ca="1">IF(ISBLANK('Tournament Info'!$B$11),"",INDIRECT(ADDRESS(ROW(),2,1,1,"Optimal Seating "&amp;'Tournament Info'!$B$11-1&amp;"R+F")))</f>
        <v/>
      </c>
      <c r="B103" s="117" t="str">
        <f ca="1">IF(ISNUMBER(A103),VLOOKUP(A103,Methuselahs!$A$7:$E$206,2,0),"")</f>
        <v/>
      </c>
      <c r="C103" s="232" t="str">
        <f ca="1">IF(ISNUMBER(A103),VLOOKUP(A103,Methuselahs!$A$7:$E$206,3,0),"")</f>
        <v/>
      </c>
      <c r="D103" s="233" t="str">
        <f t="shared" ref="D103:D134" ca="1" si="36">IF(ISNUMBER(A103),FLOOR((ROW()-ROW($A$7))/5,1)+1,"")</f>
        <v/>
      </c>
      <c r="E103" s="234"/>
      <c r="F103" s="118">
        <f t="shared" ref="F103:F134" si="37">IF(ISNUMBER(E103),E103,0)</f>
        <v>0</v>
      </c>
      <c r="G103" s="235" t="str">
        <f t="shared" ref="G103:G134" ca="1" si="38">IF(ISNUMBER($A103),IF(AND($F103&gt;=2,$H103=60),1,0),"")</f>
        <v/>
      </c>
      <c r="H103" s="236" t="str">
        <f ca="1">IF(ISNUMBER(A103),IF(OR($S103=$U103,NOT(ISNA(MATCH($D103*5+$V$4,Override!$C$6:$C$125,0)))),$Q103,0),"")</f>
        <v/>
      </c>
      <c r="I103" s="395" t="str">
        <f t="shared" ref="I103:I134" ca="1" si="39">IF(ISNUMBER(A103),IF(J103=5,K103,IF(AND(J103=4,OR(K103=4,K103=3)),K103+1,K103)),"")</f>
        <v/>
      </c>
      <c r="J103" s="237">
        <f ca="1">COUNT(A102:A106)</f>
        <v>0</v>
      </c>
      <c r="K103" s="238" t="str">
        <f ca="1">IF(ISNUMBER(A103),RANK(F103,F102:F106),"")</f>
        <v/>
      </c>
      <c r="L103" s="239">
        <f ca="1">IF(J103=5,VLOOKUP(K103,TPMatrix!$A$6:$B$10,2,0),IF(J103=4,VLOOKUP(K103,TPMatrix!$D$6:$E$9,2,0),0))</f>
        <v>0</v>
      </c>
      <c r="M103" s="239">
        <f ca="1">IF(COUNTIF(K102:K106,K103)&gt;=2,IF(J103=5,VLOOKUP(K103+1,TPMatrix!$A$6:$B$10,2,0),IF(J103=4,VLOOKUP(K103+1,TPMatrix!$D$6:$E$9,2,0),0)),"")</f>
        <v>0</v>
      </c>
      <c r="N103" s="239">
        <f ca="1">IF(COUNTIF(K102:K106,K103)&gt;=3,IF(J103=5,VLOOKUP(K103+2,TPMatrix!$A$6:$B$10,2,0),IF(J103=4,VLOOKUP(K103+2,TPMatrix!$D$6:$E$9,2,0),0)),"")</f>
        <v>0</v>
      </c>
      <c r="O103" s="239">
        <f ca="1">IF(COUNTIF(K102:K106,K103)&gt;=4,IF(J103=5,VLOOKUP(K103+3,TPMatrix!$A$6:$B$10,2,0),IF(J103=4,VLOOKUP(K103+3,TPMatrix!$D$6:$E$9,2,0),0)),"")</f>
        <v>0</v>
      </c>
      <c r="P103" s="239">
        <f ca="1">IF(COUNTIF(K102:K106,K103)&gt;=5,IF(J103=5,VLOOKUP(K103+4,TPMatrix!$A$6:$B$10,2,0),IF(J103=4,VLOOKUP(K103+4,TPMatrix!$D$6:$E$9,2,0),0)),"")</f>
        <v>0</v>
      </c>
      <c r="Q103" s="239">
        <f t="shared" ref="Q103:Q134" ca="1" si="40">SUM(L103:P103)/COUNT(L103:P103)</f>
        <v>0</v>
      </c>
      <c r="R103" s="240">
        <f t="shared" ref="R103:R134" ca="1" si="41">COUNT(L103:P103)</f>
        <v>5</v>
      </c>
      <c r="S103" s="238">
        <f t="shared" ref="S103:S134" ca="1" si="42">IF(ISNUMBER($A103),COUNTIF($D$7:$D$206,$D103),0)</f>
        <v>0</v>
      </c>
      <c r="T103" s="239">
        <f t="shared" ref="T103:T134" si="43">CEILING($F103,1)</f>
        <v>0</v>
      </c>
      <c r="U103" s="240">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2.95" customHeight="1" x14ac:dyDescent="0.2">
      <c r="A104" s="137" t="str">
        <f ca="1">IF(ISBLANK('Tournament Info'!$B$11),"",INDIRECT(ADDRESS(ROW(),2,1,1,"Optimal Seating "&amp;'Tournament Info'!$B$11-1&amp;"R+F")))</f>
        <v/>
      </c>
      <c r="B104" s="143" t="str">
        <f ca="1">IF(ISNUMBER(A104),VLOOKUP(A104,Methuselahs!$A$7:$E$206,2,0),"")</f>
        <v/>
      </c>
      <c r="C104" s="241" t="str">
        <f ca="1">IF(ISNUMBER(A104),VLOOKUP(A104,Methuselahs!$A$7:$E$206,3,0),"")</f>
        <v/>
      </c>
      <c r="D104" s="242" t="str">
        <f t="shared" ca="1" si="36"/>
        <v/>
      </c>
      <c r="E104" s="243"/>
      <c r="F104" s="144">
        <f t="shared" si="37"/>
        <v>0</v>
      </c>
      <c r="G104" s="244" t="str">
        <f t="shared" ca="1" si="38"/>
        <v/>
      </c>
      <c r="H104" s="245" t="str">
        <f ca="1">IF(ISNUMBER(A104),IF(OR($S104=$U104,NOT(ISNA(MATCH($D104*5+$V$4,Override!$C$6:$C$125,0)))),$Q104,0),"")</f>
        <v/>
      </c>
      <c r="I104" s="396" t="str">
        <f t="shared" ca="1" si="39"/>
        <v/>
      </c>
      <c r="J104" s="246">
        <f ca="1">COUNT(A102:A106)</f>
        <v>0</v>
      </c>
      <c r="K104" s="247" t="str">
        <f ca="1">IF(ISNUMBER(A104),RANK(F104,F102:F106),"")</f>
        <v/>
      </c>
      <c r="L104" s="142">
        <f ca="1">IF(J104=5,VLOOKUP(K104,TPMatrix!$A$6:$B$10,2,0),IF(J104=4,VLOOKUP(K104,TPMatrix!$D$6:$E$9,2,0),0))</f>
        <v>0</v>
      </c>
      <c r="M104" s="142">
        <f ca="1">IF(COUNTIF(K102:K106,K104)&gt;=2,IF(J104=5,VLOOKUP(K104+1,TPMatrix!$A$6:$B$10,2,0),IF(J104=4,VLOOKUP(K104+1,TPMatrix!$D$6:$E$9,2,0),0)),"")</f>
        <v>0</v>
      </c>
      <c r="N104" s="142">
        <f ca="1">IF(COUNTIF(K102:K106,K104)&gt;=3,IF(J104=5,VLOOKUP(K104+2,TPMatrix!$A$6:$B$10,2,0),IF(J104=4,VLOOKUP(K104+2,TPMatrix!$D$6:$E$9,2,0),0)),"")</f>
        <v>0</v>
      </c>
      <c r="O104" s="142">
        <f ca="1">IF(COUNTIF(K102:K106,K104)&gt;=4,IF(J104=5,VLOOKUP(K104+3,TPMatrix!$A$6:$B$10,2,0),IF(J104=4,VLOOKUP(K104+3,TPMatrix!$D$6:$E$9,2,0),0)),"")</f>
        <v>0</v>
      </c>
      <c r="P104" s="142">
        <f ca="1">IF(COUNTIF(K102:K106,K104)&gt;=5,IF(J104=5,VLOOKUP(K104+4,TPMatrix!$A$6:$B$10,2,0),IF(J104=4,VLOOKUP(K104+4,TPMatrix!$D$6:$E$9,2,0),0)),"")</f>
        <v>0</v>
      </c>
      <c r="Q104" s="142">
        <f t="shared" ca="1" si="40"/>
        <v>0</v>
      </c>
      <c r="R104" s="248">
        <f t="shared" ca="1" si="41"/>
        <v>5</v>
      </c>
      <c r="S104" s="247">
        <f t="shared" ca="1" si="42"/>
        <v>0</v>
      </c>
      <c r="T104" s="142">
        <f t="shared" si="43"/>
        <v>0</v>
      </c>
      <c r="U104" s="248">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2.95" customHeight="1" x14ac:dyDescent="0.2">
      <c r="A105" s="249" t="str">
        <f ca="1">IF(ISBLANK('Tournament Info'!$B$11),"",INDIRECT(ADDRESS(ROW(),2,1,1,"Optimal Seating "&amp;'Tournament Info'!$B$11-1&amp;"R+F")))</f>
        <v/>
      </c>
      <c r="B105" s="250" t="str">
        <f ca="1">IF(ISNUMBER(A105),VLOOKUP(A105,Methuselahs!$A$7:$E$206,2,0),"")</f>
        <v/>
      </c>
      <c r="C105" s="251" t="str">
        <f ca="1">IF(ISNUMBER(A105),VLOOKUP(A105,Methuselahs!$A$7:$E$206,3,0),"")</f>
        <v/>
      </c>
      <c r="D105" s="252" t="str">
        <f t="shared" ca="1" si="36"/>
        <v/>
      </c>
      <c r="E105" s="253"/>
      <c r="F105" s="397">
        <f t="shared" si="37"/>
        <v>0</v>
      </c>
      <c r="G105" s="235" t="str">
        <f t="shared" ca="1" si="38"/>
        <v/>
      </c>
      <c r="H105" s="236" t="str">
        <f ca="1">IF(ISNUMBER(A105),IF(OR($S105=$U105,NOT(ISNA(MATCH($D105*5+$V$4,Override!$C$6:$C$125,0)))),$Q105,0),"")</f>
        <v/>
      </c>
      <c r="I105" s="395" t="str">
        <f t="shared" ca="1" si="39"/>
        <v/>
      </c>
      <c r="J105" s="254">
        <f ca="1">COUNT(A102:A106)</f>
        <v>0</v>
      </c>
      <c r="K105" s="238" t="str">
        <f ca="1">IF(ISNUMBER(A105),RANK(F105,F102:F106),"")</f>
        <v/>
      </c>
      <c r="L105" s="239">
        <f ca="1">IF(J105=5,VLOOKUP(K105,TPMatrix!$A$6:$B$10,2,0),IF(J105=4,VLOOKUP(K105,TPMatrix!$D$6:$E$9,2,0),0))</f>
        <v>0</v>
      </c>
      <c r="M105" s="239">
        <f ca="1">IF(COUNTIF(K102:K106,K105)&gt;=2,IF(J105=5,VLOOKUP(K105+1,TPMatrix!$A$6:$B$10,2,0),IF(J105=4,VLOOKUP(K105+1,TPMatrix!$D$6:$E$9,2,0),0)),"")</f>
        <v>0</v>
      </c>
      <c r="N105" s="239">
        <f ca="1">IF(COUNTIF(K102:K106,K105)&gt;=3,IF(J105=5,VLOOKUP(K105+2,TPMatrix!$A$6:$B$10,2,0),IF(J105=4,VLOOKUP(K105+2,TPMatrix!$D$6:$E$9,2,0),0)),"")</f>
        <v>0</v>
      </c>
      <c r="O105" s="239">
        <f ca="1">IF(COUNTIF(K102:K106,K105)&gt;=4,IF(J105=5,VLOOKUP(K105+3,TPMatrix!$A$6:$B$10,2,0),IF(J105=4,VLOOKUP(K105+3,TPMatrix!$D$6:$E$9,2,0),0)),"")</f>
        <v>0</v>
      </c>
      <c r="P105" s="239">
        <f ca="1">IF(COUNTIF(K102:K106,K105)&gt;=5,IF(J105=5,VLOOKUP(K105+4,TPMatrix!$A$6:$B$10,2,0),IF(J105=4,VLOOKUP(K105+4,TPMatrix!$D$6:$E$9,2,0),0)),"")</f>
        <v>0</v>
      </c>
      <c r="Q105" s="239">
        <f t="shared" ca="1" si="40"/>
        <v>0</v>
      </c>
      <c r="R105" s="240">
        <f t="shared" ca="1" si="41"/>
        <v>5</v>
      </c>
      <c r="S105" s="238">
        <f t="shared" ca="1" si="42"/>
        <v>0</v>
      </c>
      <c r="T105" s="239">
        <f t="shared" si="43"/>
        <v>0</v>
      </c>
      <c r="U105" s="240">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2.95" customHeight="1" x14ac:dyDescent="0.2">
      <c r="A106" s="255" t="str">
        <f ca="1">IF(ISBLANK('Tournament Info'!$B$11),"",INDIRECT(ADDRESS(ROW(),2,1,1,"Optimal Seating "&amp;'Tournament Info'!$B$11-1&amp;"R+F")))</f>
        <v/>
      </c>
      <c r="B106" s="256" t="str">
        <f ca="1">IF(ISNUMBER(A106),VLOOKUP(A106,Methuselahs!$A$7:$E$206,2,0),"")</f>
        <v/>
      </c>
      <c r="C106" s="257" t="str">
        <f ca="1">IF(ISNUMBER(A106),VLOOKUP(A106,Methuselahs!$A$7:$E$206,3,0),"")</f>
        <v/>
      </c>
      <c r="D106" s="258" t="str">
        <f t="shared" ca="1" si="36"/>
        <v/>
      </c>
      <c r="E106" s="259"/>
      <c r="F106" s="398">
        <f t="shared" si="37"/>
        <v>0</v>
      </c>
      <c r="G106" s="244" t="str">
        <f t="shared" ca="1" si="38"/>
        <v/>
      </c>
      <c r="H106" s="245" t="str">
        <f ca="1">IF(ISNUMBER(A106),IF(OR($S106=$U106,NOT(ISNA(MATCH($D106*5+$V$4,Override!$C$6:$C$125,0)))),$Q106,0),"")</f>
        <v/>
      </c>
      <c r="I106" s="396" t="str">
        <f t="shared" ca="1" si="39"/>
        <v/>
      </c>
      <c r="J106" s="260">
        <f ca="1">COUNT(A102:A106)</f>
        <v>0</v>
      </c>
      <c r="K106" s="261" t="str">
        <f ca="1">IF(ISNUMBER(A106),RANK(F106,F102:F106),"")</f>
        <v/>
      </c>
      <c r="L106" s="262">
        <f ca="1">IF(J106=5,VLOOKUP(K106,TPMatrix!$A$6:$B$10,2,0),IF(J106=4,VLOOKUP(K106,TPMatrix!$D$6:$E$9,2,0),0))</f>
        <v>0</v>
      </c>
      <c r="M106" s="262">
        <f ca="1">IF(COUNTIF(K102:K106,K106)&gt;=2,IF(J106=5,VLOOKUP(K106+1,TPMatrix!$A$6:$B$10,2,0),IF(J106=4,VLOOKUP(K106+1,TPMatrix!$D$6:$E$9,2,0),0)),"")</f>
        <v>0</v>
      </c>
      <c r="N106" s="262">
        <f ca="1">IF(COUNTIF(K102:K106,K106)&gt;=3,IF(J106=5,VLOOKUP(K106+2,TPMatrix!$A$6:$B$10,2,0),IF(J106=4,VLOOKUP(K106+2,TPMatrix!$D$6:$E$9,2,0),0)),"")</f>
        <v>0</v>
      </c>
      <c r="O106" s="262">
        <f ca="1">IF(COUNTIF(K102:K106,K106)&gt;=4,IF(J106=5,VLOOKUP(K106+3,TPMatrix!$A$6:$B$10,2,0),IF(J106=4,VLOOKUP(K106+3,TPMatrix!$D$6:$E$9,2,0),0)),"")</f>
        <v>0</v>
      </c>
      <c r="P106" s="262">
        <f ca="1">IF(COUNTIF(K102:K106,K106)&gt;=5,IF(J106=5,VLOOKUP(K106+4,TPMatrix!$A$6:$B$10,2,0),IF(J106=4,VLOOKUP(K106+4,TPMatrix!$D$6:$E$9,2,0),0)),"")</f>
        <v>0</v>
      </c>
      <c r="Q106" s="262">
        <f t="shared" ca="1" si="40"/>
        <v>0</v>
      </c>
      <c r="R106" s="263">
        <f t="shared" ca="1" si="41"/>
        <v>5</v>
      </c>
      <c r="S106" s="261">
        <f t="shared" ca="1" si="42"/>
        <v>0</v>
      </c>
      <c r="T106" s="262">
        <f t="shared" si="43"/>
        <v>0</v>
      </c>
      <c r="U106" s="263">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2.95" customHeight="1" x14ac:dyDescent="0.2">
      <c r="A107" s="219" t="str">
        <f ca="1">IF(ISBLANK('Tournament Info'!$B$11),"",INDIRECT(ADDRESS(ROW(),2,1,1,"Optimal Seating "&amp;'Tournament Info'!$B$11-1&amp;"R+F")))</f>
        <v/>
      </c>
      <c r="B107" s="143" t="str">
        <f ca="1">IF(ISNUMBER(A107),VLOOKUP(A107,Methuselahs!$A$7:$E$206,2,0),"")</f>
        <v/>
      </c>
      <c r="C107" s="220" t="str">
        <f ca="1">IF(ISNUMBER(A107),VLOOKUP(A107,Methuselahs!$A$7:$E$206,3,0),"")</f>
        <v/>
      </c>
      <c r="D107" s="221" t="str">
        <f t="shared" ca="1" si="36"/>
        <v/>
      </c>
      <c r="E107" s="222"/>
      <c r="F107" s="393">
        <f t="shared" si="37"/>
        <v>0</v>
      </c>
      <c r="G107" s="223" t="str">
        <f t="shared" ca="1" si="38"/>
        <v/>
      </c>
      <c r="H107" s="224" t="str">
        <f ca="1">IF(ISNUMBER(A107),IF(OR($S107=$U107,NOT(ISNA(MATCH($D107*5+$V$4,Override!$C$6:$C$125,0)))),$Q107,0),"")</f>
        <v/>
      </c>
      <c r="I107" s="394" t="str">
        <f t="shared" ca="1" si="39"/>
        <v/>
      </c>
      <c r="J107" s="225">
        <f ca="1">COUNT(A107:A111)</f>
        <v>0</v>
      </c>
      <c r="K107" s="226" t="str">
        <f ca="1">IF(ISNUMBER(A107),RANK(F107,F107:F111),"")</f>
        <v/>
      </c>
      <c r="L107" s="227">
        <f ca="1">IF(J107=5,VLOOKUP(K107,TPMatrix!$A$6:$B$10,2,0),IF(J107=4,VLOOKUP(K107,TPMatrix!$D$6:$E$9,2,0),0))</f>
        <v>0</v>
      </c>
      <c r="M107" s="227">
        <f ca="1">IF(COUNTIF(K107:K111,K107)&gt;=2,IF(J107=5,VLOOKUP(K107+1,TPMatrix!$A$6:$B$10,2,0),IF(J107=4,VLOOKUP(K107+1,TPMatrix!$D$6:$E$9,2,0),0)),"")</f>
        <v>0</v>
      </c>
      <c r="N107" s="227">
        <f ca="1">IF(COUNTIF(K107:K111,K107)&gt;=3,IF(J107=5,VLOOKUP(K107+2,TPMatrix!$A$6:$B$10,2,0),IF(J107=4,VLOOKUP(K107+2,TPMatrix!$D$6:$E$9,2,0),0)),"")</f>
        <v>0</v>
      </c>
      <c r="O107" s="227">
        <f ca="1">IF(COUNTIF(K107:K111,K107)&gt;=4,IF(J107=5,VLOOKUP(K107+3,TPMatrix!$A$6:$B$10,2,0),IF(J107=4,VLOOKUP(K107+3,TPMatrix!$D$6:$E$9,2,0),0)),"")</f>
        <v>0</v>
      </c>
      <c r="P107" s="227">
        <f ca="1">IF(COUNTIF(K107:K111,K107)&gt;=5,IF(J107=5,VLOOKUP(K107+4,TPMatrix!$A$6:$B$10,2,0),IF(J107=4,VLOOKUP(K107+4,TPMatrix!$D$6:$E$9,2,0),0)),"")</f>
        <v>0</v>
      </c>
      <c r="Q107" s="227">
        <f t="shared" ca="1" si="40"/>
        <v>0</v>
      </c>
      <c r="R107" s="228">
        <f t="shared" ca="1" si="41"/>
        <v>5</v>
      </c>
      <c r="S107" s="229">
        <f t="shared" ca="1" si="42"/>
        <v>0</v>
      </c>
      <c r="T107" s="230">
        <f t="shared" si="43"/>
        <v>0</v>
      </c>
      <c r="U107" s="231">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2.95" customHeight="1" x14ac:dyDescent="0.2">
      <c r="A108" s="111" t="str">
        <f ca="1">IF(ISBLANK('Tournament Info'!$B$11),"",INDIRECT(ADDRESS(ROW(),2,1,1,"Optimal Seating "&amp;'Tournament Info'!$B$11-1&amp;"R+F")))</f>
        <v/>
      </c>
      <c r="B108" s="117" t="str">
        <f ca="1">IF(ISNUMBER(A108),VLOOKUP(A108,Methuselahs!$A$7:$E$206,2,0),"")</f>
        <v/>
      </c>
      <c r="C108" s="232" t="str">
        <f ca="1">IF(ISNUMBER(A108),VLOOKUP(A108,Methuselahs!$A$7:$E$206,3,0),"")</f>
        <v/>
      </c>
      <c r="D108" s="233" t="str">
        <f t="shared" ca="1" si="36"/>
        <v/>
      </c>
      <c r="E108" s="234"/>
      <c r="F108" s="118">
        <f t="shared" si="37"/>
        <v>0</v>
      </c>
      <c r="G108" s="235" t="str">
        <f t="shared" ca="1" si="38"/>
        <v/>
      </c>
      <c r="H108" s="236" t="str">
        <f ca="1">IF(ISNUMBER(A108),IF(OR($S108=$U108,NOT(ISNA(MATCH($D108*5+$V$4,Override!$C$6:$C$125,0)))),$Q108,0),"")</f>
        <v/>
      </c>
      <c r="I108" s="395" t="str">
        <f t="shared" ca="1" si="39"/>
        <v/>
      </c>
      <c r="J108" s="237">
        <f ca="1">COUNT(A107:A111)</f>
        <v>0</v>
      </c>
      <c r="K108" s="238" t="str">
        <f ca="1">IF(ISNUMBER(A108),RANK(F108,F107:F111),"")</f>
        <v/>
      </c>
      <c r="L108" s="239">
        <f ca="1">IF(J108=5,VLOOKUP(K108,TPMatrix!$A$6:$B$10,2,0),IF(J108=4,VLOOKUP(K108,TPMatrix!$D$6:$E$9,2,0),0))</f>
        <v>0</v>
      </c>
      <c r="M108" s="239">
        <f ca="1">IF(COUNTIF(K107:K111,K108)&gt;=2,IF(J108=5,VLOOKUP(K108+1,TPMatrix!$A$6:$B$10,2,0),IF(J108=4,VLOOKUP(K108+1,TPMatrix!$D$6:$E$9,2,0),0)),"")</f>
        <v>0</v>
      </c>
      <c r="N108" s="239">
        <f ca="1">IF(COUNTIF(K107:K111,K108)&gt;=3,IF(J108=5,VLOOKUP(K108+2,TPMatrix!$A$6:$B$10,2,0),IF(J108=4,VLOOKUP(K108+2,TPMatrix!$D$6:$E$9,2,0),0)),"")</f>
        <v>0</v>
      </c>
      <c r="O108" s="239">
        <f ca="1">IF(COUNTIF(K107:K111,K108)&gt;=4,IF(J108=5,VLOOKUP(K108+3,TPMatrix!$A$6:$B$10,2,0),IF(J108=4,VLOOKUP(K108+3,TPMatrix!$D$6:$E$9,2,0),0)),"")</f>
        <v>0</v>
      </c>
      <c r="P108" s="239">
        <f ca="1">IF(COUNTIF(K107:K111,K108)&gt;=5,IF(J108=5,VLOOKUP(K108+4,TPMatrix!$A$6:$B$10,2,0),IF(J108=4,VLOOKUP(K108+4,TPMatrix!$D$6:$E$9,2,0),0)),"")</f>
        <v>0</v>
      </c>
      <c r="Q108" s="239">
        <f t="shared" ca="1" si="40"/>
        <v>0</v>
      </c>
      <c r="R108" s="240">
        <f t="shared" ca="1" si="41"/>
        <v>5</v>
      </c>
      <c r="S108" s="238">
        <f t="shared" ca="1" si="42"/>
        <v>0</v>
      </c>
      <c r="T108" s="239">
        <f t="shared" si="43"/>
        <v>0</v>
      </c>
      <c r="U108" s="240">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2.95" customHeight="1" x14ac:dyDescent="0.2">
      <c r="A109" s="137" t="str">
        <f ca="1">IF(ISBLANK('Tournament Info'!$B$11),"",INDIRECT(ADDRESS(ROW(),2,1,1,"Optimal Seating "&amp;'Tournament Info'!$B$11-1&amp;"R+F")))</f>
        <v/>
      </c>
      <c r="B109" s="143" t="str">
        <f ca="1">IF(ISNUMBER(A109),VLOOKUP(A109,Methuselahs!$A$7:$E$206,2,0),"")</f>
        <v/>
      </c>
      <c r="C109" s="241" t="str">
        <f ca="1">IF(ISNUMBER(A109),VLOOKUP(A109,Methuselahs!$A$7:$E$206,3,0),"")</f>
        <v/>
      </c>
      <c r="D109" s="242" t="str">
        <f t="shared" ca="1" si="36"/>
        <v/>
      </c>
      <c r="E109" s="243"/>
      <c r="F109" s="144">
        <f t="shared" si="37"/>
        <v>0</v>
      </c>
      <c r="G109" s="244" t="str">
        <f t="shared" ca="1" si="38"/>
        <v/>
      </c>
      <c r="H109" s="245" t="str">
        <f ca="1">IF(ISNUMBER(A109),IF(OR($S109=$U109,NOT(ISNA(MATCH($D109*5+$V$4,Override!$C$6:$C$125,0)))),$Q109,0),"")</f>
        <v/>
      </c>
      <c r="I109" s="396" t="str">
        <f t="shared" ca="1" si="39"/>
        <v/>
      </c>
      <c r="J109" s="246">
        <f ca="1">COUNT(A107:A111)</f>
        <v>0</v>
      </c>
      <c r="K109" s="247" t="str">
        <f ca="1">IF(ISNUMBER(A109),RANK(F109,F107:F111),"")</f>
        <v/>
      </c>
      <c r="L109" s="142">
        <f ca="1">IF(J109=5,VLOOKUP(K109,TPMatrix!$A$6:$B$10,2,0),IF(J109=4,VLOOKUP(K109,TPMatrix!$D$6:$E$9,2,0),0))</f>
        <v>0</v>
      </c>
      <c r="M109" s="142">
        <f ca="1">IF(COUNTIF(K107:K111,K109)&gt;=2,IF(J109=5,VLOOKUP(K109+1,TPMatrix!$A$6:$B$10,2,0),IF(J109=4,VLOOKUP(K109+1,TPMatrix!$D$6:$E$9,2,0),0)),"")</f>
        <v>0</v>
      </c>
      <c r="N109" s="142">
        <f ca="1">IF(COUNTIF(K107:K111,K109)&gt;=3,IF(J109=5,VLOOKUP(K109+2,TPMatrix!$A$6:$B$10,2,0),IF(J109=4,VLOOKUP(K109+2,TPMatrix!$D$6:$E$9,2,0),0)),"")</f>
        <v>0</v>
      </c>
      <c r="O109" s="142">
        <f ca="1">IF(COUNTIF(K107:K111,K109)&gt;=4,IF(J109=5,VLOOKUP(K109+3,TPMatrix!$A$6:$B$10,2,0),IF(J109=4,VLOOKUP(K109+3,TPMatrix!$D$6:$E$9,2,0),0)),"")</f>
        <v>0</v>
      </c>
      <c r="P109" s="142">
        <f ca="1">IF(COUNTIF(K107:K111,K109)&gt;=5,IF(J109=5,VLOOKUP(K109+4,TPMatrix!$A$6:$B$10,2,0),IF(J109=4,VLOOKUP(K109+4,TPMatrix!$D$6:$E$9,2,0),0)),"")</f>
        <v>0</v>
      </c>
      <c r="Q109" s="142">
        <f t="shared" ca="1" si="40"/>
        <v>0</v>
      </c>
      <c r="R109" s="248">
        <f t="shared" ca="1" si="41"/>
        <v>5</v>
      </c>
      <c r="S109" s="247">
        <f t="shared" ca="1" si="42"/>
        <v>0</v>
      </c>
      <c r="T109" s="142">
        <f t="shared" si="43"/>
        <v>0</v>
      </c>
      <c r="U109" s="248">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2.95" customHeight="1" x14ac:dyDescent="0.2">
      <c r="A110" s="249" t="str">
        <f ca="1">IF(ISBLANK('Tournament Info'!$B$11),"",INDIRECT(ADDRESS(ROW(),2,1,1,"Optimal Seating "&amp;'Tournament Info'!$B$11-1&amp;"R+F")))</f>
        <v/>
      </c>
      <c r="B110" s="250" t="str">
        <f ca="1">IF(ISNUMBER(A110),VLOOKUP(A110,Methuselahs!$A$7:$E$206,2,0),"")</f>
        <v/>
      </c>
      <c r="C110" s="251" t="str">
        <f ca="1">IF(ISNUMBER(A110),VLOOKUP(A110,Methuselahs!$A$7:$E$206,3,0),"")</f>
        <v/>
      </c>
      <c r="D110" s="252" t="str">
        <f t="shared" ca="1" si="36"/>
        <v/>
      </c>
      <c r="E110" s="253"/>
      <c r="F110" s="397">
        <f t="shared" si="37"/>
        <v>0</v>
      </c>
      <c r="G110" s="235" t="str">
        <f t="shared" ca="1" si="38"/>
        <v/>
      </c>
      <c r="H110" s="236" t="str">
        <f ca="1">IF(ISNUMBER(A110),IF(OR($S110=$U110,NOT(ISNA(MATCH($D110*5+$V$4,Override!$C$6:$C$125,0)))),$Q110,0),"")</f>
        <v/>
      </c>
      <c r="I110" s="395" t="str">
        <f t="shared" ca="1" si="39"/>
        <v/>
      </c>
      <c r="J110" s="254">
        <f ca="1">COUNT(A107:A111)</f>
        <v>0</v>
      </c>
      <c r="K110" s="238" t="str">
        <f ca="1">IF(ISNUMBER(A110),RANK(F110,F107:F111),"")</f>
        <v/>
      </c>
      <c r="L110" s="239">
        <f ca="1">IF(J110=5,VLOOKUP(K110,TPMatrix!$A$6:$B$10,2,0),IF(J110=4,VLOOKUP(K110,TPMatrix!$D$6:$E$9,2,0),0))</f>
        <v>0</v>
      </c>
      <c r="M110" s="239">
        <f ca="1">IF(COUNTIF(K107:K111,K110)&gt;=2,IF(J110=5,VLOOKUP(K110+1,TPMatrix!$A$6:$B$10,2,0),IF(J110=4,VLOOKUP(K110+1,TPMatrix!$D$6:$E$9,2,0),0)),"")</f>
        <v>0</v>
      </c>
      <c r="N110" s="239">
        <f ca="1">IF(COUNTIF(K107:K111,K110)&gt;=3,IF(J110=5,VLOOKUP(K110+2,TPMatrix!$A$6:$B$10,2,0),IF(J110=4,VLOOKUP(K110+2,TPMatrix!$D$6:$E$9,2,0),0)),"")</f>
        <v>0</v>
      </c>
      <c r="O110" s="239">
        <f ca="1">IF(COUNTIF(K107:K111,K110)&gt;=4,IF(J110=5,VLOOKUP(K110+3,TPMatrix!$A$6:$B$10,2,0),IF(J110=4,VLOOKUP(K110+3,TPMatrix!$D$6:$E$9,2,0),0)),"")</f>
        <v>0</v>
      </c>
      <c r="P110" s="239">
        <f ca="1">IF(COUNTIF(K107:K111,K110)&gt;=5,IF(J110=5,VLOOKUP(K110+4,TPMatrix!$A$6:$B$10,2,0),IF(J110=4,VLOOKUP(K110+4,TPMatrix!$D$6:$E$9,2,0),0)),"")</f>
        <v>0</v>
      </c>
      <c r="Q110" s="239">
        <f t="shared" ca="1" si="40"/>
        <v>0</v>
      </c>
      <c r="R110" s="240">
        <f t="shared" ca="1" si="41"/>
        <v>5</v>
      </c>
      <c r="S110" s="238">
        <f t="shared" ca="1" si="42"/>
        <v>0</v>
      </c>
      <c r="T110" s="239">
        <f t="shared" si="43"/>
        <v>0</v>
      </c>
      <c r="U110" s="240">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2.95" customHeight="1" x14ac:dyDescent="0.2">
      <c r="A111" s="255" t="str">
        <f ca="1">IF(ISBLANK('Tournament Info'!$B$11),"",INDIRECT(ADDRESS(ROW(),2,1,1,"Optimal Seating "&amp;'Tournament Info'!$B$11-1&amp;"R+F")))</f>
        <v/>
      </c>
      <c r="B111" s="256" t="str">
        <f ca="1">IF(ISNUMBER(A111),VLOOKUP(A111,Methuselahs!$A$7:$E$206,2,0),"")</f>
        <v/>
      </c>
      <c r="C111" s="257" t="str">
        <f ca="1">IF(ISNUMBER(A111),VLOOKUP(A111,Methuselahs!$A$7:$E$206,3,0),"")</f>
        <v/>
      </c>
      <c r="D111" s="258" t="str">
        <f t="shared" ca="1" si="36"/>
        <v/>
      </c>
      <c r="E111" s="259"/>
      <c r="F111" s="398">
        <f t="shared" si="37"/>
        <v>0</v>
      </c>
      <c r="G111" s="244" t="str">
        <f t="shared" ca="1" si="38"/>
        <v/>
      </c>
      <c r="H111" s="245" t="str">
        <f ca="1">IF(ISNUMBER(A111),IF(OR($S111=$U111,NOT(ISNA(MATCH($D111*5+$V$4,Override!$C$6:$C$125,0)))),$Q111,0),"")</f>
        <v/>
      </c>
      <c r="I111" s="396" t="str">
        <f t="shared" ca="1" si="39"/>
        <v/>
      </c>
      <c r="J111" s="260">
        <f ca="1">COUNT(A107:A111)</f>
        <v>0</v>
      </c>
      <c r="K111" s="261" t="str">
        <f ca="1">IF(ISNUMBER(A111),RANK(F111,F107:F111),"")</f>
        <v/>
      </c>
      <c r="L111" s="262">
        <f ca="1">IF(J111=5,VLOOKUP(K111,TPMatrix!$A$6:$B$10,2,0),IF(J111=4,VLOOKUP(K111,TPMatrix!$D$6:$E$9,2,0),0))</f>
        <v>0</v>
      </c>
      <c r="M111" s="262">
        <f ca="1">IF(COUNTIF(K107:K111,K111)&gt;=2,IF(J111=5,VLOOKUP(K111+1,TPMatrix!$A$6:$B$10,2,0),IF(J111=4,VLOOKUP(K111+1,TPMatrix!$D$6:$E$9,2,0),0)),"")</f>
        <v>0</v>
      </c>
      <c r="N111" s="262">
        <f ca="1">IF(COUNTIF(K107:K111,K111)&gt;=3,IF(J111=5,VLOOKUP(K111+2,TPMatrix!$A$6:$B$10,2,0),IF(J111=4,VLOOKUP(K111+2,TPMatrix!$D$6:$E$9,2,0),0)),"")</f>
        <v>0</v>
      </c>
      <c r="O111" s="262">
        <f ca="1">IF(COUNTIF(K107:K111,K111)&gt;=4,IF(J111=5,VLOOKUP(K111+3,TPMatrix!$A$6:$B$10,2,0),IF(J111=4,VLOOKUP(K111+3,TPMatrix!$D$6:$E$9,2,0),0)),"")</f>
        <v>0</v>
      </c>
      <c r="P111" s="262">
        <f ca="1">IF(COUNTIF(K107:K111,K111)&gt;=5,IF(J111=5,VLOOKUP(K111+4,TPMatrix!$A$6:$B$10,2,0),IF(J111=4,VLOOKUP(K111+4,TPMatrix!$D$6:$E$9,2,0),0)),"")</f>
        <v>0</v>
      </c>
      <c r="Q111" s="262">
        <f t="shared" ca="1" si="40"/>
        <v>0</v>
      </c>
      <c r="R111" s="263">
        <f t="shared" ca="1" si="41"/>
        <v>5</v>
      </c>
      <c r="S111" s="261">
        <f t="shared" ca="1" si="42"/>
        <v>0</v>
      </c>
      <c r="T111" s="262">
        <f t="shared" si="43"/>
        <v>0</v>
      </c>
      <c r="U111" s="263">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2.95" customHeight="1" x14ac:dyDescent="0.2">
      <c r="A112" s="219" t="str">
        <f ca="1">IF(ISBLANK('Tournament Info'!$B$11),"",INDIRECT(ADDRESS(ROW(),2,1,1,"Optimal Seating "&amp;'Tournament Info'!$B$11-1&amp;"R+F")))</f>
        <v/>
      </c>
      <c r="B112" s="143" t="str">
        <f ca="1">IF(ISNUMBER(A112),VLOOKUP(A112,Methuselahs!$A$7:$E$206,2,0),"")</f>
        <v/>
      </c>
      <c r="C112" s="220" t="str">
        <f ca="1">IF(ISNUMBER(A112),VLOOKUP(A112,Methuselahs!$A$7:$E$206,3,0),"")</f>
        <v/>
      </c>
      <c r="D112" s="221" t="str">
        <f t="shared" ca="1" si="36"/>
        <v/>
      </c>
      <c r="E112" s="222"/>
      <c r="F112" s="393">
        <f t="shared" si="37"/>
        <v>0</v>
      </c>
      <c r="G112" s="223" t="str">
        <f t="shared" ca="1" si="38"/>
        <v/>
      </c>
      <c r="H112" s="224" t="str">
        <f ca="1">IF(ISNUMBER(A112),IF(OR($S112=$U112,NOT(ISNA(MATCH($D112*5+$V$4,Override!$C$6:$C$125,0)))),$Q112,0),"")</f>
        <v/>
      </c>
      <c r="I112" s="394" t="str">
        <f t="shared" ca="1" si="39"/>
        <v/>
      </c>
      <c r="J112" s="225">
        <f ca="1">COUNT(A112:A116)</f>
        <v>0</v>
      </c>
      <c r="K112" s="226" t="str">
        <f ca="1">IF(ISNUMBER(A112),RANK(F112,F112:F116),"")</f>
        <v/>
      </c>
      <c r="L112" s="227">
        <f ca="1">IF(J112=5,VLOOKUP(K112,TPMatrix!$A$6:$B$10,2,0),IF(J112=4,VLOOKUP(K112,TPMatrix!$D$6:$E$9,2,0),0))</f>
        <v>0</v>
      </c>
      <c r="M112" s="227">
        <f ca="1">IF(COUNTIF(K112:K116,K112)&gt;=2,IF(J112=5,VLOOKUP(K112+1,TPMatrix!$A$6:$B$10,2,0),IF(J112=4,VLOOKUP(K112+1,TPMatrix!$D$6:$E$9,2,0),0)),"")</f>
        <v>0</v>
      </c>
      <c r="N112" s="227">
        <f ca="1">IF(COUNTIF(K112:K116,K112)&gt;=3,IF(J112=5,VLOOKUP(K112+2,TPMatrix!$A$6:$B$10,2,0),IF(J112=4,VLOOKUP(K112+2,TPMatrix!$D$6:$E$9,2,0),0)),"")</f>
        <v>0</v>
      </c>
      <c r="O112" s="227">
        <f ca="1">IF(COUNTIF(K112:K116,K112)&gt;=4,IF(J112=5,VLOOKUP(K112+3,TPMatrix!$A$6:$B$10,2,0),IF(J112=4,VLOOKUP(K112+3,TPMatrix!$D$6:$E$9,2,0),0)),"")</f>
        <v>0</v>
      </c>
      <c r="P112" s="227">
        <f ca="1">IF(COUNTIF(K112:K116,K112)&gt;=5,IF(J112=5,VLOOKUP(K112+4,TPMatrix!$A$6:$B$10,2,0),IF(J112=4,VLOOKUP(K112+4,TPMatrix!$D$6:$E$9,2,0),0)),"")</f>
        <v>0</v>
      </c>
      <c r="Q112" s="227">
        <f t="shared" ca="1" si="40"/>
        <v>0</v>
      </c>
      <c r="R112" s="228">
        <f t="shared" ca="1" si="41"/>
        <v>5</v>
      </c>
      <c r="S112" s="229">
        <f t="shared" ca="1" si="42"/>
        <v>0</v>
      </c>
      <c r="T112" s="230">
        <f t="shared" si="43"/>
        <v>0</v>
      </c>
      <c r="U112" s="231">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2.95" customHeight="1" x14ac:dyDescent="0.2">
      <c r="A113" s="111" t="str">
        <f ca="1">IF(ISBLANK('Tournament Info'!$B$11),"",INDIRECT(ADDRESS(ROW(),2,1,1,"Optimal Seating "&amp;'Tournament Info'!$B$11-1&amp;"R+F")))</f>
        <v/>
      </c>
      <c r="B113" s="117" t="str">
        <f ca="1">IF(ISNUMBER(A113),VLOOKUP(A113,Methuselahs!$A$7:$E$206,2,0),"")</f>
        <v/>
      </c>
      <c r="C113" s="232" t="str">
        <f ca="1">IF(ISNUMBER(A113),VLOOKUP(A113,Methuselahs!$A$7:$E$206,3,0),"")</f>
        <v/>
      </c>
      <c r="D113" s="233" t="str">
        <f t="shared" ca="1" si="36"/>
        <v/>
      </c>
      <c r="E113" s="234"/>
      <c r="F113" s="118">
        <f t="shared" si="37"/>
        <v>0</v>
      </c>
      <c r="G113" s="235" t="str">
        <f t="shared" ca="1" si="38"/>
        <v/>
      </c>
      <c r="H113" s="236" t="str">
        <f ca="1">IF(ISNUMBER(A113),IF(OR($S113=$U113,NOT(ISNA(MATCH($D113*5+$V$4,Override!$C$6:$C$125,0)))),$Q113,0),"")</f>
        <v/>
      </c>
      <c r="I113" s="395" t="str">
        <f t="shared" ca="1" si="39"/>
        <v/>
      </c>
      <c r="J113" s="237">
        <f ca="1">COUNT(A112:A116)</f>
        <v>0</v>
      </c>
      <c r="K113" s="238" t="str">
        <f ca="1">IF(ISNUMBER(A113),RANK(F113,F112:F116),"")</f>
        <v/>
      </c>
      <c r="L113" s="239">
        <f ca="1">IF(J113=5,VLOOKUP(K113,TPMatrix!$A$6:$B$10,2,0),IF(J113=4,VLOOKUP(K113,TPMatrix!$D$6:$E$9,2,0),0))</f>
        <v>0</v>
      </c>
      <c r="M113" s="239">
        <f ca="1">IF(COUNTIF(K112:K116,K113)&gt;=2,IF(J113=5,VLOOKUP(K113+1,TPMatrix!$A$6:$B$10,2,0),IF(J113=4,VLOOKUP(K113+1,TPMatrix!$D$6:$E$9,2,0),0)),"")</f>
        <v>0</v>
      </c>
      <c r="N113" s="239">
        <f ca="1">IF(COUNTIF(K112:K116,K113)&gt;=3,IF(J113=5,VLOOKUP(K113+2,TPMatrix!$A$6:$B$10,2,0),IF(J113=4,VLOOKUP(K113+2,TPMatrix!$D$6:$E$9,2,0),0)),"")</f>
        <v>0</v>
      </c>
      <c r="O113" s="239">
        <f ca="1">IF(COUNTIF(K112:K116,K113)&gt;=4,IF(J113=5,VLOOKUP(K113+3,TPMatrix!$A$6:$B$10,2,0),IF(J113=4,VLOOKUP(K113+3,TPMatrix!$D$6:$E$9,2,0),0)),"")</f>
        <v>0</v>
      </c>
      <c r="P113" s="239">
        <f ca="1">IF(COUNTIF(K112:K116,K113)&gt;=5,IF(J113=5,VLOOKUP(K113+4,TPMatrix!$A$6:$B$10,2,0),IF(J113=4,VLOOKUP(K113+4,TPMatrix!$D$6:$E$9,2,0),0)),"")</f>
        <v>0</v>
      </c>
      <c r="Q113" s="239">
        <f t="shared" ca="1" si="40"/>
        <v>0</v>
      </c>
      <c r="R113" s="240">
        <f t="shared" ca="1" si="41"/>
        <v>5</v>
      </c>
      <c r="S113" s="238">
        <f t="shared" ca="1" si="42"/>
        <v>0</v>
      </c>
      <c r="T113" s="239">
        <f t="shared" si="43"/>
        <v>0</v>
      </c>
      <c r="U113" s="240">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2.95" customHeight="1" x14ac:dyDescent="0.2">
      <c r="A114" s="137" t="str">
        <f ca="1">IF(ISBLANK('Tournament Info'!$B$11),"",INDIRECT(ADDRESS(ROW(),2,1,1,"Optimal Seating "&amp;'Tournament Info'!$B$11-1&amp;"R+F")))</f>
        <v/>
      </c>
      <c r="B114" s="143" t="str">
        <f ca="1">IF(ISNUMBER(A114),VLOOKUP(A114,Methuselahs!$A$7:$E$206,2,0),"")</f>
        <v/>
      </c>
      <c r="C114" s="241" t="str">
        <f ca="1">IF(ISNUMBER(A114),VLOOKUP(A114,Methuselahs!$A$7:$E$206,3,0),"")</f>
        <v/>
      </c>
      <c r="D114" s="242" t="str">
        <f t="shared" ca="1" si="36"/>
        <v/>
      </c>
      <c r="E114" s="243"/>
      <c r="F114" s="144">
        <f t="shared" si="37"/>
        <v>0</v>
      </c>
      <c r="G114" s="244" t="str">
        <f t="shared" ca="1" si="38"/>
        <v/>
      </c>
      <c r="H114" s="245" t="str">
        <f ca="1">IF(ISNUMBER(A114),IF(OR($S114=$U114,NOT(ISNA(MATCH($D114*5+$V$4,Override!$C$6:$C$125,0)))),$Q114,0),"")</f>
        <v/>
      </c>
      <c r="I114" s="396" t="str">
        <f t="shared" ca="1" si="39"/>
        <v/>
      </c>
      <c r="J114" s="246">
        <f ca="1">COUNT(A112:A116)</f>
        <v>0</v>
      </c>
      <c r="K114" s="247" t="str">
        <f ca="1">IF(ISNUMBER(A114),RANK(F114,F112:F116),"")</f>
        <v/>
      </c>
      <c r="L114" s="142">
        <f ca="1">IF(J114=5,VLOOKUP(K114,TPMatrix!$A$6:$B$10,2,0),IF(J114=4,VLOOKUP(K114,TPMatrix!$D$6:$E$9,2,0),0))</f>
        <v>0</v>
      </c>
      <c r="M114" s="142">
        <f ca="1">IF(COUNTIF(K112:K116,K114)&gt;=2,IF(J114=5,VLOOKUP(K114+1,TPMatrix!$A$6:$B$10,2,0),IF(J114=4,VLOOKUP(K114+1,TPMatrix!$D$6:$E$9,2,0),0)),"")</f>
        <v>0</v>
      </c>
      <c r="N114" s="142">
        <f ca="1">IF(COUNTIF(K112:K116,K114)&gt;=3,IF(J114=5,VLOOKUP(K114+2,TPMatrix!$A$6:$B$10,2,0),IF(J114=4,VLOOKUP(K114+2,TPMatrix!$D$6:$E$9,2,0),0)),"")</f>
        <v>0</v>
      </c>
      <c r="O114" s="142">
        <f ca="1">IF(COUNTIF(K112:K116,K114)&gt;=4,IF(J114=5,VLOOKUP(K114+3,TPMatrix!$A$6:$B$10,2,0),IF(J114=4,VLOOKUP(K114+3,TPMatrix!$D$6:$E$9,2,0),0)),"")</f>
        <v>0</v>
      </c>
      <c r="P114" s="142">
        <f ca="1">IF(COUNTIF(K112:K116,K114)&gt;=5,IF(J114=5,VLOOKUP(K114+4,TPMatrix!$A$6:$B$10,2,0),IF(J114=4,VLOOKUP(K114+4,TPMatrix!$D$6:$E$9,2,0),0)),"")</f>
        <v>0</v>
      </c>
      <c r="Q114" s="142">
        <f t="shared" ca="1" si="40"/>
        <v>0</v>
      </c>
      <c r="R114" s="248">
        <f t="shared" ca="1" si="41"/>
        <v>5</v>
      </c>
      <c r="S114" s="247">
        <f t="shared" ca="1" si="42"/>
        <v>0</v>
      </c>
      <c r="T114" s="142">
        <f t="shared" si="43"/>
        <v>0</v>
      </c>
      <c r="U114" s="248">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2.95" customHeight="1" x14ac:dyDescent="0.2">
      <c r="A115" s="249" t="str">
        <f ca="1">IF(ISBLANK('Tournament Info'!$B$11),"",INDIRECT(ADDRESS(ROW(),2,1,1,"Optimal Seating "&amp;'Tournament Info'!$B$11-1&amp;"R+F")))</f>
        <v/>
      </c>
      <c r="B115" s="250" t="str">
        <f ca="1">IF(ISNUMBER(A115),VLOOKUP(A115,Methuselahs!$A$7:$E$206,2,0),"")</f>
        <v/>
      </c>
      <c r="C115" s="251" t="str">
        <f ca="1">IF(ISNUMBER(A115),VLOOKUP(A115,Methuselahs!$A$7:$E$206,3,0),"")</f>
        <v/>
      </c>
      <c r="D115" s="252" t="str">
        <f t="shared" ca="1" si="36"/>
        <v/>
      </c>
      <c r="E115" s="253"/>
      <c r="F115" s="397">
        <f t="shared" si="37"/>
        <v>0</v>
      </c>
      <c r="G115" s="235" t="str">
        <f t="shared" ca="1" si="38"/>
        <v/>
      </c>
      <c r="H115" s="236" t="str">
        <f ca="1">IF(ISNUMBER(A115),IF(OR($S115=$U115,NOT(ISNA(MATCH($D115*5+$V$4,Override!$C$6:$C$125,0)))),$Q115,0),"")</f>
        <v/>
      </c>
      <c r="I115" s="395" t="str">
        <f t="shared" ca="1" si="39"/>
        <v/>
      </c>
      <c r="J115" s="254">
        <f ca="1">COUNT(A112:A116)</f>
        <v>0</v>
      </c>
      <c r="K115" s="238" t="str">
        <f ca="1">IF(ISNUMBER(A115),RANK(F115,F112:F116),"")</f>
        <v/>
      </c>
      <c r="L115" s="239">
        <f ca="1">IF(J115=5,VLOOKUP(K115,TPMatrix!$A$6:$B$10,2,0),IF(J115=4,VLOOKUP(K115,TPMatrix!$D$6:$E$9,2,0),0))</f>
        <v>0</v>
      </c>
      <c r="M115" s="239">
        <f ca="1">IF(COUNTIF(K112:K116,K115)&gt;=2,IF(J115=5,VLOOKUP(K115+1,TPMatrix!$A$6:$B$10,2,0),IF(J115=4,VLOOKUP(K115+1,TPMatrix!$D$6:$E$9,2,0),0)),"")</f>
        <v>0</v>
      </c>
      <c r="N115" s="239">
        <f ca="1">IF(COUNTIF(K112:K116,K115)&gt;=3,IF(J115=5,VLOOKUP(K115+2,TPMatrix!$A$6:$B$10,2,0),IF(J115=4,VLOOKUP(K115+2,TPMatrix!$D$6:$E$9,2,0),0)),"")</f>
        <v>0</v>
      </c>
      <c r="O115" s="239">
        <f ca="1">IF(COUNTIF(K112:K116,K115)&gt;=4,IF(J115=5,VLOOKUP(K115+3,TPMatrix!$A$6:$B$10,2,0),IF(J115=4,VLOOKUP(K115+3,TPMatrix!$D$6:$E$9,2,0),0)),"")</f>
        <v>0</v>
      </c>
      <c r="P115" s="239">
        <f ca="1">IF(COUNTIF(K112:K116,K115)&gt;=5,IF(J115=5,VLOOKUP(K115+4,TPMatrix!$A$6:$B$10,2,0),IF(J115=4,VLOOKUP(K115+4,TPMatrix!$D$6:$E$9,2,0),0)),"")</f>
        <v>0</v>
      </c>
      <c r="Q115" s="239">
        <f t="shared" ca="1" si="40"/>
        <v>0</v>
      </c>
      <c r="R115" s="240">
        <f t="shared" ca="1" si="41"/>
        <v>5</v>
      </c>
      <c r="S115" s="238">
        <f t="shared" ca="1" si="42"/>
        <v>0</v>
      </c>
      <c r="T115" s="239">
        <f t="shared" si="43"/>
        <v>0</v>
      </c>
      <c r="U115" s="240">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2.95" customHeight="1" x14ac:dyDescent="0.2">
      <c r="A116" s="255" t="str">
        <f ca="1">IF(ISBLANK('Tournament Info'!$B$11),"",INDIRECT(ADDRESS(ROW(),2,1,1,"Optimal Seating "&amp;'Tournament Info'!$B$11-1&amp;"R+F")))</f>
        <v/>
      </c>
      <c r="B116" s="256" t="str">
        <f ca="1">IF(ISNUMBER(A116),VLOOKUP(A116,Methuselahs!$A$7:$E$206,2,0),"")</f>
        <v/>
      </c>
      <c r="C116" s="257" t="str">
        <f ca="1">IF(ISNUMBER(A116),VLOOKUP(A116,Methuselahs!$A$7:$E$206,3,0),"")</f>
        <v/>
      </c>
      <c r="D116" s="258" t="str">
        <f t="shared" ca="1" si="36"/>
        <v/>
      </c>
      <c r="E116" s="259"/>
      <c r="F116" s="398">
        <f t="shared" si="37"/>
        <v>0</v>
      </c>
      <c r="G116" s="244" t="str">
        <f t="shared" ca="1" si="38"/>
        <v/>
      </c>
      <c r="H116" s="245" t="str">
        <f ca="1">IF(ISNUMBER(A116),IF(OR($S116=$U116,NOT(ISNA(MATCH($D116*5+$V$4,Override!$C$6:$C$125,0)))),$Q116,0),"")</f>
        <v/>
      </c>
      <c r="I116" s="396" t="str">
        <f t="shared" ca="1" si="39"/>
        <v/>
      </c>
      <c r="J116" s="260">
        <f ca="1">COUNT(A112:A116)</f>
        <v>0</v>
      </c>
      <c r="K116" s="261" t="str">
        <f ca="1">IF(ISNUMBER(A116),RANK(F116,F112:F116),"")</f>
        <v/>
      </c>
      <c r="L116" s="262">
        <f ca="1">IF(J116=5,VLOOKUP(K116,TPMatrix!$A$6:$B$10,2,0),IF(J116=4,VLOOKUP(K116,TPMatrix!$D$6:$E$9,2,0),0))</f>
        <v>0</v>
      </c>
      <c r="M116" s="262">
        <f ca="1">IF(COUNTIF(K112:K116,K116)&gt;=2,IF(J116=5,VLOOKUP(K116+1,TPMatrix!$A$6:$B$10,2,0),IF(J116=4,VLOOKUP(K116+1,TPMatrix!$D$6:$E$9,2,0),0)),"")</f>
        <v>0</v>
      </c>
      <c r="N116" s="262">
        <f ca="1">IF(COUNTIF(K112:K116,K116)&gt;=3,IF(J116=5,VLOOKUP(K116+2,TPMatrix!$A$6:$B$10,2,0),IF(J116=4,VLOOKUP(K116+2,TPMatrix!$D$6:$E$9,2,0),0)),"")</f>
        <v>0</v>
      </c>
      <c r="O116" s="262">
        <f ca="1">IF(COUNTIF(K112:K116,K116)&gt;=4,IF(J116=5,VLOOKUP(K116+3,TPMatrix!$A$6:$B$10,2,0),IF(J116=4,VLOOKUP(K116+3,TPMatrix!$D$6:$E$9,2,0),0)),"")</f>
        <v>0</v>
      </c>
      <c r="P116" s="262">
        <f ca="1">IF(COUNTIF(K112:K116,K116)&gt;=5,IF(J116=5,VLOOKUP(K116+4,TPMatrix!$A$6:$B$10,2,0),IF(J116=4,VLOOKUP(K116+4,TPMatrix!$D$6:$E$9,2,0),0)),"")</f>
        <v>0</v>
      </c>
      <c r="Q116" s="262">
        <f t="shared" ca="1" si="40"/>
        <v>0</v>
      </c>
      <c r="R116" s="263">
        <f t="shared" ca="1" si="41"/>
        <v>5</v>
      </c>
      <c r="S116" s="261">
        <f t="shared" ca="1" si="42"/>
        <v>0</v>
      </c>
      <c r="T116" s="262">
        <f t="shared" si="43"/>
        <v>0</v>
      </c>
      <c r="U116" s="263">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2.95" customHeight="1" x14ac:dyDescent="0.2">
      <c r="A117" s="219" t="str">
        <f ca="1">IF(ISBLANK('Tournament Info'!$B$11),"",INDIRECT(ADDRESS(ROW(),2,1,1,"Optimal Seating "&amp;'Tournament Info'!$B$11-1&amp;"R+F")))</f>
        <v/>
      </c>
      <c r="B117" s="143" t="str">
        <f ca="1">IF(ISNUMBER(A117),VLOOKUP(A117,Methuselahs!$A$7:$E$206,2,0),"")</f>
        <v/>
      </c>
      <c r="C117" s="220" t="str">
        <f ca="1">IF(ISNUMBER(A117),VLOOKUP(A117,Methuselahs!$A$7:$E$206,3,0),"")</f>
        <v/>
      </c>
      <c r="D117" s="221" t="str">
        <f t="shared" ca="1" si="36"/>
        <v/>
      </c>
      <c r="E117" s="222"/>
      <c r="F117" s="393">
        <f t="shared" si="37"/>
        <v>0</v>
      </c>
      <c r="G117" s="223" t="str">
        <f t="shared" ca="1" si="38"/>
        <v/>
      </c>
      <c r="H117" s="224" t="str">
        <f ca="1">IF(ISNUMBER(A117),IF(OR($S117=$U117,NOT(ISNA(MATCH($D117*5+$V$4,Override!$C$6:$C$125,0)))),$Q117,0),"")</f>
        <v/>
      </c>
      <c r="I117" s="394" t="str">
        <f t="shared" ca="1" si="39"/>
        <v/>
      </c>
      <c r="J117" s="225">
        <f ca="1">COUNT(A117:A121)</f>
        <v>0</v>
      </c>
      <c r="K117" s="226" t="str">
        <f ca="1">IF(ISNUMBER(A117),RANK(F117,F117:F121),"")</f>
        <v/>
      </c>
      <c r="L117" s="227">
        <f ca="1">IF(J117=5,VLOOKUP(K117,TPMatrix!$A$6:$B$10,2,0),IF(J117=4,VLOOKUP(K117,TPMatrix!$D$6:$E$9,2,0),0))</f>
        <v>0</v>
      </c>
      <c r="M117" s="227">
        <f ca="1">IF(COUNTIF(K117:K121,K117)&gt;=2,IF(J117=5,VLOOKUP(K117+1,TPMatrix!$A$6:$B$10,2,0),IF(J117=4,VLOOKUP(K117+1,TPMatrix!$D$6:$E$9,2,0),0)),"")</f>
        <v>0</v>
      </c>
      <c r="N117" s="227">
        <f ca="1">IF(COUNTIF(K117:K121,K117)&gt;=3,IF(J117=5,VLOOKUP(K117+2,TPMatrix!$A$6:$B$10,2,0),IF(J117=4,VLOOKUP(K117+2,TPMatrix!$D$6:$E$9,2,0),0)),"")</f>
        <v>0</v>
      </c>
      <c r="O117" s="227">
        <f ca="1">IF(COUNTIF(K117:K121,K117)&gt;=4,IF(J117=5,VLOOKUP(K117+3,TPMatrix!$A$6:$B$10,2,0),IF(J117=4,VLOOKUP(K117+3,TPMatrix!$D$6:$E$9,2,0),0)),"")</f>
        <v>0</v>
      </c>
      <c r="P117" s="227">
        <f ca="1">IF(COUNTIF(K117:K121,K117)&gt;=5,IF(J117=5,VLOOKUP(K117+4,TPMatrix!$A$6:$B$10,2,0),IF(J117=4,VLOOKUP(K117+4,TPMatrix!$D$6:$E$9,2,0),0)),"")</f>
        <v>0</v>
      </c>
      <c r="Q117" s="227">
        <f t="shared" ca="1" si="40"/>
        <v>0</v>
      </c>
      <c r="R117" s="228">
        <f t="shared" ca="1" si="41"/>
        <v>5</v>
      </c>
      <c r="S117" s="229">
        <f t="shared" ca="1" si="42"/>
        <v>0</v>
      </c>
      <c r="T117" s="230">
        <f t="shared" si="43"/>
        <v>0</v>
      </c>
      <c r="U117" s="231">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2.95" customHeight="1" x14ac:dyDescent="0.2">
      <c r="A118" s="111" t="str">
        <f ca="1">IF(ISBLANK('Tournament Info'!$B$11),"",INDIRECT(ADDRESS(ROW(),2,1,1,"Optimal Seating "&amp;'Tournament Info'!$B$11-1&amp;"R+F")))</f>
        <v/>
      </c>
      <c r="B118" s="117" t="str">
        <f ca="1">IF(ISNUMBER(A118),VLOOKUP(A118,Methuselahs!$A$7:$E$206,2,0),"")</f>
        <v/>
      </c>
      <c r="C118" s="232" t="str">
        <f ca="1">IF(ISNUMBER(A118),VLOOKUP(A118,Methuselahs!$A$7:$E$206,3,0),"")</f>
        <v/>
      </c>
      <c r="D118" s="233" t="str">
        <f t="shared" ca="1" si="36"/>
        <v/>
      </c>
      <c r="E118" s="234"/>
      <c r="F118" s="118">
        <f t="shared" si="37"/>
        <v>0</v>
      </c>
      <c r="G118" s="235" t="str">
        <f t="shared" ca="1" si="38"/>
        <v/>
      </c>
      <c r="H118" s="236" t="str">
        <f ca="1">IF(ISNUMBER(A118),IF(OR($S118=$U118,NOT(ISNA(MATCH($D118*5+$V$4,Override!$C$6:$C$125,0)))),$Q118,0),"")</f>
        <v/>
      </c>
      <c r="I118" s="395" t="str">
        <f t="shared" ca="1" si="39"/>
        <v/>
      </c>
      <c r="J118" s="237">
        <f ca="1">COUNT(A117:A121)</f>
        <v>0</v>
      </c>
      <c r="K118" s="238" t="str">
        <f ca="1">IF(ISNUMBER(A118),RANK(F118,F117:F121),"")</f>
        <v/>
      </c>
      <c r="L118" s="239">
        <f ca="1">IF(J118=5,VLOOKUP(K118,TPMatrix!$A$6:$B$10,2,0),IF(J118=4,VLOOKUP(K118,TPMatrix!$D$6:$E$9,2,0),0))</f>
        <v>0</v>
      </c>
      <c r="M118" s="239">
        <f ca="1">IF(COUNTIF(K117:K121,K118)&gt;=2,IF(J118=5,VLOOKUP(K118+1,TPMatrix!$A$6:$B$10,2,0),IF(J118=4,VLOOKUP(K118+1,TPMatrix!$D$6:$E$9,2,0),0)),"")</f>
        <v>0</v>
      </c>
      <c r="N118" s="239">
        <f ca="1">IF(COUNTIF(K117:K121,K118)&gt;=3,IF(J118=5,VLOOKUP(K118+2,TPMatrix!$A$6:$B$10,2,0),IF(J118=4,VLOOKUP(K118+2,TPMatrix!$D$6:$E$9,2,0),0)),"")</f>
        <v>0</v>
      </c>
      <c r="O118" s="239">
        <f ca="1">IF(COUNTIF(K117:K121,K118)&gt;=4,IF(J118=5,VLOOKUP(K118+3,TPMatrix!$A$6:$B$10,2,0),IF(J118=4,VLOOKUP(K118+3,TPMatrix!$D$6:$E$9,2,0),0)),"")</f>
        <v>0</v>
      </c>
      <c r="P118" s="239">
        <f ca="1">IF(COUNTIF(K117:K121,K118)&gt;=5,IF(J118=5,VLOOKUP(K118+4,TPMatrix!$A$6:$B$10,2,0),IF(J118=4,VLOOKUP(K118+4,TPMatrix!$D$6:$E$9,2,0),0)),"")</f>
        <v>0</v>
      </c>
      <c r="Q118" s="239">
        <f t="shared" ca="1" si="40"/>
        <v>0</v>
      </c>
      <c r="R118" s="240">
        <f t="shared" ca="1" si="41"/>
        <v>5</v>
      </c>
      <c r="S118" s="238">
        <f t="shared" ca="1" si="42"/>
        <v>0</v>
      </c>
      <c r="T118" s="239">
        <f t="shared" si="43"/>
        <v>0</v>
      </c>
      <c r="U118" s="240">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2.95" customHeight="1" x14ac:dyDescent="0.2">
      <c r="A119" s="137" t="str">
        <f ca="1">IF(ISBLANK('Tournament Info'!$B$11),"",INDIRECT(ADDRESS(ROW(),2,1,1,"Optimal Seating "&amp;'Tournament Info'!$B$11-1&amp;"R+F")))</f>
        <v/>
      </c>
      <c r="B119" s="143" t="str">
        <f ca="1">IF(ISNUMBER(A119),VLOOKUP(A119,Methuselahs!$A$7:$E$206,2,0),"")</f>
        <v/>
      </c>
      <c r="C119" s="241" t="str">
        <f ca="1">IF(ISNUMBER(A119),VLOOKUP(A119,Methuselahs!$A$7:$E$206,3,0),"")</f>
        <v/>
      </c>
      <c r="D119" s="242" t="str">
        <f t="shared" ca="1" si="36"/>
        <v/>
      </c>
      <c r="E119" s="243"/>
      <c r="F119" s="144">
        <f t="shared" si="37"/>
        <v>0</v>
      </c>
      <c r="G119" s="244" t="str">
        <f t="shared" ca="1" si="38"/>
        <v/>
      </c>
      <c r="H119" s="245" t="str">
        <f ca="1">IF(ISNUMBER(A119),IF(OR($S119=$U119,NOT(ISNA(MATCH($D119*5+$V$4,Override!$C$6:$C$125,0)))),$Q119,0),"")</f>
        <v/>
      </c>
      <c r="I119" s="396" t="str">
        <f t="shared" ca="1" si="39"/>
        <v/>
      </c>
      <c r="J119" s="246">
        <f ca="1">COUNT(A117:A121)</f>
        <v>0</v>
      </c>
      <c r="K119" s="247" t="str">
        <f ca="1">IF(ISNUMBER(A119),RANK(F119,F117:F121),"")</f>
        <v/>
      </c>
      <c r="L119" s="142">
        <f ca="1">IF(J119=5,VLOOKUP(K119,TPMatrix!$A$6:$B$10,2,0),IF(J119=4,VLOOKUP(K119,TPMatrix!$D$6:$E$9,2,0),0))</f>
        <v>0</v>
      </c>
      <c r="M119" s="142">
        <f ca="1">IF(COUNTIF(K117:K121,K119)&gt;=2,IF(J119=5,VLOOKUP(K119+1,TPMatrix!$A$6:$B$10,2,0),IF(J119=4,VLOOKUP(K119+1,TPMatrix!$D$6:$E$9,2,0),0)),"")</f>
        <v>0</v>
      </c>
      <c r="N119" s="142">
        <f ca="1">IF(COUNTIF(K117:K121,K119)&gt;=3,IF(J119=5,VLOOKUP(K119+2,TPMatrix!$A$6:$B$10,2,0),IF(J119=4,VLOOKUP(K119+2,TPMatrix!$D$6:$E$9,2,0),0)),"")</f>
        <v>0</v>
      </c>
      <c r="O119" s="142">
        <f ca="1">IF(COUNTIF(K117:K121,K119)&gt;=4,IF(J119=5,VLOOKUP(K119+3,TPMatrix!$A$6:$B$10,2,0),IF(J119=4,VLOOKUP(K119+3,TPMatrix!$D$6:$E$9,2,0),0)),"")</f>
        <v>0</v>
      </c>
      <c r="P119" s="142">
        <f ca="1">IF(COUNTIF(K117:K121,K119)&gt;=5,IF(J119=5,VLOOKUP(K119+4,TPMatrix!$A$6:$B$10,2,0),IF(J119=4,VLOOKUP(K119+4,TPMatrix!$D$6:$E$9,2,0),0)),"")</f>
        <v>0</v>
      </c>
      <c r="Q119" s="142">
        <f t="shared" ca="1" si="40"/>
        <v>0</v>
      </c>
      <c r="R119" s="248">
        <f t="shared" ca="1" si="41"/>
        <v>5</v>
      </c>
      <c r="S119" s="247">
        <f t="shared" ca="1" si="42"/>
        <v>0</v>
      </c>
      <c r="T119" s="142">
        <f t="shared" si="43"/>
        <v>0</v>
      </c>
      <c r="U119" s="248">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2.95" customHeight="1" x14ac:dyDescent="0.2">
      <c r="A120" s="249" t="str">
        <f ca="1">IF(ISBLANK('Tournament Info'!$B$11),"",INDIRECT(ADDRESS(ROW(),2,1,1,"Optimal Seating "&amp;'Tournament Info'!$B$11-1&amp;"R+F")))</f>
        <v/>
      </c>
      <c r="B120" s="250" t="str">
        <f ca="1">IF(ISNUMBER(A120),VLOOKUP(A120,Methuselahs!$A$7:$E$206,2,0),"")</f>
        <v/>
      </c>
      <c r="C120" s="251" t="str">
        <f ca="1">IF(ISNUMBER(A120),VLOOKUP(A120,Methuselahs!$A$7:$E$206,3,0),"")</f>
        <v/>
      </c>
      <c r="D120" s="252" t="str">
        <f t="shared" ca="1" si="36"/>
        <v/>
      </c>
      <c r="E120" s="253"/>
      <c r="F120" s="397">
        <f t="shared" si="37"/>
        <v>0</v>
      </c>
      <c r="G120" s="235" t="str">
        <f t="shared" ca="1" si="38"/>
        <v/>
      </c>
      <c r="H120" s="236" t="str">
        <f ca="1">IF(ISNUMBER(A120),IF(OR($S120=$U120,NOT(ISNA(MATCH($D120*5+$V$4,Override!$C$6:$C$125,0)))),$Q120,0),"")</f>
        <v/>
      </c>
      <c r="I120" s="395" t="str">
        <f t="shared" ca="1" si="39"/>
        <v/>
      </c>
      <c r="J120" s="254">
        <f ca="1">COUNT(A117:A121)</f>
        <v>0</v>
      </c>
      <c r="K120" s="238" t="str">
        <f ca="1">IF(ISNUMBER(A120),RANK(F120,F117:F121),"")</f>
        <v/>
      </c>
      <c r="L120" s="239">
        <f ca="1">IF(J120=5,VLOOKUP(K120,TPMatrix!$A$6:$B$10,2,0),IF(J120=4,VLOOKUP(K120,TPMatrix!$D$6:$E$9,2,0),0))</f>
        <v>0</v>
      </c>
      <c r="M120" s="239">
        <f ca="1">IF(COUNTIF(K117:K121,K120)&gt;=2,IF(J120=5,VLOOKUP(K120+1,TPMatrix!$A$6:$B$10,2,0),IF(J120=4,VLOOKUP(K120+1,TPMatrix!$D$6:$E$9,2,0),0)),"")</f>
        <v>0</v>
      </c>
      <c r="N120" s="239">
        <f ca="1">IF(COUNTIF(K117:K121,K120)&gt;=3,IF(J120=5,VLOOKUP(K120+2,TPMatrix!$A$6:$B$10,2,0),IF(J120=4,VLOOKUP(K120+2,TPMatrix!$D$6:$E$9,2,0),0)),"")</f>
        <v>0</v>
      </c>
      <c r="O120" s="239">
        <f ca="1">IF(COUNTIF(K117:K121,K120)&gt;=4,IF(J120=5,VLOOKUP(K120+3,TPMatrix!$A$6:$B$10,2,0),IF(J120=4,VLOOKUP(K120+3,TPMatrix!$D$6:$E$9,2,0),0)),"")</f>
        <v>0</v>
      </c>
      <c r="P120" s="239">
        <f ca="1">IF(COUNTIF(K117:K121,K120)&gt;=5,IF(J120=5,VLOOKUP(K120+4,TPMatrix!$A$6:$B$10,2,0),IF(J120=4,VLOOKUP(K120+4,TPMatrix!$D$6:$E$9,2,0),0)),"")</f>
        <v>0</v>
      </c>
      <c r="Q120" s="239">
        <f t="shared" ca="1" si="40"/>
        <v>0</v>
      </c>
      <c r="R120" s="240">
        <f t="shared" ca="1" si="41"/>
        <v>5</v>
      </c>
      <c r="S120" s="238">
        <f t="shared" ca="1" si="42"/>
        <v>0</v>
      </c>
      <c r="T120" s="239">
        <f t="shared" si="43"/>
        <v>0</v>
      </c>
      <c r="U120" s="240">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2.95" customHeight="1" x14ac:dyDescent="0.2">
      <c r="A121" s="255" t="str">
        <f ca="1">IF(ISBLANK('Tournament Info'!$B$11),"",INDIRECT(ADDRESS(ROW(),2,1,1,"Optimal Seating "&amp;'Tournament Info'!$B$11-1&amp;"R+F")))</f>
        <v/>
      </c>
      <c r="B121" s="256" t="str">
        <f ca="1">IF(ISNUMBER(A121),VLOOKUP(A121,Methuselahs!$A$7:$E$206,2,0),"")</f>
        <v/>
      </c>
      <c r="C121" s="257" t="str">
        <f ca="1">IF(ISNUMBER(A121),VLOOKUP(A121,Methuselahs!$A$7:$E$206,3,0),"")</f>
        <v/>
      </c>
      <c r="D121" s="258" t="str">
        <f t="shared" ca="1" si="36"/>
        <v/>
      </c>
      <c r="E121" s="259"/>
      <c r="F121" s="398">
        <f t="shared" si="37"/>
        <v>0</v>
      </c>
      <c r="G121" s="244" t="str">
        <f t="shared" ca="1" si="38"/>
        <v/>
      </c>
      <c r="H121" s="245" t="str">
        <f ca="1">IF(ISNUMBER(A121),IF(OR($S121=$U121,NOT(ISNA(MATCH($D121*5+$V$4,Override!$C$6:$C$125,0)))),$Q121,0),"")</f>
        <v/>
      </c>
      <c r="I121" s="396" t="str">
        <f t="shared" ca="1" si="39"/>
        <v/>
      </c>
      <c r="J121" s="260">
        <f ca="1">COUNT(A117:A121)</f>
        <v>0</v>
      </c>
      <c r="K121" s="261" t="str">
        <f ca="1">IF(ISNUMBER(A121),RANK(F121,F117:F121),"")</f>
        <v/>
      </c>
      <c r="L121" s="262">
        <f ca="1">IF(J121=5,VLOOKUP(K121,TPMatrix!$A$6:$B$10,2,0),IF(J121=4,VLOOKUP(K121,TPMatrix!$D$6:$E$9,2,0),0))</f>
        <v>0</v>
      </c>
      <c r="M121" s="262">
        <f ca="1">IF(COUNTIF(K117:K121,K121)&gt;=2,IF(J121=5,VLOOKUP(K121+1,TPMatrix!$A$6:$B$10,2,0),IF(J121=4,VLOOKUP(K121+1,TPMatrix!$D$6:$E$9,2,0),0)),"")</f>
        <v>0</v>
      </c>
      <c r="N121" s="262">
        <f ca="1">IF(COUNTIF(K117:K121,K121)&gt;=3,IF(J121=5,VLOOKUP(K121+2,TPMatrix!$A$6:$B$10,2,0),IF(J121=4,VLOOKUP(K121+2,TPMatrix!$D$6:$E$9,2,0),0)),"")</f>
        <v>0</v>
      </c>
      <c r="O121" s="262">
        <f ca="1">IF(COUNTIF(K117:K121,K121)&gt;=4,IF(J121=5,VLOOKUP(K121+3,TPMatrix!$A$6:$B$10,2,0),IF(J121=4,VLOOKUP(K121+3,TPMatrix!$D$6:$E$9,2,0),0)),"")</f>
        <v>0</v>
      </c>
      <c r="P121" s="262">
        <f ca="1">IF(COUNTIF(K117:K121,K121)&gt;=5,IF(J121=5,VLOOKUP(K121+4,TPMatrix!$A$6:$B$10,2,0),IF(J121=4,VLOOKUP(K121+4,TPMatrix!$D$6:$E$9,2,0),0)),"")</f>
        <v>0</v>
      </c>
      <c r="Q121" s="262">
        <f t="shared" ca="1" si="40"/>
        <v>0</v>
      </c>
      <c r="R121" s="263">
        <f t="shared" ca="1" si="41"/>
        <v>5</v>
      </c>
      <c r="S121" s="261">
        <f t="shared" ca="1" si="42"/>
        <v>0</v>
      </c>
      <c r="T121" s="262">
        <f t="shared" si="43"/>
        <v>0</v>
      </c>
      <c r="U121" s="263">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2.95" customHeight="1" x14ac:dyDescent="0.2">
      <c r="A122" s="219" t="str">
        <f ca="1">IF(ISBLANK('Tournament Info'!$B$11),"",INDIRECT(ADDRESS(ROW(),2,1,1,"Optimal Seating "&amp;'Tournament Info'!$B$11-1&amp;"R+F")))</f>
        <v/>
      </c>
      <c r="B122" s="143" t="str">
        <f ca="1">IF(ISNUMBER(A122),VLOOKUP(A122,Methuselahs!$A$7:$E$206,2,0),"")</f>
        <v/>
      </c>
      <c r="C122" s="220" t="str">
        <f ca="1">IF(ISNUMBER(A122),VLOOKUP(A122,Methuselahs!$A$7:$E$206,3,0),"")</f>
        <v/>
      </c>
      <c r="D122" s="221" t="str">
        <f t="shared" ca="1" si="36"/>
        <v/>
      </c>
      <c r="E122" s="222"/>
      <c r="F122" s="393">
        <f t="shared" si="37"/>
        <v>0</v>
      </c>
      <c r="G122" s="223" t="str">
        <f t="shared" ca="1" si="38"/>
        <v/>
      </c>
      <c r="H122" s="224" t="str">
        <f ca="1">IF(ISNUMBER(A122),IF(OR($S122=$U122,NOT(ISNA(MATCH($D122*5+$V$4,Override!$C$6:$C$125,0)))),$Q122,0),"")</f>
        <v/>
      </c>
      <c r="I122" s="394" t="str">
        <f t="shared" ca="1" si="39"/>
        <v/>
      </c>
      <c r="J122" s="225">
        <f ca="1">COUNT(A122:A126)</f>
        <v>0</v>
      </c>
      <c r="K122" s="226" t="str">
        <f ca="1">IF(ISNUMBER(A122),RANK(F122,F122:F126),"")</f>
        <v/>
      </c>
      <c r="L122" s="227">
        <f ca="1">IF(J122=5,VLOOKUP(K122,TPMatrix!$A$6:$B$10,2,0),IF(J122=4,VLOOKUP(K122,TPMatrix!$D$6:$E$9,2,0),0))</f>
        <v>0</v>
      </c>
      <c r="M122" s="227">
        <f ca="1">IF(COUNTIF(K122:K126,K122)&gt;=2,IF(J122=5,VLOOKUP(K122+1,TPMatrix!$A$6:$B$10,2,0),IF(J122=4,VLOOKUP(K122+1,TPMatrix!$D$6:$E$9,2,0),0)),"")</f>
        <v>0</v>
      </c>
      <c r="N122" s="227">
        <f ca="1">IF(COUNTIF(K122:K126,K122)&gt;=3,IF(J122=5,VLOOKUP(K122+2,TPMatrix!$A$6:$B$10,2,0),IF(J122=4,VLOOKUP(K122+2,TPMatrix!$D$6:$E$9,2,0),0)),"")</f>
        <v>0</v>
      </c>
      <c r="O122" s="227">
        <f ca="1">IF(COUNTIF(K122:K126,K122)&gt;=4,IF(J122=5,VLOOKUP(K122+3,TPMatrix!$A$6:$B$10,2,0),IF(J122=4,VLOOKUP(K122+3,TPMatrix!$D$6:$E$9,2,0),0)),"")</f>
        <v>0</v>
      </c>
      <c r="P122" s="227">
        <f ca="1">IF(COUNTIF(K122:K126,K122)&gt;=5,IF(J122=5,VLOOKUP(K122+4,TPMatrix!$A$6:$B$10,2,0),IF(J122=4,VLOOKUP(K122+4,TPMatrix!$D$6:$E$9,2,0),0)),"")</f>
        <v>0</v>
      </c>
      <c r="Q122" s="227">
        <f t="shared" ca="1" si="40"/>
        <v>0</v>
      </c>
      <c r="R122" s="228">
        <f t="shared" ca="1" si="41"/>
        <v>5</v>
      </c>
      <c r="S122" s="229">
        <f t="shared" ca="1" si="42"/>
        <v>0</v>
      </c>
      <c r="T122" s="230">
        <f t="shared" si="43"/>
        <v>0</v>
      </c>
      <c r="U122" s="231">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2.95" customHeight="1" x14ac:dyDescent="0.2">
      <c r="A123" s="111" t="str">
        <f ca="1">IF(ISBLANK('Tournament Info'!$B$11),"",INDIRECT(ADDRESS(ROW(),2,1,1,"Optimal Seating "&amp;'Tournament Info'!$B$11-1&amp;"R+F")))</f>
        <v/>
      </c>
      <c r="B123" s="117" t="str">
        <f ca="1">IF(ISNUMBER(A123),VLOOKUP(A123,Methuselahs!$A$7:$E$206,2,0),"")</f>
        <v/>
      </c>
      <c r="C123" s="232" t="str">
        <f ca="1">IF(ISNUMBER(A123),VLOOKUP(A123,Methuselahs!$A$7:$E$206,3,0),"")</f>
        <v/>
      </c>
      <c r="D123" s="233" t="str">
        <f t="shared" ca="1" si="36"/>
        <v/>
      </c>
      <c r="E123" s="234"/>
      <c r="F123" s="118">
        <f t="shared" si="37"/>
        <v>0</v>
      </c>
      <c r="G123" s="235" t="str">
        <f t="shared" ca="1" si="38"/>
        <v/>
      </c>
      <c r="H123" s="236" t="str">
        <f ca="1">IF(ISNUMBER(A123),IF(OR($S123=$U123,NOT(ISNA(MATCH($D123*5+$V$4,Override!$C$6:$C$125,0)))),$Q123,0),"")</f>
        <v/>
      </c>
      <c r="I123" s="395" t="str">
        <f t="shared" ca="1" si="39"/>
        <v/>
      </c>
      <c r="J123" s="237">
        <f ca="1">COUNT(A122:A126)</f>
        <v>0</v>
      </c>
      <c r="K123" s="238" t="str">
        <f ca="1">IF(ISNUMBER(A123),RANK(F123,F122:F126),"")</f>
        <v/>
      </c>
      <c r="L123" s="239">
        <f ca="1">IF(J123=5,VLOOKUP(K123,TPMatrix!$A$6:$B$10,2,0),IF(J123=4,VLOOKUP(K123,TPMatrix!$D$6:$E$9,2,0),0))</f>
        <v>0</v>
      </c>
      <c r="M123" s="239">
        <f ca="1">IF(COUNTIF(K122:K126,K123)&gt;=2,IF(J123=5,VLOOKUP(K123+1,TPMatrix!$A$6:$B$10,2,0),IF(J123=4,VLOOKUP(K123+1,TPMatrix!$D$6:$E$9,2,0),0)),"")</f>
        <v>0</v>
      </c>
      <c r="N123" s="239">
        <f ca="1">IF(COUNTIF(K122:K126,K123)&gt;=3,IF(J123=5,VLOOKUP(K123+2,TPMatrix!$A$6:$B$10,2,0),IF(J123=4,VLOOKUP(K123+2,TPMatrix!$D$6:$E$9,2,0),0)),"")</f>
        <v>0</v>
      </c>
      <c r="O123" s="239">
        <f ca="1">IF(COUNTIF(K122:K126,K123)&gt;=4,IF(J123=5,VLOOKUP(K123+3,TPMatrix!$A$6:$B$10,2,0),IF(J123=4,VLOOKUP(K123+3,TPMatrix!$D$6:$E$9,2,0),0)),"")</f>
        <v>0</v>
      </c>
      <c r="P123" s="239">
        <f ca="1">IF(COUNTIF(K122:K126,K123)&gt;=5,IF(J123=5,VLOOKUP(K123+4,TPMatrix!$A$6:$B$10,2,0),IF(J123=4,VLOOKUP(K123+4,TPMatrix!$D$6:$E$9,2,0),0)),"")</f>
        <v>0</v>
      </c>
      <c r="Q123" s="239">
        <f t="shared" ca="1" si="40"/>
        <v>0</v>
      </c>
      <c r="R123" s="240">
        <f t="shared" ca="1" si="41"/>
        <v>5</v>
      </c>
      <c r="S123" s="238">
        <f t="shared" ca="1" si="42"/>
        <v>0</v>
      </c>
      <c r="T123" s="239">
        <f t="shared" si="43"/>
        <v>0</v>
      </c>
      <c r="U123" s="240">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2.95" customHeight="1" x14ac:dyDescent="0.2">
      <c r="A124" s="137" t="str">
        <f ca="1">IF(ISBLANK('Tournament Info'!$B$11),"",INDIRECT(ADDRESS(ROW(),2,1,1,"Optimal Seating "&amp;'Tournament Info'!$B$11-1&amp;"R+F")))</f>
        <v/>
      </c>
      <c r="B124" s="143" t="str">
        <f ca="1">IF(ISNUMBER(A124),VLOOKUP(A124,Methuselahs!$A$7:$E$206,2,0),"")</f>
        <v/>
      </c>
      <c r="C124" s="241" t="str">
        <f ca="1">IF(ISNUMBER(A124),VLOOKUP(A124,Methuselahs!$A$7:$E$206,3,0),"")</f>
        <v/>
      </c>
      <c r="D124" s="242" t="str">
        <f t="shared" ca="1" si="36"/>
        <v/>
      </c>
      <c r="E124" s="243"/>
      <c r="F124" s="144">
        <f t="shared" si="37"/>
        <v>0</v>
      </c>
      <c r="G124" s="244" t="str">
        <f t="shared" ca="1" si="38"/>
        <v/>
      </c>
      <c r="H124" s="245" t="str">
        <f ca="1">IF(ISNUMBER(A124),IF(OR($S124=$U124,NOT(ISNA(MATCH($D124*5+$V$4,Override!$C$6:$C$125,0)))),$Q124,0),"")</f>
        <v/>
      </c>
      <c r="I124" s="396" t="str">
        <f t="shared" ca="1" si="39"/>
        <v/>
      </c>
      <c r="J124" s="246">
        <f ca="1">COUNT(A122:A126)</f>
        <v>0</v>
      </c>
      <c r="K124" s="247" t="str">
        <f ca="1">IF(ISNUMBER(A124),RANK(F124,F122:F126),"")</f>
        <v/>
      </c>
      <c r="L124" s="142">
        <f ca="1">IF(J124=5,VLOOKUP(K124,TPMatrix!$A$6:$B$10,2,0),IF(J124=4,VLOOKUP(K124,TPMatrix!$D$6:$E$9,2,0),0))</f>
        <v>0</v>
      </c>
      <c r="M124" s="142">
        <f ca="1">IF(COUNTIF(K122:K126,K124)&gt;=2,IF(J124=5,VLOOKUP(K124+1,TPMatrix!$A$6:$B$10,2,0),IF(J124=4,VLOOKUP(K124+1,TPMatrix!$D$6:$E$9,2,0),0)),"")</f>
        <v>0</v>
      </c>
      <c r="N124" s="142">
        <f ca="1">IF(COUNTIF(K122:K126,K124)&gt;=3,IF(J124=5,VLOOKUP(K124+2,TPMatrix!$A$6:$B$10,2,0),IF(J124=4,VLOOKUP(K124+2,TPMatrix!$D$6:$E$9,2,0),0)),"")</f>
        <v>0</v>
      </c>
      <c r="O124" s="142">
        <f ca="1">IF(COUNTIF(K122:K126,K124)&gt;=4,IF(J124=5,VLOOKUP(K124+3,TPMatrix!$A$6:$B$10,2,0),IF(J124=4,VLOOKUP(K124+3,TPMatrix!$D$6:$E$9,2,0),0)),"")</f>
        <v>0</v>
      </c>
      <c r="P124" s="142">
        <f ca="1">IF(COUNTIF(K122:K126,K124)&gt;=5,IF(J124=5,VLOOKUP(K124+4,TPMatrix!$A$6:$B$10,2,0),IF(J124=4,VLOOKUP(K124+4,TPMatrix!$D$6:$E$9,2,0),0)),"")</f>
        <v>0</v>
      </c>
      <c r="Q124" s="142">
        <f t="shared" ca="1" si="40"/>
        <v>0</v>
      </c>
      <c r="R124" s="248">
        <f t="shared" ca="1" si="41"/>
        <v>5</v>
      </c>
      <c r="S124" s="247">
        <f t="shared" ca="1" si="42"/>
        <v>0</v>
      </c>
      <c r="T124" s="142">
        <f t="shared" si="43"/>
        <v>0</v>
      </c>
      <c r="U124" s="248">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2.95" customHeight="1" x14ac:dyDescent="0.2">
      <c r="A125" s="249" t="str">
        <f ca="1">IF(ISBLANK('Tournament Info'!$B$11),"",INDIRECT(ADDRESS(ROW(),2,1,1,"Optimal Seating "&amp;'Tournament Info'!$B$11-1&amp;"R+F")))</f>
        <v/>
      </c>
      <c r="B125" s="250" t="str">
        <f ca="1">IF(ISNUMBER(A125),VLOOKUP(A125,Methuselahs!$A$7:$E$206,2,0),"")</f>
        <v/>
      </c>
      <c r="C125" s="251" t="str">
        <f ca="1">IF(ISNUMBER(A125),VLOOKUP(A125,Methuselahs!$A$7:$E$206,3,0),"")</f>
        <v/>
      </c>
      <c r="D125" s="252" t="str">
        <f t="shared" ca="1" si="36"/>
        <v/>
      </c>
      <c r="E125" s="253"/>
      <c r="F125" s="397">
        <f t="shared" si="37"/>
        <v>0</v>
      </c>
      <c r="G125" s="235" t="str">
        <f t="shared" ca="1" si="38"/>
        <v/>
      </c>
      <c r="H125" s="236" t="str">
        <f ca="1">IF(ISNUMBER(A125),IF(OR($S125=$U125,NOT(ISNA(MATCH($D125*5+$V$4,Override!$C$6:$C$125,0)))),$Q125,0),"")</f>
        <v/>
      </c>
      <c r="I125" s="395" t="str">
        <f t="shared" ca="1" si="39"/>
        <v/>
      </c>
      <c r="J125" s="254">
        <f ca="1">COUNT(A122:A126)</f>
        <v>0</v>
      </c>
      <c r="K125" s="238" t="str">
        <f ca="1">IF(ISNUMBER(A125),RANK(F125,F122:F126),"")</f>
        <v/>
      </c>
      <c r="L125" s="239">
        <f ca="1">IF(J125=5,VLOOKUP(K125,TPMatrix!$A$6:$B$10,2,0),IF(J125=4,VLOOKUP(K125,TPMatrix!$D$6:$E$9,2,0),0))</f>
        <v>0</v>
      </c>
      <c r="M125" s="239">
        <f ca="1">IF(COUNTIF(K122:K126,K125)&gt;=2,IF(J125=5,VLOOKUP(K125+1,TPMatrix!$A$6:$B$10,2,0),IF(J125=4,VLOOKUP(K125+1,TPMatrix!$D$6:$E$9,2,0),0)),"")</f>
        <v>0</v>
      </c>
      <c r="N125" s="239">
        <f ca="1">IF(COUNTIF(K122:K126,K125)&gt;=3,IF(J125=5,VLOOKUP(K125+2,TPMatrix!$A$6:$B$10,2,0),IF(J125=4,VLOOKUP(K125+2,TPMatrix!$D$6:$E$9,2,0),0)),"")</f>
        <v>0</v>
      </c>
      <c r="O125" s="239">
        <f ca="1">IF(COUNTIF(K122:K126,K125)&gt;=4,IF(J125=5,VLOOKUP(K125+3,TPMatrix!$A$6:$B$10,2,0),IF(J125=4,VLOOKUP(K125+3,TPMatrix!$D$6:$E$9,2,0),0)),"")</f>
        <v>0</v>
      </c>
      <c r="P125" s="239">
        <f ca="1">IF(COUNTIF(K122:K126,K125)&gt;=5,IF(J125=5,VLOOKUP(K125+4,TPMatrix!$A$6:$B$10,2,0),IF(J125=4,VLOOKUP(K125+4,TPMatrix!$D$6:$E$9,2,0),0)),"")</f>
        <v>0</v>
      </c>
      <c r="Q125" s="239">
        <f t="shared" ca="1" si="40"/>
        <v>0</v>
      </c>
      <c r="R125" s="240">
        <f t="shared" ca="1" si="41"/>
        <v>5</v>
      </c>
      <c r="S125" s="238">
        <f t="shared" ca="1" si="42"/>
        <v>0</v>
      </c>
      <c r="T125" s="239">
        <f t="shared" si="43"/>
        <v>0</v>
      </c>
      <c r="U125" s="240">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2.95" customHeight="1" x14ac:dyDescent="0.2">
      <c r="A126" s="255" t="str">
        <f ca="1">IF(ISBLANK('Tournament Info'!$B$11),"",INDIRECT(ADDRESS(ROW(),2,1,1,"Optimal Seating "&amp;'Tournament Info'!$B$11-1&amp;"R+F")))</f>
        <v/>
      </c>
      <c r="B126" s="256" t="str">
        <f ca="1">IF(ISNUMBER(A126),VLOOKUP(A126,Methuselahs!$A$7:$E$206,2,0),"")</f>
        <v/>
      </c>
      <c r="C126" s="257" t="str">
        <f ca="1">IF(ISNUMBER(A126),VLOOKUP(A126,Methuselahs!$A$7:$E$206,3,0),"")</f>
        <v/>
      </c>
      <c r="D126" s="258" t="str">
        <f t="shared" ca="1" si="36"/>
        <v/>
      </c>
      <c r="E126" s="259"/>
      <c r="F126" s="398">
        <f t="shared" si="37"/>
        <v>0</v>
      </c>
      <c r="G126" s="244" t="str">
        <f t="shared" ca="1" si="38"/>
        <v/>
      </c>
      <c r="H126" s="245" t="str">
        <f ca="1">IF(ISNUMBER(A126),IF(OR($S126=$U126,NOT(ISNA(MATCH($D126*5+$V$4,Override!$C$6:$C$125,0)))),$Q126,0),"")</f>
        <v/>
      </c>
      <c r="I126" s="396" t="str">
        <f t="shared" ca="1" si="39"/>
        <v/>
      </c>
      <c r="J126" s="260">
        <f ca="1">COUNT(A122:A126)</f>
        <v>0</v>
      </c>
      <c r="K126" s="261" t="str">
        <f ca="1">IF(ISNUMBER(A126),RANK(F126,F122:F126),"")</f>
        <v/>
      </c>
      <c r="L126" s="262">
        <f ca="1">IF(J126=5,VLOOKUP(K126,TPMatrix!$A$6:$B$10,2,0),IF(J126=4,VLOOKUP(K126,TPMatrix!$D$6:$E$9,2,0),0))</f>
        <v>0</v>
      </c>
      <c r="M126" s="262">
        <f ca="1">IF(COUNTIF(K122:K126,K126)&gt;=2,IF(J126=5,VLOOKUP(K126+1,TPMatrix!$A$6:$B$10,2,0),IF(J126=4,VLOOKUP(K126+1,TPMatrix!$D$6:$E$9,2,0),0)),"")</f>
        <v>0</v>
      </c>
      <c r="N126" s="262">
        <f ca="1">IF(COUNTIF(K122:K126,K126)&gt;=3,IF(J126=5,VLOOKUP(K126+2,TPMatrix!$A$6:$B$10,2,0),IF(J126=4,VLOOKUP(K126+2,TPMatrix!$D$6:$E$9,2,0),0)),"")</f>
        <v>0</v>
      </c>
      <c r="O126" s="262">
        <f ca="1">IF(COUNTIF(K122:K126,K126)&gt;=4,IF(J126=5,VLOOKUP(K126+3,TPMatrix!$A$6:$B$10,2,0),IF(J126=4,VLOOKUP(K126+3,TPMatrix!$D$6:$E$9,2,0),0)),"")</f>
        <v>0</v>
      </c>
      <c r="P126" s="262">
        <f ca="1">IF(COUNTIF(K122:K126,K126)&gt;=5,IF(J126=5,VLOOKUP(K126+4,TPMatrix!$A$6:$B$10,2,0),IF(J126=4,VLOOKUP(K126+4,TPMatrix!$D$6:$E$9,2,0),0)),"")</f>
        <v>0</v>
      </c>
      <c r="Q126" s="262">
        <f t="shared" ca="1" si="40"/>
        <v>0</v>
      </c>
      <c r="R126" s="263">
        <f t="shared" ca="1" si="41"/>
        <v>5</v>
      </c>
      <c r="S126" s="261">
        <f t="shared" ca="1" si="42"/>
        <v>0</v>
      </c>
      <c r="T126" s="262">
        <f t="shared" si="43"/>
        <v>0</v>
      </c>
      <c r="U126" s="263">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2.95" customHeight="1" x14ac:dyDescent="0.2">
      <c r="A127" s="219" t="str">
        <f ca="1">IF(ISBLANK('Tournament Info'!$B$11),"",INDIRECT(ADDRESS(ROW(),2,1,1,"Optimal Seating "&amp;'Tournament Info'!$B$11-1&amp;"R+F")))</f>
        <v/>
      </c>
      <c r="B127" s="143" t="str">
        <f ca="1">IF(ISNUMBER(A127),VLOOKUP(A127,Methuselahs!$A$7:$E$206,2,0),"")</f>
        <v/>
      </c>
      <c r="C127" s="220" t="str">
        <f ca="1">IF(ISNUMBER(A127),VLOOKUP(A127,Methuselahs!$A$7:$E$206,3,0),"")</f>
        <v/>
      </c>
      <c r="D127" s="221" t="str">
        <f t="shared" ca="1" si="36"/>
        <v/>
      </c>
      <c r="E127" s="222"/>
      <c r="F127" s="393">
        <f t="shared" si="37"/>
        <v>0</v>
      </c>
      <c r="G127" s="223" t="str">
        <f t="shared" ca="1" si="38"/>
        <v/>
      </c>
      <c r="H127" s="224" t="str">
        <f ca="1">IF(ISNUMBER(A127),IF(OR($S127=$U127,NOT(ISNA(MATCH($D127*5+$V$4,Override!$C$6:$C$125,0)))),$Q127,0),"")</f>
        <v/>
      </c>
      <c r="I127" s="394" t="str">
        <f t="shared" ca="1" si="39"/>
        <v/>
      </c>
      <c r="J127" s="225">
        <f ca="1">COUNT(A127:A131)</f>
        <v>0</v>
      </c>
      <c r="K127" s="226" t="str">
        <f ca="1">IF(ISNUMBER(A127),RANK(F127,F127:F131),"")</f>
        <v/>
      </c>
      <c r="L127" s="227">
        <f ca="1">IF(J127=5,VLOOKUP(K127,TPMatrix!$A$6:$B$10,2,0),IF(J127=4,VLOOKUP(K127,TPMatrix!$D$6:$E$9,2,0),0))</f>
        <v>0</v>
      </c>
      <c r="M127" s="227">
        <f ca="1">IF(COUNTIF(K127:K131,K127)&gt;=2,IF(J127=5,VLOOKUP(K127+1,TPMatrix!$A$6:$B$10,2,0),IF(J127=4,VLOOKUP(K127+1,TPMatrix!$D$6:$E$9,2,0),0)),"")</f>
        <v>0</v>
      </c>
      <c r="N127" s="227">
        <f ca="1">IF(COUNTIF(K127:K131,K127)&gt;=3,IF(J127=5,VLOOKUP(K127+2,TPMatrix!$A$6:$B$10,2,0),IF(J127=4,VLOOKUP(K127+2,TPMatrix!$D$6:$E$9,2,0),0)),"")</f>
        <v>0</v>
      </c>
      <c r="O127" s="227">
        <f ca="1">IF(COUNTIF(K127:K131,K127)&gt;=4,IF(J127=5,VLOOKUP(K127+3,TPMatrix!$A$6:$B$10,2,0),IF(J127=4,VLOOKUP(K127+3,TPMatrix!$D$6:$E$9,2,0),0)),"")</f>
        <v>0</v>
      </c>
      <c r="P127" s="227">
        <f ca="1">IF(COUNTIF(K127:K131,K127)&gt;=5,IF(J127=5,VLOOKUP(K127+4,TPMatrix!$A$6:$B$10,2,0),IF(J127=4,VLOOKUP(K127+4,TPMatrix!$D$6:$E$9,2,0),0)),"")</f>
        <v>0</v>
      </c>
      <c r="Q127" s="227">
        <f t="shared" ca="1" si="40"/>
        <v>0</v>
      </c>
      <c r="R127" s="228">
        <f t="shared" ca="1" si="41"/>
        <v>5</v>
      </c>
      <c r="S127" s="229">
        <f t="shared" ca="1" si="42"/>
        <v>0</v>
      </c>
      <c r="T127" s="230">
        <f t="shared" si="43"/>
        <v>0</v>
      </c>
      <c r="U127" s="231">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2.95" customHeight="1" x14ac:dyDescent="0.2">
      <c r="A128" s="111" t="str">
        <f ca="1">IF(ISBLANK('Tournament Info'!$B$11),"",INDIRECT(ADDRESS(ROW(),2,1,1,"Optimal Seating "&amp;'Tournament Info'!$B$11-1&amp;"R+F")))</f>
        <v/>
      </c>
      <c r="B128" s="117" t="str">
        <f ca="1">IF(ISNUMBER(A128),VLOOKUP(A128,Methuselahs!$A$7:$E$206,2,0),"")</f>
        <v/>
      </c>
      <c r="C128" s="232" t="str">
        <f ca="1">IF(ISNUMBER(A128),VLOOKUP(A128,Methuselahs!$A$7:$E$206,3,0),"")</f>
        <v/>
      </c>
      <c r="D128" s="233" t="str">
        <f t="shared" ca="1" si="36"/>
        <v/>
      </c>
      <c r="E128" s="234"/>
      <c r="F128" s="118">
        <f t="shared" si="37"/>
        <v>0</v>
      </c>
      <c r="G128" s="235" t="str">
        <f t="shared" ca="1" si="38"/>
        <v/>
      </c>
      <c r="H128" s="236" t="str">
        <f ca="1">IF(ISNUMBER(A128),IF(OR($S128=$U128,NOT(ISNA(MATCH($D128*5+$V$4,Override!$C$6:$C$125,0)))),$Q128,0),"")</f>
        <v/>
      </c>
      <c r="I128" s="395" t="str">
        <f t="shared" ca="1" si="39"/>
        <v/>
      </c>
      <c r="J128" s="237">
        <f ca="1">COUNT(A127:A131)</f>
        <v>0</v>
      </c>
      <c r="K128" s="238" t="str">
        <f ca="1">IF(ISNUMBER(A128),RANK(F128,F127:F131),"")</f>
        <v/>
      </c>
      <c r="L128" s="239">
        <f ca="1">IF(J128=5,VLOOKUP(K128,TPMatrix!$A$6:$B$10,2,0),IF(J128=4,VLOOKUP(K128,TPMatrix!$D$6:$E$9,2,0),0))</f>
        <v>0</v>
      </c>
      <c r="M128" s="239">
        <f ca="1">IF(COUNTIF(K127:K131,K128)&gt;=2,IF(J128=5,VLOOKUP(K128+1,TPMatrix!$A$6:$B$10,2,0),IF(J128=4,VLOOKUP(K128+1,TPMatrix!$D$6:$E$9,2,0),0)),"")</f>
        <v>0</v>
      </c>
      <c r="N128" s="239">
        <f ca="1">IF(COUNTIF(K127:K131,K128)&gt;=3,IF(J128=5,VLOOKUP(K128+2,TPMatrix!$A$6:$B$10,2,0),IF(J128=4,VLOOKUP(K128+2,TPMatrix!$D$6:$E$9,2,0),0)),"")</f>
        <v>0</v>
      </c>
      <c r="O128" s="239">
        <f ca="1">IF(COUNTIF(K127:K131,K128)&gt;=4,IF(J128=5,VLOOKUP(K128+3,TPMatrix!$A$6:$B$10,2,0),IF(J128=4,VLOOKUP(K128+3,TPMatrix!$D$6:$E$9,2,0),0)),"")</f>
        <v>0</v>
      </c>
      <c r="P128" s="239">
        <f ca="1">IF(COUNTIF(K127:K131,K128)&gt;=5,IF(J128=5,VLOOKUP(K128+4,TPMatrix!$A$6:$B$10,2,0),IF(J128=4,VLOOKUP(K128+4,TPMatrix!$D$6:$E$9,2,0),0)),"")</f>
        <v>0</v>
      </c>
      <c r="Q128" s="239">
        <f t="shared" ca="1" si="40"/>
        <v>0</v>
      </c>
      <c r="R128" s="240">
        <f t="shared" ca="1" si="41"/>
        <v>5</v>
      </c>
      <c r="S128" s="238">
        <f t="shared" ca="1" si="42"/>
        <v>0</v>
      </c>
      <c r="T128" s="239">
        <f t="shared" si="43"/>
        <v>0</v>
      </c>
      <c r="U128" s="240">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2.95" customHeight="1" x14ac:dyDescent="0.2">
      <c r="A129" s="137" t="str">
        <f ca="1">IF(ISBLANK('Tournament Info'!$B$11),"",INDIRECT(ADDRESS(ROW(),2,1,1,"Optimal Seating "&amp;'Tournament Info'!$B$11-1&amp;"R+F")))</f>
        <v/>
      </c>
      <c r="B129" s="143" t="str">
        <f ca="1">IF(ISNUMBER(A129),VLOOKUP(A129,Methuselahs!$A$7:$E$206,2,0),"")</f>
        <v/>
      </c>
      <c r="C129" s="241" t="str">
        <f ca="1">IF(ISNUMBER(A129),VLOOKUP(A129,Methuselahs!$A$7:$E$206,3,0),"")</f>
        <v/>
      </c>
      <c r="D129" s="242" t="str">
        <f t="shared" ca="1" si="36"/>
        <v/>
      </c>
      <c r="E129" s="243"/>
      <c r="F129" s="144">
        <f t="shared" si="37"/>
        <v>0</v>
      </c>
      <c r="G129" s="244" t="str">
        <f t="shared" ca="1" si="38"/>
        <v/>
      </c>
      <c r="H129" s="245" t="str">
        <f ca="1">IF(ISNUMBER(A129),IF(OR($S129=$U129,NOT(ISNA(MATCH($D129*5+$V$4,Override!$C$6:$C$125,0)))),$Q129,0),"")</f>
        <v/>
      </c>
      <c r="I129" s="396" t="str">
        <f t="shared" ca="1" si="39"/>
        <v/>
      </c>
      <c r="J129" s="246">
        <f ca="1">COUNT(A127:A131)</f>
        <v>0</v>
      </c>
      <c r="K129" s="247" t="str">
        <f ca="1">IF(ISNUMBER(A129),RANK(F129,F127:F131),"")</f>
        <v/>
      </c>
      <c r="L129" s="142">
        <f ca="1">IF(J129=5,VLOOKUP(K129,TPMatrix!$A$6:$B$10,2,0),IF(J129=4,VLOOKUP(K129,TPMatrix!$D$6:$E$9,2,0),0))</f>
        <v>0</v>
      </c>
      <c r="M129" s="142">
        <f ca="1">IF(COUNTIF(K127:K131,K129)&gt;=2,IF(J129=5,VLOOKUP(K129+1,TPMatrix!$A$6:$B$10,2,0),IF(J129=4,VLOOKUP(K129+1,TPMatrix!$D$6:$E$9,2,0),0)),"")</f>
        <v>0</v>
      </c>
      <c r="N129" s="142">
        <f ca="1">IF(COUNTIF(K127:K131,K129)&gt;=3,IF(J129=5,VLOOKUP(K129+2,TPMatrix!$A$6:$B$10,2,0),IF(J129=4,VLOOKUP(K129+2,TPMatrix!$D$6:$E$9,2,0),0)),"")</f>
        <v>0</v>
      </c>
      <c r="O129" s="142">
        <f ca="1">IF(COUNTIF(K127:K131,K129)&gt;=4,IF(J129=5,VLOOKUP(K129+3,TPMatrix!$A$6:$B$10,2,0),IF(J129=4,VLOOKUP(K129+3,TPMatrix!$D$6:$E$9,2,0),0)),"")</f>
        <v>0</v>
      </c>
      <c r="P129" s="142">
        <f ca="1">IF(COUNTIF(K127:K131,K129)&gt;=5,IF(J129=5,VLOOKUP(K129+4,TPMatrix!$A$6:$B$10,2,0),IF(J129=4,VLOOKUP(K129+4,TPMatrix!$D$6:$E$9,2,0),0)),"")</f>
        <v>0</v>
      </c>
      <c r="Q129" s="142">
        <f t="shared" ca="1" si="40"/>
        <v>0</v>
      </c>
      <c r="R129" s="248">
        <f t="shared" ca="1" si="41"/>
        <v>5</v>
      </c>
      <c r="S129" s="247">
        <f t="shared" ca="1" si="42"/>
        <v>0</v>
      </c>
      <c r="T129" s="142">
        <f t="shared" si="43"/>
        <v>0</v>
      </c>
      <c r="U129" s="248">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2.95" customHeight="1" x14ac:dyDescent="0.2">
      <c r="A130" s="249" t="str">
        <f ca="1">IF(ISBLANK('Tournament Info'!$B$11),"",INDIRECT(ADDRESS(ROW(),2,1,1,"Optimal Seating "&amp;'Tournament Info'!$B$11-1&amp;"R+F")))</f>
        <v/>
      </c>
      <c r="B130" s="250" t="str">
        <f ca="1">IF(ISNUMBER(A130),VLOOKUP(A130,Methuselahs!$A$7:$E$206,2,0),"")</f>
        <v/>
      </c>
      <c r="C130" s="251" t="str">
        <f ca="1">IF(ISNUMBER(A130),VLOOKUP(A130,Methuselahs!$A$7:$E$206,3,0),"")</f>
        <v/>
      </c>
      <c r="D130" s="252" t="str">
        <f t="shared" ca="1" si="36"/>
        <v/>
      </c>
      <c r="E130" s="253"/>
      <c r="F130" s="397">
        <f t="shared" si="37"/>
        <v>0</v>
      </c>
      <c r="G130" s="235" t="str">
        <f t="shared" ca="1" si="38"/>
        <v/>
      </c>
      <c r="H130" s="236" t="str">
        <f ca="1">IF(ISNUMBER(A130),IF(OR($S130=$U130,NOT(ISNA(MATCH($D130*5+$V$4,Override!$C$6:$C$125,0)))),$Q130,0),"")</f>
        <v/>
      </c>
      <c r="I130" s="395" t="str">
        <f t="shared" ca="1" si="39"/>
        <v/>
      </c>
      <c r="J130" s="254">
        <f ca="1">COUNT(A127:A131)</f>
        <v>0</v>
      </c>
      <c r="K130" s="238" t="str">
        <f ca="1">IF(ISNUMBER(A130),RANK(F130,F127:F131),"")</f>
        <v/>
      </c>
      <c r="L130" s="239">
        <f ca="1">IF(J130=5,VLOOKUP(K130,TPMatrix!$A$6:$B$10,2,0),IF(J130=4,VLOOKUP(K130,TPMatrix!$D$6:$E$9,2,0),0))</f>
        <v>0</v>
      </c>
      <c r="M130" s="239">
        <f ca="1">IF(COUNTIF(K127:K131,K130)&gt;=2,IF(J130=5,VLOOKUP(K130+1,TPMatrix!$A$6:$B$10,2,0),IF(J130=4,VLOOKUP(K130+1,TPMatrix!$D$6:$E$9,2,0),0)),"")</f>
        <v>0</v>
      </c>
      <c r="N130" s="239">
        <f ca="1">IF(COUNTIF(K127:K131,K130)&gt;=3,IF(J130=5,VLOOKUP(K130+2,TPMatrix!$A$6:$B$10,2,0),IF(J130=4,VLOOKUP(K130+2,TPMatrix!$D$6:$E$9,2,0),0)),"")</f>
        <v>0</v>
      </c>
      <c r="O130" s="239">
        <f ca="1">IF(COUNTIF(K127:K131,K130)&gt;=4,IF(J130=5,VLOOKUP(K130+3,TPMatrix!$A$6:$B$10,2,0),IF(J130=4,VLOOKUP(K130+3,TPMatrix!$D$6:$E$9,2,0),0)),"")</f>
        <v>0</v>
      </c>
      <c r="P130" s="239">
        <f ca="1">IF(COUNTIF(K127:K131,K130)&gt;=5,IF(J130=5,VLOOKUP(K130+4,TPMatrix!$A$6:$B$10,2,0),IF(J130=4,VLOOKUP(K130+4,TPMatrix!$D$6:$E$9,2,0),0)),"")</f>
        <v>0</v>
      </c>
      <c r="Q130" s="239">
        <f t="shared" ca="1" si="40"/>
        <v>0</v>
      </c>
      <c r="R130" s="240">
        <f t="shared" ca="1" si="41"/>
        <v>5</v>
      </c>
      <c r="S130" s="238">
        <f t="shared" ca="1" si="42"/>
        <v>0</v>
      </c>
      <c r="T130" s="239">
        <f t="shared" si="43"/>
        <v>0</v>
      </c>
      <c r="U130" s="240">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2.95" customHeight="1" x14ac:dyDescent="0.2">
      <c r="A131" s="255" t="str">
        <f ca="1">IF(ISBLANK('Tournament Info'!$B$11),"",INDIRECT(ADDRESS(ROW(),2,1,1,"Optimal Seating "&amp;'Tournament Info'!$B$11-1&amp;"R+F")))</f>
        <v/>
      </c>
      <c r="B131" s="256" t="str">
        <f ca="1">IF(ISNUMBER(A131),VLOOKUP(A131,Methuselahs!$A$7:$E$206,2,0),"")</f>
        <v/>
      </c>
      <c r="C131" s="257" t="str">
        <f ca="1">IF(ISNUMBER(A131),VLOOKUP(A131,Methuselahs!$A$7:$E$206,3,0),"")</f>
        <v/>
      </c>
      <c r="D131" s="258" t="str">
        <f t="shared" ca="1" si="36"/>
        <v/>
      </c>
      <c r="E131" s="259"/>
      <c r="F131" s="398">
        <f t="shared" si="37"/>
        <v>0</v>
      </c>
      <c r="G131" s="244" t="str">
        <f t="shared" ca="1" si="38"/>
        <v/>
      </c>
      <c r="H131" s="245" t="str">
        <f ca="1">IF(ISNUMBER(A131),IF(OR($S131=$U131,NOT(ISNA(MATCH($D131*5+$V$4,Override!$C$6:$C$125,0)))),$Q131,0),"")</f>
        <v/>
      </c>
      <c r="I131" s="396" t="str">
        <f t="shared" ca="1" si="39"/>
        <v/>
      </c>
      <c r="J131" s="260">
        <f ca="1">COUNT(A127:A131)</f>
        <v>0</v>
      </c>
      <c r="K131" s="261" t="str">
        <f ca="1">IF(ISNUMBER(A131),RANK(F131,F127:F131),"")</f>
        <v/>
      </c>
      <c r="L131" s="262">
        <f ca="1">IF(J131=5,VLOOKUP(K131,TPMatrix!$A$6:$B$10,2,0),IF(J131=4,VLOOKUP(K131,TPMatrix!$D$6:$E$9,2,0),0))</f>
        <v>0</v>
      </c>
      <c r="M131" s="262">
        <f ca="1">IF(COUNTIF(K127:K131,K131)&gt;=2,IF(J131=5,VLOOKUP(K131+1,TPMatrix!$A$6:$B$10,2,0),IF(J131=4,VLOOKUP(K131+1,TPMatrix!$D$6:$E$9,2,0),0)),"")</f>
        <v>0</v>
      </c>
      <c r="N131" s="262">
        <f ca="1">IF(COUNTIF(K127:K131,K131)&gt;=3,IF(J131=5,VLOOKUP(K131+2,TPMatrix!$A$6:$B$10,2,0),IF(J131=4,VLOOKUP(K131+2,TPMatrix!$D$6:$E$9,2,0),0)),"")</f>
        <v>0</v>
      </c>
      <c r="O131" s="262">
        <f ca="1">IF(COUNTIF(K127:K131,K131)&gt;=4,IF(J131=5,VLOOKUP(K131+3,TPMatrix!$A$6:$B$10,2,0),IF(J131=4,VLOOKUP(K131+3,TPMatrix!$D$6:$E$9,2,0),0)),"")</f>
        <v>0</v>
      </c>
      <c r="P131" s="262">
        <f ca="1">IF(COUNTIF(K127:K131,K131)&gt;=5,IF(J131=5,VLOOKUP(K131+4,TPMatrix!$A$6:$B$10,2,0),IF(J131=4,VLOOKUP(K131+4,TPMatrix!$D$6:$E$9,2,0),0)),"")</f>
        <v>0</v>
      </c>
      <c r="Q131" s="262">
        <f t="shared" ca="1" si="40"/>
        <v>0</v>
      </c>
      <c r="R131" s="263">
        <f t="shared" ca="1" si="41"/>
        <v>5</v>
      </c>
      <c r="S131" s="261">
        <f t="shared" ca="1" si="42"/>
        <v>0</v>
      </c>
      <c r="T131" s="262">
        <f t="shared" si="43"/>
        <v>0</v>
      </c>
      <c r="U131" s="263">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2.95" customHeight="1" x14ac:dyDescent="0.2">
      <c r="A132" s="219" t="str">
        <f ca="1">IF(ISBLANK('Tournament Info'!$B$11),"",INDIRECT(ADDRESS(ROW(),2,1,1,"Optimal Seating "&amp;'Tournament Info'!$B$11-1&amp;"R+F")))</f>
        <v/>
      </c>
      <c r="B132" s="143" t="str">
        <f ca="1">IF(ISNUMBER(A132),VLOOKUP(A132,Methuselahs!$A$7:$E$206,2,0),"")</f>
        <v/>
      </c>
      <c r="C132" s="220" t="str">
        <f ca="1">IF(ISNUMBER(A132),VLOOKUP(A132,Methuselahs!$A$7:$E$206,3,0),"")</f>
        <v/>
      </c>
      <c r="D132" s="221" t="str">
        <f t="shared" ca="1" si="36"/>
        <v/>
      </c>
      <c r="E132" s="222"/>
      <c r="F132" s="393">
        <f t="shared" si="37"/>
        <v>0</v>
      </c>
      <c r="G132" s="223" t="str">
        <f t="shared" ca="1" si="38"/>
        <v/>
      </c>
      <c r="H132" s="224" t="str">
        <f ca="1">IF(ISNUMBER(A132),IF(OR($S132=$U132,NOT(ISNA(MATCH($D132*5+$V$4,Override!$C$6:$C$125,0)))),$Q132,0),"")</f>
        <v/>
      </c>
      <c r="I132" s="394" t="str">
        <f t="shared" ca="1" si="39"/>
        <v/>
      </c>
      <c r="J132" s="225">
        <f ca="1">COUNT(A132:A136)</f>
        <v>0</v>
      </c>
      <c r="K132" s="226" t="str">
        <f ca="1">IF(ISNUMBER(A132),RANK(F132,F132:F136),"")</f>
        <v/>
      </c>
      <c r="L132" s="227">
        <f ca="1">IF(J132=5,VLOOKUP(K132,TPMatrix!$A$6:$B$10,2,0),IF(J132=4,VLOOKUP(K132,TPMatrix!$D$6:$E$9,2,0),0))</f>
        <v>0</v>
      </c>
      <c r="M132" s="227">
        <f ca="1">IF(COUNTIF(K132:K136,K132)&gt;=2,IF(J132=5,VLOOKUP(K132+1,TPMatrix!$A$6:$B$10,2,0),IF(J132=4,VLOOKUP(K132+1,TPMatrix!$D$6:$E$9,2,0),0)),"")</f>
        <v>0</v>
      </c>
      <c r="N132" s="227">
        <f ca="1">IF(COUNTIF(K132:K136,K132)&gt;=3,IF(J132=5,VLOOKUP(K132+2,TPMatrix!$A$6:$B$10,2,0),IF(J132=4,VLOOKUP(K132+2,TPMatrix!$D$6:$E$9,2,0),0)),"")</f>
        <v>0</v>
      </c>
      <c r="O132" s="227">
        <f ca="1">IF(COUNTIF(K132:K136,K132)&gt;=4,IF(J132=5,VLOOKUP(K132+3,TPMatrix!$A$6:$B$10,2,0),IF(J132=4,VLOOKUP(K132+3,TPMatrix!$D$6:$E$9,2,0),0)),"")</f>
        <v>0</v>
      </c>
      <c r="P132" s="227">
        <f ca="1">IF(COUNTIF(K132:K136,K132)&gt;=5,IF(J132=5,VLOOKUP(K132+4,TPMatrix!$A$6:$B$10,2,0),IF(J132=4,VLOOKUP(K132+4,TPMatrix!$D$6:$E$9,2,0),0)),"")</f>
        <v>0</v>
      </c>
      <c r="Q132" s="227">
        <f t="shared" ca="1" si="40"/>
        <v>0</v>
      </c>
      <c r="R132" s="228">
        <f t="shared" ca="1" si="41"/>
        <v>5</v>
      </c>
      <c r="S132" s="229">
        <f t="shared" ca="1" si="42"/>
        <v>0</v>
      </c>
      <c r="T132" s="230">
        <f t="shared" si="43"/>
        <v>0</v>
      </c>
      <c r="U132" s="231">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2.95" customHeight="1" x14ac:dyDescent="0.2">
      <c r="A133" s="111" t="str">
        <f ca="1">IF(ISBLANK('Tournament Info'!$B$11),"",INDIRECT(ADDRESS(ROW(),2,1,1,"Optimal Seating "&amp;'Tournament Info'!$B$11-1&amp;"R+F")))</f>
        <v/>
      </c>
      <c r="B133" s="117" t="str">
        <f ca="1">IF(ISNUMBER(A133),VLOOKUP(A133,Methuselahs!$A$7:$E$206,2,0),"")</f>
        <v/>
      </c>
      <c r="C133" s="232" t="str">
        <f ca="1">IF(ISNUMBER(A133),VLOOKUP(A133,Methuselahs!$A$7:$E$206,3,0),"")</f>
        <v/>
      </c>
      <c r="D133" s="233" t="str">
        <f t="shared" ca="1" si="36"/>
        <v/>
      </c>
      <c r="E133" s="234"/>
      <c r="F133" s="118">
        <f t="shared" si="37"/>
        <v>0</v>
      </c>
      <c r="G133" s="235" t="str">
        <f t="shared" ca="1" si="38"/>
        <v/>
      </c>
      <c r="H133" s="236" t="str">
        <f ca="1">IF(ISNUMBER(A133),IF(OR($S133=$U133,NOT(ISNA(MATCH($D133*5+$V$4,Override!$C$6:$C$125,0)))),$Q133,0),"")</f>
        <v/>
      </c>
      <c r="I133" s="395" t="str">
        <f t="shared" ca="1" si="39"/>
        <v/>
      </c>
      <c r="J133" s="237">
        <f ca="1">COUNT(A132:A136)</f>
        <v>0</v>
      </c>
      <c r="K133" s="238" t="str">
        <f ca="1">IF(ISNUMBER(A133),RANK(F133,F132:F136),"")</f>
        <v/>
      </c>
      <c r="L133" s="239">
        <f ca="1">IF(J133=5,VLOOKUP(K133,TPMatrix!$A$6:$B$10,2,0),IF(J133=4,VLOOKUP(K133,TPMatrix!$D$6:$E$9,2,0),0))</f>
        <v>0</v>
      </c>
      <c r="M133" s="239">
        <f ca="1">IF(COUNTIF(K132:K136,K133)&gt;=2,IF(J133=5,VLOOKUP(K133+1,TPMatrix!$A$6:$B$10,2,0),IF(J133=4,VLOOKUP(K133+1,TPMatrix!$D$6:$E$9,2,0),0)),"")</f>
        <v>0</v>
      </c>
      <c r="N133" s="239">
        <f ca="1">IF(COUNTIF(K132:K136,K133)&gt;=3,IF(J133=5,VLOOKUP(K133+2,TPMatrix!$A$6:$B$10,2,0),IF(J133=4,VLOOKUP(K133+2,TPMatrix!$D$6:$E$9,2,0),0)),"")</f>
        <v>0</v>
      </c>
      <c r="O133" s="239">
        <f ca="1">IF(COUNTIF(K132:K136,K133)&gt;=4,IF(J133=5,VLOOKUP(K133+3,TPMatrix!$A$6:$B$10,2,0),IF(J133=4,VLOOKUP(K133+3,TPMatrix!$D$6:$E$9,2,0),0)),"")</f>
        <v>0</v>
      </c>
      <c r="P133" s="239">
        <f ca="1">IF(COUNTIF(K132:K136,K133)&gt;=5,IF(J133=5,VLOOKUP(K133+4,TPMatrix!$A$6:$B$10,2,0),IF(J133=4,VLOOKUP(K133+4,TPMatrix!$D$6:$E$9,2,0),0)),"")</f>
        <v>0</v>
      </c>
      <c r="Q133" s="239">
        <f t="shared" ca="1" si="40"/>
        <v>0</v>
      </c>
      <c r="R133" s="240">
        <f t="shared" ca="1" si="41"/>
        <v>5</v>
      </c>
      <c r="S133" s="238">
        <f t="shared" ca="1" si="42"/>
        <v>0</v>
      </c>
      <c r="T133" s="239">
        <f t="shared" si="43"/>
        <v>0</v>
      </c>
      <c r="U133" s="240">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2.95" customHeight="1" x14ac:dyDescent="0.2">
      <c r="A134" s="137" t="str">
        <f ca="1">IF(ISBLANK('Tournament Info'!$B$11),"",INDIRECT(ADDRESS(ROW(),2,1,1,"Optimal Seating "&amp;'Tournament Info'!$B$11-1&amp;"R+F")))</f>
        <v/>
      </c>
      <c r="B134" s="143" t="str">
        <f ca="1">IF(ISNUMBER(A134),VLOOKUP(A134,Methuselahs!$A$7:$E$206,2,0),"")</f>
        <v/>
      </c>
      <c r="C134" s="241" t="str">
        <f ca="1">IF(ISNUMBER(A134),VLOOKUP(A134,Methuselahs!$A$7:$E$206,3,0),"")</f>
        <v/>
      </c>
      <c r="D134" s="242" t="str">
        <f t="shared" ca="1" si="36"/>
        <v/>
      </c>
      <c r="E134" s="243"/>
      <c r="F134" s="144">
        <f t="shared" si="37"/>
        <v>0</v>
      </c>
      <c r="G134" s="244" t="str">
        <f t="shared" ca="1" si="38"/>
        <v/>
      </c>
      <c r="H134" s="245" t="str">
        <f ca="1">IF(ISNUMBER(A134),IF(OR($S134=$U134,NOT(ISNA(MATCH($D134*5+$V$4,Override!$C$6:$C$125,0)))),$Q134,0),"")</f>
        <v/>
      </c>
      <c r="I134" s="396" t="str">
        <f t="shared" ca="1" si="39"/>
        <v/>
      </c>
      <c r="J134" s="246">
        <f ca="1">COUNT(A132:A136)</f>
        <v>0</v>
      </c>
      <c r="K134" s="247" t="str">
        <f ca="1">IF(ISNUMBER(A134),RANK(F134,F132:F136),"")</f>
        <v/>
      </c>
      <c r="L134" s="142">
        <f ca="1">IF(J134=5,VLOOKUP(K134,TPMatrix!$A$6:$B$10,2,0),IF(J134=4,VLOOKUP(K134,TPMatrix!$D$6:$E$9,2,0),0))</f>
        <v>0</v>
      </c>
      <c r="M134" s="142">
        <f ca="1">IF(COUNTIF(K132:K136,K134)&gt;=2,IF(J134=5,VLOOKUP(K134+1,TPMatrix!$A$6:$B$10,2,0),IF(J134=4,VLOOKUP(K134+1,TPMatrix!$D$6:$E$9,2,0),0)),"")</f>
        <v>0</v>
      </c>
      <c r="N134" s="142">
        <f ca="1">IF(COUNTIF(K132:K136,K134)&gt;=3,IF(J134=5,VLOOKUP(K134+2,TPMatrix!$A$6:$B$10,2,0),IF(J134=4,VLOOKUP(K134+2,TPMatrix!$D$6:$E$9,2,0),0)),"")</f>
        <v>0</v>
      </c>
      <c r="O134" s="142">
        <f ca="1">IF(COUNTIF(K132:K136,K134)&gt;=4,IF(J134=5,VLOOKUP(K134+3,TPMatrix!$A$6:$B$10,2,0),IF(J134=4,VLOOKUP(K134+3,TPMatrix!$D$6:$E$9,2,0),0)),"")</f>
        <v>0</v>
      </c>
      <c r="P134" s="142">
        <f ca="1">IF(COUNTIF(K132:K136,K134)&gt;=5,IF(J134=5,VLOOKUP(K134+4,TPMatrix!$A$6:$B$10,2,0),IF(J134=4,VLOOKUP(K134+4,TPMatrix!$D$6:$E$9,2,0),0)),"")</f>
        <v>0</v>
      </c>
      <c r="Q134" s="142">
        <f t="shared" ca="1" si="40"/>
        <v>0</v>
      </c>
      <c r="R134" s="248">
        <f t="shared" ca="1" si="41"/>
        <v>5</v>
      </c>
      <c r="S134" s="247">
        <f t="shared" ca="1" si="42"/>
        <v>0</v>
      </c>
      <c r="T134" s="142">
        <f t="shared" si="43"/>
        <v>0</v>
      </c>
      <c r="U134" s="248">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2.95" customHeight="1" x14ac:dyDescent="0.2">
      <c r="A135" s="249" t="str">
        <f ca="1">IF(ISBLANK('Tournament Info'!$B$11),"",INDIRECT(ADDRESS(ROW(),2,1,1,"Optimal Seating "&amp;'Tournament Info'!$B$11-1&amp;"R+F")))</f>
        <v/>
      </c>
      <c r="B135" s="250" t="str">
        <f ca="1">IF(ISNUMBER(A135),VLOOKUP(A135,Methuselahs!$A$7:$E$206,2,0),"")</f>
        <v/>
      </c>
      <c r="C135" s="251" t="str">
        <f ca="1">IF(ISNUMBER(A135),VLOOKUP(A135,Methuselahs!$A$7:$E$206,3,0),"")</f>
        <v/>
      </c>
      <c r="D135" s="252" t="str">
        <f t="shared" ref="D135:D166" ca="1" si="48">IF(ISNUMBER(A135),FLOOR((ROW()-ROW($A$7))/5,1)+1,"")</f>
        <v/>
      </c>
      <c r="E135" s="253"/>
      <c r="F135" s="397">
        <f t="shared" ref="F135:F166" si="49">IF(ISNUMBER(E135),E135,0)</f>
        <v>0</v>
      </c>
      <c r="G135" s="235" t="str">
        <f t="shared" ref="G135:G166" ca="1" si="50">IF(ISNUMBER($A135),IF(AND($F135&gt;=2,$H135=60),1,0),"")</f>
        <v/>
      </c>
      <c r="H135" s="236" t="str">
        <f ca="1">IF(ISNUMBER(A135),IF(OR($S135=$U135,NOT(ISNA(MATCH($D135*5+$V$4,Override!$C$6:$C$125,0)))),$Q135,0),"")</f>
        <v/>
      </c>
      <c r="I135" s="395" t="str">
        <f t="shared" ref="I135:I166" ca="1" si="51">IF(ISNUMBER(A135),IF(J135=5,K135,IF(AND(J135=4,OR(K135=4,K135=3)),K135+1,K135)),"")</f>
        <v/>
      </c>
      <c r="J135" s="254">
        <f ca="1">COUNT(A132:A136)</f>
        <v>0</v>
      </c>
      <c r="K135" s="238" t="str">
        <f ca="1">IF(ISNUMBER(A135),RANK(F135,F132:F136),"")</f>
        <v/>
      </c>
      <c r="L135" s="239">
        <f ca="1">IF(J135=5,VLOOKUP(K135,TPMatrix!$A$6:$B$10,2,0),IF(J135=4,VLOOKUP(K135,TPMatrix!$D$6:$E$9,2,0),0))</f>
        <v>0</v>
      </c>
      <c r="M135" s="239">
        <f ca="1">IF(COUNTIF(K132:K136,K135)&gt;=2,IF(J135=5,VLOOKUP(K135+1,TPMatrix!$A$6:$B$10,2,0),IF(J135=4,VLOOKUP(K135+1,TPMatrix!$D$6:$E$9,2,0),0)),"")</f>
        <v>0</v>
      </c>
      <c r="N135" s="239">
        <f ca="1">IF(COUNTIF(K132:K136,K135)&gt;=3,IF(J135=5,VLOOKUP(K135+2,TPMatrix!$A$6:$B$10,2,0),IF(J135=4,VLOOKUP(K135+2,TPMatrix!$D$6:$E$9,2,0),0)),"")</f>
        <v>0</v>
      </c>
      <c r="O135" s="239">
        <f ca="1">IF(COUNTIF(K132:K136,K135)&gt;=4,IF(J135=5,VLOOKUP(K135+3,TPMatrix!$A$6:$B$10,2,0),IF(J135=4,VLOOKUP(K135+3,TPMatrix!$D$6:$E$9,2,0),0)),"")</f>
        <v>0</v>
      </c>
      <c r="P135" s="239">
        <f ca="1">IF(COUNTIF(K132:K136,K135)&gt;=5,IF(J135=5,VLOOKUP(K135+4,TPMatrix!$A$6:$B$10,2,0),IF(J135=4,VLOOKUP(K135+4,TPMatrix!$D$6:$E$9,2,0),0)),"")</f>
        <v>0</v>
      </c>
      <c r="Q135" s="239">
        <f t="shared" ref="Q135:Q166" ca="1" si="52">SUM(L135:P135)/COUNT(L135:P135)</f>
        <v>0</v>
      </c>
      <c r="R135" s="240">
        <f t="shared" ref="R135:R166" ca="1" si="53">COUNT(L135:P135)</f>
        <v>5</v>
      </c>
      <c r="S135" s="238">
        <f t="shared" ref="S135:S166" ca="1" si="54">IF(ISNUMBER($A135),COUNTIF($D$7:$D$206,$D135),0)</f>
        <v>0</v>
      </c>
      <c r="T135" s="239">
        <f t="shared" ref="T135:T166" si="55">CEILING($F135,1)</f>
        <v>0</v>
      </c>
      <c r="U135" s="240">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2.95" customHeight="1" x14ac:dyDescent="0.2">
      <c r="A136" s="255" t="str">
        <f ca="1">IF(ISBLANK('Tournament Info'!$B$11),"",INDIRECT(ADDRESS(ROW(),2,1,1,"Optimal Seating "&amp;'Tournament Info'!$B$11-1&amp;"R+F")))</f>
        <v/>
      </c>
      <c r="B136" s="256" t="str">
        <f ca="1">IF(ISNUMBER(A136),VLOOKUP(A136,Methuselahs!$A$7:$E$206,2,0),"")</f>
        <v/>
      </c>
      <c r="C136" s="257" t="str">
        <f ca="1">IF(ISNUMBER(A136),VLOOKUP(A136,Methuselahs!$A$7:$E$206,3,0),"")</f>
        <v/>
      </c>
      <c r="D136" s="258" t="str">
        <f t="shared" ca="1" si="48"/>
        <v/>
      </c>
      <c r="E136" s="259"/>
      <c r="F136" s="398">
        <f t="shared" si="49"/>
        <v>0</v>
      </c>
      <c r="G136" s="244" t="str">
        <f t="shared" ca="1" si="50"/>
        <v/>
      </c>
      <c r="H136" s="245" t="str">
        <f ca="1">IF(ISNUMBER(A136),IF(OR($S136=$U136,NOT(ISNA(MATCH($D136*5+$V$4,Override!$C$6:$C$125,0)))),$Q136,0),"")</f>
        <v/>
      </c>
      <c r="I136" s="396" t="str">
        <f t="shared" ca="1" si="51"/>
        <v/>
      </c>
      <c r="J136" s="260">
        <f ca="1">COUNT(A132:A136)</f>
        <v>0</v>
      </c>
      <c r="K136" s="261" t="str">
        <f ca="1">IF(ISNUMBER(A136),RANK(F136,F132:F136),"")</f>
        <v/>
      </c>
      <c r="L136" s="262">
        <f ca="1">IF(J136=5,VLOOKUP(K136,TPMatrix!$A$6:$B$10,2,0),IF(J136=4,VLOOKUP(K136,TPMatrix!$D$6:$E$9,2,0),0))</f>
        <v>0</v>
      </c>
      <c r="M136" s="262">
        <f ca="1">IF(COUNTIF(K132:K136,K136)&gt;=2,IF(J136=5,VLOOKUP(K136+1,TPMatrix!$A$6:$B$10,2,0),IF(J136=4,VLOOKUP(K136+1,TPMatrix!$D$6:$E$9,2,0),0)),"")</f>
        <v>0</v>
      </c>
      <c r="N136" s="262">
        <f ca="1">IF(COUNTIF(K132:K136,K136)&gt;=3,IF(J136=5,VLOOKUP(K136+2,TPMatrix!$A$6:$B$10,2,0),IF(J136=4,VLOOKUP(K136+2,TPMatrix!$D$6:$E$9,2,0),0)),"")</f>
        <v>0</v>
      </c>
      <c r="O136" s="262">
        <f ca="1">IF(COUNTIF(K132:K136,K136)&gt;=4,IF(J136=5,VLOOKUP(K136+3,TPMatrix!$A$6:$B$10,2,0),IF(J136=4,VLOOKUP(K136+3,TPMatrix!$D$6:$E$9,2,0),0)),"")</f>
        <v>0</v>
      </c>
      <c r="P136" s="262">
        <f ca="1">IF(COUNTIF(K132:K136,K136)&gt;=5,IF(J136=5,VLOOKUP(K136+4,TPMatrix!$A$6:$B$10,2,0),IF(J136=4,VLOOKUP(K136+4,TPMatrix!$D$6:$E$9,2,0),0)),"")</f>
        <v>0</v>
      </c>
      <c r="Q136" s="262">
        <f t="shared" ca="1" si="52"/>
        <v>0</v>
      </c>
      <c r="R136" s="263">
        <f t="shared" ca="1" si="53"/>
        <v>5</v>
      </c>
      <c r="S136" s="261">
        <f t="shared" ca="1" si="54"/>
        <v>0</v>
      </c>
      <c r="T136" s="262">
        <f t="shared" si="55"/>
        <v>0</v>
      </c>
      <c r="U136" s="263">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2.95" customHeight="1" x14ac:dyDescent="0.2">
      <c r="A137" s="219" t="str">
        <f ca="1">IF(ISBLANK('Tournament Info'!$B$11),"",INDIRECT(ADDRESS(ROW(),2,1,1,"Optimal Seating "&amp;'Tournament Info'!$B$11-1&amp;"R+F")))</f>
        <v/>
      </c>
      <c r="B137" s="143" t="str">
        <f ca="1">IF(ISNUMBER(A137),VLOOKUP(A137,Methuselahs!$A$7:$E$206,2,0),"")</f>
        <v/>
      </c>
      <c r="C137" s="220" t="str">
        <f ca="1">IF(ISNUMBER(A137),VLOOKUP(A137,Methuselahs!$A$7:$E$206,3,0),"")</f>
        <v/>
      </c>
      <c r="D137" s="221" t="str">
        <f t="shared" ca="1" si="48"/>
        <v/>
      </c>
      <c r="E137" s="222"/>
      <c r="F137" s="393">
        <f t="shared" si="49"/>
        <v>0</v>
      </c>
      <c r="G137" s="223" t="str">
        <f t="shared" ca="1" si="50"/>
        <v/>
      </c>
      <c r="H137" s="224" t="str">
        <f ca="1">IF(ISNUMBER(A137),IF(OR($S137=$U137,NOT(ISNA(MATCH($D137*5+$V$4,Override!$C$6:$C$125,0)))),$Q137,0),"")</f>
        <v/>
      </c>
      <c r="I137" s="394" t="str">
        <f t="shared" ca="1" si="51"/>
        <v/>
      </c>
      <c r="J137" s="225">
        <f ca="1">COUNT(A137:A141)</f>
        <v>0</v>
      </c>
      <c r="K137" s="226" t="str">
        <f ca="1">IF(ISNUMBER(A137),RANK(F137,F137:F141),"")</f>
        <v/>
      </c>
      <c r="L137" s="227">
        <f ca="1">IF(J137=5,VLOOKUP(K137,TPMatrix!$A$6:$B$10,2,0),IF(J137=4,VLOOKUP(K137,TPMatrix!$D$6:$E$9,2,0),0))</f>
        <v>0</v>
      </c>
      <c r="M137" s="227">
        <f ca="1">IF(COUNTIF(K137:K141,K137)&gt;=2,IF(J137=5,VLOOKUP(K137+1,TPMatrix!$A$6:$B$10,2,0),IF(J137=4,VLOOKUP(K137+1,TPMatrix!$D$6:$E$9,2,0),0)),"")</f>
        <v>0</v>
      </c>
      <c r="N137" s="227">
        <f ca="1">IF(COUNTIF(K137:K141,K137)&gt;=3,IF(J137=5,VLOOKUP(K137+2,TPMatrix!$A$6:$B$10,2,0),IF(J137=4,VLOOKUP(K137+2,TPMatrix!$D$6:$E$9,2,0),0)),"")</f>
        <v>0</v>
      </c>
      <c r="O137" s="227">
        <f ca="1">IF(COUNTIF(K137:K141,K137)&gt;=4,IF(J137=5,VLOOKUP(K137+3,TPMatrix!$A$6:$B$10,2,0),IF(J137=4,VLOOKUP(K137+3,TPMatrix!$D$6:$E$9,2,0),0)),"")</f>
        <v>0</v>
      </c>
      <c r="P137" s="227">
        <f ca="1">IF(COUNTIF(K137:K141,K137)&gt;=5,IF(J137=5,VLOOKUP(K137+4,TPMatrix!$A$6:$B$10,2,0),IF(J137=4,VLOOKUP(K137+4,TPMatrix!$D$6:$E$9,2,0),0)),"")</f>
        <v>0</v>
      </c>
      <c r="Q137" s="227">
        <f t="shared" ca="1" si="52"/>
        <v>0</v>
      </c>
      <c r="R137" s="228">
        <f t="shared" ca="1" si="53"/>
        <v>5</v>
      </c>
      <c r="S137" s="229">
        <f t="shared" ca="1" si="54"/>
        <v>0</v>
      </c>
      <c r="T137" s="230">
        <f t="shared" si="55"/>
        <v>0</v>
      </c>
      <c r="U137" s="231">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2.95" customHeight="1" x14ac:dyDescent="0.2">
      <c r="A138" s="111" t="str">
        <f ca="1">IF(ISBLANK('Tournament Info'!$B$11),"",INDIRECT(ADDRESS(ROW(),2,1,1,"Optimal Seating "&amp;'Tournament Info'!$B$11-1&amp;"R+F")))</f>
        <v/>
      </c>
      <c r="B138" s="117" t="str">
        <f ca="1">IF(ISNUMBER(A138),VLOOKUP(A138,Methuselahs!$A$7:$E$206,2,0),"")</f>
        <v/>
      </c>
      <c r="C138" s="232" t="str">
        <f ca="1">IF(ISNUMBER(A138),VLOOKUP(A138,Methuselahs!$A$7:$E$206,3,0),"")</f>
        <v/>
      </c>
      <c r="D138" s="233" t="str">
        <f t="shared" ca="1" si="48"/>
        <v/>
      </c>
      <c r="E138" s="234"/>
      <c r="F138" s="118">
        <f t="shared" si="49"/>
        <v>0</v>
      </c>
      <c r="G138" s="235" t="str">
        <f t="shared" ca="1" si="50"/>
        <v/>
      </c>
      <c r="H138" s="236" t="str">
        <f ca="1">IF(ISNUMBER(A138),IF(OR($S138=$U138,NOT(ISNA(MATCH($D138*5+$V$4,Override!$C$6:$C$125,0)))),$Q138,0),"")</f>
        <v/>
      </c>
      <c r="I138" s="395" t="str">
        <f t="shared" ca="1" si="51"/>
        <v/>
      </c>
      <c r="J138" s="237">
        <f ca="1">COUNT(A137:A141)</f>
        <v>0</v>
      </c>
      <c r="K138" s="238" t="str">
        <f ca="1">IF(ISNUMBER(A138),RANK(F138,F137:F141),"")</f>
        <v/>
      </c>
      <c r="L138" s="239">
        <f ca="1">IF(J138=5,VLOOKUP(K138,TPMatrix!$A$6:$B$10,2,0),IF(J138=4,VLOOKUP(K138,TPMatrix!$D$6:$E$9,2,0),0))</f>
        <v>0</v>
      </c>
      <c r="M138" s="239">
        <f ca="1">IF(COUNTIF(K137:K141,K138)&gt;=2,IF(J138=5,VLOOKUP(K138+1,TPMatrix!$A$6:$B$10,2,0),IF(J138=4,VLOOKUP(K138+1,TPMatrix!$D$6:$E$9,2,0),0)),"")</f>
        <v>0</v>
      </c>
      <c r="N138" s="239">
        <f ca="1">IF(COUNTIF(K137:K141,K138)&gt;=3,IF(J138=5,VLOOKUP(K138+2,TPMatrix!$A$6:$B$10,2,0),IF(J138=4,VLOOKUP(K138+2,TPMatrix!$D$6:$E$9,2,0),0)),"")</f>
        <v>0</v>
      </c>
      <c r="O138" s="239">
        <f ca="1">IF(COUNTIF(K137:K141,K138)&gt;=4,IF(J138=5,VLOOKUP(K138+3,TPMatrix!$A$6:$B$10,2,0),IF(J138=4,VLOOKUP(K138+3,TPMatrix!$D$6:$E$9,2,0),0)),"")</f>
        <v>0</v>
      </c>
      <c r="P138" s="239">
        <f ca="1">IF(COUNTIF(K137:K141,K138)&gt;=5,IF(J138=5,VLOOKUP(K138+4,TPMatrix!$A$6:$B$10,2,0),IF(J138=4,VLOOKUP(K138+4,TPMatrix!$D$6:$E$9,2,0),0)),"")</f>
        <v>0</v>
      </c>
      <c r="Q138" s="239">
        <f t="shared" ca="1" si="52"/>
        <v>0</v>
      </c>
      <c r="R138" s="240">
        <f t="shared" ca="1" si="53"/>
        <v>5</v>
      </c>
      <c r="S138" s="238">
        <f t="shared" ca="1" si="54"/>
        <v>0</v>
      </c>
      <c r="T138" s="239">
        <f t="shared" si="55"/>
        <v>0</v>
      </c>
      <c r="U138" s="240">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2.95" customHeight="1" x14ac:dyDescent="0.2">
      <c r="A139" s="137" t="str">
        <f ca="1">IF(ISBLANK('Tournament Info'!$B$11),"",INDIRECT(ADDRESS(ROW(),2,1,1,"Optimal Seating "&amp;'Tournament Info'!$B$11-1&amp;"R+F")))</f>
        <v/>
      </c>
      <c r="B139" s="143" t="str">
        <f ca="1">IF(ISNUMBER(A139),VLOOKUP(A139,Methuselahs!$A$7:$E$206,2,0),"")</f>
        <v/>
      </c>
      <c r="C139" s="241" t="str">
        <f ca="1">IF(ISNUMBER(A139),VLOOKUP(A139,Methuselahs!$A$7:$E$206,3,0),"")</f>
        <v/>
      </c>
      <c r="D139" s="242" t="str">
        <f t="shared" ca="1" si="48"/>
        <v/>
      </c>
      <c r="E139" s="243"/>
      <c r="F139" s="144">
        <f t="shared" si="49"/>
        <v>0</v>
      </c>
      <c r="G139" s="244" t="str">
        <f t="shared" ca="1" si="50"/>
        <v/>
      </c>
      <c r="H139" s="245" t="str">
        <f ca="1">IF(ISNUMBER(A139),IF(OR($S139=$U139,NOT(ISNA(MATCH($D139*5+$V$4,Override!$C$6:$C$125,0)))),$Q139,0),"")</f>
        <v/>
      </c>
      <c r="I139" s="396" t="str">
        <f t="shared" ca="1" si="51"/>
        <v/>
      </c>
      <c r="J139" s="246">
        <f ca="1">COUNT(A137:A141)</f>
        <v>0</v>
      </c>
      <c r="K139" s="247" t="str">
        <f ca="1">IF(ISNUMBER(A139),RANK(F139,F137:F141),"")</f>
        <v/>
      </c>
      <c r="L139" s="142">
        <f ca="1">IF(J139=5,VLOOKUP(K139,TPMatrix!$A$6:$B$10,2,0),IF(J139=4,VLOOKUP(K139,TPMatrix!$D$6:$E$9,2,0),0))</f>
        <v>0</v>
      </c>
      <c r="M139" s="142">
        <f ca="1">IF(COUNTIF(K137:K141,K139)&gt;=2,IF(J139=5,VLOOKUP(K139+1,TPMatrix!$A$6:$B$10,2,0),IF(J139=4,VLOOKUP(K139+1,TPMatrix!$D$6:$E$9,2,0),0)),"")</f>
        <v>0</v>
      </c>
      <c r="N139" s="142">
        <f ca="1">IF(COUNTIF(K137:K141,K139)&gt;=3,IF(J139=5,VLOOKUP(K139+2,TPMatrix!$A$6:$B$10,2,0),IF(J139=4,VLOOKUP(K139+2,TPMatrix!$D$6:$E$9,2,0),0)),"")</f>
        <v>0</v>
      </c>
      <c r="O139" s="142">
        <f ca="1">IF(COUNTIF(K137:K141,K139)&gt;=4,IF(J139=5,VLOOKUP(K139+3,TPMatrix!$A$6:$B$10,2,0),IF(J139=4,VLOOKUP(K139+3,TPMatrix!$D$6:$E$9,2,0),0)),"")</f>
        <v>0</v>
      </c>
      <c r="P139" s="142">
        <f ca="1">IF(COUNTIF(K137:K141,K139)&gt;=5,IF(J139=5,VLOOKUP(K139+4,TPMatrix!$A$6:$B$10,2,0),IF(J139=4,VLOOKUP(K139+4,TPMatrix!$D$6:$E$9,2,0),0)),"")</f>
        <v>0</v>
      </c>
      <c r="Q139" s="142">
        <f t="shared" ca="1" si="52"/>
        <v>0</v>
      </c>
      <c r="R139" s="248">
        <f t="shared" ca="1" si="53"/>
        <v>5</v>
      </c>
      <c r="S139" s="247">
        <f t="shared" ca="1" si="54"/>
        <v>0</v>
      </c>
      <c r="T139" s="142">
        <f t="shared" si="55"/>
        <v>0</v>
      </c>
      <c r="U139" s="248">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2.95" customHeight="1" x14ac:dyDescent="0.2">
      <c r="A140" s="249" t="str">
        <f ca="1">IF(ISBLANK('Tournament Info'!$B$11),"",INDIRECT(ADDRESS(ROW(),2,1,1,"Optimal Seating "&amp;'Tournament Info'!$B$11-1&amp;"R+F")))</f>
        <v/>
      </c>
      <c r="B140" s="250" t="str">
        <f ca="1">IF(ISNUMBER(A140),VLOOKUP(A140,Methuselahs!$A$7:$E$206,2,0),"")</f>
        <v/>
      </c>
      <c r="C140" s="251" t="str">
        <f ca="1">IF(ISNUMBER(A140),VLOOKUP(A140,Methuselahs!$A$7:$E$206,3,0),"")</f>
        <v/>
      </c>
      <c r="D140" s="252" t="str">
        <f t="shared" ca="1" si="48"/>
        <v/>
      </c>
      <c r="E140" s="253"/>
      <c r="F140" s="397">
        <f t="shared" si="49"/>
        <v>0</v>
      </c>
      <c r="G140" s="235" t="str">
        <f t="shared" ca="1" si="50"/>
        <v/>
      </c>
      <c r="H140" s="236" t="str">
        <f ca="1">IF(ISNUMBER(A140),IF(OR($S140=$U140,NOT(ISNA(MATCH($D140*5+$V$4,Override!$C$6:$C$125,0)))),$Q140,0),"")</f>
        <v/>
      </c>
      <c r="I140" s="395" t="str">
        <f t="shared" ca="1" si="51"/>
        <v/>
      </c>
      <c r="J140" s="254">
        <f ca="1">COUNT(A137:A141)</f>
        <v>0</v>
      </c>
      <c r="K140" s="238" t="str">
        <f ca="1">IF(ISNUMBER(A140),RANK(F140,F137:F141),"")</f>
        <v/>
      </c>
      <c r="L140" s="239">
        <f ca="1">IF(J140=5,VLOOKUP(K140,TPMatrix!$A$6:$B$10,2,0),IF(J140=4,VLOOKUP(K140,TPMatrix!$D$6:$E$9,2,0),0))</f>
        <v>0</v>
      </c>
      <c r="M140" s="239">
        <f ca="1">IF(COUNTIF(K137:K141,K140)&gt;=2,IF(J140=5,VLOOKUP(K140+1,TPMatrix!$A$6:$B$10,2,0),IF(J140=4,VLOOKUP(K140+1,TPMatrix!$D$6:$E$9,2,0),0)),"")</f>
        <v>0</v>
      </c>
      <c r="N140" s="239">
        <f ca="1">IF(COUNTIF(K137:K141,K140)&gt;=3,IF(J140=5,VLOOKUP(K140+2,TPMatrix!$A$6:$B$10,2,0),IF(J140=4,VLOOKUP(K140+2,TPMatrix!$D$6:$E$9,2,0),0)),"")</f>
        <v>0</v>
      </c>
      <c r="O140" s="239">
        <f ca="1">IF(COUNTIF(K137:K141,K140)&gt;=4,IF(J140=5,VLOOKUP(K140+3,TPMatrix!$A$6:$B$10,2,0),IF(J140=4,VLOOKUP(K140+3,TPMatrix!$D$6:$E$9,2,0),0)),"")</f>
        <v>0</v>
      </c>
      <c r="P140" s="239">
        <f ca="1">IF(COUNTIF(K137:K141,K140)&gt;=5,IF(J140=5,VLOOKUP(K140+4,TPMatrix!$A$6:$B$10,2,0),IF(J140=4,VLOOKUP(K140+4,TPMatrix!$D$6:$E$9,2,0),0)),"")</f>
        <v>0</v>
      </c>
      <c r="Q140" s="239">
        <f t="shared" ca="1" si="52"/>
        <v>0</v>
      </c>
      <c r="R140" s="240">
        <f t="shared" ca="1" si="53"/>
        <v>5</v>
      </c>
      <c r="S140" s="238">
        <f t="shared" ca="1" si="54"/>
        <v>0</v>
      </c>
      <c r="T140" s="239">
        <f t="shared" si="55"/>
        <v>0</v>
      </c>
      <c r="U140" s="240">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2.95" customHeight="1" x14ac:dyDescent="0.2">
      <c r="A141" s="255" t="str">
        <f ca="1">IF(ISBLANK('Tournament Info'!$B$11),"",INDIRECT(ADDRESS(ROW(),2,1,1,"Optimal Seating "&amp;'Tournament Info'!$B$11-1&amp;"R+F")))</f>
        <v/>
      </c>
      <c r="B141" s="256" t="str">
        <f ca="1">IF(ISNUMBER(A141),VLOOKUP(A141,Methuselahs!$A$7:$E$206,2,0),"")</f>
        <v/>
      </c>
      <c r="C141" s="257" t="str">
        <f ca="1">IF(ISNUMBER(A141),VLOOKUP(A141,Methuselahs!$A$7:$E$206,3,0),"")</f>
        <v/>
      </c>
      <c r="D141" s="258" t="str">
        <f t="shared" ca="1" si="48"/>
        <v/>
      </c>
      <c r="E141" s="259"/>
      <c r="F141" s="398">
        <f t="shared" si="49"/>
        <v>0</v>
      </c>
      <c r="G141" s="244" t="str">
        <f t="shared" ca="1" si="50"/>
        <v/>
      </c>
      <c r="H141" s="245" t="str">
        <f ca="1">IF(ISNUMBER(A141),IF(OR($S141=$U141,NOT(ISNA(MATCH($D141*5+$V$4,Override!$C$6:$C$125,0)))),$Q141,0),"")</f>
        <v/>
      </c>
      <c r="I141" s="396" t="str">
        <f t="shared" ca="1" si="51"/>
        <v/>
      </c>
      <c r="J141" s="260">
        <f ca="1">COUNT(A137:A141)</f>
        <v>0</v>
      </c>
      <c r="K141" s="261" t="str">
        <f ca="1">IF(ISNUMBER(A141),RANK(F141,F137:F141),"")</f>
        <v/>
      </c>
      <c r="L141" s="262">
        <f ca="1">IF(J141=5,VLOOKUP(K141,TPMatrix!$A$6:$B$10,2,0),IF(J141=4,VLOOKUP(K141,TPMatrix!$D$6:$E$9,2,0),0))</f>
        <v>0</v>
      </c>
      <c r="M141" s="262">
        <f ca="1">IF(COUNTIF(K137:K141,K141)&gt;=2,IF(J141=5,VLOOKUP(K141+1,TPMatrix!$A$6:$B$10,2,0),IF(J141=4,VLOOKUP(K141+1,TPMatrix!$D$6:$E$9,2,0),0)),"")</f>
        <v>0</v>
      </c>
      <c r="N141" s="262">
        <f ca="1">IF(COUNTIF(K137:K141,K141)&gt;=3,IF(J141=5,VLOOKUP(K141+2,TPMatrix!$A$6:$B$10,2,0),IF(J141=4,VLOOKUP(K141+2,TPMatrix!$D$6:$E$9,2,0),0)),"")</f>
        <v>0</v>
      </c>
      <c r="O141" s="262">
        <f ca="1">IF(COUNTIF(K137:K141,K141)&gt;=4,IF(J141=5,VLOOKUP(K141+3,TPMatrix!$A$6:$B$10,2,0),IF(J141=4,VLOOKUP(K141+3,TPMatrix!$D$6:$E$9,2,0),0)),"")</f>
        <v>0</v>
      </c>
      <c r="P141" s="262">
        <f ca="1">IF(COUNTIF(K137:K141,K141)&gt;=5,IF(J141=5,VLOOKUP(K141+4,TPMatrix!$A$6:$B$10,2,0),IF(J141=4,VLOOKUP(K141+4,TPMatrix!$D$6:$E$9,2,0),0)),"")</f>
        <v>0</v>
      </c>
      <c r="Q141" s="262">
        <f t="shared" ca="1" si="52"/>
        <v>0</v>
      </c>
      <c r="R141" s="263">
        <f t="shared" ca="1" si="53"/>
        <v>5</v>
      </c>
      <c r="S141" s="261">
        <f t="shared" ca="1" si="54"/>
        <v>0</v>
      </c>
      <c r="T141" s="262">
        <f t="shared" si="55"/>
        <v>0</v>
      </c>
      <c r="U141" s="263">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2.95" customHeight="1" x14ac:dyDescent="0.2">
      <c r="A142" s="219" t="str">
        <f ca="1">IF(ISBLANK('Tournament Info'!$B$11),"",INDIRECT(ADDRESS(ROW(),2,1,1,"Optimal Seating "&amp;'Tournament Info'!$B$11-1&amp;"R+F")))</f>
        <v/>
      </c>
      <c r="B142" s="143" t="str">
        <f ca="1">IF(ISNUMBER(A142),VLOOKUP(A142,Methuselahs!$A$7:$E$206,2,0),"")</f>
        <v/>
      </c>
      <c r="C142" s="220" t="str">
        <f ca="1">IF(ISNUMBER(A142),VLOOKUP(A142,Methuselahs!$A$7:$E$206,3,0),"")</f>
        <v/>
      </c>
      <c r="D142" s="221" t="str">
        <f t="shared" ca="1" si="48"/>
        <v/>
      </c>
      <c r="E142" s="222"/>
      <c r="F142" s="393">
        <f t="shared" si="49"/>
        <v>0</v>
      </c>
      <c r="G142" s="223" t="str">
        <f t="shared" ca="1" si="50"/>
        <v/>
      </c>
      <c r="H142" s="224" t="str">
        <f ca="1">IF(ISNUMBER(A142),IF(OR($S142=$U142,NOT(ISNA(MATCH($D142*5+$V$4,Override!$C$6:$C$125,0)))),$Q142,0),"")</f>
        <v/>
      </c>
      <c r="I142" s="394" t="str">
        <f t="shared" ca="1" si="51"/>
        <v/>
      </c>
      <c r="J142" s="225">
        <f ca="1">COUNT(A142:A146)</f>
        <v>0</v>
      </c>
      <c r="K142" s="226" t="str">
        <f ca="1">IF(ISNUMBER(A142),RANK(F142,F142:F146),"")</f>
        <v/>
      </c>
      <c r="L142" s="227">
        <f ca="1">IF(J142=5,VLOOKUP(K142,TPMatrix!$A$6:$B$10,2,0),IF(J142=4,VLOOKUP(K142,TPMatrix!$D$6:$E$9,2,0),0))</f>
        <v>0</v>
      </c>
      <c r="M142" s="227">
        <f ca="1">IF(COUNTIF(K142:K146,K142)&gt;=2,IF(J142=5,VLOOKUP(K142+1,TPMatrix!$A$6:$B$10,2,0),IF(J142=4,VLOOKUP(K142+1,TPMatrix!$D$6:$E$9,2,0),0)),"")</f>
        <v>0</v>
      </c>
      <c r="N142" s="227">
        <f ca="1">IF(COUNTIF(K142:K146,K142)&gt;=3,IF(J142=5,VLOOKUP(K142+2,TPMatrix!$A$6:$B$10,2,0),IF(J142=4,VLOOKUP(K142+2,TPMatrix!$D$6:$E$9,2,0),0)),"")</f>
        <v>0</v>
      </c>
      <c r="O142" s="227">
        <f ca="1">IF(COUNTIF(K142:K146,K142)&gt;=4,IF(J142=5,VLOOKUP(K142+3,TPMatrix!$A$6:$B$10,2,0),IF(J142=4,VLOOKUP(K142+3,TPMatrix!$D$6:$E$9,2,0),0)),"")</f>
        <v>0</v>
      </c>
      <c r="P142" s="227">
        <f ca="1">IF(COUNTIF(K142:K146,K142)&gt;=5,IF(J142=5,VLOOKUP(K142+4,TPMatrix!$A$6:$B$10,2,0),IF(J142=4,VLOOKUP(K142+4,TPMatrix!$D$6:$E$9,2,0),0)),"")</f>
        <v>0</v>
      </c>
      <c r="Q142" s="227">
        <f t="shared" ca="1" si="52"/>
        <v>0</v>
      </c>
      <c r="R142" s="228">
        <f t="shared" ca="1" si="53"/>
        <v>5</v>
      </c>
      <c r="S142" s="229">
        <f t="shared" ca="1" si="54"/>
        <v>0</v>
      </c>
      <c r="T142" s="230">
        <f t="shared" si="55"/>
        <v>0</v>
      </c>
      <c r="U142" s="231">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2.95" customHeight="1" x14ac:dyDescent="0.2">
      <c r="A143" s="111" t="str">
        <f ca="1">IF(ISBLANK('Tournament Info'!$B$11),"",INDIRECT(ADDRESS(ROW(),2,1,1,"Optimal Seating "&amp;'Tournament Info'!$B$11-1&amp;"R+F")))</f>
        <v/>
      </c>
      <c r="B143" s="117" t="str">
        <f ca="1">IF(ISNUMBER(A143),VLOOKUP(A143,Methuselahs!$A$7:$E$206,2,0),"")</f>
        <v/>
      </c>
      <c r="C143" s="232" t="str">
        <f ca="1">IF(ISNUMBER(A143),VLOOKUP(A143,Methuselahs!$A$7:$E$206,3,0),"")</f>
        <v/>
      </c>
      <c r="D143" s="233" t="str">
        <f t="shared" ca="1" si="48"/>
        <v/>
      </c>
      <c r="E143" s="234"/>
      <c r="F143" s="118">
        <f t="shared" si="49"/>
        <v>0</v>
      </c>
      <c r="G143" s="235" t="str">
        <f t="shared" ca="1" si="50"/>
        <v/>
      </c>
      <c r="H143" s="236" t="str">
        <f ca="1">IF(ISNUMBER(A143),IF(OR($S143=$U143,NOT(ISNA(MATCH($D143*5+$V$4,Override!$C$6:$C$125,0)))),$Q143,0),"")</f>
        <v/>
      </c>
      <c r="I143" s="395" t="str">
        <f t="shared" ca="1" si="51"/>
        <v/>
      </c>
      <c r="J143" s="237">
        <f ca="1">COUNT(A142:A146)</f>
        <v>0</v>
      </c>
      <c r="K143" s="238" t="str">
        <f ca="1">IF(ISNUMBER(A143),RANK(F143,F142:F146),"")</f>
        <v/>
      </c>
      <c r="L143" s="239">
        <f ca="1">IF(J143=5,VLOOKUP(K143,TPMatrix!$A$6:$B$10,2,0),IF(J143=4,VLOOKUP(K143,TPMatrix!$D$6:$E$9,2,0),0))</f>
        <v>0</v>
      </c>
      <c r="M143" s="239">
        <f ca="1">IF(COUNTIF(K142:K146,K143)&gt;=2,IF(J143=5,VLOOKUP(K143+1,TPMatrix!$A$6:$B$10,2,0),IF(J143=4,VLOOKUP(K143+1,TPMatrix!$D$6:$E$9,2,0),0)),"")</f>
        <v>0</v>
      </c>
      <c r="N143" s="239">
        <f ca="1">IF(COUNTIF(K142:K146,K143)&gt;=3,IF(J143=5,VLOOKUP(K143+2,TPMatrix!$A$6:$B$10,2,0),IF(J143=4,VLOOKUP(K143+2,TPMatrix!$D$6:$E$9,2,0),0)),"")</f>
        <v>0</v>
      </c>
      <c r="O143" s="239">
        <f ca="1">IF(COUNTIF(K142:K146,K143)&gt;=4,IF(J143=5,VLOOKUP(K143+3,TPMatrix!$A$6:$B$10,2,0),IF(J143=4,VLOOKUP(K143+3,TPMatrix!$D$6:$E$9,2,0),0)),"")</f>
        <v>0</v>
      </c>
      <c r="P143" s="239">
        <f ca="1">IF(COUNTIF(K142:K146,K143)&gt;=5,IF(J143=5,VLOOKUP(K143+4,TPMatrix!$A$6:$B$10,2,0),IF(J143=4,VLOOKUP(K143+4,TPMatrix!$D$6:$E$9,2,0),0)),"")</f>
        <v>0</v>
      </c>
      <c r="Q143" s="239">
        <f t="shared" ca="1" si="52"/>
        <v>0</v>
      </c>
      <c r="R143" s="240">
        <f t="shared" ca="1" si="53"/>
        <v>5</v>
      </c>
      <c r="S143" s="238">
        <f t="shared" ca="1" si="54"/>
        <v>0</v>
      </c>
      <c r="T143" s="239">
        <f t="shared" si="55"/>
        <v>0</v>
      </c>
      <c r="U143" s="240">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2.95" customHeight="1" x14ac:dyDescent="0.2">
      <c r="A144" s="137" t="str">
        <f ca="1">IF(ISBLANK('Tournament Info'!$B$11),"",INDIRECT(ADDRESS(ROW(),2,1,1,"Optimal Seating "&amp;'Tournament Info'!$B$11-1&amp;"R+F")))</f>
        <v/>
      </c>
      <c r="B144" s="143" t="str">
        <f ca="1">IF(ISNUMBER(A144),VLOOKUP(A144,Methuselahs!$A$7:$E$206,2,0),"")</f>
        <v/>
      </c>
      <c r="C144" s="241" t="str">
        <f ca="1">IF(ISNUMBER(A144),VLOOKUP(A144,Methuselahs!$A$7:$E$206,3,0),"")</f>
        <v/>
      </c>
      <c r="D144" s="242" t="str">
        <f t="shared" ca="1" si="48"/>
        <v/>
      </c>
      <c r="E144" s="243"/>
      <c r="F144" s="144">
        <f t="shared" si="49"/>
        <v>0</v>
      </c>
      <c r="G144" s="244" t="str">
        <f t="shared" ca="1" si="50"/>
        <v/>
      </c>
      <c r="H144" s="245" t="str">
        <f ca="1">IF(ISNUMBER(A144),IF(OR($S144=$U144,NOT(ISNA(MATCH($D144*5+$V$4,Override!$C$6:$C$125,0)))),$Q144,0),"")</f>
        <v/>
      </c>
      <c r="I144" s="396" t="str">
        <f t="shared" ca="1" si="51"/>
        <v/>
      </c>
      <c r="J144" s="246">
        <f ca="1">COUNT(A142:A146)</f>
        <v>0</v>
      </c>
      <c r="K144" s="247" t="str">
        <f ca="1">IF(ISNUMBER(A144),RANK(F144,F142:F146),"")</f>
        <v/>
      </c>
      <c r="L144" s="142">
        <f ca="1">IF(J144=5,VLOOKUP(K144,TPMatrix!$A$6:$B$10,2,0),IF(J144=4,VLOOKUP(K144,TPMatrix!$D$6:$E$9,2,0),0))</f>
        <v>0</v>
      </c>
      <c r="M144" s="142">
        <f ca="1">IF(COUNTIF(K142:K146,K144)&gt;=2,IF(J144=5,VLOOKUP(K144+1,TPMatrix!$A$6:$B$10,2,0),IF(J144=4,VLOOKUP(K144+1,TPMatrix!$D$6:$E$9,2,0),0)),"")</f>
        <v>0</v>
      </c>
      <c r="N144" s="142">
        <f ca="1">IF(COUNTIF(K142:K146,K144)&gt;=3,IF(J144=5,VLOOKUP(K144+2,TPMatrix!$A$6:$B$10,2,0),IF(J144=4,VLOOKUP(K144+2,TPMatrix!$D$6:$E$9,2,0),0)),"")</f>
        <v>0</v>
      </c>
      <c r="O144" s="142">
        <f ca="1">IF(COUNTIF(K142:K146,K144)&gt;=4,IF(J144=5,VLOOKUP(K144+3,TPMatrix!$A$6:$B$10,2,0),IF(J144=4,VLOOKUP(K144+3,TPMatrix!$D$6:$E$9,2,0),0)),"")</f>
        <v>0</v>
      </c>
      <c r="P144" s="142">
        <f ca="1">IF(COUNTIF(K142:K146,K144)&gt;=5,IF(J144=5,VLOOKUP(K144+4,TPMatrix!$A$6:$B$10,2,0),IF(J144=4,VLOOKUP(K144+4,TPMatrix!$D$6:$E$9,2,0),0)),"")</f>
        <v>0</v>
      </c>
      <c r="Q144" s="142">
        <f t="shared" ca="1" si="52"/>
        <v>0</v>
      </c>
      <c r="R144" s="248">
        <f t="shared" ca="1" si="53"/>
        <v>5</v>
      </c>
      <c r="S144" s="247">
        <f t="shared" ca="1" si="54"/>
        <v>0</v>
      </c>
      <c r="T144" s="142">
        <f t="shared" si="55"/>
        <v>0</v>
      </c>
      <c r="U144" s="248">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2.95" customHeight="1" x14ac:dyDescent="0.2">
      <c r="A145" s="249" t="str">
        <f ca="1">IF(ISBLANK('Tournament Info'!$B$11),"",INDIRECT(ADDRESS(ROW(),2,1,1,"Optimal Seating "&amp;'Tournament Info'!$B$11-1&amp;"R+F")))</f>
        <v/>
      </c>
      <c r="B145" s="250" t="str">
        <f ca="1">IF(ISNUMBER(A145),VLOOKUP(A145,Methuselahs!$A$7:$E$206,2,0),"")</f>
        <v/>
      </c>
      <c r="C145" s="251" t="str">
        <f ca="1">IF(ISNUMBER(A145),VLOOKUP(A145,Methuselahs!$A$7:$E$206,3,0),"")</f>
        <v/>
      </c>
      <c r="D145" s="252" t="str">
        <f t="shared" ca="1" si="48"/>
        <v/>
      </c>
      <c r="E145" s="253"/>
      <c r="F145" s="397">
        <f t="shared" si="49"/>
        <v>0</v>
      </c>
      <c r="G145" s="235" t="str">
        <f t="shared" ca="1" si="50"/>
        <v/>
      </c>
      <c r="H145" s="236" t="str">
        <f ca="1">IF(ISNUMBER(A145),IF(OR($S145=$U145,NOT(ISNA(MATCH($D145*5+$V$4,Override!$C$6:$C$125,0)))),$Q145,0),"")</f>
        <v/>
      </c>
      <c r="I145" s="395" t="str">
        <f t="shared" ca="1" si="51"/>
        <v/>
      </c>
      <c r="J145" s="254">
        <f ca="1">COUNT(A142:A146)</f>
        <v>0</v>
      </c>
      <c r="K145" s="238" t="str">
        <f ca="1">IF(ISNUMBER(A145),RANK(F145,F142:F146),"")</f>
        <v/>
      </c>
      <c r="L145" s="239">
        <f ca="1">IF(J145=5,VLOOKUP(K145,TPMatrix!$A$6:$B$10,2,0),IF(J145=4,VLOOKUP(K145,TPMatrix!$D$6:$E$9,2,0),0))</f>
        <v>0</v>
      </c>
      <c r="M145" s="239">
        <f ca="1">IF(COUNTIF(K142:K146,K145)&gt;=2,IF(J145=5,VLOOKUP(K145+1,TPMatrix!$A$6:$B$10,2,0),IF(J145=4,VLOOKUP(K145+1,TPMatrix!$D$6:$E$9,2,0),0)),"")</f>
        <v>0</v>
      </c>
      <c r="N145" s="239">
        <f ca="1">IF(COUNTIF(K142:K146,K145)&gt;=3,IF(J145=5,VLOOKUP(K145+2,TPMatrix!$A$6:$B$10,2,0),IF(J145=4,VLOOKUP(K145+2,TPMatrix!$D$6:$E$9,2,0),0)),"")</f>
        <v>0</v>
      </c>
      <c r="O145" s="239">
        <f ca="1">IF(COUNTIF(K142:K146,K145)&gt;=4,IF(J145=5,VLOOKUP(K145+3,TPMatrix!$A$6:$B$10,2,0),IF(J145=4,VLOOKUP(K145+3,TPMatrix!$D$6:$E$9,2,0),0)),"")</f>
        <v>0</v>
      </c>
      <c r="P145" s="239">
        <f ca="1">IF(COUNTIF(K142:K146,K145)&gt;=5,IF(J145=5,VLOOKUP(K145+4,TPMatrix!$A$6:$B$10,2,0),IF(J145=4,VLOOKUP(K145+4,TPMatrix!$D$6:$E$9,2,0),0)),"")</f>
        <v>0</v>
      </c>
      <c r="Q145" s="239">
        <f t="shared" ca="1" si="52"/>
        <v>0</v>
      </c>
      <c r="R145" s="240">
        <f t="shared" ca="1" si="53"/>
        <v>5</v>
      </c>
      <c r="S145" s="238">
        <f t="shared" ca="1" si="54"/>
        <v>0</v>
      </c>
      <c r="T145" s="239">
        <f t="shared" si="55"/>
        <v>0</v>
      </c>
      <c r="U145" s="240">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2.95" customHeight="1" x14ac:dyDescent="0.2">
      <c r="A146" s="255" t="str">
        <f ca="1">IF(ISBLANK('Tournament Info'!$B$11),"",INDIRECT(ADDRESS(ROW(),2,1,1,"Optimal Seating "&amp;'Tournament Info'!$B$11-1&amp;"R+F")))</f>
        <v/>
      </c>
      <c r="B146" s="256" t="str">
        <f ca="1">IF(ISNUMBER(A146),VLOOKUP(A146,Methuselahs!$A$7:$E$206,2,0),"")</f>
        <v/>
      </c>
      <c r="C146" s="257" t="str">
        <f ca="1">IF(ISNUMBER(A146),VLOOKUP(A146,Methuselahs!$A$7:$E$206,3,0),"")</f>
        <v/>
      </c>
      <c r="D146" s="258" t="str">
        <f t="shared" ca="1" si="48"/>
        <v/>
      </c>
      <c r="E146" s="259"/>
      <c r="F146" s="398">
        <f t="shared" si="49"/>
        <v>0</v>
      </c>
      <c r="G146" s="244" t="str">
        <f t="shared" ca="1" si="50"/>
        <v/>
      </c>
      <c r="H146" s="245" t="str">
        <f ca="1">IF(ISNUMBER(A146),IF(OR($S146=$U146,NOT(ISNA(MATCH($D146*5+$V$4,Override!$C$6:$C$125,0)))),$Q146,0),"")</f>
        <v/>
      </c>
      <c r="I146" s="396" t="str">
        <f t="shared" ca="1" si="51"/>
        <v/>
      </c>
      <c r="J146" s="260">
        <f ca="1">COUNT(A142:A146)</f>
        <v>0</v>
      </c>
      <c r="K146" s="261" t="str">
        <f ca="1">IF(ISNUMBER(A146),RANK(F146,F142:F146),"")</f>
        <v/>
      </c>
      <c r="L146" s="262">
        <f ca="1">IF(J146=5,VLOOKUP(K146,TPMatrix!$A$6:$B$10,2,0),IF(J146=4,VLOOKUP(K146,TPMatrix!$D$6:$E$9,2,0),0))</f>
        <v>0</v>
      </c>
      <c r="M146" s="262">
        <f ca="1">IF(COUNTIF(K142:K146,K146)&gt;=2,IF(J146=5,VLOOKUP(K146+1,TPMatrix!$A$6:$B$10,2,0),IF(J146=4,VLOOKUP(K146+1,TPMatrix!$D$6:$E$9,2,0),0)),"")</f>
        <v>0</v>
      </c>
      <c r="N146" s="262">
        <f ca="1">IF(COUNTIF(K142:K146,K146)&gt;=3,IF(J146=5,VLOOKUP(K146+2,TPMatrix!$A$6:$B$10,2,0),IF(J146=4,VLOOKUP(K146+2,TPMatrix!$D$6:$E$9,2,0),0)),"")</f>
        <v>0</v>
      </c>
      <c r="O146" s="262">
        <f ca="1">IF(COUNTIF(K142:K146,K146)&gt;=4,IF(J146=5,VLOOKUP(K146+3,TPMatrix!$A$6:$B$10,2,0),IF(J146=4,VLOOKUP(K146+3,TPMatrix!$D$6:$E$9,2,0),0)),"")</f>
        <v>0</v>
      </c>
      <c r="P146" s="262">
        <f ca="1">IF(COUNTIF(K142:K146,K146)&gt;=5,IF(J146=5,VLOOKUP(K146+4,TPMatrix!$A$6:$B$10,2,0),IF(J146=4,VLOOKUP(K146+4,TPMatrix!$D$6:$E$9,2,0),0)),"")</f>
        <v>0</v>
      </c>
      <c r="Q146" s="262">
        <f t="shared" ca="1" si="52"/>
        <v>0</v>
      </c>
      <c r="R146" s="263">
        <f t="shared" ca="1" si="53"/>
        <v>5</v>
      </c>
      <c r="S146" s="261">
        <f t="shared" ca="1" si="54"/>
        <v>0</v>
      </c>
      <c r="T146" s="262">
        <f t="shared" si="55"/>
        <v>0</v>
      </c>
      <c r="U146" s="263">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2.95" customHeight="1" x14ac:dyDescent="0.2">
      <c r="A147" s="219" t="str">
        <f ca="1">IF(ISBLANK('Tournament Info'!$B$11),"",INDIRECT(ADDRESS(ROW(),2,1,1,"Optimal Seating "&amp;'Tournament Info'!$B$11-1&amp;"R+F")))</f>
        <v/>
      </c>
      <c r="B147" s="143" t="str">
        <f ca="1">IF(ISNUMBER(A147),VLOOKUP(A147,Methuselahs!$A$7:$E$206,2,0),"")</f>
        <v/>
      </c>
      <c r="C147" s="220" t="str">
        <f ca="1">IF(ISNUMBER(A147),VLOOKUP(A147,Methuselahs!$A$7:$E$206,3,0),"")</f>
        <v/>
      </c>
      <c r="D147" s="221" t="str">
        <f t="shared" ca="1" si="48"/>
        <v/>
      </c>
      <c r="E147" s="222"/>
      <c r="F147" s="393">
        <f t="shared" si="49"/>
        <v>0</v>
      </c>
      <c r="G147" s="223" t="str">
        <f t="shared" ca="1" si="50"/>
        <v/>
      </c>
      <c r="H147" s="224" t="str">
        <f ca="1">IF(ISNUMBER(A147),IF(OR($S147=$U147,NOT(ISNA(MATCH($D147*5+$V$4,Override!$C$6:$C$125,0)))),$Q147,0),"")</f>
        <v/>
      </c>
      <c r="I147" s="394" t="str">
        <f t="shared" ca="1" si="51"/>
        <v/>
      </c>
      <c r="J147" s="225">
        <f ca="1">COUNT(A147:A151)</f>
        <v>0</v>
      </c>
      <c r="K147" s="226" t="str">
        <f ca="1">IF(ISNUMBER(A147),RANK(F147,F147:F151),"")</f>
        <v/>
      </c>
      <c r="L147" s="227">
        <f ca="1">IF(J147=5,VLOOKUP(K147,TPMatrix!$A$6:$B$10,2,0),IF(J147=4,VLOOKUP(K147,TPMatrix!$D$6:$E$9,2,0),0))</f>
        <v>0</v>
      </c>
      <c r="M147" s="227">
        <f ca="1">IF(COUNTIF(K147:K151,K147)&gt;=2,IF(J147=5,VLOOKUP(K147+1,TPMatrix!$A$6:$B$10,2,0),IF(J147=4,VLOOKUP(K147+1,TPMatrix!$D$6:$E$9,2,0),0)),"")</f>
        <v>0</v>
      </c>
      <c r="N147" s="227">
        <f ca="1">IF(COUNTIF(K147:K151,K147)&gt;=3,IF(J147=5,VLOOKUP(K147+2,TPMatrix!$A$6:$B$10,2,0),IF(J147=4,VLOOKUP(K147+2,TPMatrix!$D$6:$E$9,2,0),0)),"")</f>
        <v>0</v>
      </c>
      <c r="O147" s="227">
        <f ca="1">IF(COUNTIF(K147:K151,K147)&gt;=4,IF(J147=5,VLOOKUP(K147+3,TPMatrix!$A$6:$B$10,2,0),IF(J147=4,VLOOKUP(K147+3,TPMatrix!$D$6:$E$9,2,0),0)),"")</f>
        <v>0</v>
      </c>
      <c r="P147" s="227">
        <f ca="1">IF(COUNTIF(K147:K151,K147)&gt;=5,IF(J147=5,VLOOKUP(K147+4,TPMatrix!$A$6:$B$10,2,0),IF(J147=4,VLOOKUP(K147+4,TPMatrix!$D$6:$E$9,2,0),0)),"")</f>
        <v>0</v>
      </c>
      <c r="Q147" s="227">
        <f t="shared" ca="1" si="52"/>
        <v>0</v>
      </c>
      <c r="R147" s="228">
        <f t="shared" ca="1" si="53"/>
        <v>5</v>
      </c>
      <c r="S147" s="229">
        <f t="shared" ca="1" si="54"/>
        <v>0</v>
      </c>
      <c r="T147" s="230">
        <f t="shared" si="55"/>
        <v>0</v>
      </c>
      <c r="U147" s="231">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2.95" customHeight="1" x14ac:dyDescent="0.2">
      <c r="A148" s="111" t="str">
        <f ca="1">IF(ISBLANK('Tournament Info'!$B$11),"",INDIRECT(ADDRESS(ROW(),2,1,1,"Optimal Seating "&amp;'Tournament Info'!$B$11-1&amp;"R+F")))</f>
        <v/>
      </c>
      <c r="B148" s="117" t="str">
        <f ca="1">IF(ISNUMBER(A148),VLOOKUP(A148,Methuselahs!$A$7:$E$206,2,0),"")</f>
        <v/>
      </c>
      <c r="C148" s="232" t="str">
        <f ca="1">IF(ISNUMBER(A148),VLOOKUP(A148,Methuselahs!$A$7:$E$206,3,0),"")</f>
        <v/>
      </c>
      <c r="D148" s="233" t="str">
        <f t="shared" ca="1" si="48"/>
        <v/>
      </c>
      <c r="E148" s="234"/>
      <c r="F148" s="118">
        <f t="shared" si="49"/>
        <v>0</v>
      </c>
      <c r="G148" s="235" t="str">
        <f t="shared" ca="1" si="50"/>
        <v/>
      </c>
      <c r="H148" s="236" t="str">
        <f ca="1">IF(ISNUMBER(A148),IF(OR($S148=$U148,NOT(ISNA(MATCH($D148*5+$V$4,Override!$C$6:$C$125,0)))),$Q148,0),"")</f>
        <v/>
      </c>
      <c r="I148" s="395" t="str">
        <f t="shared" ca="1" si="51"/>
        <v/>
      </c>
      <c r="J148" s="237">
        <f ca="1">COUNT(A147:A151)</f>
        <v>0</v>
      </c>
      <c r="K148" s="238" t="str">
        <f ca="1">IF(ISNUMBER(A148),RANK(F148,F147:F151),"")</f>
        <v/>
      </c>
      <c r="L148" s="239">
        <f ca="1">IF(J148=5,VLOOKUP(K148,TPMatrix!$A$6:$B$10,2,0),IF(J148=4,VLOOKUP(K148,TPMatrix!$D$6:$E$9,2,0),0))</f>
        <v>0</v>
      </c>
      <c r="M148" s="239">
        <f ca="1">IF(COUNTIF(K147:K151,K148)&gt;=2,IF(J148=5,VLOOKUP(K148+1,TPMatrix!$A$6:$B$10,2,0),IF(J148=4,VLOOKUP(K148+1,TPMatrix!$D$6:$E$9,2,0),0)),"")</f>
        <v>0</v>
      </c>
      <c r="N148" s="239">
        <f ca="1">IF(COUNTIF(K147:K151,K148)&gt;=3,IF(J148=5,VLOOKUP(K148+2,TPMatrix!$A$6:$B$10,2,0),IF(J148=4,VLOOKUP(K148+2,TPMatrix!$D$6:$E$9,2,0),0)),"")</f>
        <v>0</v>
      </c>
      <c r="O148" s="239">
        <f ca="1">IF(COUNTIF(K147:K151,K148)&gt;=4,IF(J148=5,VLOOKUP(K148+3,TPMatrix!$A$6:$B$10,2,0),IF(J148=4,VLOOKUP(K148+3,TPMatrix!$D$6:$E$9,2,0),0)),"")</f>
        <v>0</v>
      </c>
      <c r="P148" s="239">
        <f ca="1">IF(COUNTIF(K147:K151,K148)&gt;=5,IF(J148=5,VLOOKUP(K148+4,TPMatrix!$A$6:$B$10,2,0),IF(J148=4,VLOOKUP(K148+4,TPMatrix!$D$6:$E$9,2,0),0)),"")</f>
        <v>0</v>
      </c>
      <c r="Q148" s="239">
        <f t="shared" ca="1" si="52"/>
        <v>0</v>
      </c>
      <c r="R148" s="240">
        <f t="shared" ca="1" si="53"/>
        <v>5</v>
      </c>
      <c r="S148" s="238">
        <f t="shared" ca="1" si="54"/>
        <v>0</v>
      </c>
      <c r="T148" s="239">
        <f t="shared" si="55"/>
        <v>0</v>
      </c>
      <c r="U148" s="240">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2.95" customHeight="1" x14ac:dyDescent="0.2">
      <c r="A149" s="137" t="str">
        <f ca="1">IF(ISBLANK('Tournament Info'!$B$11),"",INDIRECT(ADDRESS(ROW(),2,1,1,"Optimal Seating "&amp;'Tournament Info'!$B$11-1&amp;"R+F")))</f>
        <v/>
      </c>
      <c r="B149" s="143" t="str">
        <f ca="1">IF(ISNUMBER(A149),VLOOKUP(A149,Methuselahs!$A$7:$E$206,2,0),"")</f>
        <v/>
      </c>
      <c r="C149" s="241" t="str">
        <f ca="1">IF(ISNUMBER(A149),VLOOKUP(A149,Methuselahs!$A$7:$E$206,3,0),"")</f>
        <v/>
      </c>
      <c r="D149" s="242" t="str">
        <f t="shared" ca="1" si="48"/>
        <v/>
      </c>
      <c r="E149" s="243"/>
      <c r="F149" s="144">
        <f t="shared" si="49"/>
        <v>0</v>
      </c>
      <c r="G149" s="244" t="str">
        <f t="shared" ca="1" si="50"/>
        <v/>
      </c>
      <c r="H149" s="245" t="str">
        <f ca="1">IF(ISNUMBER(A149),IF(OR($S149=$U149,NOT(ISNA(MATCH($D149*5+$V$4,Override!$C$6:$C$125,0)))),$Q149,0),"")</f>
        <v/>
      </c>
      <c r="I149" s="396" t="str">
        <f t="shared" ca="1" si="51"/>
        <v/>
      </c>
      <c r="J149" s="246">
        <f ca="1">COUNT(A147:A151)</f>
        <v>0</v>
      </c>
      <c r="K149" s="247" t="str">
        <f ca="1">IF(ISNUMBER(A149),RANK(F149,F147:F151),"")</f>
        <v/>
      </c>
      <c r="L149" s="142">
        <f ca="1">IF(J149=5,VLOOKUP(K149,TPMatrix!$A$6:$B$10,2,0),IF(J149=4,VLOOKUP(K149,TPMatrix!$D$6:$E$9,2,0),0))</f>
        <v>0</v>
      </c>
      <c r="M149" s="142">
        <f ca="1">IF(COUNTIF(K147:K151,K149)&gt;=2,IF(J149=5,VLOOKUP(K149+1,TPMatrix!$A$6:$B$10,2,0),IF(J149=4,VLOOKUP(K149+1,TPMatrix!$D$6:$E$9,2,0),0)),"")</f>
        <v>0</v>
      </c>
      <c r="N149" s="142">
        <f ca="1">IF(COUNTIF(K147:K151,K149)&gt;=3,IF(J149=5,VLOOKUP(K149+2,TPMatrix!$A$6:$B$10,2,0),IF(J149=4,VLOOKUP(K149+2,TPMatrix!$D$6:$E$9,2,0),0)),"")</f>
        <v>0</v>
      </c>
      <c r="O149" s="142">
        <f ca="1">IF(COUNTIF(K147:K151,K149)&gt;=4,IF(J149=5,VLOOKUP(K149+3,TPMatrix!$A$6:$B$10,2,0),IF(J149=4,VLOOKUP(K149+3,TPMatrix!$D$6:$E$9,2,0),0)),"")</f>
        <v>0</v>
      </c>
      <c r="P149" s="142">
        <f ca="1">IF(COUNTIF(K147:K151,K149)&gt;=5,IF(J149=5,VLOOKUP(K149+4,TPMatrix!$A$6:$B$10,2,0),IF(J149=4,VLOOKUP(K149+4,TPMatrix!$D$6:$E$9,2,0),0)),"")</f>
        <v>0</v>
      </c>
      <c r="Q149" s="142">
        <f t="shared" ca="1" si="52"/>
        <v>0</v>
      </c>
      <c r="R149" s="248">
        <f t="shared" ca="1" si="53"/>
        <v>5</v>
      </c>
      <c r="S149" s="247">
        <f t="shared" ca="1" si="54"/>
        <v>0</v>
      </c>
      <c r="T149" s="142">
        <f t="shared" si="55"/>
        <v>0</v>
      </c>
      <c r="U149" s="248">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2.95" customHeight="1" x14ac:dyDescent="0.2">
      <c r="A150" s="249" t="str">
        <f ca="1">IF(ISBLANK('Tournament Info'!$B$11),"",INDIRECT(ADDRESS(ROW(),2,1,1,"Optimal Seating "&amp;'Tournament Info'!$B$11-1&amp;"R+F")))</f>
        <v/>
      </c>
      <c r="B150" s="250" t="str">
        <f ca="1">IF(ISNUMBER(A150),VLOOKUP(A150,Methuselahs!$A$7:$E$206,2,0),"")</f>
        <v/>
      </c>
      <c r="C150" s="251" t="str">
        <f ca="1">IF(ISNUMBER(A150),VLOOKUP(A150,Methuselahs!$A$7:$E$206,3,0),"")</f>
        <v/>
      </c>
      <c r="D150" s="252" t="str">
        <f t="shared" ca="1" si="48"/>
        <v/>
      </c>
      <c r="E150" s="253"/>
      <c r="F150" s="397">
        <f t="shared" si="49"/>
        <v>0</v>
      </c>
      <c r="G150" s="235" t="str">
        <f t="shared" ca="1" si="50"/>
        <v/>
      </c>
      <c r="H150" s="236" t="str">
        <f ca="1">IF(ISNUMBER(A150),IF(OR($S150=$U150,NOT(ISNA(MATCH($D150*5+$V$4,Override!$C$6:$C$125,0)))),$Q150,0),"")</f>
        <v/>
      </c>
      <c r="I150" s="395" t="str">
        <f t="shared" ca="1" si="51"/>
        <v/>
      </c>
      <c r="J150" s="254">
        <f ca="1">COUNT(A147:A151)</f>
        <v>0</v>
      </c>
      <c r="K150" s="238" t="str">
        <f ca="1">IF(ISNUMBER(A150),RANK(F150,F147:F151),"")</f>
        <v/>
      </c>
      <c r="L150" s="239">
        <f ca="1">IF(J150=5,VLOOKUP(K150,TPMatrix!$A$6:$B$10,2,0),IF(J150=4,VLOOKUP(K150,TPMatrix!$D$6:$E$9,2,0),0))</f>
        <v>0</v>
      </c>
      <c r="M150" s="239">
        <f ca="1">IF(COUNTIF(K147:K151,K150)&gt;=2,IF(J150=5,VLOOKUP(K150+1,TPMatrix!$A$6:$B$10,2,0),IF(J150=4,VLOOKUP(K150+1,TPMatrix!$D$6:$E$9,2,0),0)),"")</f>
        <v>0</v>
      </c>
      <c r="N150" s="239">
        <f ca="1">IF(COUNTIF(K147:K151,K150)&gt;=3,IF(J150=5,VLOOKUP(K150+2,TPMatrix!$A$6:$B$10,2,0),IF(J150=4,VLOOKUP(K150+2,TPMatrix!$D$6:$E$9,2,0),0)),"")</f>
        <v>0</v>
      </c>
      <c r="O150" s="239">
        <f ca="1">IF(COUNTIF(K147:K151,K150)&gt;=4,IF(J150=5,VLOOKUP(K150+3,TPMatrix!$A$6:$B$10,2,0),IF(J150=4,VLOOKUP(K150+3,TPMatrix!$D$6:$E$9,2,0),0)),"")</f>
        <v>0</v>
      </c>
      <c r="P150" s="239">
        <f ca="1">IF(COUNTIF(K147:K151,K150)&gt;=5,IF(J150=5,VLOOKUP(K150+4,TPMatrix!$A$6:$B$10,2,0),IF(J150=4,VLOOKUP(K150+4,TPMatrix!$D$6:$E$9,2,0),0)),"")</f>
        <v>0</v>
      </c>
      <c r="Q150" s="239">
        <f t="shared" ca="1" si="52"/>
        <v>0</v>
      </c>
      <c r="R150" s="240">
        <f t="shared" ca="1" si="53"/>
        <v>5</v>
      </c>
      <c r="S150" s="238">
        <f t="shared" ca="1" si="54"/>
        <v>0</v>
      </c>
      <c r="T150" s="239">
        <f t="shared" si="55"/>
        <v>0</v>
      </c>
      <c r="U150" s="240">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2.95" customHeight="1" x14ac:dyDescent="0.2">
      <c r="A151" s="255" t="str">
        <f ca="1">IF(ISBLANK('Tournament Info'!$B$11),"",INDIRECT(ADDRESS(ROW(),2,1,1,"Optimal Seating "&amp;'Tournament Info'!$B$11-1&amp;"R+F")))</f>
        <v/>
      </c>
      <c r="B151" s="256" t="str">
        <f ca="1">IF(ISNUMBER(A151),VLOOKUP(A151,Methuselahs!$A$7:$E$206,2,0),"")</f>
        <v/>
      </c>
      <c r="C151" s="257" t="str">
        <f ca="1">IF(ISNUMBER(A151),VLOOKUP(A151,Methuselahs!$A$7:$E$206,3,0),"")</f>
        <v/>
      </c>
      <c r="D151" s="258" t="str">
        <f t="shared" ca="1" si="48"/>
        <v/>
      </c>
      <c r="E151" s="259"/>
      <c r="F151" s="398">
        <f t="shared" si="49"/>
        <v>0</v>
      </c>
      <c r="G151" s="244" t="str">
        <f t="shared" ca="1" si="50"/>
        <v/>
      </c>
      <c r="H151" s="245" t="str">
        <f ca="1">IF(ISNUMBER(A151),IF(OR($S151=$U151,NOT(ISNA(MATCH($D151*5+$V$4,Override!$C$6:$C$125,0)))),$Q151,0),"")</f>
        <v/>
      </c>
      <c r="I151" s="396" t="str">
        <f t="shared" ca="1" si="51"/>
        <v/>
      </c>
      <c r="J151" s="260">
        <f ca="1">COUNT(A147:A151)</f>
        <v>0</v>
      </c>
      <c r="K151" s="261" t="str">
        <f ca="1">IF(ISNUMBER(A151),RANK(F151,F147:F151),"")</f>
        <v/>
      </c>
      <c r="L151" s="262">
        <f ca="1">IF(J151=5,VLOOKUP(K151,TPMatrix!$A$6:$B$10,2,0),IF(J151=4,VLOOKUP(K151,TPMatrix!$D$6:$E$9,2,0),0))</f>
        <v>0</v>
      </c>
      <c r="M151" s="262">
        <f ca="1">IF(COUNTIF(K147:K151,K151)&gt;=2,IF(J151=5,VLOOKUP(K151+1,TPMatrix!$A$6:$B$10,2,0),IF(J151=4,VLOOKUP(K151+1,TPMatrix!$D$6:$E$9,2,0),0)),"")</f>
        <v>0</v>
      </c>
      <c r="N151" s="262">
        <f ca="1">IF(COUNTIF(K147:K151,K151)&gt;=3,IF(J151=5,VLOOKUP(K151+2,TPMatrix!$A$6:$B$10,2,0),IF(J151=4,VLOOKUP(K151+2,TPMatrix!$D$6:$E$9,2,0),0)),"")</f>
        <v>0</v>
      </c>
      <c r="O151" s="262">
        <f ca="1">IF(COUNTIF(K147:K151,K151)&gt;=4,IF(J151=5,VLOOKUP(K151+3,TPMatrix!$A$6:$B$10,2,0),IF(J151=4,VLOOKUP(K151+3,TPMatrix!$D$6:$E$9,2,0),0)),"")</f>
        <v>0</v>
      </c>
      <c r="P151" s="262">
        <f ca="1">IF(COUNTIF(K147:K151,K151)&gt;=5,IF(J151=5,VLOOKUP(K151+4,TPMatrix!$A$6:$B$10,2,0),IF(J151=4,VLOOKUP(K151+4,TPMatrix!$D$6:$E$9,2,0),0)),"")</f>
        <v>0</v>
      </c>
      <c r="Q151" s="262">
        <f t="shared" ca="1" si="52"/>
        <v>0</v>
      </c>
      <c r="R151" s="263">
        <f t="shared" ca="1" si="53"/>
        <v>5</v>
      </c>
      <c r="S151" s="261">
        <f t="shared" ca="1" si="54"/>
        <v>0</v>
      </c>
      <c r="T151" s="262">
        <f t="shared" si="55"/>
        <v>0</v>
      </c>
      <c r="U151" s="263">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2.95" customHeight="1" x14ac:dyDescent="0.2">
      <c r="A152" s="219" t="str">
        <f ca="1">IF(ISBLANK('Tournament Info'!$B$11),"",INDIRECT(ADDRESS(ROW(),2,1,1,"Optimal Seating "&amp;'Tournament Info'!$B$11-1&amp;"R+F")))</f>
        <v/>
      </c>
      <c r="B152" s="143" t="str">
        <f ca="1">IF(ISNUMBER(A152),VLOOKUP(A152,Methuselahs!$A$7:$E$206,2,0),"")</f>
        <v/>
      </c>
      <c r="C152" s="220" t="str">
        <f ca="1">IF(ISNUMBER(A152),VLOOKUP(A152,Methuselahs!$A$7:$E$206,3,0),"")</f>
        <v/>
      </c>
      <c r="D152" s="221" t="str">
        <f t="shared" ca="1" si="48"/>
        <v/>
      </c>
      <c r="E152" s="222"/>
      <c r="F152" s="393">
        <f t="shared" si="49"/>
        <v>0</v>
      </c>
      <c r="G152" s="223" t="str">
        <f t="shared" ca="1" si="50"/>
        <v/>
      </c>
      <c r="H152" s="224" t="str">
        <f ca="1">IF(ISNUMBER(A152),IF(OR($S152=$U152,NOT(ISNA(MATCH($D152*5+$V$4,Override!$C$6:$C$125,0)))),$Q152,0),"")</f>
        <v/>
      </c>
      <c r="I152" s="394" t="str">
        <f t="shared" ca="1" si="51"/>
        <v/>
      </c>
      <c r="J152" s="225">
        <f ca="1">COUNT(A152:A156)</f>
        <v>0</v>
      </c>
      <c r="K152" s="226" t="str">
        <f ca="1">IF(ISNUMBER(A152),RANK(F152,F152:F156),"")</f>
        <v/>
      </c>
      <c r="L152" s="227">
        <f ca="1">IF(J152=5,VLOOKUP(K152,TPMatrix!$A$6:$B$10,2,0),IF(J152=4,VLOOKUP(K152,TPMatrix!$D$6:$E$9,2,0),0))</f>
        <v>0</v>
      </c>
      <c r="M152" s="227">
        <f ca="1">IF(COUNTIF(K152:K156,K152)&gt;=2,IF(J152=5,VLOOKUP(K152+1,TPMatrix!$A$6:$B$10,2,0),IF(J152=4,VLOOKUP(K152+1,TPMatrix!$D$6:$E$9,2,0),0)),"")</f>
        <v>0</v>
      </c>
      <c r="N152" s="227">
        <f ca="1">IF(COUNTIF(K152:K156,K152)&gt;=3,IF(J152=5,VLOOKUP(K152+2,TPMatrix!$A$6:$B$10,2,0),IF(J152=4,VLOOKUP(K152+2,TPMatrix!$D$6:$E$9,2,0),0)),"")</f>
        <v>0</v>
      </c>
      <c r="O152" s="227">
        <f ca="1">IF(COUNTIF(K152:K156,K152)&gt;=4,IF(J152=5,VLOOKUP(K152+3,TPMatrix!$A$6:$B$10,2,0),IF(J152=4,VLOOKUP(K152+3,TPMatrix!$D$6:$E$9,2,0),0)),"")</f>
        <v>0</v>
      </c>
      <c r="P152" s="227">
        <f ca="1">IF(COUNTIF(K152:K156,K152)&gt;=5,IF(J152=5,VLOOKUP(K152+4,TPMatrix!$A$6:$B$10,2,0),IF(J152=4,VLOOKUP(K152+4,TPMatrix!$D$6:$E$9,2,0),0)),"")</f>
        <v>0</v>
      </c>
      <c r="Q152" s="227">
        <f t="shared" ca="1" si="52"/>
        <v>0</v>
      </c>
      <c r="R152" s="228">
        <f t="shared" ca="1" si="53"/>
        <v>5</v>
      </c>
      <c r="S152" s="229">
        <f t="shared" ca="1" si="54"/>
        <v>0</v>
      </c>
      <c r="T152" s="230">
        <f t="shared" si="55"/>
        <v>0</v>
      </c>
      <c r="U152" s="231">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2.95" customHeight="1" x14ac:dyDescent="0.2">
      <c r="A153" s="111" t="str">
        <f ca="1">IF(ISBLANK('Tournament Info'!$B$11),"",INDIRECT(ADDRESS(ROW(),2,1,1,"Optimal Seating "&amp;'Tournament Info'!$B$11-1&amp;"R+F")))</f>
        <v/>
      </c>
      <c r="B153" s="117" t="str">
        <f ca="1">IF(ISNUMBER(A153),VLOOKUP(A153,Methuselahs!$A$7:$E$206,2,0),"")</f>
        <v/>
      </c>
      <c r="C153" s="232" t="str">
        <f ca="1">IF(ISNUMBER(A153),VLOOKUP(A153,Methuselahs!$A$7:$E$206,3,0),"")</f>
        <v/>
      </c>
      <c r="D153" s="233" t="str">
        <f t="shared" ca="1" si="48"/>
        <v/>
      </c>
      <c r="E153" s="234"/>
      <c r="F153" s="118">
        <f t="shared" si="49"/>
        <v>0</v>
      </c>
      <c r="G153" s="235" t="str">
        <f t="shared" ca="1" si="50"/>
        <v/>
      </c>
      <c r="H153" s="236" t="str">
        <f ca="1">IF(ISNUMBER(A153),IF(OR($S153=$U153,NOT(ISNA(MATCH($D153*5+$V$4,Override!$C$6:$C$125,0)))),$Q153,0),"")</f>
        <v/>
      </c>
      <c r="I153" s="395" t="str">
        <f t="shared" ca="1" si="51"/>
        <v/>
      </c>
      <c r="J153" s="237">
        <f ca="1">COUNT(A152:A156)</f>
        <v>0</v>
      </c>
      <c r="K153" s="238" t="str">
        <f ca="1">IF(ISNUMBER(A153),RANK(F153,F152:F156),"")</f>
        <v/>
      </c>
      <c r="L153" s="239">
        <f ca="1">IF(J153=5,VLOOKUP(K153,TPMatrix!$A$6:$B$10,2,0),IF(J153=4,VLOOKUP(K153,TPMatrix!$D$6:$E$9,2,0),0))</f>
        <v>0</v>
      </c>
      <c r="M153" s="239">
        <f ca="1">IF(COUNTIF(K152:K156,K153)&gt;=2,IF(J153=5,VLOOKUP(K153+1,TPMatrix!$A$6:$B$10,2,0),IF(J153=4,VLOOKUP(K153+1,TPMatrix!$D$6:$E$9,2,0),0)),"")</f>
        <v>0</v>
      </c>
      <c r="N153" s="239">
        <f ca="1">IF(COUNTIF(K152:K156,K153)&gt;=3,IF(J153=5,VLOOKUP(K153+2,TPMatrix!$A$6:$B$10,2,0),IF(J153=4,VLOOKUP(K153+2,TPMatrix!$D$6:$E$9,2,0),0)),"")</f>
        <v>0</v>
      </c>
      <c r="O153" s="239">
        <f ca="1">IF(COUNTIF(K152:K156,K153)&gt;=4,IF(J153=5,VLOOKUP(K153+3,TPMatrix!$A$6:$B$10,2,0),IF(J153=4,VLOOKUP(K153+3,TPMatrix!$D$6:$E$9,2,0),0)),"")</f>
        <v>0</v>
      </c>
      <c r="P153" s="239">
        <f ca="1">IF(COUNTIF(K152:K156,K153)&gt;=5,IF(J153=5,VLOOKUP(K153+4,TPMatrix!$A$6:$B$10,2,0),IF(J153=4,VLOOKUP(K153+4,TPMatrix!$D$6:$E$9,2,0),0)),"")</f>
        <v>0</v>
      </c>
      <c r="Q153" s="239">
        <f t="shared" ca="1" si="52"/>
        <v>0</v>
      </c>
      <c r="R153" s="240">
        <f t="shared" ca="1" si="53"/>
        <v>5</v>
      </c>
      <c r="S153" s="238">
        <f t="shared" ca="1" si="54"/>
        <v>0</v>
      </c>
      <c r="T153" s="239">
        <f t="shared" si="55"/>
        <v>0</v>
      </c>
      <c r="U153" s="240">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2.95" customHeight="1" x14ac:dyDescent="0.2">
      <c r="A154" s="137" t="str">
        <f ca="1">IF(ISBLANK('Tournament Info'!$B$11),"",INDIRECT(ADDRESS(ROW(),2,1,1,"Optimal Seating "&amp;'Tournament Info'!$B$11-1&amp;"R+F")))</f>
        <v/>
      </c>
      <c r="B154" s="143" t="str">
        <f ca="1">IF(ISNUMBER(A154),VLOOKUP(A154,Methuselahs!$A$7:$E$206,2,0),"")</f>
        <v/>
      </c>
      <c r="C154" s="241" t="str">
        <f ca="1">IF(ISNUMBER(A154),VLOOKUP(A154,Methuselahs!$A$7:$E$206,3,0),"")</f>
        <v/>
      </c>
      <c r="D154" s="242" t="str">
        <f t="shared" ca="1" si="48"/>
        <v/>
      </c>
      <c r="E154" s="243"/>
      <c r="F154" s="144">
        <f t="shared" si="49"/>
        <v>0</v>
      </c>
      <c r="G154" s="244" t="str">
        <f t="shared" ca="1" si="50"/>
        <v/>
      </c>
      <c r="H154" s="245" t="str">
        <f ca="1">IF(ISNUMBER(A154),IF(OR($S154=$U154,NOT(ISNA(MATCH($D154*5+$V$4,Override!$C$6:$C$125,0)))),$Q154,0),"")</f>
        <v/>
      </c>
      <c r="I154" s="396" t="str">
        <f t="shared" ca="1" si="51"/>
        <v/>
      </c>
      <c r="J154" s="246">
        <f ca="1">COUNT(A152:A156)</f>
        <v>0</v>
      </c>
      <c r="K154" s="247" t="str">
        <f ca="1">IF(ISNUMBER(A154),RANK(F154,F152:F156),"")</f>
        <v/>
      </c>
      <c r="L154" s="142">
        <f ca="1">IF(J154=5,VLOOKUP(K154,TPMatrix!$A$6:$B$10,2,0),IF(J154=4,VLOOKUP(K154,TPMatrix!$D$6:$E$9,2,0),0))</f>
        <v>0</v>
      </c>
      <c r="M154" s="142">
        <f ca="1">IF(COUNTIF(K152:K156,K154)&gt;=2,IF(J154=5,VLOOKUP(K154+1,TPMatrix!$A$6:$B$10,2,0),IF(J154=4,VLOOKUP(K154+1,TPMatrix!$D$6:$E$9,2,0),0)),"")</f>
        <v>0</v>
      </c>
      <c r="N154" s="142">
        <f ca="1">IF(COUNTIF(K152:K156,K154)&gt;=3,IF(J154=5,VLOOKUP(K154+2,TPMatrix!$A$6:$B$10,2,0),IF(J154=4,VLOOKUP(K154+2,TPMatrix!$D$6:$E$9,2,0),0)),"")</f>
        <v>0</v>
      </c>
      <c r="O154" s="142">
        <f ca="1">IF(COUNTIF(K152:K156,K154)&gt;=4,IF(J154=5,VLOOKUP(K154+3,TPMatrix!$A$6:$B$10,2,0),IF(J154=4,VLOOKUP(K154+3,TPMatrix!$D$6:$E$9,2,0),0)),"")</f>
        <v>0</v>
      </c>
      <c r="P154" s="142">
        <f ca="1">IF(COUNTIF(K152:K156,K154)&gt;=5,IF(J154=5,VLOOKUP(K154+4,TPMatrix!$A$6:$B$10,2,0),IF(J154=4,VLOOKUP(K154+4,TPMatrix!$D$6:$E$9,2,0),0)),"")</f>
        <v>0</v>
      </c>
      <c r="Q154" s="142">
        <f t="shared" ca="1" si="52"/>
        <v>0</v>
      </c>
      <c r="R154" s="248">
        <f t="shared" ca="1" si="53"/>
        <v>5</v>
      </c>
      <c r="S154" s="247">
        <f t="shared" ca="1" si="54"/>
        <v>0</v>
      </c>
      <c r="T154" s="142">
        <f t="shared" si="55"/>
        <v>0</v>
      </c>
      <c r="U154" s="248">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2.95" customHeight="1" x14ac:dyDescent="0.2">
      <c r="A155" s="249" t="str">
        <f ca="1">IF(ISBLANK('Tournament Info'!$B$11),"",INDIRECT(ADDRESS(ROW(),2,1,1,"Optimal Seating "&amp;'Tournament Info'!$B$11-1&amp;"R+F")))</f>
        <v/>
      </c>
      <c r="B155" s="250" t="str">
        <f ca="1">IF(ISNUMBER(A155),VLOOKUP(A155,Methuselahs!$A$7:$E$206,2,0),"")</f>
        <v/>
      </c>
      <c r="C155" s="251" t="str">
        <f ca="1">IF(ISNUMBER(A155),VLOOKUP(A155,Methuselahs!$A$7:$E$206,3,0),"")</f>
        <v/>
      </c>
      <c r="D155" s="252" t="str">
        <f t="shared" ca="1" si="48"/>
        <v/>
      </c>
      <c r="E155" s="253"/>
      <c r="F155" s="397">
        <f t="shared" si="49"/>
        <v>0</v>
      </c>
      <c r="G155" s="235" t="str">
        <f t="shared" ca="1" si="50"/>
        <v/>
      </c>
      <c r="H155" s="236" t="str">
        <f ca="1">IF(ISNUMBER(A155),IF(OR($S155=$U155,NOT(ISNA(MATCH($D155*5+$V$4,Override!$C$6:$C$125,0)))),$Q155,0),"")</f>
        <v/>
      </c>
      <c r="I155" s="395" t="str">
        <f t="shared" ca="1" si="51"/>
        <v/>
      </c>
      <c r="J155" s="254">
        <f ca="1">COUNT(A152:A156)</f>
        <v>0</v>
      </c>
      <c r="K155" s="238" t="str">
        <f ca="1">IF(ISNUMBER(A155),RANK(F155,F152:F156),"")</f>
        <v/>
      </c>
      <c r="L155" s="239">
        <f ca="1">IF(J155=5,VLOOKUP(K155,TPMatrix!$A$6:$B$10,2,0),IF(J155=4,VLOOKUP(K155,TPMatrix!$D$6:$E$9,2,0),0))</f>
        <v>0</v>
      </c>
      <c r="M155" s="239">
        <f ca="1">IF(COUNTIF(K152:K156,K155)&gt;=2,IF(J155=5,VLOOKUP(K155+1,TPMatrix!$A$6:$B$10,2,0),IF(J155=4,VLOOKUP(K155+1,TPMatrix!$D$6:$E$9,2,0),0)),"")</f>
        <v>0</v>
      </c>
      <c r="N155" s="239">
        <f ca="1">IF(COUNTIF(K152:K156,K155)&gt;=3,IF(J155=5,VLOOKUP(K155+2,TPMatrix!$A$6:$B$10,2,0),IF(J155=4,VLOOKUP(K155+2,TPMatrix!$D$6:$E$9,2,0),0)),"")</f>
        <v>0</v>
      </c>
      <c r="O155" s="239">
        <f ca="1">IF(COUNTIF(K152:K156,K155)&gt;=4,IF(J155=5,VLOOKUP(K155+3,TPMatrix!$A$6:$B$10,2,0),IF(J155=4,VLOOKUP(K155+3,TPMatrix!$D$6:$E$9,2,0),0)),"")</f>
        <v>0</v>
      </c>
      <c r="P155" s="239">
        <f ca="1">IF(COUNTIF(K152:K156,K155)&gt;=5,IF(J155=5,VLOOKUP(K155+4,TPMatrix!$A$6:$B$10,2,0),IF(J155=4,VLOOKUP(K155+4,TPMatrix!$D$6:$E$9,2,0),0)),"")</f>
        <v>0</v>
      </c>
      <c r="Q155" s="239">
        <f t="shared" ca="1" si="52"/>
        <v>0</v>
      </c>
      <c r="R155" s="240">
        <f t="shared" ca="1" si="53"/>
        <v>5</v>
      </c>
      <c r="S155" s="238">
        <f t="shared" ca="1" si="54"/>
        <v>0</v>
      </c>
      <c r="T155" s="239">
        <f t="shared" si="55"/>
        <v>0</v>
      </c>
      <c r="U155" s="240">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2.95" customHeight="1" x14ac:dyDescent="0.2">
      <c r="A156" s="255" t="str">
        <f ca="1">IF(ISBLANK('Tournament Info'!$B$11),"",INDIRECT(ADDRESS(ROW(),2,1,1,"Optimal Seating "&amp;'Tournament Info'!$B$11-1&amp;"R+F")))</f>
        <v/>
      </c>
      <c r="B156" s="256" t="str">
        <f ca="1">IF(ISNUMBER(A156),VLOOKUP(A156,Methuselahs!$A$7:$E$206,2,0),"")</f>
        <v/>
      </c>
      <c r="C156" s="257" t="str">
        <f ca="1">IF(ISNUMBER(A156),VLOOKUP(A156,Methuselahs!$A$7:$E$206,3,0),"")</f>
        <v/>
      </c>
      <c r="D156" s="258" t="str">
        <f t="shared" ca="1" si="48"/>
        <v/>
      </c>
      <c r="E156" s="259"/>
      <c r="F156" s="398">
        <f t="shared" si="49"/>
        <v>0</v>
      </c>
      <c r="G156" s="244" t="str">
        <f t="shared" ca="1" si="50"/>
        <v/>
      </c>
      <c r="H156" s="245" t="str">
        <f ca="1">IF(ISNUMBER(A156),IF(OR($S156=$U156,NOT(ISNA(MATCH($D156*5+$V$4,Override!$C$6:$C$125,0)))),$Q156,0),"")</f>
        <v/>
      </c>
      <c r="I156" s="396" t="str">
        <f t="shared" ca="1" si="51"/>
        <v/>
      </c>
      <c r="J156" s="260">
        <f ca="1">COUNT(A152:A156)</f>
        <v>0</v>
      </c>
      <c r="K156" s="261" t="str">
        <f ca="1">IF(ISNUMBER(A156),RANK(F156,F152:F156),"")</f>
        <v/>
      </c>
      <c r="L156" s="262">
        <f ca="1">IF(J156=5,VLOOKUP(K156,TPMatrix!$A$6:$B$10,2,0),IF(J156=4,VLOOKUP(K156,TPMatrix!$D$6:$E$9,2,0),0))</f>
        <v>0</v>
      </c>
      <c r="M156" s="262">
        <f ca="1">IF(COUNTIF(K152:K156,K156)&gt;=2,IF(J156=5,VLOOKUP(K156+1,TPMatrix!$A$6:$B$10,2,0),IF(J156=4,VLOOKUP(K156+1,TPMatrix!$D$6:$E$9,2,0),0)),"")</f>
        <v>0</v>
      </c>
      <c r="N156" s="262">
        <f ca="1">IF(COUNTIF(K152:K156,K156)&gt;=3,IF(J156=5,VLOOKUP(K156+2,TPMatrix!$A$6:$B$10,2,0),IF(J156=4,VLOOKUP(K156+2,TPMatrix!$D$6:$E$9,2,0),0)),"")</f>
        <v>0</v>
      </c>
      <c r="O156" s="262">
        <f ca="1">IF(COUNTIF(K152:K156,K156)&gt;=4,IF(J156=5,VLOOKUP(K156+3,TPMatrix!$A$6:$B$10,2,0),IF(J156=4,VLOOKUP(K156+3,TPMatrix!$D$6:$E$9,2,0),0)),"")</f>
        <v>0</v>
      </c>
      <c r="P156" s="262">
        <f ca="1">IF(COUNTIF(K152:K156,K156)&gt;=5,IF(J156=5,VLOOKUP(K156+4,TPMatrix!$A$6:$B$10,2,0),IF(J156=4,VLOOKUP(K156+4,TPMatrix!$D$6:$E$9,2,0),0)),"")</f>
        <v>0</v>
      </c>
      <c r="Q156" s="262">
        <f t="shared" ca="1" si="52"/>
        <v>0</v>
      </c>
      <c r="R156" s="263">
        <f t="shared" ca="1" si="53"/>
        <v>5</v>
      </c>
      <c r="S156" s="261">
        <f t="shared" ca="1" si="54"/>
        <v>0</v>
      </c>
      <c r="T156" s="262">
        <f t="shared" si="55"/>
        <v>0</v>
      </c>
      <c r="U156" s="263">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2.95" customHeight="1" x14ac:dyDescent="0.2">
      <c r="A157" s="219" t="str">
        <f ca="1">IF(ISBLANK('Tournament Info'!$B$11),"",INDIRECT(ADDRESS(ROW(),2,1,1,"Optimal Seating "&amp;'Tournament Info'!$B$11-1&amp;"R+F")))</f>
        <v/>
      </c>
      <c r="B157" s="143" t="str">
        <f ca="1">IF(ISNUMBER(A157),VLOOKUP(A157,Methuselahs!$A$7:$E$206,2,0),"")</f>
        <v/>
      </c>
      <c r="C157" s="220" t="str">
        <f ca="1">IF(ISNUMBER(A157),VLOOKUP(A157,Methuselahs!$A$7:$E$206,3,0),"")</f>
        <v/>
      </c>
      <c r="D157" s="221" t="str">
        <f t="shared" ca="1" si="48"/>
        <v/>
      </c>
      <c r="E157" s="222"/>
      <c r="F157" s="393">
        <f t="shared" si="49"/>
        <v>0</v>
      </c>
      <c r="G157" s="223" t="str">
        <f t="shared" ca="1" si="50"/>
        <v/>
      </c>
      <c r="H157" s="224" t="str">
        <f ca="1">IF(ISNUMBER(A157),IF(OR($S157=$U157,NOT(ISNA(MATCH($D157*5+$V$4,Override!$C$6:$C$125,0)))),$Q157,0),"")</f>
        <v/>
      </c>
      <c r="I157" s="394" t="str">
        <f t="shared" ca="1" si="51"/>
        <v/>
      </c>
      <c r="J157" s="225">
        <f ca="1">COUNT(A157:A161)</f>
        <v>0</v>
      </c>
      <c r="K157" s="226" t="str">
        <f ca="1">IF(ISNUMBER(A157),RANK(F157,F157:F161),"")</f>
        <v/>
      </c>
      <c r="L157" s="227">
        <f ca="1">IF(J157=5,VLOOKUP(K157,TPMatrix!$A$6:$B$10,2,0),IF(J157=4,VLOOKUP(K157,TPMatrix!$D$6:$E$9,2,0),0))</f>
        <v>0</v>
      </c>
      <c r="M157" s="227">
        <f ca="1">IF(COUNTIF(K157:K161,K157)&gt;=2,IF(J157=5,VLOOKUP(K157+1,TPMatrix!$A$6:$B$10,2,0),IF(J157=4,VLOOKUP(K157+1,TPMatrix!$D$6:$E$9,2,0),0)),"")</f>
        <v>0</v>
      </c>
      <c r="N157" s="227">
        <f ca="1">IF(COUNTIF(K157:K161,K157)&gt;=3,IF(J157=5,VLOOKUP(K157+2,TPMatrix!$A$6:$B$10,2,0),IF(J157=4,VLOOKUP(K157+2,TPMatrix!$D$6:$E$9,2,0),0)),"")</f>
        <v>0</v>
      </c>
      <c r="O157" s="227">
        <f ca="1">IF(COUNTIF(K157:K161,K157)&gt;=4,IF(J157=5,VLOOKUP(K157+3,TPMatrix!$A$6:$B$10,2,0),IF(J157=4,VLOOKUP(K157+3,TPMatrix!$D$6:$E$9,2,0),0)),"")</f>
        <v>0</v>
      </c>
      <c r="P157" s="227">
        <f ca="1">IF(COUNTIF(K157:K161,K157)&gt;=5,IF(J157=5,VLOOKUP(K157+4,TPMatrix!$A$6:$B$10,2,0),IF(J157=4,VLOOKUP(K157+4,TPMatrix!$D$6:$E$9,2,0),0)),"")</f>
        <v>0</v>
      </c>
      <c r="Q157" s="227">
        <f t="shared" ca="1" si="52"/>
        <v>0</v>
      </c>
      <c r="R157" s="228">
        <f t="shared" ca="1" si="53"/>
        <v>5</v>
      </c>
      <c r="S157" s="229">
        <f t="shared" ca="1" si="54"/>
        <v>0</v>
      </c>
      <c r="T157" s="230">
        <f t="shared" si="55"/>
        <v>0</v>
      </c>
      <c r="U157" s="231">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2.95" customHeight="1" x14ac:dyDescent="0.2">
      <c r="A158" s="111" t="str">
        <f ca="1">IF(ISBLANK('Tournament Info'!$B$11),"",INDIRECT(ADDRESS(ROW(),2,1,1,"Optimal Seating "&amp;'Tournament Info'!$B$11-1&amp;"R+F")))</f>
        <v/>
      </c>
      <c r="B158" s="117" t="str">
        <f ca="1">IF(ISNUMBER(A158),VLOOKUP(A158,Methuselahs!$A$7:$E$206,2,0),"")</f>
        <v/>
      </c>
      <c r="C158" s="232" t="str">
        <f ca="1">IF(ISNUMBER(A158),VLOOKUP(A158,Methuselahs!$A$7:$E$206,3,0),"")</f>
        <v/>
      </c>
      <c r="D158" s="233" t="str">
        <f t="shared" ca="1" si="48"/>
        <v/>
      </c>
      <c r="E158" s="234"/>
      <c r="F158" s="118">
        <f t="shared" si="49"/>
        <v>0</v>
      </c>
      <c r="G158" s="235" t="str">
        <f t="shared" ca="1" si="50"/>
        <v/>
      </c>
      <c r="H158" s="236" t="str">
        <f ca="1">IF(ISNUMBER(A158),IF(OR($S158=$U158,NOT(ISNA(MATCH($D158*5+$V$4,Override!$C$6:$C$125,0)))),$Q158,0),"")</f>
        <v/>
      </c>
      <c r="I158" s="395" t="str">
        <f t="shared" ca="1" si="51"/>
        <v/>
      </c>
      <c r="J158" s="237">
        <f ca="1">COUNT(A157:A161)</f>
        <v>0</v>
      </c>
      <c r="K158" s="238" t="str">
        <f ca="1">IF(ISNUMBER(A158),RANK(F158,F157:F161),"")</f>
        <v/>
      </c>
      <c r="L158" s="239">
        <f ca="1">IF(J158=5,VLOOKUP(K158,TPMatrix!$A$6:$B$10,2,0),IF(J158=4,VLOOKUP(K158,TPMatrix!$D$6:$E$9,2,0),0))</f>
        <v>0</v>
      </c>
      <c r="M158" s="239">
        <f ca="1">IF(COUNTIF(K157:K161,K158)&gt;=2,IF(J158=5,VLOOKUP(K158+1,TPMatrix!$A$6:$B$10,2,0),IF(J158=4,VLOOKUP(K158+1,TPMatrix!$D$6:$E$9,2,0),0)),"")</f>
        <v>0</v>
      </c>
      <c r="N158" s="239">
        <f ca="1">IF(COUNTIF(K157:K161,K158)&gt;=3,IF(J158=5,VLOOKUP(K158+2,TPMatrix!$A$6:$B$10,2,0),IF(J158=4,VLOOKUP(K158+2,TPMatrix!$D$6:$E$9,2,0),0)),"")</f>
        <v>0</v>
      </c>
      <c r="O158" s="239">
        <f ca="1">IF(COUNTIF(K157:K161,K158)&gt;=4,IF(J158=5,VLOOKUP(K158+3,TPMatrix!$A$6:$B$10,2,0),IF(J158=4,VLOOKUP(K158+3,TPMatrix!$D$6:$E$9,2,0),0)),"")</f>
        <v>0</v>
      </c>
      <c r="P158" s="239">
        <f ca="1">IF(COUNTIF(K157:K161,K158)&gt;=5,IF(J158=5,VLOOKUP(K158+4,TPMatrix!$A$6:$B$10,2,0),IF(J158=4,VLOOKUP(K158+4,TPMatrix!$D$6:$E$9,2,0),0)),"")</f>
        <v>0</v>
      </c>
      <c r="Q158" s="239">
        <f t="shared" ca="1" si="52"/>
        <v>0</v>
      </c>
      <c r="R158" s="240">
        <f t="shared" ca="1" si="53"/>
        <v>5</v>
      </c>
      <c r="S158" s="238">
        <f t="shared" ca="1" si="54"/>
        <v>0</v>
      </c>
      <c r="T158" s="239">
        <f t="shared" si="55"/>
        <v>0</v>
      </c>
      <c r="U158" s="240">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2.95" customHeight="1" x14ac:dyDescent="0.2">
      <c r="A159" s="137" t="str">
        <f ca="1">IF(ISBLANK('Tournament Info'!$B$11),"",INDIRECT(ADDRESS(ROW(),2,1,1,"Optimal Seating "&amp;'Tournament Info'!$B$11-1&amp;"R+F")))</f>
        <v/>
      </c>
      <c r="B159" s="143" t="str">
        <f ca="1">IF(ISNUMBER(A159),VLOOKUP(A159,Methuselahs!$A$7:$E$206,2,0),"")</f>
        <v/>
      </c>
      <c r="C159" s="241" t="str">
        <f ca="1">IF(ISNUMBER(A159),VLOOKUP(A159,Methuselahs!$A$7:$E$206,3,0),"")</f>
        <v/>
      </c>
      <c r="D159" s="242" t="str">
        <f t="shared" ca="1" si="48"/>
        <v/>
      </c>
      <c r="E159" s="243"/>
      <c r="F159" s="144">
        <f t="shared" si="49"/>
        <v>0</v>
      </c>
      <c r="G159" s="244" t="str">
        <f t="shared" ca="1" si="50"/>
        <v/>
      </c>
      <c r="H159" s="245" t="str">
        <f ca="1">IF(ISNUMBER(A159),IF(OR($S159=$U159,NOT(ISNA(MATCH($D159*5+$V$4,Override!$C$6:$C$125,0)))),$Q159,0),"")</f>
        <v/>
      </c>
      <c r="I159" s="396" t="str">
        <f t="shared" ca="1" si="51"/>
        <v/>
      </c>
      <c r="J159" s="246">
        <f ca="1">COUNT(A157:A161)</f>
        <v>0</v>
      </c>
      <c r="K159" s="247" t="str">
        <f ca="1">IF(ISNUMBER(A159),RANK(F159,F157:F161),"")</f>
        <v/>
      </c>
      <c r="L159" s="142">
        <f ca="1">IF(J159=5,VLOOKUP(K159,TPMatrix!$A$6:$B$10,2,0),IF(J159=4,VLOOKUP(K159,TPMatrix!$D$6:$E$9,2,0),0))</f>
        <v>0</v>
      </c>
      <c r="M159" s="142">
        <f ca="1">IF(COUNTIF(K157:K161,K159)&gt;=2,IF(J159=5,VLOOKUP(K159+1,TPMatrix!$A$6:$B$10,2,0),IF(J159=4,VLOOKUP(K159+1,TPMatrix!$D$6:$E$9,2,0),0)),"")</f>
        <v>0</v>
      </c>
      <c r="N159" s="142">
        <f ca="1">IF(COUNTIF(K157:K161,K159)&gt;=3,IF(J159=5,VLOOKUP(K159+2,TPMatrix!$A$6:$B$10,2,0),IF(J159=4,VLOOKUP(K159+2,TPMatrix!$D$6:$E$9,2,0),0)),"")</f>
        <v>0</v>
      </c>
      <c r="O159" s="142">
        <f ca="1">IF(COUNTIF(K157:K161,K159)&gt;=4,IF(J159=5,VLOOKUP(K159+3,TPMatrix!$A$6:$B$10,2,0),IF(J159=4,VLOOKUP(K159+3,TPMatrix!$D$6:$E$9,2,0),0)),"")</f>
        <v>0</v>
      </c>
      <c r="P159" s="142">
        <f ca="1">IF(COUNTIF(K157:K161,K159)&gt;=5,IF(J159=5,VLOOKUP(K159+4,TPMatrix!$A$6:$B$10,2,0),IF(J159=4,VLOOKUP(K159+4,TPMatrix!$D$6:$E$9,2,0),0)),"")</f>
        <v>0</v>
      </c>
      <c r="Q159" s="142">
        <f t="shared" ca="1" si="52"/>
        <v>0</v>
      </c>
      <c r="R159" s="248">
        <f t="shared" ca="1" si="53"/>
        <v>5</v>
      </c>
      <c r="S159" s="247">
        <f t="shared" ca="1" si="54"/>
        <v>0</v>
      </c>
      <c r="T159" s="142">
        <f t="shared" si="55"/>
        <v>0</v>
      </c>
      <c r="U159" s="248">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2.95" customHeight="1" x14ac:dyDescent="0.2">
      <c r="A160" s="249" t="str">
        <f ca="1">IF(ISBLANK('Tournament Info'!$B$11),"",INDIRECT(ADDRESS(ROW(),2,1,1,"Optimal Seating "&amp;'Tournament Info'!$B$11-1&amp;"R+F")))</f>
        <v/>
      </c>
      <c r="B160" s="250" t="str">
        <f ca="1">IF(ISNUMBER(A160),VLOOKUP(A160,Methuselahs!$A$7:$E$206,2,0),"")</f>
        <v/>
      </c>
      <c r="C160" s="251" t="str">
        <f ca="1">IF(ISNUMBER(A160),VLOOKUP(A160,Methuselahs!$A$7:$E$206,3,0),"")</f>
        <v/>
      </c>
      <c r="D160" s="252" t="str">
        <f t="shared" ca="1" si="48"/>
        <v/>
      </c>
      <c r="E160" s="253"/>
      <c r="F160" s="397">
        <f t="shared" si="49"/>
        <v>0</v>
      </c>
      <c r="G160" s="235" t="str">
        <f t="shared" ca="1" si="50"/>
        <v/>
      </c>
      <c r="H160" s="236" t="str">
        <f ca="1">IF(ISNUMBER(A160),IF(OR($S160=$U160,NOT(ISNA(MATCH($D160*5+$V$4,Override!$C$6:$C$125,0)))),$Q160,0),"")</f>
        <v/>
      </c>
      <c r="I160" s="395" t="str">
        <f t="shared" ca="1" si="51"/>
        <v/>
      </c>
      <c r="J160" s="254">
        <f ca="1">COUNT(A157:A161)</f>
        <v>0</v>
      </c>
      <c r="K160" s="238" t="str">
        <f ca="1">IF(ISNUMBER(A160),RANK(F160,F157:F161),"")</f>
        <v/>
      </c>
      <c r="L160" s="239">
        <f ca="1">IF(J160=5,VLOOKUP(K160,TPMatrix!$A$6:$B$10,2,0),IF(J160=4,VLOOKUP(K160,TPMatrix!$D$6:$E$9,2,0),0))</f>
        <v>0</v>
      </c>
      <c r="M160" s="239">
        <f ca="1">IF(COUNTIF(K157:K161,K160)&gt;=2,IF(J160=5,VLOOKUP(K160+1,TPMatrix!$A$6:$B$10,2,0),IF(J160=4,VLOOKUP(K160+1,TPMatrix!$D$6:$E$9,2,0),0)),"")</f>
        <v>0</v>
      </c>
      <c r="N160" s="239">
        <f ca="1">IF(COUNTIF(K157:K161,K160)&gt;=3,IF(J160=5,VLOOKUP(K160+2,TPMatrix!$A$6:$B$10,2,0),IF(J160=4,VLOOKUP(K160+2,TPMatrix!$D$6:$E$9,2,0),0)),"")</f>
        <v>0</v>
      </c>
      <c r="O160" s="239">
        <f ca="1">IF(COUNTIF(K157:K161,K160)&gt;=4,IF(J160=5,VLOOKUP(K160+3,TPMatrix!$A$6:$B$10,2,0),IF(J160=4,VLOOKUP(K160+3,TPMatrix!$D$6:$E$9,2,0),0)),"")</f>
        <v>0</v>
      </c>
      <c r="P160" s="239">
        <f ca="1">IF(COUNTIF(K157:K161,K160)&gt;=5,IF(J160=5,VLOOKUP(K160+4,TPMatrix!$A$6:$B$10,2,0),IF(J160=4,VLOOKUP(K160+4,TPMatrix!$D$6:$E$9,2,0),0)),"")</f>
        <v>0</v>
      </c>
      <c r="Q160" s="239">
        <f t="shared" ca="1" si="52"/>
        <v>0</v>
      </c>
      <c r="R160" s="240">
        <f t="shared" ca="1" si="53"/>
        <v>5</v>
      </c>
      <c r="S160" s="238">
        <f t="shared" ca="1" si="54"/>
        <v>0</v>
      </c>
      <c r="T160" s="239">
        <f t="shared" si="55"/>
        <v>0</v>
      </c>
      <c r="U160" s="240">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2.95" customHeight="1" x14ac:dyDescent="0.2">
      <c r="A161" s="255" t="str">
        <f ca="1">IF(ISBLANK('Tournament Info'!$B$11),"",INDIRECT(ADDRESS(ROW(),2,1,1,"Optimal Seating "&amp;'Tournament Info'!$B$11-1&amp;"R+F")))</f>
        <v/>
      </c>
      <c r="B161" s="256" t="str">
        <f ca="1">IF(ISNUMBER(A161),VLOOKUP(A161,Methuselahs!$A$7:$E$206,2,0),"")</f>
        <v/>
      </c>
      <c r="C161" s="257" t="str">
        <f ca="1">IF(ISNUMBER(A161),VLOOKUP(A161,Methuselahs!$A$7:$E$206,3,0),"")</f>
        <v/>
      </c>
      <c r="D161" s="258" t="str">
        <f t="shared" ca="1" si="48"/>
        <v/>
      </c>
      <c r="E161" s="259"/>
      <c r="F161" s="398">
        <f t="shared" si="49"/>
        <v>0</v>
      </c>
      <c r="G161" s="244" t="str">
        <f t="shared" ca="1" si="50"/>
        <v/>
      </c>
      <c r="H161" s="245" t="str">
        <f ca="1">IF(ISNUMBER(A161),IF(OR($S161=$U161,NOT(ISNA(MATCH($D161*5+$V$4,Override!$C$6:$C$125,0)))),$Q161,0),"")</f>
        <v/>
      </c>
      <c r="I161" s="396" t="str">
        <f t="shared" ca="1" si="51"/>
        <v/>
      </c>
      <c r="J161" s="260">
        <f ca="1">COUNT(A157:A161)</f>
        <v>0</v>
      </c>
      <c r="K161" s="261" t="str">
        <f ca="1">IF(ISNUMBER(A161),RANK(F161,F157:F161),"")</f>
        <v/>
      </c>
      <c r="L161" s="262">
        <f ca="1">IF(J161=5,VLOOKUP(K161,TPMatrix!$A$6:$B$10,2,0),IF(J161=4,VLOOKUP(K161,TPMatrix!$D$6:$E$9,2,0),0))</f>
        <v>0</v>
      </c>
      <c r="M161" s="262">
        <f ca="1">IF(COUNTIF(K157:K161,K161)&gt;=2,IF(J161=5,VLOOKUP(K161+1,TPMatrix!$A$6:$B$10,2,0),IF(J161=4,VLOOKUP(K161+1,TPMatrix!$D$6:$E$9,2,0),0)),"")</f>
        <v>0</v>
      </c>
      <c r="N161" s="262">
        <f ca="1">IF(COUNTIF(K157:K161,K161)&gt;=3,IF(J161=5,VLOOKUP(K161+2,TPMatrix!$A$6:$B$10,2,0),IF(J161=4,VLOOKUP(K161+2,TPMatrix!$D$6:$E$9,2,0),0)),"")</f>
        <v>0</v>
      </c>
      <c r="O161" s="262">
        <f ca="1">IF(COUNTIF(K157:K161,K161)&gt;=4,IF(J161=5,VLOOKUP(K161+3,TPMatrix!$A$6:$B$10,2,0),IF(J161=4,VLOOKUP(K161+3,TPMatrix!$D$6:$E$9,2,0),0)),"")</f>
        <v>0</v>
      </c>
      <c r="P161" s="262">
        <f ca="1">IF(COUNTIF(K157:K161,K161)&gt;=5,IF(J161=5,VLOOKUP(K161+4,TPMatrix!$A$6:$B$10,2,0),IF(J161=4,VLOOKUP(K161+4,TPMatrix!$D$6:$E$9,2,0),0)),"")</f>
        <v>0</v>
      </c>
      <c r="Q161" s="262">
        <f t="shared" ca="1" si="52"/>
        <v>0</v>
      </c>
      <c r="R161" s="263">
        <f t="shared" ca="1" si="53"/>
        <v>5</v>
      </c>
      <c r="S161" s="261">
        <f t="shared" ca="1" si="54"/>
        <v>0</v>
      </c>
      <c r="T161" s="262">
        <f t="shared" si="55"/>
        <v>0</v>
      </c>
      <c r="U161" s="263">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2.95" customHeight="1" x14ac:dyDescent="0.2">
      <c r="A162" s="219" t="str">
        <f ca="1">IF(ISBLANK('Tournament Info'!$B$11),"",INDIRECT(ADDRESS(ROW(),2,1,1,"Optimal Seating "&amp;'Tournament Info'!$B$11-1&amp;"R+F")))</f>
        <v/>
      </c>
      <c r="B162" s="143" t="str">
        <f ca="1">IF(ISNUMBER(A162),VLOOKUP(A162,Methuselahs!$A$7:$E$206,2,0),"")</f>
        <v/>
      </c>
      <c r="C162" s="220" t="str">
        <f ca="1">IF(ISNUMBER(A162),VLOOKUP(A162,Methuselahs!$A$7:$E$206,3,0),"")</f>
        <v/>
      </c>
      <c r="D162" s="221" t="str">
        <f t="shared" ca="1" si="48"/>
        <v/>
      </c>
      <c r="E162" s="222"/>
      <c r="F162" s="393">
        <f t="shared" si="49"/>
        <v>0</v>
      </c>
      <c r="G162" s="223" t="str">
        <f t="shared" ca="1" si="50"/>
        <v/>
      </c>
      <c r="H162" s="224" t="str">
        <f ca="1">IF(ISNUMBER(A162),IF(OR($S162=$U162,NOT(ISNA(MATCH($D162*5+$V$4,Override!$C$6:$C$125,0)))),$Q162,0),"")</f>
        <v/>
      </c>
      <c r="I162" s="394" t="str">
        <f t="shared" ca="1" si="51"/>
        <v/>
      </c>
      <c r="J162" s="225">
        <f ca="1">COUNT(A162:A166)</f>
        <v>0</v>
      </c>
      <c r="K162" s="226" t="str">
        <f ca="1">IF(ISNUMBER(A162),RANK(F162,F162:F166),"")</f>
        <v/>
      </c>
      <c r="L162" s="227">
        <f ca="1">IF(J162=5,VLOOKUP(K162,TPMatrix!$A$6:$B$10,2,0),IF(J162=4,VLOOKUP(K162,TPMatrix!$D$6:$E$9,2,0),0))</f>
        <v>0</v>
      </c>
      <c r="M162" s="227">
        <f ca="1">IF(COUNTIF(K162:K166,K162)&gt;=2,IF(J162=5,VLOOKUP(K162+1,TPMatrix!$A$6:$B$10,2,0),IF(J162=4,VLOOKUP(K162+1,TPMatrix!$D$6:$E$9,2,0),0)),"")</f>
        <v>0</v>
      </c>
      <c r="N162" s="227">
        <f ca="1">IF(COUNTIF(K162:K166,K162)&gt;=3,IF(J162=5,VLOOKUP(K162+2,TPMatrix!$A$6:$B$10,2,0),IF(J162=4,VLOOKUP(K162+2,TPMatrix!$D$6:$E$9,2,0),0)),"")</f>
        <v>0</v>
      </c>
      <c r="O162" s="227">
        <f ca="1">IF(COUNTIF(K162:K166,K162)&gt;=4,IF(J162=5,VLOOKUP(K162+3,TPMatrix!$A$6:$B$10,2,0),IF(J162=4,VLOOKUP(K162+3,TPMatrix!$D$6:$E$9,2,0),0)),"")</f>
        <v>0</v>
      </c>
      <c r="P162" s="227">
        <f ca="1">IF(COUNTIF(K162:K166,K162)&gt;=5,IF(J162=5,VLOOKUP(K162+4,TPMatrix!$A$6:$B$10,2,0),IF(J162=4,VLOOKUP(K162+4,TPMatrix!$D$6:$E$9,2,0),0)),"")</f>
        <v>0</v>
      </c>
      <c r="Q162" s="227">
        <f t="shared" ca="1" si="52"/>
        <v>0</v>
      </c>
      <c r="R162" s="228">
        <f t="shared" ca="1" si="53"/>
        <v>5</v>
      </c>
      <c r="S162" s="229">
        <f t="shared" ca="1" si="54"/>
        <v>0</v>
      </c>
      <c r="T162" s="230">
        <f t="shared" si="55"/>
        <v>0</v>
      </c>
      <c r="U162" s="231">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2.95" customHeight="1" x14ac:dyDescent="0.2">
      <c r="A163" s="111" t="str">
        <f ca="1">IF(ISBLANK('Tournament Info'!$B$11),"",INDIRECT(ADDRESS(ROW(),2,1,1,"Optimal Seating "&amp;'Tournament Info'!$B$11-1&amp;"R+F")))</f>
        <v/>
      </c>
      <c r="B163" s="117" t="str">
        <f ca="1">IF(ISNUMBER(A163),VLOOKUP(A163,Methuselahs!$A$7:$E$206,2,0),"")</f>
        <v/>
      </c>
      <c r="C163" s="232" t="str">
        <f ca="1">IF(ISNUMBER(A163),VLOOKUP(A163,Methuselahs!$A$7:$E$206,3,0),"")</f>
        <v/>
      </c>
      <c r="D163" s="233" t="str">
        <f t="shared" ca="1" si="48"/>
        <v/>
      </c>
      <c r="E163" s="234"/>
      <c r="F163" s="118">
        <f t="shared" si="49"/>
        <v>0</v>
      </c>
      <c r="G163" s="235" t="str">
        <f t="shared" ca="1" si="50"/>
        <v/>
      </c>
      <c r="H163" s="236" t="str">
        <f ca="1">IF(ISNUMBER(A163),IF(OR($S163=$U163,NOT(ISNA(MATCH($D163*5+$V$4,Override!$C$6:$C$125,0)))),$Q163,0),"")</f>
        <v/>
      </c>
      <c r="I163" s="395" t="str">
        <f t="shared" ca="1" si="51"/>
        <v/>
      </c>
      <c r="J163" s="237">
        <f ca="1">COUNT(A162:A166)</f>
        <v>0</v>
      </c>
      <c r="K163" s="238" t="str">
        <f ca="1">IF(ISNUMBER(A163),RANK(F163,F162:F166),"")</f>
        <v/>
      </c>
      <c r="L163" s="239">
        <f ca="1">IF(J163=5,VLOOKUP(K163,TPMatrix!$A$6:$B$10,2,0),IF(J163=4,VLOOKUP(K163,TPMatrix!$D$6:$E$9,2,0),0))</f>
        <v>0</v>
      </c>
      <c r="M163" s="239">
        <f ca="1">IF(COUNTIF(K162:K166,K163)&gt;=2,IF(J163=5,VLOOKUP(K163+1,TPMatrix!$A$6:$B$10,2,0),IF(J163=4,VLOOKUP(K163+1,TPMatrix!$D$6:$E$9,2,0),0)),"")</f>
        <v>0</v>
      </c>
      <c r="N163" s="239">
        <f ca="1">IF(COUNTIF(K162:K166,K163)&gt;=3,IF(J163=5,VLOOKUP(K163+2,TPMatrix!$A$6:$B$10,2,0),IF(J163=4,VLOOKUP(K163+2,TPMatrix!$D$6:$E$9,2,0),0)),"")</f>
        <v>0</v>
      </c>
      <c r="O163" s="239">
        <f ca="1">IF(COUNTIF(K162:K166,K163)&gt;=4,IF(J163=5,VLOOKUP(K163+3,TPMatrix!$A$6:$B$10,2,0),IF(J163=4,VLOOKUP(K163+3,TPMatrix!$D$6:$E$9,2,0),0)),"")</f>
        <v>0</v>
      </c>
      <c r="P163" s="239">
        <f ca="1">IF(COUNTIF(K162:K166,K163)&gt;=5,IF(J163=5,VLOOKUP(K163+4,TPMatrix!$A$6:$B$10,2,0),IF(J163=4,VLOOKUP(K163+4,TPMatrix!$D$6:$E$9,2,0),0)),"")</f>
        <v>0</v>
      </c>
      <c r="Q163" s="239">
        <f t="shared" ca="1" si="52"/>
        <v>0</v>
      </c>
      <c r="R163" s="240">
        <f t="shared" ca="1" si="53"/>
        <v>5</v>
      </c>
      <c r="S163" s="238">
        <f t="shared" ca="1" si="54"/>
        <v>0</v>
      </c>
      <c r="T163" s="239">
        <f t="shared" si="55"/>
        <v>0</v>
      </c>
      <c r="U163" s="240">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2.95" customHeight="1" x14ac:dyDescent="0.2">
      <c r="A164" s="137" t="str">
        <f ca="1">IF(ISBLANK('Tournament Info'!$B$11),"",INDIRECT(ADDRESS(ROW(),2,1,1,"Optimal Seating "&amp;'Tournament Info'!$B$11-1&amp;"R+F")))</f>
        <v/>
      </c>
      <c r="B164" s="143" t="str">
        <f ca="1">IF(ISNUMBER(A164),VLOOKUP(A164,Methuselahs!$A$7:$E$206,2,0),"")</f>
        <v/>
      </c>
      <c r="C164" s="241" t="str">
        <f ca="1">IF(ISNUMBER(A164),VLOOKUP(A164,Methuselahs!$A$7:$E$206,3,0),"")</f>
        <v/>
      </c>
      <c r="D164" s="242" t="str">
        <f t="shared" ca="1" si="48"/>
        <v/>
      </c>
      <c r="E164" s="243"/>
      <c r="F164" s="144">
        <f t="shared" si="49"/>
        <v>0</v>
      </c>
      <c r="G164" s="244" t="str">
        <f t="shared" ca="1" si="50"/>
        <v/>
      </c>
      <c r="H164" s="245" t="str">
        <f ca="1">IF(ISNUMBER(A164),IF(OR($S164=$U164,NOT(ISNA(MATCH($D164*5+$V$4,Override!$C$6:$C$125,0)))),$Q164,0),"")</f>
        <v/>
      </c>
      <c r="I164" s="396" t="str">
        <f t="shared" ca="1" si="51"/>
        <v/>
      </c>
      <c r="J164" s="246">
        <f ca="1">COUNT(A162:A166)</f>
        <v>0</v>
      </c>
      <c r="K164" s="247" t="str">
        <f ca="1">IF(ISNUMBER(A164),RANK(F164,F162:F166),"")</f>
        <v/>
      </c>
      <c r="L164" s="142">
        <f ca="1">IF(J164=5,VLOOKUP(K164,TPMatrix!$A$6:$B$10,2,0),IF(J164=4,VLOOKUP(K164,TPMatrix!$D$6:$E$9,2,0),0))</f>
        <v>0</v>
      </c>
      <c r="M164" s="142">
        <f ca="1">IF(COUNTIF(K162:K166,K164)&gt;=2,IF(J164=5,VLOOKUP(K164+1,TPMatrix!$A$6:$B$10,2,0),IF(J164=4,VLOOKUP(K164+1,TPMatrix!$D$6:$E$9,2,0),0)),"")</f>
        <v>0</v>
      </c>
      <c r="N164" s="142">
        <f ca="1">IF(COUNTIF(K162:K166,K164)&gt;=3,IF(J164=5,VLOOKUP(K164+2,TPMatrix!$A$6:$B$10,2,0),IF(J164=4,VLOOKUP(K164+2,TPMatrix!$D$6:$E$9,2,0),0)),"")</f>
        <v>0</v>
      </c>
      <c r="O164" s="142">
        <f ca="1">IF(COUNTIF(K162:K166,K164)&gt;=4,IF(J164=5,VLOOKUP(K164+3,TPMatrix!$A$6:$B$10,2,0),IF(J164=4,VLOOKUP(K164+3,TPMatrix!$D$6:$E$9,2,0),0)),"")</f>
        <v>0</v>
      </c>
      <c r="P164" s="142">
        <f ca="1">IF(COUNTIF(K162:K166,K164)&gt;=5,IF(J164=5,VLOOKUP(K164+4,TPMatrix!$A$6:$B$10,2,0),IF(J164=4,VLOOKUP(K164+4,TPMatrix!$D$6:$E$9,2,0),0)),"")</f>
        <v>0</v>
      </c>
      <c r="Q164" s="142">
        <f t="shared" ca="1" si="52"/>
        <v>0</v>
      </c>
      <c r="R164" s="248">
        <f t="shared" ca="1" si="53"/>
        <v>5</v>
      </c>
      <c r="S164" s="247">
        <f t="shared" ca="1" si="54"/>
        <v>0</v>
      </c>
      <c r="T164" s="142">
        <f t="shared" si="55"/>
        <v>0</v>
      </c>
      <c r="U164" s="248">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2.95" customHeight="1" x14ac:dyDescent="0.2">
      <c r="A165" s="249" t="str">
        <f ca="1">IF(ISBLANK('Tournament Info'!$B$11),"",INDIRECT(ADDRESS(ROW(),2,1,1,"Optimal Seating "&amp;'Tournament Info'!$B$11-1&amp;"R+F")))</f>
        <v/>
      </c>
      <c r="B165" s="250" t="str">
        <f ca="1">IF(ISNUMBER(A165),VLOOKUP(A165,Methuselahs!$A$7:$E$206,2,0),"")</f>
        <v/>
      </c>
      <c r="C165" s="251" t="str">
        <f ca="1">IF(ISNUMBER(A165),VLOOKUP(A165,Methuselahs!$A$7:$E$206,3,0),"")</f>
        <v/>
      </c>
      <c r="D165" s="252" t="str">
        <f t="shared" ca="1" si="48"/>
        <v/>
      </c>
      <c r="E165" s="253"/>
      <c r="F165" s="397">
        <f t="shared" si="49"/>
        <v>0</v>
      </c>
      <c r="G165" s="235" t="str">
        <f t="shared" ca="1" si="50"/>
        <v/>
      </c>
      <c r="H165" s="236" t="str">
        <f ca="1">IF(ISNUMBER(A165),IF(OR($S165=$U165,NOT(ISNA(MATCH($D165*5+$V$4,Override!$C$6:$C$125,0)))),$Q165,0),"")</f>
        <v/>
      </c>
      <c r="I165" s="395" t="str">
        <f t="shared" ca="1" si="51"/>
        <v/>
      </c>
      <c r="J165" s="254">
        <f ca="1">COUNT(A162:A166)</f>
        <v>0</v>
      </c>
      <c r="K165" s="238" t="str">
        <f ca="1">IF(ISNUMBER(A165),RANK(F165,F162:F166),"")</f>
        <v/>
      </c>
      <c r="L165" s="239">
        <f ca="1">IF(J165=5,VLOOKUP(K165,TPMatrix!$A$6:$B$10,2,0),IF(J165=4,VLOOKUP(K165,TPMatrix!$D$6:$E$9,2,0),0))</f>
        <v>0</v>
      </c>
      <c r="M165" s="239">
        <f ca="1">IF(COUNTIF(K162:K166,K165)&gt;=2,IF(J165=5,VLOOKUP(K165+1,TPMatrix!$A$6:$B$10,2,0),IF(J165=4,VLOOKUP(K165+1,TPMatrix!$D$6:$E$9,2,0),0)),"")</f>
        <v>0</v>
      </c>
      <c r="N165" s="239">
        <f ca="1">IF(COUNTIF(K162:K166,K165)&gt;=3,IF(J165=5,VLOOKUP(K165+2,TPMatrix!$A$6:$B$10,2,0),IF(J165=4,VLOOKUP(K165+2,TPMatrix!$D$6:$E$9,2,0),0)),"")</f>
        <v>0</v>
      </c>
      <c r="O165" s="239">
        <f ca="1">IF(COUNTIF(K162:K166,K165)&gt;=4,IF(J165=5,VLOOKUP(K165+3,TPMatrix!$A$6:$B$10,2,0),IF(J165=4,VLOOKUP(K165+3,TPMatrix!$D$6:$E$9,2,0),0)),"")</f>
        <v>0</v>
      </c>
      <c r="P165" s="239">
        <f ca="1">IF(COUNTIF(K162:K166,K165)&gt;=5,IF(J165=5,VLOOKUP(K165+4,TPMatrix!$A$6:$B$10,2,0),IF(J165=4,VLOOKUP(K165+4,TPMatrix!$D$6:$E$9,2,0),0)),"")</f>
        <v>0</v>
      </c>
      <c r="Q165" s="239">
        <f t="shared" ca="1" si="52"/>
        <v>0</v>
      </c>
      <c r="R165" s="240">
        <f t="shared" ca="1" si="53"/>
        <v>5</v>
      </c>
      <c r="S165" s="238">
        <f t="shared" ca="1" si="54"/>
        <v>0</v>
      </c>
      <c r="T165" s="239">
        <f t="shared" si="55"/>
        <v>0</v>
      </c>
      <c r="U165" s="240">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2.95" customHeight="1" x14ac:dyDescent="0.2">
      <c r="A166" s="255" t="str">
        <f ca="1">IF(ISBLANK('Tournament Info'!$B$11),"",INDIRECT(ADDRESS(ROW(),2,1,1,"Optimal Seating "&amp;'Tournament Info'!$B$11-1&amp;"R+F")))</f>
        <v/>
      </c>
      <c r="B166" s="256" t="str">
        <f ca="1">IF(ISNUMBER(A166),VLOOKUP(A166,Methuselahs!$A$7:$E$206,2,0),"")</f>
        <v/>
      </c>
      <c r="C166" s="257" t="str">
        <f ca="1">IF(ISNUMBER(A166),VLOOKUP(A166,Methuselahs!$A$7:$E$206,3,0),"")</f>
        <v/>
      </c>
      <c r="D166" s="258" t="str">
        <f t="shared" ca="1" si="48"/>
        <v/>
      </c>
      <c r="E166" s="259"/>
      <c r="F166" s="398">
        <f t="shared" si="49"/>
        <v>0</v>
      </c>
      <c r="G166" s="244" t="str">
        <f t="shared" ca="1" si="50"/>
        <v/>
      </c>
      <c r="H166" s="245" t="str">
        <f ca="1">IF(ISNUMBER(A166),IF(OR($S166=$U166,NOT(ISNA(MATCH($D166*5+$V$4,Override!$C$6:$C$125,0)))),$Q166,0),"")</f>
        <v/>
      </c>
      <c r="I166" s="396" t="str">
        <f t="shared" ca="1" si="51"/>
        <v/>
      </c>
      <c r="J166" s="260">
        <f ca="1">COUNT(A162:A166)</f>
        <v>0</v>
      </c>
      <c r="K166" s="261" t="str">
        <f ca="1">IF(ISNUMBER(A166),RANK(F166,F162:F166),"")</f>
        <v/>
      </c>
      <c r="L166" s="262">
        <f ca="1">IF(J166=5,VLOOKUP(K166,TPMatrix!$A$6:$B$10,2,0),IF(J166=4,VLOOKUP(K166,TPMatrix!$D$6:$E$9,2,0),0))</f>
        <v>0</v>
      </c>
      <c r="M166" s="262">
        <f ca="1">IF(COUNTIF(K162:K166,K166)&gt;=2,IF(J166=5,VLOOKUP(K166+1,TPMatrix!$A$6:$B$10,2,0),IF(J166=4,VLOOKUP(K166+1,TPMatrix!$D$6:$E$9,2,0),0)),"")</f>
        <v>0</v>
      </c>
      <c r="N166" s="262">
        <f ca="1">IF(COUNTIF(K162:K166,K166)&gt;=3,IF(J166=5,VLOOKUP(K166+2,TPMatrix!$A$6:$B$10,2,0),IF(J166=4,VLOOKUP(K166+2,TPMatrix!$D$6:$E$9,2,0),0)),"")</f>
        <v>0</v>
      </c>
      <c r="O166" s="262">
        <f ca="1">IF(COUNTIF(K162:K166,K166)&gt;=4,IF(J166=5,VLOOKUP(K166+3,TPMatrix!$A$6:$B$10,2,0),IF(J166=4,VLOOKUP(K166+3,TPMatrix!$D$6:$E$9,2,0),0)),"")</f>
        <v>0</v>
      </c>
      <c r="P166" s="262">
        <f ca="1">IF(COUNTIF(K162:K166,K166)&gt;=5,IF(J166=5,VLOOKUP(K166+4,TPMatrix!$A$6:$B$10,2,0),IF(J166=4,VLOOKUP(K166+4,TPMatrix!$D$6:$E$9,2,0),0)),"")</f>
        <v>0</v>
      </c>
      <c r="Q166" s="262">
        <f t="shared" ca="1" si="52"/>
        <v>0</v>
      </c>
      <c r="R166" s="263">
        <f t="shared" ca="1" si="53"/>
        <v>5</v>
      </c>
      <c r="S166" s="261">
        <f t="shared" ca="1" si="54"/>
        <v>0</v>
      </c>
      <c r="T166" s="262">
        <f t="shared" si="55"/>
        <v>0</v>
      </c>
      <c r="U166" s="263">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2.95" customHeight="1" x14ac:dyDescent="0.2">
      <c r="A167" s="219" t="str">
        <f ca="1">IF(ISBLANK('Tournament Info'!$B$11),"",INDIRECT(ADDRESS(ROW(),2,1,1,"Optimal Seating "&amp;'Tournament Info'!$B$11-1&amp;"R+F")))</f>
        <v/>
      </c>
      <c r="B167" s="143" t="str">
        <f ca="1">IF(ISNUMBER(A167),VLOOKUP(A167,Methuselahs!$A$7:$E$206,2,0),"")</f>
        <v/>
      </c>
      <c r="C167" s="220" t="str">
        <f ca="1">IF(ISNUMBER(A167),VLOOKUP(A167,Methuselahs!$A$7:$E$206,3,0),"")</f>
        <v/>
      </c>
      <c r="D167" s="221" t="str">
        <f t="shared" ref="D167:D198" ca="1" si="60">IF(ISNUMBER(A167),FLOOR((ROW()-ROW($A$7))/5,1)+1,"")</f>
        <v/>
      </c>
      <c r="E167" s="222"/>
      <c r="F167" s="393">
        <f t="shared" ref="F167:F198" si="61">IF(ISNUMBER(E167),E167,0)</f>
        <v>0</v>
      </c>
      <c r="G167" s="223" t="str">
        <f t="shared" ref="G167:G198" ca="1" si="62">IF(ISNUMBER($A167),IF(AND($F167&gt;=2,$H167=60),1,0),"")</f>
        <v/>
      </c>
      <c r="H167" s="224" t="str">
        <f ca="1">IF(ISNUMBER(A167),IF(OR($S167=$U167,NOT(ISNA(MATCH($D167*5+$V$4,Override!$C$6:$C$125,0)))),$Q167,0),"")</f>
        <v/>
      </c>
      <c r="I167" s="394" t="str">
        <f t="shared" ref="I167:I198" ca="1" si="63">IF(ISNUMBER(A167),IF(J167=5,K167,IF(AND(J167=4,OR(K167=4,K167=3)),K167+1,K167)),"")</f>
        <v/>
      </c>
      <c r="J167" s="225">
        <f ca="1">COUNT(A167:A171)</f>
        <v>0</v>
      </c>
      <c r="K167" s="226" t="str">
        <f ca="1">IF(ISNUMBER(A167),RANK(F167,F167:F171),"")</f>
        <v/>
      </c>
      <c r="L167" s="227">
        <f ca="1">IF(J167=5,VLOOKUP(K167,TPMatrix!$A$6:$B$10,2,0),IF(J167=4,VLOOKUP(K167,TPMatrix!$D$6:$E$9,2,0),0))</f>
        <v>0</v>
      </c>
      <c r="M167" s="227">
        <f ca="1">IF(COUNTIF(K167:K171,K167)&gt;=2,IF(J167=5,VLOOKUP(K167+1,TPMatrix!$A$6:$B$10,2,0),IF(J167=4,VLOOKUP(K167+1,TPMatrix!$D$6:$E$9,2,0),0)),"")</f>
        <v>0</v>
      </c>
      <c r="N167" s="227">
        <f ca="1">IF(COUNTIF(K167:K171,K167)&gt;=3,IF(J167=5,VLOOKUP(K167+2,TPMatrix!$A$6:$B$10,2,0),IF(J167=4,VLOOKUP(K167+2,TPMatrix!$D$6:$E$9,2,0),0)),"")</f>
        <v>0</v>
      </c>
      <c r="O167" s="227">
        <f ca="1">IF(COUNTIF(K167:K171,K167)&gt;=4,IF(J167=5,VLOOKUP(K167+3,TPMatrix!$A$6:$B$10,2,0),IF(J167=4,VLOOKUP(K167+3,TPMatrix!$D$6:$E$9,2,0),0)),"")</f>
        <v>0</v>
      </c>
      <c r="P167" s="227">
        <f ca="1">IF(COUNTIF(K167:K171,K167)&gt;=5,IF(J167=5,VLOOKUP(K167+4,TPMatrix!$A$6:$B$10,2,0),IF(J167=4,VLOOKUP(K167+4,TPMatrix!$D$6:$E$9,2,0),0)),"")</f>
        <v>0</v>
      </c>
      <c r="Q167" s="227">
        <f t="shared" ref="Q167:Q198" ca="1" si="64">SUM(L167:P167)/COUNT(L167:P167)</f>
        <v>0</v>
      </c>
      <c r="R167" s="228">
        <f t="shared" ref="R167:R198" ca="1" si="65">COUNT(L167:P167)</f>
        <v>5</v>
      </c>
      <c r="S167" s="229">
        <f t="shared" ref="S167:S198" ca="1" si="66">IF(ISNUMBER($A167),COUNTIF($D$7:$D$206,$D167),0)</f>
        <v>0</v>
      </c>
      <c r="T167" s="230">
        <f t="shared" ref="T167:T198" si="67">CEILING($F167,1)</f>
        <v>0</v>
      </c>
      <c r="U167" s="231">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2.95" customHeight="1" x14ac:dyDescent="0.2">
      <c r="A168" s="111" t="str">
        <f ca="1">IF(ISBLANK('Tournament Info'!$B$11),"",INDIRECT(ADDRESS(ROW(),2,1,1,"Optimal Seating "&amp;'Tournament Info'!$B$11-1&amp;"R+F")))</f>
        <v/>
      </c>
      <c r="B168" s="117" t="str">
        <f ca="1">IF(ISNUMBER(A168),VLOOKUP(A168,Methuselahs!$A$7:$E$206,2,0),"")</f>
        <v/>
      </c>
      <c r="C168" s="232" t="str">
        <f ca="1">IF(ISNUMBER(A168),VLOOKUP(A168,Methuselahs!$A$7:$E$206,3,0),"")</f>
        <v/>
      </c>
      <c r="D168" s="233" t="str">
        <f t="shared" ca="1" si="60"/>
        <v/>
      </c>
      <c r="E168" s="234"/>
      <c r="F168" s="118">
        <f t="shared" si="61"/>
        <v>0</v>
      </c>
      <c r="G168" s="235" t="str">
        <f t="shared" ca="1" si="62"/>
        <v/>
      </c>
      <c r="H168" s="236" t="str">
        <f ca="1">IF(ISNUMBER(A168),IF(OR($S168=$U168,NOT(ISNA(MATCH($D168*5+$V$4,Override!$C$6:$C$125,0)))),$Q168,0),"")</f>
        <v/>
      </c>
      <c r="I168" s="395" t="str">
        <f t="shared" ca="1" si="63"/>
        <v/>
      </c>
      <c r="J168" s="237">
        <f ca="1">COUNT(A167:A171)</f>
        <v>0</v>
      </c>
      <c r="K168" s="238" t="str">
        <f ca="1">IF(ISNUMBER(A168),RANK(F168,F167:F171),"")</f>
        <v/>
      </c>
      <c r="L168" s="239">
        <f ca="1">IF(J168=5,VLOOKUP(K168,TPMatrix!$A$6:$B$10,2,0),IF(J168=4,VLOOKUP(K168,TPMatrix!$D$6:$E$9,2,0),0))</f>
        <v>0</v>
      </c>
      <c r="M168" s="239">
        <f ca="1">IF(COUNTIF(K167:K171,K168)&gt;=2,IF(J168=5,VLOOKUP(K168+1,TPMatrix!$A$6:$B$10,2,0),IF(J168=4,VLOOKUP(K168+1,TPMatrix!$D$6:$E$9,2,0),0)),"")</f>
        <v>0</v>
      </c>
      <c r="N168" s="239">
        <f ca="1">IF(COUNTIF(K167:K171,K168)&gt;=3,IF(J168=5,VLOOKUP(K168+2,TPMatrix!$A$6:$B$10,2,0),IF(J168=4,VLOOKUP(K168+2,TPMatrix!$D$6:$E$9,2,0),0)),"")</f>
        <v>0</v>
      </c>
      <c r="O168" s="239">
        <f ca="1">IF(COUNTIF(K167:K171,K168)&gt;=4,IF(J168=5,VLOOKUP(K168+3,TPMatrix!$A$6:$B$10,2,0),IF(J168=4,VLOOKUP(K168+3,TPMatrix!$D$6:$E$9,2,0),0)),"")</f>
        <v>0</v>
      </c>
      <c r="P168" s="239">
        <f ca="1">IF(COUNTIF(K167:K171,K168)&gt;=5,IF(J168=5,VLOOKUP(K168+4,TPMatrix!$A$6:$B$10,2,0),IF(J168=4,VLOOKUP(K168+4,TPMatrix!$D$6:$E$9,2,0),0)),"")</f>
        <v>0</v>
      </c>
      <c r="Q168" s="239">
        <f t="shared" ca="1" si="64"/>
        <v>0</v>
      </c>
      <c r="R168" s="240">
        <f t="shared" ca="1" si="65"/>
        <v>5</v>
      </c>
      <c r="S168" s="238">
        <f t="shared" ca="1" si="66"/>
        <v>0</v>
      </c>
      <c r="T168" s="239">
        <f t="shared" si="67"/>
        <v>0</v>
      </c>
      <c r="U168" s="240">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2.95" customHeight="1" x14ac:dyDescent="0.2">
      <c r="A169" s="137" t="str">
        <f ca="1">IF(ISBLANK('Tournament Info'!$B$11),"",INDIRECT(ADDRESS(ROW(),2,1,1,"Optimal Seating "&amp;'Tournament Info'!$B$11-1&amp;"R+F")))</f>
        <v/>
      </c>
      <c r="B169" s="143" t="str">
        <f ca="1">IF(ISNUMBER(A169),VLOOKUP(A169,Methuselahs!$A$7:$E$206,2,0),"")</f>
        <v/>
      </c>
      <c r="C169" s="241" t="str">
        <f ca="1">IF(ISNUMBER(A169),VLOOKUP(A169,Methuselahs!$A$7:$E$206,3,0),"")</f>
        <v/>
      </c>
      <c r="D169" s="242" t="str">
        <f t="shared" ca="1" si="60"/>
        <v/>
      </c>
      <c r="E169" s="243"/>
      <c r="F169" s="144">
        <f t="shared" si="61"/>
        <v>0</v>
      </c>
      <c r="G169" s="244" t="str">
        <f t="shared" ca="1" si="62"/>
        <v/>
      </c>
      <c r="H169" s="245" t="str">
        <f ca="1">IF(ISNUMBER(A169),IF(OR($S169=$U169,NOT(ISNA(MATCH($D169*5+$V$4,Override!$C$6:$C$125,0)))),$Q169,0),"")</f>
        <v/>
      </c>
      <c r="I169" s="396" t="str">
        <f t="shared" ca="1" si="63"/>
        <v/>
      </c>
      <c r="J169" s="246">
        <f ca="1">COUNT(A167:A171)</f>
        <v>0</v>
      </c>
      <c r="K169" s="247" t="str">
        <f ca="1">IF(ISNUMBER(A169),RANK(F169,F167:F171),"")</f>
        <v/>
      </c>
      <c r="L169" s="142">
        <f ca="1">IF(J169=5,VLOOKUP(K169,TPMatrix!$A$6:$B$10,2,0),IF(J169=4,VLOOKUP(K169,TPMatrix!$D$6:$E$9,2,0),0))</f>
        <v>0</v>
      </c>
      <c r="M169" s="142">
        <f ca="1">IF(COUNTIF(K167:K171,K169)&gt;=2,IF(J169=5,VLOOKUP(K169+1,TPMatrix!$A$6:$B$10,2,0),IF(J169=4,VLOOKUP(K169+1,TPMatrix!$D$6:$E$9,2,0),0)),"")</f>
        <v>0</v>
      </c>
      <c r="N169" s="142">
        <f ca="1">IF(COUNTIF(K167:K171,K169)&gt;=3,IF(J169=5,VLOOKUP(K169+2,TPMatrix!$A$6:$B$10,2,0),IF(J169=4,VLOOKUP(K169+2,TPMatrix!$D$6:$E$9,2,0),0)),"")</f>
        <v>0</v>
      </c>
      <c r="O169" s="142">
        <f ca="1">IF(COUNTIF(K167:K171,K169)&gt;=4,IF(J169=5,VLOOKUP(K169+3,TPMatrix!$A$6:$B$10,2,0),IF(J169=4,VLOOKUP(K169+3,TPMatrix!$D$6:$E$9,2,0),0)),"")</f>
        <v>0</v>
      </c>
      <c r="P169" s="142">
        <f ca="1">IF(COUNTIF(K167:K171,K169)&gt;=5,IF(J169=5,VLOOKUP(K169+4,TPMatrix!$A$6:$B$10,2,0),IF(J169=4,VLOOKUP(K169+4,TPMatrix!$D$6:$E$9,2,0),0)),"")</f>
        <v>0</v>
      </c>
      <c r="Q169" s="142">
        <f t="shared" ca="1" si="64"/>
        <v>0</v>
      </c>
      <c r="R169" s="248">
        <f t="shared" ca="1" si="65"/>
        <v>5</v>
      </c>
      <c r="S169" s="247">
        <f t="shared" ca="1" si="66"/>
        <v>0</v>
      </c>
      <c r="T169" s="142">
        <f t="shared" si="67"/>
        <v>0</v>
      </c>
      <c r="U169" s="248">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2.95" customHeight="1" x14ac:dyDescent="0.2">
      <c r="A170" s="249" t="str">
        <f ca="1">IF(ISBLANK('Tournament Info'!$B$11),"",INDIRECT(ADDRESS(ROW(),2,1,1,"Optimal Seating "&amp;'Tournament Info'!$B$11-1&amp;"R+F")))</f>
        <v/>
      </c>
      <c r="B170" s="250" t="str">
        <f ca="1">IF(ISNUMBER(A170),VLOOKUP(A170,Methuselahs!$A$7:$E$206,2,0),"")</f>
        <v/>
      </c>
      <c r="C170" s="251" t="str">
        <f ca="1">IF(ISNUMBER(A170),VLOOKUP(A170,Methuselahs!$A$7:$E$206,3,0),"")</f>
        <v/>
      </c>
      <c r="D170" s="252" t="str">
        <f t="shared" ca="1" si="60"/>
        <v/>
      </c>
      <c r="E170" s="253"/>
      <c r="F170" s="397">
        <f t="shared" si="61"/>
        <v>0</v>
      </c>
      <c r="G170" s="235" t="str">
        <f t="shared" ca="1" si="62"/>
        <v/>
      </c>
      <c r="H170" s="236" t="str">
        <f ca="1">IF(ISNUMBER(A170),IF(OR($S170=$U170,NOT(ISNA(MATCH($D170*5+$V$4,Override!$C$6:$C$125,0)))),$Q170,0),"")</f>
        <v/>
      </c>
      <c r="I170" s="395" t="str">
        <f t="shared" ca="1" si="63"/>
        <v/>
      </c>
      <c r="J170" s="254">
        <f ca="1">COUNT(A167:A171)</f>
        <v>0</v>
      </c>
      <c r="K170" s="238" t="str">
        <f ca="1">IF(ISNUMBER(A170),RANK(F170,F167:F171),"")</f>
        <v/>
      </c>
      <c r="L170" s="239">
        <f ca="1">IF(J170=5,VLOOKUP(K170,TPMatrix!$A$6:$B$10,2,0),IF(J170=4,VLOOKUP(K170,TPMatrix!$D$6:$E$9,2,0),0))</f>
        <v>0</v>
      </c>
      <c r="M170" s="239">
        <f ca="1">IF(COUNTIF(K167:K171,K170)&gt;=2,IF(J170=5,VLOOKUP(K170+1,TPMatrix!$A$6:$B$10,2,0),IF(J170=4,VLOOKUP(K170+1,TPMatrix!$D$6:$E$9,2,0),0)),"")</f>
        <v>0</v>
      </c>
      <c r="N170" s="239">
        <f ca="1">IF(COUNTIF(K167:K171,K170)&gt;=3,IF(J170=5,VLOOKUP(K170+2,TPMatrix!$A$6:$B$10,2,0),IF(J170=4,VLOOKUP(K170+2,TPMatrix!$D$6:$E$9,2,0),0)),"")</f>
        <v>0</v>
      </c>
      <c r="O170" s="239">
        <f ca="1">IF(COUNTIF(K167:K171,K170)&gt;=4,IF(J170=5,VLOOKUP(K170+3,TPMatrix!$A$6:$B$10,2,0),IF(J170=4,VLOOKUP(K170+3,TPMatrix!$D$6:$E$9,2,0),0)),"")</f>
        <v>0</v>
      </c>
      <c r="P170" s="239">
        <f ca="1">IF(COUNTIF(K167:K171,K170)&gt;=5,IF(J170=5,VLOOKUP(K170+4,TPMatrix!$A$6:$B$10,2,0),IF(J170=4,VLOOKUP(K170+4,TPMatrix!$D$6:$E$9,2,0),0)),"")</f>
        <v>0</v>
      </c>
      <c r="Q170" s="239">
        <f t="shared" ca="1" si="64"/>
        <v>0</v>
      </c>
      <c r="R170" s="240">
        <f t="shared" ca="1" si="65"/>
        <v>5</v>
      </c>
      <c r="S170" s="238">
        <f t="shared" ca="1" si="66"/>
        <v>0</v>
      </c>
      <c r="T170" s="239">
        <f t="shared" si="67"/>
        <v>0</v>
      </c>
      <c r="U170" s="240">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2.95" customHeight="1" x14ac:dyDescent="0.2">
      <c r="A171" s="255" t="str">
        <f ca="1">IF(ISBLANK('Tournament Info'!$B$11),"",INDIRECT(ADDRESS(ROW(),2,1,1,"Optimal Seating "&amp;'Tournament Info'!$B$11-1&amp;"R+F")))</f>
        <v/>
      </c>
      <c r="B171" s="256" t="str">
        <f ca="1">IF(ISNUMBER(A171),VLOOKUP(A171,Methuselahs!$A$7:$E$206,2,0),"")</f>
        <v/>
      </c>
      <c r="C171" s="257" t="str">
        <f ca="1">IF(ISNUMBER(A171),VLOOKUP(A171,Methuselahs!$A$7:$E$206,3,0),"")</f>
        <v/>
      </c>
      <c r="D171" s="258" t="str">
        <f t="shared" ca="1" si="60"/>
        <v/>
      </c>
      <c r="E171" s="259"/>
      <c r="F171" s="398">
        <f t="shared" si="61"/>
        <v>0</v>
      </c>
      <c r="G171" s="244" t="str">
        <f t="shared" ca="1" si="62"/>
        <v/>
      </c>
      <c r="H171" s="245" t="str">
        <f ca="1">IF(ISNUMBER(A171),IF(OR($S171=$U171,NOT(ISNA(MATCH($D171*5+$V$4,Override!$C$6:$C$125,0)))),$Q171,0),"")</f>
        <v/>
      </c>
      <c r="I171" s="396" t="str">
        <f t="shared" ca="1" si="63"/>
        <v/>
      </c>
      <c r="J171" s="260">
        <f ca="1">COUNT(A167:A171)</f>
        <v>0</v>
      </c>
      <c r="K171" s="261" t="str">
        <f ca="1">IF(ISNUMBER(A171),RANK(F171,F167:F171),"")</f>
        <v/>
      </c>
      <c r="L171" s="262">
        <f ca="1">IF(J171=5,VLOOKUP(K171,TPMatrix!$A$6:$B$10,2,0),IF(J171=4,VLOOKUP(K171,TPMatrix!$D$6:$E$9,2,0),0))</f>
        <v>0</v>
      </c>
      <c r="M171" s="262">
        <f ca="1">IF(COUNTIF(K167:K171,K171)&gt;=2,IF(J171=5,VLOOKUP(K171+1,TPMatrix!$A$6:$B$10,2,0),IF(J171=4,VLOOKUP(K171+1,TPMatrix!$D$6:$E$9,2,0),0)),"")</f>
        <v>0</v>
      </c>
      <c r="N171" s="262">
        <f ca="1">IF(COUNTIF(K167:K171,K171)&gt;=3,IF(J171=5,VLOOKUP(K171+2,TPMatrix!$A$6:$B$10,2,0),IF(J171=4,VLOOKUP(K171+2,TPMatrix!$D$6:$E$9,2,0),0)),"")</f>
        <v>0</v>
      </c>
      <c r="O171" s="262">
        <f ca="1">IF(COUNTIF(K167:K171,K171)&gt;=4,IF(J171=5,VLOOKUP(K171+3,TPMatrix!$A$6:$B$10,2,0),IF(J171=4,VLOOKUP(K171+3,TPMatrix!$D$6:$E$9,2,0),0)),"")</f>
        <v>0</v>
      </c>
      <c r="P171" s="262">
        <f ca="1">IF(COUNTIF(K167:K171,K171)&gt;=5,IF(J171=5,VLOOKUP(K171+4,TPMatrix!$A$6:$B$10,2,0),IF(J171=4,VLOOKUP(K171+4,TPMatrix!$D$6:$E$9,2,0),0)),"")</f>
        <v>0</v>
      </c>
      <c r="Q171" s="262">
        <f t="shared" ca="1" si="64"/>
        <v>0</v>
      </c>
      <c r="R171" s="263">
        <f t="shared" ca="1" si="65"/>
        <v>5</v>
      </c>
      <c r="S171" s="261">
        <f t="shared" ca="1" si="66"/>
        <v>0</v>
      </c>
      <c r="T171" s="262">
        <f t="shared" si="67"/>
        <v>0</v>
      </c>
      <c r="U171" s="263">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2.95" customHeight="1" x14ac:dyDescent="0.2">
      <c r="A172" s="219" t="str">
        <f ca="1">IF(ISBLANK('Tournament Info'!$B$11),"",INDIRECT(ADDRESS(ROW(),2,1,1,"Optimal Seating "&amp;'Tournament Info'!$B$11-1&amp;"R+F")))</f>
        <v/>
      </c>
      <c r="B172" s="143" t="str">
        <f ca="1">IF(ISNUMBER(A172),VLOOKUP(A172,Methuselahs!$A$7:$E$206,2,0),"")</f>
        <v/>
      </c>
      <c r="C172" s="220" t="str">
        <f ca="1">IF(ISNUMBER(A172),VLOOKUP(A172,Methuselahs!$A$7:$E$206,3,0),"")</f>
        <v/>
      </c>
      <c r="D172" s="221" t="str">
        <f t="shared" ca="1" si="60"/>
        <v/>
      </c>
      <c r="E172" s="222"/>
      <c r="F172" s="393">
        <f t="shared" si="61"/>
        <v>0</v>
      </c>
      <c r="G172" s="223" t="str">
        <f t="shared" ca="1" si="62"/>
        <v/>
      </c>
      <c r="H172" s="224" t="str">
        <f ca="1">IF(ISNUMBER(A172),IF(OR($S172=$U172,NOT(ISNA(MATCH($D172*5+$V$4,Override!$C$6:$C$125,0)))),$Q172,0),"")</f>
        <v/>
      </c>
      <c r="I172" s="394" t="str">
        <f t="shared" ca="1" si="63"/>
        <v/>
      </c>
      <c r="J172" s="225">
        <f ca="1">COUNT(A172:A176)</f>
        <v>0</v>
      </c>
      <c r="K172" s="226" t="str">
        <f ca="1">IF(ISNUMBER(A172),RANK(F172,F172:F176),"")</f>
        <v/>
      </c>
      <c r="L172" s="227">
        <f ca="1">IF(J172=5,VLOOKUP(K172,TPMatrix!$A$6:$B$10,2,0),IF(J172=4,VLOOKUP(K172,TPMatrix!$D$6:$E$9,2,0),0))</f>
        <v>0</v>
      </c>
      <c r="M172" s="227">
        <f ca="1">IF(COUNTIF(K172:K176,K172)&gt;=2,IF(J172=5,VLOOKUP(K172+1,TPMatrix!$A$6:$B$10,2,0),IF(J172=4,VLOOKUP(K172+1,TPMatrix!$D$6:$E$9,2,0),0)),"")</f>
        <v>0</v>
      </c>
      <c r="N172" s="227">
        <f ca="1">IF(COUNTIF(K172:K176,K172)&gt;=3,IF(J172=5,VLOOKUP(K172+2,TPMatrix!$A$6:$B$10,2,0),IF(J172=4,VLOOKUP(K172+2,TPMatrix!$D$6:$E$9,2,0),0)),"")</f>
        <v>0</v>
      </c>
      <c r="O172" s="227">
        <f ca="1">IF(COUNTIF(K172:K176,K172)&gt;=4,IF(J172=5,VLOOKUP(K172+3,TPMatrix!$A$6:$B$10,2,0),IF(J172=4,VLOOKUP(K172+3,TPMatrix!$D$6:$E$9,2,0),0)),"")</f>
        <v>0</v>
      </c>
      <c r="P172" s="227">
        <f ca="1">IF(COUNTIF(K172:K176,K172)&gt;=5,IF(J172=5,VLOOKUP(K172+4,TPMatrix!$A$6:$B$10,2,0),IF(J172=4,VLOOKUP(K172+4,TPMatrix!$D$6:$E$9,2,0),0)),"")</f>
        <v>0</v>
      </c>
      <c r="Q172" s="227">
        <f t="shared" ca="1" si="64"/>
        <v>0</v>
      </c>
      <c r="R172" s="228">
        <f t="shared" ca="1" si="65"/>
        <v>5</v>
      </c>
      <c r="S172" s="229">
        <f t="shared" ca="1" si="66"/>
        <v>0</v>
      </c>
      <c r="T172" s="230">
        <f t="shared" si="67"/>
        <v>0</v>
      </c>
      <c r="U172" s="231">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2.95" customHeight="1" x14ac:dyDescent="0.2">
      <c r="A173" s="111" t="str">
        <f ca="1">IF(ISBLANK('Tournament Info'!$B$11),"",INDIRECT(ADDRESS(ROW(),2,1,1,"Optimal Seating "&amp;'Tournament Info'!$B$11-1&amp;"R+F")))</f>
        <v/>
      </c>
      <c r="B173" s="117" t="str">
        <f ca="1">IF(ISNUMBER(A173),VLOOKUP(A173,Methuselahs!$A$7:$E$206,2,0),"")</f>
        <v/>
      </c>
      <c r="C173" s="232" t="str">
        <f ca="1">IF(ISNUMBER(A173),VLOOKUP(A173,Methuselahs!$A$7:$E$206,3,0),"")</f>
        <v/>
      </c>
      <c r="D173" s="233" t="str">
        <f t="shared" ca="1" si="60"/>
        <v/>
      </c>
      <c r="E173" s="234"/>
      <c r="F173" s="118">
        <f t="shared" si="61"/>
        <v>0</v>
      </c>
      <c r="G173" s="235" t="str">
        <f t="shared" ca="1" si="62"/>
        <v/>
      </c>
      <c r="H173" s="236" t="str">
        <f ca="1">IF(ISNUMBER(A173),IF(OR($S173=$U173,NOT(ISNA(MATCH($D173*5+$V$4,Override!$C$6:$C$125,0)))),$Q173,0),"")</f>
        <v/>
      </c>
      <c r="I173" s="395" t="str">
        <f t="shared" ca="1" si="63"/>
        <v/>
      </c>
      <c r="J173" s="237">
        <f ca="1">COUNT(A172:A176)</f>
        <v>0</v>
      </c>
      <c r="K173" s="238" t="str">
        <f ca="1">IF(ISNUMBER(A173),RANK(F173,F172:F176),"")</f>
        <v/>
      </c>
      <c r="L173" s="239">
        <f ca="1">IF(J173=5,VLOOKUP(K173,TPMatrix!$A$6:$B$10,2,0),IF(J173=4,VLOOKUP(K173,TPMatrix!$D$6:$E$9,2,0),0))</f>
        <v>0</v>
      </c>
      <c r="M173" s="239">
        <f ca="1">IF(COUNTIF(K172:K176,K173)&gt;=2,IF(J173=5,VLOOKUP(K173+1,TPMatrix!$A$6:$B$10,2,0),IF(J173=4,VLOOKUP(K173+1,TPMatrix!$D$6:$E$9,2,0),0)),"")</f>
        <v>0</v>
      </c>
      <c r="N173" s="239">
        <f ca="1">IF(COUNTIF(K172:K176,K173)&gt;=3,IF(J173=5,VLOOKUP(K173+2,TPMatrix!$A$6:$B$10,2,0),IF(J173=4,VLOOKUP(K173+2,TPMatrix!$D$6:$E$9,2,0),0)),"")</f>
        <v>0</v>
      </c>
      <c r="O173" s="239">
        <f ca="1">IF(COUNTIF(K172:K176,K173)&gt;=4,IF(J173=5,VLOOKUP(K173+3,TPMatrix!$A$6:$B$10,2,0),IF(J173=4,VLOOKUP(K173+3,TPMatrix!$D$6:$E$9,2,0),0)),"")</f>
        <v>0</v>
      </c>
      <c r="P173" s="239">
        <f ca="1">IF(COUNTIF(K172:K176,K173)&gt;=5,IF(J173=5,VLOOKUP(K173+4,TPMatrix!$A$6:$B$10,2,0),IF(J173=4,VLOOKUP(K173+4,TPMatrix!$D$6:$E$9,2,0),0)),"")</f>
        <v>0</v>
      </c>
      <c r="Q173" s="239">
        <f t="shared" ca="1" si="64"/>
        <v>0</v>
      </c>
      <c r="R173" s="240">
        <f t="shared" ca="1" si="65"/>
        <v>5</v>
      </c>
      <c r="S173" s="238">
        <f t="shared" ca="1" si="66"/>
        <v>0</v>
      </c>
      <c r="T173" s="239">
        <f t="shared" si="67"/>
        <v>0</v>
      </c>
      <c r="U173" s="240">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2.95" customHeight="1" x14ac:dyDescent="0.2">
      <c r="A174" s="137" t="str">
        <f ca="1">IF(ISBLANK('Tournament Info'!$B$11),"",INDIRECT(ADDRESS(ROW(),2,1,1,"Optimal Seating "&amp;'Tournament Info'!$B$11-1&amp;"R+F")))</f>
        <v/>
      </c>
      <c r="B174" s="143" t="str">
        <f ca="1">IF(ISNUMBER(A174),VLOOKUP(A174,Methuselahs!$A$7:$E$206,2,0),"")</f>
        <v/>
      </c>
      <c r="C174" s="241" t="str">
        <f ca="1">IF(ISNUMBER(A174),VLOOKUP(A174,Methuselahs!$A$7:$E$206,3,0),"")</f>
        <v/>
      </c>
      <c r="D174" s="242" t="str">
        <f t="shared" ca="1" si="60"/>
        <v/>
      </c>
      <c r="E174" s="243"/>
      <c r="F174" s="144">
        <f t="shared" si="61"/>
        <v>0</v>
      </c>
      <c r="G174" s="244" t="str">
        <f t="shared" ca="1" si="62"/>
        <v/>
      </c>
      <c r="H174" s="245" t="str">
        <f ca="1">IF(ISNUMBER(A174),IF(OR($S174=$U174,NOT(ISNA(MATCH($D174*5+$V$4,Override!$C$6:$C$125,0)))),$Q174,0),"")</f>
        <v/>
      </c>
      <c r="I174" s="396" t="str">
        <f t="shared" ca="1" si="63"/>
        <v/>
      </c>
      <c r="J174" s="246">
        <f ca="1">COUNT(A172:A176)</f>
        <v>0</v>
      </c>
      <c r="K174" s="247" t="str">
        <f ca="1">IF(ISNUMBER(A174),RANK(F174,F172:F176),"")</f>
        <v/>
      </c>
      <c r="L174" s="142">
        <f ca="1">IF(J174=5,VLOOKUP(K174,TPMatrix!$A$6:$B$10,2,0),IF(J174=4,VLOOKUP(K174,TPMatrix!$D$6:$E$9,2,0),0))</f>
        <v>0</v>
      </c>
      <c r="M174" s="142">
        <f ca="1">IF(COUNTIF(K172:K176,K174)&gt;=2,IF(J174=5,VLOOKUP(K174+1,TPMatrix!$A$6:$B$10,2,0),IF(J174=4,VLOOKUP(K174+1,TPMatrix!$D$6:$E$9,2,0),0)),"")</f>
        <v>0</v>
      </c>
      <c r="N174" s="142">
        <f ca="1">IF(COUNTIF(K172:K176,K174)&gt;=3,IF(J174=5,VLOOKUP(K174+2,TPMatrix!$A$6:$B$10,2,0),IF(J174=4,VLOOKUP(K174+2,TPMatrix!$D$6:$E$9,2,0),0)),"")</f>
        <v>0</v>
      </c>
      <c r="O174" s="142">
        <f ca="1">IF(COUNTIF(K172:K176,K174)&gt;=4,IF(J174=5,VLOOKUP(K174+3,TPMatrix!$A$6:$B$10,2,0),IF(J174=4,VLOOKUP(K174+3,TPMatrix!$D$6:$E$9,2,0),0)),"")</f>
        <v>0</v>
      </c>
      <c r="P174" s="142">
        <f ca="1">IF(COUNTIF(K172:K176,K174)&gt;=5,IF(J174=5,VLOOKUP(K174+4,TPMatrix!$A$6:$B$10,2,0),IF(J174=4,VLOOKUP(K174+4,TPMatrix!$D$6:$E$9,2,0),0)),"")</f>
        <v>0</v>
      </c>
      <c r="Q174" s="142">
        <f t="shared" ca="1" si="64"/>
        <v>0</v>
      </c>
      <c r="R174" s="248">
        <f t="shared" ca="1" si="65"/>
        <v>5</v>
      </c>
      <c r="S174" s="247">
        <f t="shared" ca="1" si="66"/>
        <v>0</v>
      </c>
      <c r="T174" s="142">
        <f t="shared" si="67"/>
        <v>0</v>
      </c>
      <c r="U174" s="248">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2.95" customHeight="1" x14ac:dyDescent="0.2">
      <c r="A175" s="249" t="str">
        <f ca="1">IF(ISBLANK('Tournament Info'!$B$11),"",INDIRECT(ADDRESS(ROW(),2,1,1,"Optimal Seating "&amp;'Tournament Info'!$B$11-1&amp;"R+F")))</f>
        <v/>
      </c>
      <c r="B175" s="250" t="str">
        <f ca="1">IF(ISNUMBER(A175),VLOOKUP(A175,Methuselahs!$A$7:$E$206,2,0),"")</f>
        <v/>
      </c>
      <c r="C175" s="251" t="str">
        <f ca="1">IF(ISNUMBER(A175),VLOOKUP(A175,Methuselahs!$A$7:$E$206,3,0),"")</f>
        <v/>
      </c>
      <c r="D175" s="252" t="str">
        <f t="shared" ca="1" si="60"/>
        <v/>
      </c>
      <c r="E175" s="253"/>
      <c r="F175" s="397">
        <f t="shared" si="61"/>
        <v>0</v>
      </c>
      <c r="G175" s="235" t="str">
        <f t="shared" ca="1" si="62"/>
        <v/>
      </c>
      <c r="H175" s="236" t="str">
        <f ca="1">IF(ISNUMBER(A175),IF(OR($S175=$U175,NOT(ISNA(MATCH($D175*5+$V$4,Override!$C$6:$C$125,0)))),$Q175,0),"")</f>
        <v/>
      </c>
      <c r="I175" s="395" t="str">
        <f t="shared" ca="1" si="63"/>
        <v/>
      </c>
      <c r="J175" s="254">
        <f ca="1">COUNT(A172:A176)</f>
        <v>0</v>
      </c>
      <c r="K175" s="238" t="str">
        <f ca="1">IF(ISNUMBER(A175),RANK(F175,F172:F176),"")</f>
        <v/>
      </c>
      <c r="L175" s="239">
        <f ca="1">IF(J175=5,VLOOKUP(K175,TPMatrix!$A$6:$B$10,2,0),IF(J175=4,VLOOKUP(K175,TPMatrix!$D$6:$E$9,2,0),0))</f>
        <v>0</v>
      </c>
      <c r="M175" s="239">
        <f ca="1">IF(COUNTIF(K172:K176,K175)&gt;=2,IF(J175=5,VLOOKUP(K175+1,TPMatrix!$A$6:$B$10,2,0),IF(J175=4,VLOOKUP(K175+1,TPMatrix!$D$6:$E$9,2,0),0)),"")</f>
        <v>0</v>
      </c>
      <c r="N175" s="239">
        <f ca="1">IF(COUNTIF(K172:K176,K175)&gt;=3,IF(J175=5,VLOOKUP(K175+2,TPMatrix!$A$6:$B$10,2,0),IF(J175=4,VLOOKUP(K175+2,TPMatrix!$D$6:$E$9,2,0),0)),"")</f>
        <v>0</v>
      </c>
      <c r="O175" s="239">
        <f ca="1">IF(COUNTIF(K172:K176,K175)&gt;=4,IF(J175=5,VLOOKUP(K175+3,TPMatrix!$A$6:$B$10,2,0),IF(J175=4,VLOOKUP(K175+3,TPMatrix!$D$6:$E$9,2,0),0)),"")</f>
        <v>0</v>
      </c>
      <c r="P175" s="239">
        <f ca="1">IF(COUNTIF(K172:K176,K175)&gt;=5,IF(J175=5,VLOOKUP(K175+4,TPMatrix!$A$6:$B$10,2,0),IF(J175=4,VLOOKUP(K175+4,TPMatrix!$D$6:$E$9,2,0),0)),"")</f>
        <v>0</v>
      </c>
      <c r="Q175" s="239">
        <f t="shared" ca="1" si="64"/>
        <v>0</v>
      </c>
      <c r="R175" s="240">
        <f t="shared" ca="1" si="65"/>
        <v>5</v>
      </c>
      <c r="S175" s="238">
        <f t="shared" ca="1" si="66"/>
        <v>0</v>
      </c>
      <c r="T175" s="239">
        <f t="shared" si="67"/>
        <v>0</v>
      </c>
      <c r="U175" s="240">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2.95" customHeight="1" x14ac:dyDescent="0.2">
      <c r="A176" s="255" t="str">
        <f ca="1">IF(ISBLANK('Tournament Info'!$B$11),"",INDIRECT(ADDRESS(ROW(),2,1,1,"Optimal Seating "&amp;'Tournament Info'!$B$11-1&amp;"R+F")))</f>
        <v/>
      </c>
      <c r="B176" s="256" t="str">
        <f ca="1">IF(ISNUMBER(A176),VLOOKUP(A176,Methuselahs!$A$7:$E$206,2,0),"")</f>
        <v/>
      </c>
      <c r="C176" s="257" t="str">
        <f ca="1">IF(ISNUMBER(A176),VLOOKUP(A176,Methuselahs!$A$7:$E$206,3,0),"")</f>
        <v/>
      </c>
      <c r="D176" s="258" t="str">
        <f t="shared" ca="1" si="60"/>
        <v/>
      </c>
      <c r="E176" s="259"/>
      <c r="F176" s="398">
        <f t="shared" si="61"/>
        <v>0</v>
      </c>
      <c r="G176" s="244" t="str">
        <f t="shared" ca="1" si="62"/>
        <v/>
      </c>
      <c r="H176" s="245" t="str">
        <f ca="1">IF(ISNUMBER(A176),IF(OR($S176=$U176,NOT(ISNA(MATCH($D176*5+$V$4,Override!$C$6:$C$125,0)))),$Q176,0),"")</f>
        <v/>
      </c>
      <c r="I176" s="396" t="str">
        <f t="shared" ca="1" si="63"/>
        <v/>
      </c>
      <c r="J176" s="260">
        <f ca="1">COUNT(A172:A176)</f>
        <v>0</v>
      </c>
      <c r="K176" s="261" t="str">
        <f ca="1">IF(ISNUMBER(A176),RANK(F176,F172:F176),"")</f>
        <v/>
      </c>
      <c r="L176" s="262">
        <f ca="1">IF(J176=5,VLOOKUP(K176,TPMatrix!$A$6:$B$10,2,0),IF(J176=4,VLOOKUP(K176,TPMatrix!$D$6:$E$9,2,0),0))</f>
        <v>0</v>
      </c>
      <c r="M176" s="262">
        <f ca="1">IF(COUNTIF(K172:K176,K176)&gt;=2,IF(J176=5,VLOOKUP(K176+1,TPMatrix!$A$6:$B$10,2,0),IF(J176=4,VLOOKUP(K176+1,TPMatrix!$D$6:$E$9,2,0),0)),"")</f>
        <v>0</v>
      </c>
      <c r="N176" s="262">
        <f ca="1">IF(COUNTIF(K172:K176,K176)&gt;=3,IF(J176=5,VLOOKUP(K176+2,TPMatrix!$A$6:$B$10,2,0),IF(J176=4,VLOOKUP(K176+2,TPMatrix!$D$6:$E$9,2,0),0)),"")</f>
        <v>0</v>
      </c>
      <c r="O176" s="262">
        <f ca="1">IF(COUNTIF(K172:K176,K176)&gt;=4,IF(J176=5,VLOOKUP(K176+3,TPMatrix!$A$6:$B$10,2,0),IF(J176=4,VLOOKUP(K176+3,TPMatrix!$D$6:$E$9,2,0),0)),"")</f>
        <v>0</v>
      </c>
      <c r="P176" s="262">
        <f ca="1">IF(COUNTIF(K172:K176,K176)&gt;=5,IF(J176=5,VLOOKUP(K176+4,TPMatrix!$A$6:$B$10,2,0),IF(J176=4,VLOOKUP(K176+4,TPMatrix!$D$6:$E$9,2,0),0)),"")</f>
        <v>0</v>
      </c>
      <c r="Q176" s="262">
        <f t="shared" ca="1" si="64"/>
        <v>0</v>
      </c>
      <c r="R176" s="263">
        <f t="shared" ca="1" si="65"/>
        <v>5</v>
      </c>
      <c r="S176" s="261">
        <f t="shared" ca="1" si="66"/>
        <v>0</v>
      </c>
      <c r="T176" s="262">
        <f t="shared" si="67"/>
        <v>0</v>
      </c>
      <c r="U176" s="263">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2.95" customHeight="1" x14ac:dyDescent="0.2">
      <c r="A177" s="219" t="str">
        <f ca="1">IF(ISBLANK('Tournament Info'!$B$11),"",INDIRECT(ADDRESS(ROW(),2,1,1,"Optimal Seating "&amp;'Tournament Info'!$B$11-1&amp;"R+F")))</f>
        <v/>
      </c>
      <c r="B177" s="143" t="str">
        <f ca="1">IF(ISNUMBER(A177),VLOOKUP(A177,Methuselahs!$A$7:$E$206,2,0),"")</f>
        <v/>
      </c>
      <c r="C177" s="220" t="str">
        <f ca="1">IF(ISNUMBER(A177),VLOOKUP(A177,Methuselahs!$A$7:$E$206,3,0),"")</f>
        <v/>
      </c>
      <c r="D177" s="221" t="str">
        <f t="shared" ca="1" si="60"/>
        <v/>
      </c>
      <c r="E177" s="222"/>
      <c r="F177" s="393">
        <f t="shared" si="61"/>
        <v>0</v>
      </c>
      <c r="G177" s="223" t="str">
        <f t="shared" ca="1" si="62"/>
        <v/>
      </c>
      <c r="H177" s="224" t="str">
        <f ca="1">IF(ISNUMBER(A177),IF(OR($S177=$U177,NOT(ISNA(MATCH($D177*5+$V$4,Override!$C$6:$C$125,0)))),$Q177,0),"")</f>
        <v/>
      </c>
      <c r="I177" s="394" t="str">
        <f t="shared" ca="1" si="63"/>
        <v/>
      </c>
      <c r="J177" s="225">
        <f ca="1">COUNT(A177:A181)</f>
        <v>0</v>
      </c>
      <c r="K177" s="226" t="str">
        <f ca="1">IF(ISNUMBER(A177),RANK(F177,F177:F181),"")</f>
        <v/>
      </c>
      <c r="L177" s="227">
        <f ca="1">IF(J177=5,VLOOKUP(K177,TPMatrix!$A$6:$B$10,2,0),IF(J177=4,VLOOKUP(K177,TPMatrix!$D$6:$E$9,2,0),0))</f>
        <v>0</v>
      </c>
      <c r="M177" s="227">
        <f ca="1">IF(COUNTIF(K177:K181,K177)&gt;=2,IF(J177=5,VLOOKUP(K177+1,TPMatrix!$A$6:$B$10,2,0),IF(J177=4,VLOOKUP(K177+1,TPMatrix!$D$6:$E$9,2,0),0)),"")</f>
        <v>0</v>
      </c>
      <c r="N177" s="227">
        <f ca="1">IF(COUNTIF(K177:K181,K177)&gt;=3,IF(J177=5,VLOOKUP(K177+2,TPMatrix!$A$6:$B$10,2,0),IF(J177=4,VLOOKUP(K177+2,TPMatrix!$D$6:$E$9,2,0),0)),"")</f>
        <v>0</v>
      </c>
      <c r="O177" s="227">
        <f ca="1">IF(COUNTIF(K177:K181,K177)&gt;=4,IF(J177=5,VLOOKUP(K177+3,TPMatrix!$A$6:$B$10,2,0),IF(J177=4,VLOOKUP(K177+3,TPMatrix!$D$6:$E$9,2,0),0)),"")</f>
        <v>0</v>
      </c>
      <c r="P177" s="227">
        <f ca="1">IF(COUNTIF(K177:K181,K177)&gt;=5,IF(J177=5,VLOOKUP(K177+4,TPMatrix!$A$6:$B$10,2,0),IF(J177=4,VLOOKUP(K177+4,TPMatrix!$D$6:$E$9,2,0),0)),"")</f>
        <v>0</v>
      </c>
      <c r="Q177" s="227">
        <f t="shared" ca="1" si="64"/>
        <v>0</v>
      </c>
      <c r="R177" s="228">
        <f t="shared" ca="1" si="65"/>
        <v>5</v>
      </c>
      <c r="S177" s="229">
        <f t="shared" ca="1" si="66"/>
        <v>0</v>
      </c>
      <c r="T177" s="230">
        <f t="shared" si="67"/>
        <v>0</v>
      </c>
      <c r="U177" s="231">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2.95" customHeight="1" x14ac:dyDescent="0.2">
      <c r="A178" s="111" t="str">
        <f ca="1">IF(ISBLANK('Tournament Info'!$B$11),"",INDIRECT(ADDRESS(ROW(),2,1,1,"Optimal Seating "&amp;'Tournament Info'!$B$11-1&amp;"R+F")))</f>
        <v/>
      </c>
      <c r="B178" s="117" t="str">
        <f ca="1">IF(ISNUMBER(A178),VLOOKUP(A178,Methuselahs!$A$7:$E$206,2,0),"")</f>
        <v/>
      </c>
      <c r="C178" s="232" t="str">
        <f ca="1">IF(ISNUMBER(A178),VLOOKUP(A178,Methuselahs!$A$7:$E$206,3,0),"")</f>
        <v/>
      </c>
      <c r="D178" s="233" t="str">
        <f t="shared" ca="1" si="60"/>
        <v/>
      </c>
      <c r="E178" s="234"/>
      <c r="F178" s="118">
        <f t="shared" si="61"/>
        <v>0</v>
      </c>
      <c r="G178" s="235" t="str">
        <f t="shared" ca="1" si="62"/>
        <v/>
      </c>
      <c r="H178" s="236" t="str">
        <f ca="1">IF(ISNUMBER(A178),IF(OR($S178=$U178,NOT(ISNA(MATCH($D178*5+$V$4,Override!$C$6:$C$125,0)))),$Q178,0),"")</f>
        <v/>
      </c>
      <c r="I178" s="395" t="str">
        <f t="shared" ca="1" si="63"/>
        <v/>
      </c>
      <c r="J178" s="237">
        <f ca="1">COUNT(A177:A181)</f>
        <v>0</v>
      </c>
      <c r="K178" s="238" t="str">
        <f ca="1">IF(ISNUMBER(A178),RANK(F178,F177:F181),"")</f>
        <v/>
      </c>
      <c r="L178" s="239">
        <f ca="1">IF(J178=5,VLOOKUP(K178,TPMatrix!$A$6:$B$10,2,0),IF(J178=4,VLOOKUP(K178,TPMatrix!$D$6:$E$9,2,0),0))</f>
        <v>0</v>
      </c>
      <c r="M178" s="239">
        <f ca="1">IF(COUNTIF(K177:K181,K178)&gt;=2,IF(J178=5,VLOOKUP(K178+1,TPMatrix!$A$6:$B$10,2,0),IF(J178=4,VLOOKUP(K178+1,TPMatrix!$D$6:$E$9,2,0),0)),"")</f>
        <v>0</v>
      </c>
      <c r="N178" s="239">
        <f ca="1">IF(COUNTIF(K177:K181,K178)&gt;=3,IF(J178=5,VLOOKUP(K178+2,TPMatrix!$A$6:$B$10,2,0),IF(J178=4,VLOOKUP(K178+2,TPMatrix!$D$6:$E$9,2,0),0)),"")</f>
        <v>0</v>
      </c>
      <c r="O178" s="239">
        <f ca="1">IF(COUNTIF(K177:K181,K178)&gt;=4,IF(J178=5,VLOOKUP(K178+3,TPMatrix!$A$6:$B$10,2,0),IF(J178=4,VLOOKUP(K178+3,TPMatrix!$D$6:$E$9,2,0),0)),"")</f>
        <v>0</v>
      </c>
      <c r="P178" s="239">
        <f ca="1">IF(COUNTIF(K177:K181,K178)&gt;=5,IF(J178=5,VLOOKUP(K178+4,TPMatrix!$A$6:$B$10,2,0),IF(J178=4,VLOOKUP(K178+4,TPMatrix!$D$6:$E$9,2,0),0)),"")</f>
        <v>0</v>
      </c>
      <c r="Q178" s="239">
        <f t="shared" ca="1" si="64"/>
        <v>0</v>
      </c>
      <c r="R178" s="240">
        <f t="shared" ca="1" si="65"/>
        <v>5</v>
      </c>
      <c r="S178" s="238">
        <f t="shared" ca="1" si="66"/>
        <v>0</v>
      </c>
      <c r="T178" s="239">
        <f t="shared" si="67"/>
        <v>0</v>
      </c>
      <c r="U178" s="240">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2.95" customHeight="1" x14ac:dyDescent="0.2">
      <c r="A179" s="137" t="str">
        <f ca="1">IF(ISBLANK('Tournament Info'!$B$11),"",INDIRECT(ADDRESS(ROW(),2,1,1,"Optimal Seating "&amp;'Tournament Info'!$B$11-1&amp;"R+F")))</f>
        <v/>
      </c>
      <c r="B179" s="143" t="str">
        <f ca="1">IF(ISNUMBER(A179),VLOOKUP(A179,Methuselahs!$A$7:$E$206,2,0),"")</f>
        <v/>
      </c>
      <c r="C179" s="241" t="str">
        <f ca="1">IF(ISNUMBER(A179),VLOOKUP(A179,Methuselahs!$A$7:$E$206,3,0),"")</f>
        <v/>
      </c>
      <c r="D179" s="242" t="str">
        <f t="shared" ca="1" si="60"/>
        <v/>
      </c>
      <c r="E179" s="243"/>
      <c r="F179" s="144">
        <f t="shared" si="61"/>
        <v>0</v>
      </c>
      <c r="G179" s="244" t="str">
        <f t="shared" ca="1" si="62"/>
        <v/>
      </c>
      <c r="H179" s="245" t="str">
        <f ca="1">IF(ISNUMBER(A179),IF(OR($S179=$U179,NOT(ISNA(MATCH($D179*5+$V$4,Override!$C$6:$C$125,0)))),$Q179,0),"")</f>
        <v/>
      </c>
      <c r="I179" s="396" t="str">
        <f t="shared" ca="1" si="63"/>
        <v/>
      </c>
      <c r="J179" s="246">
        <f ca="1">COUNT(A177:A181)</f>
        <v>0</v>
      </c>
      <c r="K179" s="247" t="str">
        <f ca="1">IF(ISNUMBER(A179),RANK(F179,F177:F181),"")</f>
        <v/>
      </c>
      <c r="L179" s="142">
        <f ca="1">IF(J179=5,VLOOKUP(K179,TPMatrix!$A$6:$B$10,2,0),IF(J179=4,VLOOKUP(K179,TPMatrix!$D$6:$E$9,2,0),0))</f>
        <v>0</v>
      </c>
      <c r="M179" s="142">
        <f ca="1">IF(COUNTIF(K177:K181,K179)&gt;=2,IF(J179=5,VLOOKUP(K179+1,TPMatrix!$A$6:$B$10,2,0),IF(J179=4,VLOOKUP(K179+1,TPMatrix!$D$6:$E$9,2,0),0)),"")</f>
        <v>0</v>
      </c>
      <c r="N179" s="142">
        <f ca="1">IF(COUNTIF(K177:K181,K179)&gt;=3,IF(J179=5,VLOOKUP(K179+2,TPMatrix!$A$6:$B$10,2,0),IF(J179=4,VLOOKUP(K179+2,TPMatrix!$D$6:$E$9,2,0),0)),"")</f>
        <v>0</v>
      </c>
      <c r="O179" s="142">
        <f ca="1">IF(COUNTIF(K177:K181,K179)&gt;=4,IF(J179=5,VLOOKUP(K179+3,TPMatrix!$A$6:$B$10,2,0),IF(J179=4,VLOOKUP(K179+3,TPMatrix!$D$6:$E$9,2,0),0)),"")</f>
        <v>0</v>
      </c>
      <c r="P179" s="142">
        <f ca="1">IF(COUNTIF(K177:K181,K179)&gt;=5,IF(J179=5,VLOOKUP(K179+4,TPMatrix!$A$6:$B$10,2,0),IF(J179=4,VLOOKUP(K179+4,TPMatrix!$D$6:$E$9,2,0),0)),"")</f>
        <v>0</v>
      </c>
      <c r="Q179" s="142">
        <f t="shared" ca="1" si="64"/>
        <v>0</v>
      </c>
      <c r="R179" s="248">
        <f t="shared" ca="1" si="65"/>
        <v>5</v>
      </c>
      <c r="S179" s="247">
        <f t="shared" ca="1" si="66"/>
        <v>0</v>
      </c>
      <c r="T179" s="142">
        <f t="shared" si="67"/>
        <v>0</v>
      </c>
      <c r="U179" s="248">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2.95" customHeight="1" x14ac:dyDescent="0.2">
      <c r="A180" s="249" t="str">
        <f ca="1">IF(ISBLANK('Tournament Info'!$B$11),"",INDIRECT(ADDRESS(ROW(),2,1,1,"Optimal Seating "&amp;'Tournament Info'!$B$11-1&amp;"R+F")))</f>
        <v/>
      </c>
      <c r="B180" s="250" t="str">
        <f ca="1">IF(ISNUMBER(A180),VLOOKUP(A180,Methuselahs!$A$7:$E$206,2,0),"")</f>
        <v/>
      </c>
      <c r="C180" s="251" t="str">
        <f ca="1">IF(ISNUMBER(A180),VLOOKUP(A180,Methuselahs!$A$7:$E$206,3,0),"")</f>
        <v/>
      </c>
      <c r="D180" s="252" t="str">
        <f t="shared" ca="1" si="60"/>
        <v/>
      </c>
      <c r="E180" s="253"/>
      <c r="F180" s="397">
        <f t="shared" si="61"/>
        <v>0</v>
      </c>
      <c r="G180" s="235" t="str">
        <f t="shared" ca="1" si="62"/>
        <v/>
      </c>
      <c r="H180" s="236" t="str">
        <f ca="1">IF(ISNUMBER(A180),IF(OR($S180=$U180,NOT(ISNA(MATCH($D180*5+$V$4,Override!$C$6:$C$125,0)))),$Q180,0),"")</f>
        <v/>
      </c>
      <c r="I180" s="395" t="str">
        <f t="shared" ca="1" si="63"/>
        <v/>
      </c>
      <c r="J180" s="254">
        <f ca="1">COUNT(A177:A181)</f>
        <v>0</v>
      </c>
      <c r="K180" s="238" t="str">
        <f ca="1">IF(ISNUMBER(A180),RANK(F180,F177:F181),"")</f>
        <v/>
      </c>
      <c r="L180" s="239">
        <f ca="1">IF(J180=5,VLOOKUP(K180,TPMatrix!$A$6:$B$10,2,0),IF(J180=4,VLOOKUP(K180,TPMatrix!$D$6:$E$9,2,0),0))</f>
        <v>0</v>
      </c>
      <c r="M180" s="239">
        <f ca="1">IF(COUNTIF(K177:K181,K180)&gt;=2,IF(J180=5,VLOOKUP(K180+1,TPMatrix!$A$6:$B$10,2,0),IF(J180=4,VLOOKUP(K180+1,TPMatrix!$D$6:$E$9,2,0),0)),"")</f>
        <v>0</v>
      </c>
      <c r="N180" s="239">
        <f ca="1">IF(COUNTIF(K177:K181,K180)&gt;=3,IF(J180=5,VLOOKUP(K180+2,TPMatrix!$A$6:$B$10,2,0),IF(J180=4,VLOOKUP(K180+2,TPMatrix!$D$6:$E$9,2,0),0)),"")</f>
        <v>0</v>
      </c>
      <c r="O180" s="239">
        <f ca="1">IF(COUNTIF(K177:K181,K180)&gt;=4,IF(J180=5,VLOOKUP(K180+3,TPMatrix!$A$6:$B$10,2,0),IF(J180=4,VLOOKUP(K180+3,TPMatrix!$D$6:$E$9,2,0),0)),"")</f>
        <v>0</v>
      </c>
      <c r="P180" s="239">
        <f ca="1">IF(COUNTIF(K177:K181,K180)&gt;=5,IF(J180=5,VLOOKUP(K180+4,TPMatrix!$A$6:$B$10,2,0),IF(J180=4,VLOOKUP(K180+4,TPMatrix!$D$6:$E$9,2,0),0)),"")</f>
        <v>0</v>
      </c>
      <c r="Q180" s="239">
        <f t="shared" ca="1" si="64"/>
        <v>0</v>
      </c>
      <c r="R180" s="240">
        <f t="shared" ca="1" si="65"/>
        <v>5</v>
      </c>
      <c r="S180" s="238">
        <f t="shared" ca="1" si="66"/>
        <v>0</v>
      </c>
      <c r="T180" s="239">
        <f t="shared" si="67"/>
        <v>0</v>
      </c>
      <c r="U180" s="240">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2.95" customHeight="1" x14ac:dyDescent="0.2">
      <c r="A181" s="255" t="str">
        <f ca="1">IF(ISBLANK('Tournament Info'!$B$11),"",INDIRECT(ADDRESS(ROW(),2,1,1,"Optimal Seating "&amp;'Tournament Info'!$B$11-1&amp;"R+F")))</f>
        <v/>
      </c>
      <c r="B181" s="256" t="str">
        <f ca="1">IF(ISNUMBER(A181),VLOOKUP(A181,Methuselahs!$A$7:$E$206,2,0),"")</f>
        <v/>
      </c>
      <c r="C181" s="257" t="str">
        <f ca="1">IF(ISNUMBER(A181),VLOOKUP(A181,Methuselahs!$A$7:$E$206,3,0),"")</f>
        <v/>
      </c>
      <c r="D181" s="258" t="str">
        <f t="shared" ca="1" si="60"/>
        <v/>
      </c>
      <c r="E181" s="259"/>
      <c r="F181" s="398">
        <f t="shared" si="61"/>
        <v>0</v>
      </c>
      <c r="G181" s="244" t="str">
        <f t="shared" ca="1" si="62"/>
        <v/>
      </c>
      <c r="H181" s="245" t="str">
        <f ca="1">IF(ISNUMBER(A181),IF(OR($S181=$U181,NOT(ISNA(MATCH($D181*5+$V$4,Override!$C$6:$C$125,0)))),$Q181,0),"")</f>
        <v/>
      </c>
      <c r="I181" s="396" t="str">
        <f t="shared" ca="1" si="63"/>
        <v/>
      </c>
      <c r="J181" s="260">
        <f ca="1">COUNT(A177:A181)</f>
        <v>0</v>
      </c>
      <c r="K181" s="261" t="str">
        <f ca="1">IF(ISNUMBER(A181),RANK(F181,F177:F181),"")</f>
        <v/>
      </c>
      <c r="L181" s="262">
        <f ca="1">IF(J181=5,VLOOKUP(K181,TPMatrix!$A$6:$B$10,2,0),IF(J181=4,VLOOKUP(K181,TPMatrix!$D$6:$E$9,2,0),0))</f>
        <v>0</v>
      </c>
      <c r="M181" s="262">
        <f ca="1">IF(COUNTIF(K177:K181,K181)&gt;=2,IF(J181=5,VLOOKUP(K181+1,TPMatrix!$A$6:$B$10,2,0),IF(J181=4,VLOOKUP(K181+1,TPMatrix!$D$6:$E$9,2,0),0)),"")</f>
        <v>0</v>
      </c>
      <c r="N181" s="262">
        <f ca="1">IF(COUNTIF(K177:K181,K181)&gt;=3,IF(J181=5,VLOOKUP(K181+2,TPMatrix!$A$6:$B$10,2,0),IF(J181=4,VLOOKUP(K181+2,TPMatrix!$D$6:$E$9,2,0),0)),"")</f>
        <v>0</v>
      </c>
      <c r="O181" s="262">
        <f ca="1">IF(COUNTIF(K177:K181,K181)&gt;=4,IF(J181=5,VLOOKUP(K181+3,TPMatrix!$A$6:$B$10,2,0),IF(J181=4,VLOOKUP(K181+3,TPMatrix!$D$6:$E$9,2,0),0)),"")</f>
        <v>0</v>
      </c>
      <c r="P181" s="262">
        <f ca="1">IF(COUNTIF(K177:K181,K181)&gt;=5,IF(J181=5,VLOOKUP(K181+4,TPMatrix!$A$6:$B$10,2,0),IF(J181=4,VLOOKUP(K181+4,TPMatrix!$D$6:$E$9,2,0),0)),"")</f>
        <v>0</v>
      </c>
      <c r="Q181" s="262">
        <f t="shared" ca="1" si="64"/>
        <v>0</v>
      </c>
      <c r="R181" s="263">
        <f t="shared" ca="1" si="65"/>
        <v>5</v>
      </c>
      <c r="S181" s="261">
        <f t="shared" ca="1" si="66"/>
        <v>0</v>
      </c>
      <c r="T181" s="262">
        <f t="shared" si="67"/>
        <v>0</v>
      </c>
      <c r="U181" s="263">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2.95" customHeight="1" x14ac:dyDescent="0.2">
      <c r="A182" s="219" t="str">
        <f ca="1">IF(ISBLANK('Tournament Info'!$B$11),"",INDIRECT(ADDRESS(ROW(),2,1,1,"Optimal Seating "&amp;'Tournament Info'!$B$11-1&amp;"R+F")))</f>
        <v/>
      </c>
      <c r="B182" s="143" t="str">
        <f ca="1">IF(ISNUMBER(A182),VLOOKUP(A182,Methuselahs!$A$7:$E$206,2,0),"")</f>
        <v/>
      </c>
      <c r="C182" s="220" t="str">
        <f ca="1">IF(ISNUMBER(A182),VLOOKUP(A182,Methuselahs!$A$7:$E$206,3,0),"")</f>
        <v/>
      </c>
      <c r="D182" s="221" t="str">
        <f t="shared" ca="1" si="60"/>
        <v/>
      </c>
      <c r="E182" s="222"/>
      <c r="F182" s="393">
        <f t="shared" si="61"/>
        <v>0</v>
      </c>
      <c r="G182" s="223" t="str">
        <f t="shared" ca="1" si="62"/>
        <v/>
      </c>
      <c r="H182" s="224" t="str">
        <f ca="1">IF(ISNUMBER(A182),IF(OR($S182=$U182,NOT(ISNA(MATCH($D182*5+$V$4,Override!$C$6:$C$125,0)))),$Q182,0),"")</f>
        <v/>
      </c>
      <c r="I182" s="394" t="str">
        <f t="shared" ca="1" si="63"/>
        <v/>
      </c>
      <c r="J182" s="225">
        <f ca="1">COUNT(A182:A186)</f>
        <v>0</v>
      </c>
      <c r="K182" s="226" t="str">
        <f ca="1">IF(ISNUMBER(A182),RANK(F182,F182:F186),"")</f>
        <v/>
      </c>
      <c r="L182" s="227">
        <f ca="1">IF(J182=5,VLOOKUP(K182,TPMatrix!$A$6:$B$10,2,0),IF(J182=4,VLOOKUP(K182,TPMatrix!$D$6:$E$9,2,0),0))</f>
        <v>0</v>
      </c>
      <c r="M182" s="227">
        <f ca="1">IF(COUNTIF(K182:K186,K182)&gt;=2,IF(J182=5,VLOOKUP(K182+1,TPMatrix!$A$6:$B$10,2,0),IF(J182=4,VLOOKUP(K182+1,TPMatrix!$D$6:$E$9,2,0),0)),"")</f>
        <v>0</v>
      </c>
      <c r="N182" s="227">
        <f ca="1">IF(COUNTIF(K182:K186,K182)&gt;=3,IF(J182=5,VLOOKUP(K182+2,TPMatrix!$A$6:$B$10,2,0),IF(J182=4,VLOOKUP(K182+2,TPMatrix!$D$6:$E$9,2,0),0)),"")</f>
        <v>0</v>
      </c>
      <c r="O182" s="227">
        <f ca="1">IF(COUNTIF(K182:K186,K182)&gt;=4,IF(J182=5,VLOOKUP(K182+3,TPMatrix!$A$6:$B$10,2,0),IF(J182=4,VLOOKUP(K182+3,TPMatrix!$D$6:$E$9,2,0),0)),"")</f>
        <v>0</v>
      </c>
      <c r="P182" s="227">
        <f ca="1">IF(COUNTIF(K182:K186,K182)&gt;=5,IF(J182=5,VLOOKUP(K182+4,TPMatrix!$A$6:$B$10,2,0),IF(J182=4,VLOOKUP(K182+4,TPMatrix!$D$6:$E$9,2,0),0)),"")</f>
        <v>0</v>
      </c>
      <c r="Q182" s="227">
        <f t="shared" ca="1" si="64"/>
        <v>0</v>
      </c>
      <c r="R182" s="228">
        <f t="shared" ca="1" si="65"/>
        <v>5</v>
      </c>
      <c r="S182" s="229">
        <f t="shared" ca="1" si="66"/>
        <v>0</v>
      </c>
      <c r="T182" s="230">
        <f t="shared" si="67"/>
        <v>0</v>
      </c>
      <c r="U182" s="231">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2.95" customHeight="1" x14ac:dyDescent="0.2">
      <c r="A183" s="111" t="str">
        <f ca="1">IF(ISBLANK('Tournament Info'!$B$11),"",INDIRECT(ADDRESS(ROW(),2,1,1,"Optimal Seating "&amp;'Tournament Info'!$B$11-1&amp;"R+F")))</f>
        <v/>
      </c>
      <c r="B183" s="117" t="str">
        <f ca="1">IF(ISNUMBER(A183),VLOOKUP(A183,Methuselahs!$A$7:$E$206,2,0),"")</f>
        <v/>
      </c>
      <c r="C183" s="232" t="str">
        <f ca="1">IF(ISNUMBER(A183),VLOOKUP(A183,Methuselahs!$A$7:$E$206,3,0),"")</f>
        <v/>
      </c>
      <c r="D183" s="233" t="str">
        <f t="shared" ca="1" si="60"/>
        <v/>
      </c>
      <c r="E183" s="234"/>
      <c r="F183" s="118">
        <f t="shared" si="61"/>
        <v>0</v>
      </c>
      <c r="G183" s="235" t="str">
        <f t="shared" ca="1" si="62"/>
        <v/>
      </c>
      <c r="H183" s="236" t="str">
        <f ca="1">IF(ISNUMBER(A183),IF(OR($S183=$U183,NOT(ISNA(MATCH($D183*5+$V$4,Override!$C$6:$C$125,0)))),$Q183,0),"")</f>
        <v/>
      </c>
      <c r="I183" s="395" t="str">
        <f t="shared" ca="1" si="63"/>
        <v/>
      </c>
      <c r="J183" s="237">
        <f ca="1">COUNT(A182:A186)</f>
        <v>0</v>
      </c>
      <c r="K183" s="238" t="str">
        <f ca="1">IF(ISNUMBER(A183),RANK(F183,F182:F186),"")</f>
        <v/>
      </c>
      <c r="L183" s="239">
        <f ca="1">IF(J183=5,VLOOKUP(K183,TPMatrix!$A$6:$B$10,2,0),IF(J183=4,VLOOKUP(K183,TPMatrix!$D$6:$E$9,2,0),0))</f>
        <v>0</v>
      </c>
      <c r="M183" s="239">
        <f ca="1">IF(COUNTIF(K182:K186,K183)&gt;=2,IF(J183=5,VLOOKUP(K183+1,TPMatrix!$A$6:$B$10,2,0),IF(J183=4,VLOOKUP(K183+1,TPMatrix!$D$6:$E$9,2,0),0)),"")</f>
        <v>0</v>
      </c>
      <c r="N183" s="239">
        <f ca="1">IF(COUNTIF(K182:K186,K183)&gt;=3,IF(J183=5,VLOOKUP(K183+2,TPMatrix!$A$6:$B$10,2,0),IF(J183=4,VLOOKUP(K183+2,TPMatrix!$D$6:$E$9,2,0),0)),"")</f>
        <v>0</v>
      </c>
      <c r="O183" s="239">
        <f ca="1">IF(COUNTIF(K182:K186,K183)&gt;=4,IF(J183=5,VLOOKUP(K183+3,TPMatrix!$A$6:$B$10,2,0),IF(J183=4,VLOOKUP(K183+3,TPMatrix!$D$6:$E$9,2,0),0)),"")</f>
        <v>0</v>
      </c>
      <c r="P183" s="239">
        <f ca="1">IF(COUNTIF(K182:K186,K183)&gt;=5,IF(J183=5,VLOOKUP(K183+4,TPMatrix!$A$6:$B$10,2,0),IF(J183=4,VLOOKUP(K183+4,TPMatrix!$D$6:$E$9,2,0),0)),"")</f>
        <v>0</v>
      </c>
      <c r="Q183" s="239">
        <f t="shared" ca="1" si="64"/>
        <v>0</v>
      </c>
      <c r="R183" s="240">
        <f t="shared" ca="1" si="65"/>
        <v>5</v>
      </c>
      <c r="S183" s="238">
        <f t="shared" ca="1" si="66"/>
        <v>0</v>
      </c>
      <c r="T183" s="239">
        <f t="shared" si="67"/>
        <v>0</v>
      </c>
      <c r="U183" s="240">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2.95" customHeight="1" x14ac:dyDescent="0.2">
      <c r="A184" s="137" t="str">
        <f ca="1">IF(ISBLANK('Tournament Info'!$B$11),"",INDIRECT(ADDRESS(ROW(),2,1,1,"Optimal Seating "&amp;'Tournament Info'!$B$11-1&amp;"R+F")))</f>
        <v/>
      </c>
      <c r="B184" s="143" t="str">
        <f ca="1">IF(ISNUMBER(A184),VLOOKUP(A184,Methuselahs!$A$7:$E$206,2,0),"")</f>
        <v/>
      </c>
      <c r="C184" s="241" t="str">
        <f ca="1">IF(ISNUMBER(A184),VLOOKUP(A184,Methuselahs!$A$7:$E$206,3,0),"")</f>
        <v/>
      </c>
      <c r="D184" s="242" t="str">
        <f t="shared" ca="1" si="60"/>
        <v/>
      </c>
      <c r="E184" s="243"/>
      <c r="F184" s="144">
        <f t="shared" si="61"/>
        <v>0</v>
      </c>
      <c r="G184" s="244" t="str">
        <f t="shared" ca="1" si="62"/>
        <v/>
      </c>
      <c r="H184" s="245" t="str">
        <f ca="1">IF(ISNUMBER(A184),IF(OR($S184=$U184,NOT(ISNA(MATCH($D184*5+$V$4,Override!$C$6:$C$125,0)))),$Q184,0),"")</f>
        <v/>
      </c>
      <c r="I184" s="396" t="str">
        <f t="shared" ca="1" si="63"/>
        <v/>
      </c>
      <c r="J184" s="246">
        <f ca="1">COUNT(A182:A186)</f>
        <v>0</v>
      </c>
      <c r="K184" s="247" t="str">
        <f ca="1">IF(ISNUMBER(A184),RANK(F184,F182:F186),"")</f>
        <v/>
      </c>
      <c r="L184" s="142">
        <f ca="1">IF(J184=5,VLOOKUP(K184,TPMatrix!$A$6:$B$10,2,0),IF(J184=4,VLOOKUP(K184,TPMatrix!$D$6:$E$9,2,0),0))</f>
        <v>0</v>
      </c>
      <c r="M184" s="142">
        <f ca="1">IF(COUNTIF(K182:K186,K184)&gt;=2,IF(J184=5,VLOOKUP(K184+1,TPMatrix!$A$6:$B$10,2,0),IF(J184=4,VLOOKUP(K184+1,TPMatrix!$D$6:$E$9,2,0),0)),"")</f>
        <v>0</v>
      </c>
      <c r="N184" s="142">
        <f ca="1">IF(COUNTIF(K182:K186,K184)&gt;=3,IF(J184=5,VLOOKUP(K184+2,TPMatrix!$A$6:$B$10,2,0),IF(J184=4,VLOOKUP(K184+2,TPMatrix!$D$6:$E$9,2,0),0)),"")</f>
        <v>0</v>
      </c>
      <c r="O184" s="142">
        <f ca="1">IF(COUNTIF(K182:K186,K184)&gt;=4,IF(J184=5,VLOOKUP(K184+3,TPMatrix!$A$6:$B$10,2,0),IF(J184=4,VLOOKUP(K184+3,TPMatrix!$D$6:$E$9,2,0),0)),"")</f>
        <v>0</v>
      </c>
      <c r="P184" s="142">
        <f ca="1">IF(COUNTIF(K182:K186,K184)&gt;=5,IF(J184=5,VLOOKUP(K184+4,TPMatrix!$A$6:$B$10,2,0),IF(J184=4,VLOOKUP(K184+4,TPMatrix!$D$6:$E$9,2,0),0)),"")</f>
        <v>0</v>
      </c>
      <c r="Q184" s="142">
        <f t="shared" ca="1" si="64"/>
        <v>0</v>
      </c>
      <c r="R184" s="248">
        <f t="shared" ca="1" si="65"/>
        <v>5</v>
      </c>
      <c r="S184" s="247">
        <f t="shared" ca="1" si="66"/>
        <v>0</v>
      </c>
      <c r="T184" s="142">
        <f t="shared" si="67"/>
        <v>0</v>
      </c>
      <c r="U184" s="248">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2.95" customHeight="1" x14ac:dyDescent="0.2">
      <c r="A185" s="249" t="str">
        <f ca="1">IF(ISBLANK('Tournament Info'!$B$11),"",INDIRECT(ADDRESS(ROW(),2,1,1,"Optimal Seating "&amp;'Tournament Info'!$B$11-1&amp;"R+F")))</f>
        <v/>
      </c>
      <c r="B185" s="250" t="str">
        <f ca="1">IF(ISNUMBER(A185),VLOOKUP(A185,Methuselahs!$A$7:$E$206,2,0),"")</f>
        <v/>
      </c>
      <c r="C185" s="251" t="str">
        <f ca="1">IF(ISNUMBER(A185),VLOOKUP(A185,Methuselahs!$A$7:$E$206,3,0),"")</f>
        <v/>
      </c>
      <c r="D185" s="252" t="str">
        <f t="shared" ca="1" si="60"/>
        <v/>
      </c>
      <c r="E185" s="253"/>
      <c r="F185" s="397">
        <f t="shared" si="61"/>
        <v>0</v>
      </c>
      <c r="G185" s="235" t="str">
        <f t="shared" ca="1" si="62"/>
        <v/>
      </c>
      <c r="H185" s="236" t="str">
        <f ca="1">IF(ISNUMBER(A185),IF(OR($S185=$U185,NOT(ISNA(MATCH($D185*5+$V$4,Override!$C$6:$C$125,0)))),$Q185,0),"")</f>
        <v/>
      </c>
      <c r="I185" s="395" t="str">
        <f t="shared" ca="1" si="63"/>
        <v/>
      </c>
      <c r="J185" s="254">
        <f ca="1">COUNT(A182:A186)</f>
        <v>0</v>
      </c>
      <c r="K185" s="238" t="str">
        <f ca="1">IF(ISNUMBER(A185),RANK(F185,F182:F186),"")</f>
        <v/>
      </c>
      <c r="L185" s="239">
        <f ca="1">IF(J185=5,VLOOKUP(K185,TPMatrix!$A$6:$B$10,2,0),IF(J185=4,VLOOKUP(K185,TPMatrix!$D$6:$E$9,2,0),0))</f>
        <v>0</v>
      </c>
      <c r="M185" s="239">
        <f ca="1">IF(COUNTIF(K182:K186,K185)&gt;=2,IF(J185=5,VLOOKUP(K185+1,TPMatrix!$A$6:$B$10,2,0),IF(J185=4,VLOOKUP(K185+1,TPMatrix!$D$6:$E$9,2,0),0)),"")</f>
        <v>0</v>
      </c>
      <c r="N185" s="239">
        <f ca="1">IF(COUNTIF(K182:K186,K185)&gt;=3,IF(J185=5,VLOOKUP(K185+2,TPMatrix!$A$6:$B$10,2,0),IF(J185=4,VLOOKUP(K185+2,TPMatrix!$D$6:$E$9,2,0),0)),"")</f>
        <v>0</v>
      </c>
      <c r="O185" s="239">
        <f ca="1">IF(COUNTIF(K182:K186,K185)&gt;=4,IF(J185=5,VLOOKUP(K185+3,TPMatrix!$A$6:$B$10,2,0),IF(J185=4,VLOOKUP(K185+3,TPMatrix!$D$6:$E$9,2,0),0)),"")</f>
        <v>0</v>
      </c>
      <c r="P185" s="239">
        <f ca="1">IF(COUNTIF(K182:K186,K185)&gt;=5,IF(J185=5,VLOOKUP(K185+4,TPMatrix!$A$6:$B$10,2,0),IF(J185=4,VLOOKUP(K185+4,TPMatrix!$D$6:$E$9,2,0),0)),"")</f>
        <v>0</v>
      </c>
      <c r="Q185" s="239">
        <f t="shared" ca="1" si="64"/>
        <v>0</v>
      </c>
      <c r="R185" s="240">
        <f t="shared" ca="1" si="65"/>
        <v>5</v>
      </c>
      <c r="S185" s="238">
        <f t="shared" ca="1" si="66"/>
        <v>0</v>
      </c>
      <c r="T185" s="239">
        <f t="shared" si="67"/>
        <v>0</v>
      </c>
      <c r="U185" s="240">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2.95" customHeight="1" x14ac:dyDescent="0.2">
      <c r="A186" s="255" t="str">
        <f ca="1">IF(ISBLANK('Tournament Info'!$B$11),"",INDIRECT(ADDRESS(ROW(),2,1,1,"Optimal Seating "&amp;'Tournament Info'!$B$11-1&amp;"R+F")))</f>
        <v/>
      </c>
      <c r="B186" s="256" t="str">
        <f ca="1">IF(ISNUMBER(A186),VLOOKUP(A186,Methuselahs!$A$7:$E$206,2,0),"")</f>
        <v/>
      </c>
      <c r="C186" s="257" t="str">
        <f ca="1">IF(ISNUMBER(A186),VLOOKUP(A186,Methuselahs!$A$7:$E$206,3,0),"")</f>
        <v/>
      </c>
      <c r="D186" s="258" t="str">
        <f t="shared" ca="1" si="60"/>
        <v/>
      </c>
      <c r="E186" s="259"/>
      <c r="F186" s="398">
        <f t="shared" si="61"/>
        <v>0</v>
      </c>
      <c r="G186" s="244" t="str">
        <f t="shared" ca="1" si="62"/>
        <v/>
      </c>
      <c r="H186" s="245" t="str">
        <f ca="1">IF(ISNUMBER(A186),IF(OR($S186=$U186,NOT(ISNA(MATCH($D186*5+$V$4,Override!$C$6:$C$125,0)))),$Q186,0),"")</f>
        <v/>
      </c>
      <c r="I186" s="396" t="str">
        <f t="shared" ca="1" si="63"/>
        <v/>
      </c>
      <c r="J186" s="260">
        <f ca="1">COUNT(A182:A186)</f>
        <v>0</v>
      </c>
      <c r="K186" s="261" t="str">
        <f ca="1">IF(ISNUMBER(A186),RANK(F186,F182:F186),"")</f>
        <v/>
      </c>
      <c r="L186" s="262">
        <f ca="1">IF(J186=5,VLOOKUP(K186,TPMatrix!$A$6:$B$10,2,0),IF(J186=4,VLOOKUP(K186,TPMatrix!$D$6:$E$9,2,0),0))</f>
        <v>0</v>
      </c>
      <c r="M186" s="262">
        <f ca="1">IF(COUNTIF(K182:K186,K186)&gt;=2,IF(J186=5,VLOOKUP(K186+1,TPMatrix!$A$6:$B$10,2,0),IF(J186=4,VLOOKUP(K186+1,TPMatrix!$D$6:$E$9,2,0),0)),"")</f>
        <v>0</v>
      </c>
      <c r="N186" s="262">
        <f ca="1">IF(COUNTIF(K182:K186,K186)&gt;=3,IF(J186=5,VLOOKUP(K186+2,TPMatrix!$A$6:$B$10,2,0),IF(J186=4,VLOOKUP(K186+2,TPMatrix!$D$6:$E$9,2,0),0)),"")</f>
        <v>0</v>
      </c>
      <c r="O186" s="262">
        <f ca="1">IF(COUNTIF(K182:K186,K186)&gt;=4,IF(J186=5,VLOOKUP(K186+3,TPMatrix!$A$6:$B$10,2,0),IF(J186=4,VLOOKUP(K186+3,TPMatrix!$D$6:$E$9,2,0),0)),"")</f>
        <v>0</v>
      </c>
      <c r="P186" s="262">
        <f ca="1">IF(COUNTIF(K182:K186,K186)&gt;=5,IF(J186=5,VLOOKUP(K186+4,TPMatrix!$A$6:$B$10,2,0),IF(J186=4,VLOOKUP(K186+4,TPMatrix!$D$6:$E$9,2,0),0)),"")</f>
        <v>0</v>
      </c>
      <c r="Q186" s="262">
        <f t="shared" ca="1" si="64"/>
        <v>0</v>
      </c>
      <c r="R186" s="263">
        <f t="shared" ca="1" si="65"/>
        <v>5</v>
      </c>
      <c r="S186" s="261">
        <f t="shared" ca="1" si="66"/>
        <v>0</v>
      </c>
      <c r="T186" s="262">
        <f t="shared" si="67"/>
        <v>0</v>
      </c>
      <c r="U186" s="263">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2.95" customHeight="1" x14ac:dyDescent="0.2">
      <c r="A187" s="219" t="str">
        <f ca="1">IF(ISBLANK('Tournament Info'!$B$11),"",INDIRECT(ADDRESS(ROW(),2,1,1,"Optimal Seating "&amp;'Tournament Info'!$B$11-1&amp;"R+F")))</f>
        <v/>
      </c>
      <c r="B187" s="143" t="str">
        <f ca="1">IF(ISNUMBER(A187),VLOOKUP(A187,Methuselahs!$A$7:$E$206,2,0),"")</f>
        <v/>
      </c>
      <c r="C187" s="220" t="str">
        <f ca="1">IF(ISNUMBER(A187),VLOOKUP(A187,Methuselahs!$A$7:$E$206,3,0),"")</f>
        <v/>
      </c>
      <c r="D187" s="221" t="str">
        <f t="shared" ca="1" si="60"/>
        <v/>
      </c>
      <c r="E187" s="222"/>
      <c r="F187" s="393">
        <f t="shared" si="61"/>
        <v>0</v>
      </c>
      <c r="G187" s="223" t="str">
        <f t="shared" ca="1" si="62"/>
        <v/>
      </c>
      <c r="H187" s="224" t="str">
        <f ca="1">IF(ISNUMBER(A187),IF(OR($S187=$U187,NOT(ISNA(MATCH($D187*5+$V$4,Override!$C$6:$C$125,0)))),$Q187,0),"")</f>
        <v/>
      </c>
      <c r="I187" s="394" t="str">
        <f t="shared" ca="1" si="63"/>
        <v/>
      </c>
      <c r="J187" s="225">
        <f ca="1">COUNT(A187:A191)</f>
        <v>0</v>
      </c>
      <c r="K187" s="226" t="str">
        <f ca="1">IF(ISNUMBER(A187),RANK(F187,F187:F191),"")</f>
        <v/>
      </c>
      <c r="L187" s="227">
        <f ca="1">IF(J187=5,VLOOKUP(K187,TPMatrix!$A$6:$B$10,2,0),IF(J187=4,VLOOKUP(K187,TPMatrix!$D$6:$E$9,2,0),0))</f>
        <v>0</v>
      </c>
      <c r="M187" s="227">
        <f ca="1">IF(COUNTIF(K187:K191,K187)&gt;=2,IF(J187=5,VLOOKUP(K187+1,TPMatrix!$A$6:$B$10,2,0),IF(J187=4,VLOOKUP(K187+1,TPMatrix!$D$6:$E$9,2,0),0)),"")</f>
        <v>0</v>
      </c>
      <c r="N187" s="227">
        <f ca="1">IF(COUNTIF(K187:K191,K187)&gt;=3,IF(J187=5,VLOOKUP(K187+2,TPMatrix!$A$6:$B$10,2,0),IF(J187=4,VLOOKUP(K187+2,TPMatrix!$D$6:$E$9,2,0),0)),"")</f>
        <v>0</v>
      </c>
      <c r="O187" s="227">
        <f ca="1">IF(COUNTIF(K187:K191,K187)&gt;=4,IF(J187=5,VLOOKUP(K187+3,TPMatrix!$A$6:$B$10,2,0),IF(J187=4,VLOOKUP(K187+3,TPMatrix!$D$6:$E$9,2,0),0)),"")</f>
        <v>0</v>
      </c>
      <c r="P187" s="227">
        <f ca="1">IF(COUNTIF(K187:K191,K187)&gt;=5,IF(J187=5,VLOOKUP(K187+4,TPMatrix!$A$6:$B$10,2,0),IF(J187=4,VLOOKUP(K187+4,TPMatrix!$D$6:$E$9,2,0),0)),"")</f>
        <v>0</v>
      </c>
      <c r="Q187" s="227">
        <f t="shared" ca="1" si="64"/>
        <v>0</v>
      </c>
      <c r="R187" s="228">
        <f t="shared" ca="1" si="65"/>
        <v>5</v>
      </c>
      <c r="S187" s="229">
        <f t="shared" ca="1" si="66"/>
        <v>0</v>
      </c>
      <c r="T187" s="230">
        <f t="shared" si="67"/>
        <v>0</v>
      </c>
      <c r="U187" s="231">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2.95" customHeight="1" x14ac:dyDescent="0.2">
      <c r="A188" s="111" t="str">
        <f ca="1">IF(ISBLANK('Tournament Info'!$B$11),"",INDIRECT(ADDRESS(ROW(),2,1,1,"Optimal Seating "&amp;'Tournament Info'!$B$11-1&amp;"R+F")))</f>
        <v/>
      </c>
      <c r="B188" s="117" t="str">
        <f ca="1">IF(ISNUMBER(A188),VLOOKUP(A188,Methuselahs!$A$7:$E$206,2,0),"")</f>
        <v/>
      </c>
      <c r="C188" s="232" t="str">
        <f ca="1">IF(ISNUMBER(A188),VLOOKUP(A188,Methuselahs!$A$7:$E$206,3,0),"")</f>
        <v/>
      </c>
      <c r="D188" s="233" t="str">
        <f t="shared" ca="1" si="60"/>
        <v/>
      </c>
      <c r="E188" s="234"/>
      <c r="F188" s="118">
        <f t="shared" si="61"/>
        <v>0</v>
      </c>
      <c r="G188" s="235" t="str">
        <f t="shared" ca="1" si="62"/>
        <v/>
      </c>
      <c r="H188" s="236" t="str">
        <f ca="1">IF(ISNUMBER(A188),IF(OR($S188=$U188,NOT(ISNA(MATCH($D188*5+$V$4,Override!$C$6:$C$125,0)))),$Q188,0),"")</f>
        <v/>
      </c>
      <c r="I188" s="395" t="str">
        <f t="shared" ca="1" si="63"/>
        <v/>
      </c>
      <c r="J188" s="237">
        <f ca="1">COUNT(A187:A191)</f>
        <v>0</v>
      </c>
      <c r="K188" s="238" t="str">
        <f ca="1">IF(ISNUMBER(A188),RANK(F188,F187:F191),"")</f>
        <v/>
      </c>
      <c r="L188" s="239">
        <f ca="1">IF(J188=5,VLOOKUP(K188,TPMatrix!$A$6:$B$10,2,0),IF(J188=4,VLOOKUP(K188,TPMatrix!$D$6:$E$9,2,0),0))</f>
        <v>0</v>
      </c>
      <c r="M188" s="239">
        <f ca="1">IF(COUNTIF(K187:K191,K188)&gt;=2,IF(J188=5,VLOOKUP(K188+1,TPMatrix!$A$6:$B$10,2,0),IF(J188=4,VLOOKUP(K188+1,TPMatrix!$D$6:$E$9,2,0),0)),"")</f>
        <v>0</v>
      </c>
      <c r="N188" s="239">
        <f ca="1">IF(COUNTIF(K187:K191,K188)&gt;=3,IF(J188=5,VLOOKUP(K188+2,TPMatrix!$A$6:$B$10,2,0),IF(J188=4,VLOOKUP(K188+2,TPMatrix!$D$6:$E$9,2,0),0)),"")</f>
        <v>0</v>
      </c>
      <c r="O188" s="239">
        <f ca="1">IF(COUNTIF(K187:K191,K188)&gt;=4,IF(J188=5,VLOOKUP(K188+3,TPMatrix!$A$6:$B$10,2,0),IF(J188=4,VLOOKUP(K188+3,TPMatrix!$D$6:$E$9,2,0),0)),"")</f>
        <v>0</v>
      </c>
      <c r="P188" s="239">
        <f ca="1">IF(COUNTIF(K187:K191,K188)&gt;=5,IF(J188=5,VLOOKUP(K188+4,TPMatrix!$A$6:$B$10,2,0),IF(J188=4,VLOOKUP(K188+4,TPMatrix!$D$6:$E$9,2,0),0)),"")</f>
        <v>0</v>
      </c>
      <c r="Q188" s="239">
        <f t="shared" ca="1" si="64"/>
        <v>0</v>
      </c>
      <c r="R188" s="240">
        <f t="shared" ca="1" si="65"/>
        <v>5</v>
      </c>
      <c r="S188" s="238">
        <f t="shared" ca="1" si="66"/>
        <v>0</v>
      </c>
      <c r="T188" s="239">
        <f t="shared" si="67"/>
        <v>0</v>
      </c>
      <c r="U188" s="240">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2.95" customHeight="1" x14ac:dyDescent="0.2">
      <c r="A189" s="137" t="str">
        <f ca="1">IF(ISBLANK('Tournament Info'!$B$11),"",INDIRECT(ADDRESS(ROW(),2,1,1,"Optimal Seating "&amp;'Tournament Info'!$B$11-1&amp;"R+F")))</f>
        <v/>
      </c>
      <c r="B189" s="143" t="str">
        <f ca="1">IF(ISNUMBER(A189),VLOOKUP(A189,Methuselahs!$A$7:$E$206,2,0),"")</f>
        <v/>
      </c>
      <c r="C189" s="241" t="str">
        <f ca="1">IF(ISNUMBER(A189),VLOOKUP(A189,Methuselahs!$A$7:$E$206,3,0),"")</f>
        <v/>
      </c>
      <c r="D189" s="242" t="str">
        <f t="shared" ca="1" si="60"/>
        <v/>
      </c>
      <c r="E189" s="243"/>
      <c r="F189" s="144">
        <f t="shared" si="61"/>
        <v>0</v>
      </c>
      <c r="G189" s="244" t="str">
        <f t="shared" ca="1" si="62"/>
        <v/>
      </c>
      <c r="H189" s="245" t="str">
        <f ca="1">IF(ISNUMBER(A189),IF(OR($S189=$U189,NOT(ISNA(MATCH($D189*5+$V$4,Override!$C$6:$C$125,0)))),$Q189,0),"")</f>
        <v/>
      </c>
      <c r="I189" s="396" t="str">
        <f t="shared" ca="1" si="63"/>
        <v/>
      </c>
      <c r="J189" s="246">
        <f ca="1">COUNT(A187:A191)</f>
        <v>0</v>
      </c>
      <c r="K189" s="247" t="str">
        <f ca="1">IF(ISNUMBER(A189),RANK(F189,F187:F191),"")</f>
        <v/>
      </c>
      <c r="L189" s="142">
        <f ca="1">IF(J189=5,VLOOKUP(K189,TPMatrix!$A$6:$B$10,2,0),IF(J189=4,VLOOKUP(K189,TPMatrix!$D$6:$E$9,2,0),0))</f>
        <v>0</v>
      </c>
      <c r="M189" s="142">
        <f ca="1">IF(COUNTIF(K187:K191,K189)&gt;=2,IF(J189=5,VLOOKUP(K189+1,TPMatrix!$A$6:$B$10,2,0),IF(J189=4,VLOOKUP(K189+1,TPMatrix!$D$6:$E$9,2,0),0)),"")</f>
        <v>0</v>
      </c>
      <c r="N189" s="142">
        <f ca="1">IF(COUNTIF(K187:K191,K189)&gt;=3,IF(J189=5,VLOOKUP(K189+2,TPMatrix!$A$6:$B$10,2,0),IF(J189=4,VLOOKUP(K189+2,TPMatrix!$D$6:$E$9,2,0),0)),"")</f>
        <v>0</v>
      </c>
      <c r="O189" s="142">
        <f ca="1">IF(COUNTIF(K187:K191,K189)&gt;=4,IF(J189=5,VLOOKUP(K189+3,TPMatrix!$A$6:$B$10,2,0),IF(J189=4,VLOOKUP(K189+3,TPMatrix!$D$6:$E$9,2,0),0)),"")</f>
        <v>0</v>
      </c>
      <c r="P189" s="142">
        <f ca="1">IF(COUNTIF(K187:K191,K189)&gt;=5,IF(J189=5,VLOOKUP(K189+4,TPMatrix!$A$6:$B$10,2,0),IF(J189=4,VLOOKUP(K189+4,TPMatrix!$D$6:$E$9,2,0),0)),"")</f>
        <v>0</v>
      </c>
      <c r="Q189" s="142">
        <f t="shared" ca="1" si="64"/>
        <v>0</v>
      </c>
      <c r="R189" s="248">
        <f t="shared" ca="1" si="65"/>
        <v>5</v>
      </c>
      <c r="S189" s="247">
        <f t="shared" ca="1" si="66"/>
        <v>0</v>
      </c>
      <c r="T189" s="142">
        <f t="shared" si="67"/>
        <v>0</v>
      </c>
      <c r="U189" s="248">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2.95" customHeight="1" x14ac:dyDescent="0.2">
      <c r="A190" s="249" t="str">
        <f ca="1">IF(ISBLANK('Tournament Info'!$B$11),"",INDIRECT(ADDRESS(ROW(),2,1,1,"Optimal Seating "&amp;'Tournament Info'!$B$11-1&amp;"R+F")))</f>
        <v/>
      </c>
      <c r="B190" s="250" t="str">
        <f ca="1">IF(ISNUMBER(A190),VLOOKUP(A190,Methuselahs!$A$7:$E$206,2,0),"")</f>
        <v/>
      </c>
      <c r="C190" s="251" t="str">
        <f ca="1">IF(ISNUMBER(A190),VLOOKUP(A190,Methuselahs!$A$7:$E$206,3,0),"")</f>
        <v/>
      </c>
      <c r="D190" s="252" t="str">
        <f t="shared" ca="1" si="60"/>
        <v/>
      </c>
      <c r="E190" s="253"/>
      <c r="F190" s="397">
        <f t="shared" si="61"/>
        <v>0</v>
      </c>
      <c r="G190" s="235" t="str">
        <f t="shared" ca="1" si="62"/>
        <v/>
      </c>
      <c r="H190" s="236" t="str">
        <f ca="1">IF(ISNUMBER(A190),IF(OR($S190=$U190,NOT(ISNA(MATCH($D190*5+$V$4,Override!$C$6:$C$125,0)))),$Q190,0),"")</f>
        <v/>
      </c>
      <c r="I190" s="395" t="str">
        <f t="shared" ca="1" si="63"/>
        <v/>
      </c>
      <c r="J190" s="254">
        <f ca="1">COUNT(A187:A191)</f>
        <v>0</v>
      </c>
      <c r="K190" s="238" t="str">
        <f ca="1">IF(ISNUMBER(A190),RANK(F190,F187:F191),"")</f>
        <v/>
      </c>
      <c r="L190" s="239">
        <f ca="1">IF(J190=5,VLOOKUP(K190,TPMatrix!$A$6:$B$10,2,0),IF(J190=4,VLOOKUP(K190,TPMatrix!$D$6:$E$9,2,0),0))</f>
        <v>0</v>
      </c>
      <c r="M190" s="239">
        <f ca="1">IF(COUNTIF(K187:K191,K190)&gt;=2,IF(J190=5,VLOOKUP(K190+1,TPMatrix!$A$6:$B$10,2,0),IF(J190=4,VLOOKUP(K190+1,TPMatrix!$D$6:$E$9,2,0),0)),"")</f>
        <v>0</v>
      </c>
      <c r="N190" s="239">
        <f ca="1">IF(COUNTIF(K187:K191,K190)&gt;=3,IF(J190=5,VLOOKUP(K190+2,TPMatrix!$A$6:$B$10,2,0),IF(J190=4,VLOOKUP(K190+2,TPMatrix!$D$6:$E$9,2,0),0)),"")</f>
        <v>0</v>
      </c>
      <c r="O190" s="239">
        <f ca="1">IF(COUNTIF(K187:K191,K190)&gt;=4,IF(J190=5,VLOOKUP(K190+3,TPMatrix!$A$6:$B$10,2,0),IF(J190=4,VLOOKUP(K190+3,TPMatrix!$D$6:$E$9,2,0),0)),"")</f>
        <v>0</v>
      </c>
      <c r="P190" s="239">
        <f ca="1">IF(COUNTIF(K187:K191,K190)&gt;=5,IF(J190=5,VLOOKUP(K190+4,TPMatrix!$A$6:$B$10,2,0),IF(J190=4,VLOOKUP(K190+4,TPMatrix!$D$6:$E$9,2,0),0)),"")</f>
        <v>0</v>
      </c>
      <c r="Q190" s="239">
        <f t="shared" ca="1" si="64"/>
        <v>0</v>
      </c>
      <c r="R190" s="240">
        <f t="shared" ca="1" si="65"/>
        <v>5</v>
      </c>
      <c r="S190" s="238">
        <f t="shared" ca="1" si="66"/>
        <v>0</v>
      </c>
      <c r="T190" s="239">
        <f t="shared" si="67"/>
        <v>0</v>
      </c>
      <c r="U190" s="240">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2.95" customHeight="1" x14ac:dyDescent="0.2">
      <c r="A191" s="255" t="str">
        <f ca="1">IF(ISBLANK('Tournament Info'!$B$11),"",INDIRECT(ADDRESS(ROW(),2,1,1,"Optimal Seating "&amp;'Tournament Info'!$B$11-1&amp;"R+F")))</f>
        <v/>
      </c>
      <c r="B191" s="256" t="str">
        <f ca="1">IF(ISNUMBER(A191),VLOOKUP(A191,Methuselahs!$A$7:$E$206,2,0),"")</f>
        <v/>
      </c>
      <c r="C191" s="257" t="str">
        <f ca="1">IF(ISNUMBER(A191),VLOOKUP(A191,Methuselahs!$A$7:$E$206,3,0),"")</f>
        <v/>
      </c>
      <c r="D191" s="258" t="str">
        <f t="shared" ca="1" si="60"/>
        <v/>
      </c>
      <c r="E191" s="259"/>
      <c r="F191" s="398">
        <f t="shared" si="61"/>
        <v>0</v>
      </c>
      <c r="G191" s="244" t="str">
        <f t="shared" ca="1" si="62"/>
        <v/>
      </c>
      <c r="H191" s="245" t="str">
        <f ca="1">IF(ISNUMBER(A191),IF(OR($S191=$U191,NOT(ISNA(MATCH($D191*5+$V$4,Override!$C$6:$C$125,0)))),$Q191,0),"")</f>
        <v/>
      </c>
      <c r="I191" s="396" t="str">
        <f t="shared" ca="1" si="63"/>
        <v/>
      </c>
      <c r="J191" s="260">
        <f ca="1">COUNT(A187:A191)</f>
        <v>0</v>
      </c>
      <c r="K191" s="261" t="str">
        <f ca="1">IF(ISNUMBER(A191),RANK(F191,F187:F191),"")</f>
        <v/>
      </c>
      <c r="L191" s="262">
        <f ca="1">IF(J191=5,VLOOKUP(K191,TPMatrix!$A$6:$B$10,2,0),IF(J191=4,VLOOKUP(K191,TPMatrix!$D$6:$E$9,2,0),0))</f>
        <v>0</v>
      </c>
      <c r="M191" s="262">
        <f ca="1">IF(COUNTIF(K187:K191,K191)&gt;=2,IF(J191=5,VLOOKUP(K191+1,TPMatrix!$A$6:$B$10,2,0),IF(J191=4,VLOOKUP(K191+1,TPMatrix!$D$6:$E$9,2,0),0)),"")</f>
        <v>0</v>
      </c>
      <c r="N191" s="262">
        <f ca="1">IF(COUNTIF(K187:K191,K191)&gt;=3,IF(J191=5,VLOOKUP(K191+2,TPMatrix!$A$6:$B$10,2,0),IF(J191=4,VLOOKUP(K191+2,TPMatrix!$D$6:$E$9,2,0),0)),"")</f>
        <v>0</v>
      </c>
      <c r="O191" s="262">
        <f ca="1">IF(COUNTIF(K187:K191,K191)&gt;=4,IF(J191=5,VLOOKUP(K191+3,TPMatrix!$A$6:$B$10,2,0),IF(J191=4,VLOOKUP(K191+3,TPMatrix!$D$6:$E$9,2,0),0)),"")</f>
        <v>0</v>
      </c>
      <c r="P191" s="262">
        <f ca="1">IF(COUNTIF(K187:K191,K191)&gt;=5,IF(J191=5,VLOOKUP(K191+4,TPMatrix!$A$6:$B$10,2,0),IF(J191=4,VLOOKUP(K191+4,TPMatrix!$D$6:$E$9,2,0),0)),"")</f>
        <v>0</v>
      </c>
      <c r="Q191" s="262">
        <f t="shared" ca="1" si="64"/>
        <v>0</v>
      </c>
      <c r="R191" s="263">
        <f t="shared" ca="1" si="65"/>
        <v>5</v>
      </c>
      <c r="S191" s="261">
        <f t="shared" ca="1" si="66"/>
        <v>0</v>
      </c>
      <c r="T191" s="262">
        <f t="shared" si="67"/>
        <v>0</v>
      </c>
      <c r="U191" s="263">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2.95" customHeight="1" x14ac:dyDescent="0.2">
      <c r="A192" s="219" t="str">
        <f ca="1">IF(ISBLANK('Tournament Info'!$B$11),"",INDIRECT(ADDRESS(ROW(),2,1,1,"Optimal Seating "&amp;'Tournament Info'!$B$11-1&amp;"R+F")))</f>
        <v/>
      </c>
      <c r="B192" s="143" t="str">
        <f ca="1">IF(ISNUMBER(A192),VLOOKUP(A192,Methuselahs!$A$7:$E$206,2,0),"")</f>
        <v/>
      </c>
      <c r="C192" s="220" t="str">
        <f ca="1">IF(ISNUMBER(A192),VLOOKUP(A192,Methuselahs!$A$7:$E$206,3,0),"")</f>
        <v/>
      </c>
      <c r="D192" s="221" t="str">
        <f t="shared" ca="1" si="60"/>
        <v/>
      </c>
      <c r="E192" s="222"/>
      <c r="F192" s="393">
        <f t="shared" si="61"/>
        <v>0</v>
      </c>
      <c r="G192" s="223" t="str">
        <f t="shared" ca="1" si="62"/>
        <v/>
      </c>
      <c r="H192" s="224" t="str">
        <f ca="1">IF(ISNUMBER(A192),IF(OR($S192=$U192,NOT(ISNA(MATCH($D192*5+$V$4,Override!$C$6:$C$125,0)))),$Q192,0),"")</f>
        <v/>
      </c>
      <c r="I192" s="394" t="str">
        <f t="shared" ca="1" si="63"/>
        <v/>
      </c>
      <c r="J192" s="225">
        <f ca="1">COUNT(A192:A196)</f>
        <v>0</v>
      </c>
      <c r="K192" s="226" t="str">
        <f ca="1">IF(ISNUMBER(A192),RANK(F192,F192:F196),"")</f>
        <v/>
      </c>
      <c r="L192" s="227">
        <f ca="1">IF(J192=5,VLOOKUP(K192,TPMatrix!$A$6:$B$10,2,0),IF(J192=4,VLOOKUP(K192,TPMatrix!$D$6:$E$9,2,0),0))</f>
        <v>0</v>
      </c>
      <c r="M192" s="227">
        <f ca="1">IF(COUNTIF(K192:K196,K192)&gt;=2,IF(J192=5,VLOOKUP(K192+1,TPMatrix!$A$6:$B$10,2,0),IF(J192=4,VLOOKUP(K192+1,TPMatrix!$D$6:$E$9,2,0),0)),"")</f>
        <v>0</v>
      </c>
      <c r="N192" s="227">
        <f ca="1">IF(COUNTIF(K192:K196,K192)&gt;=3,IF(J192=5,VLOOKUP(K192+2,TPMatrix!$A$6:$B$10,2,0),IF(J192=4,VLOOKUP(K192+2,TPMatrix!$D$6:$E$9,2,0),0)),"")</f>
        <v>0</v>
      </c>
      <c r="O192" s="227">
        <f ca="1">IF(COUNTIF(K192:K196,K192)&gt;=4,IF(J192=5,VLOOKUP(K192+3,TPMatrix!$A$6:$B$10,2,0),IF(J192=4,VLOOKUP(K192+3,TPMatrix!$D$6:$E$9,2,0),0)),"")</f>
        <v>0</v>
      </c>
      <c r="P192" s="227">
        <f ca="1">IF(COUNTIF(K192:K196,K192)&gt;=5,IF(J192=5,VLOOKUP(K192+4,TPMatrix!$A$6:$B$10,2,0),IF(J192=4,VLOOKUP(K192+4,TPMatrix!$D$6:$E$9,2,0),0)),"")</f>
        <v>0</v>
      </c>
      <c r="Q192" s="227">
        <f t="shared" ca="1" si="64"/>
        <v>0</v>
      </c>
      <c r="R192" s="228">
        <f t="shared" ca="1" si="65"/>
        <v>5</v>
      </c>
      <c r="S192" s="229">
        <f t="shared" ca="1" si="66"/>
        <v>0</v>
      </c>
      <c r="T192" s="230">
        <f t="shared" si="67"/>
        <v>0</v>
      </c>
      <c r="U192" s="231">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2.95" customHeight="1" x14ac:dyDescent="0.2">
      <c r="A193" s="111" t="str">
        <f ca="1">IF(ISBLANK('Tournament Info'!$B$11),"",INDIRECT(ADDRESS(ROW(),2,1,1,"Optimal Seating "&amp;'Tournament Info'!$B$11-1&amp;"R+F")))</f>
        <v/>
      </c>
      <c r="B193" s="117" t="str">
        <f ca="1">IF(ISNUMBER(A193),VLOOKUP(A193,Methuselahs!$A$7:$E$206,2,0),"")</f>
        <v/>
      </c>
      <c r="C193" s="232" t="str">
        <f ca="1">IF(ISNUMBER(A193),VLOOKUP(A193,Methuselahs!$A$7:$E$206,3,0),"")</f>
        <v/>
      </c>
      <c r="D193" s="233" t="str">
        <f t="shared" ca="1" si="60"/>
        <v/>
      </c>
      <c r="E193" s="234"/>
      <c r="F193" s="118">
        <f t="shared" si="61"/>
        <v>0</v>
      </c>
      <c r="G193" s="235" t="str">
        <f t="shared" ca="1" si="62"/>
        <v/>
      </c>
      <c r="H193" s="236" t="str">
        <f ca="1">IF(ISNUMBER(A193),IF(OR($S193=$U193,NOT(ISNA(MATCH($D193*5+$V$4,Override!$C$6:$C$125,0)))),$Q193,0),"")</f>
        <v/>
      </c>
      <c r="I193" s="395" t="str">
        <f t="shared" ca="1" si="63"/>
        <v/>
      </c>
      <c r="J193" s="237">
        <f ca="1">COUNT(A192:A196)</f>
        <v>0</v>
      </c>
      <c r="K193" s="238" t="str">
        <f ca="1">IF(ISNUMBER(A193),RANK(F193,F192:F196),"")</f>
        <v/>
      </c>
      <c r="L193" s="239">
        <f ca="1">IF(J193=5,VLOOKUP(K193,TPMatrix!$A$6:$B$10,2,0),IF(J193=4,VLOOKUP(K193,TPMatrix!$D$6:$E$9,2,0),0))</f>
        <v>0</v>
      </c>
      <c r="M193" s="239">
        <f ca="1">IF(COUNTIF(K192:K196,K193)&gt;=2,IF(J193=5,VLOOKUP(K193+1,TPMatrix!$A$6:$B$10,2,0),IF(J193=4,VLOOKUP(K193+1,TPMatrix!$D$6:$E$9,2,0),0)),"")</f>
        <v>0</v>
      </c>
      <c r="N193" s="239">
        <f ca="1">IF(COUNTIF(K192:K196,K193)&gt;=3,IF(J193=5,VLOOKUP(K193+2,TPMatrix!$A$6:$B$10,2,0),IF(J193=4,VLOOKUP(K193+2,TPMatrix!$D$6:$E$9,2,0),0)),"")</f>
        <v>0</v>
      </c>
      <c r="O193" s="239">
        <f ca="1">IF(COUNTIF(K192:K196,K193)&gt;=4,IF(J193=5,VLOOKUP(K193+3,TPMatrix!$A$6:$B$10,2,0),IF(J193=4,VLOOKUP(K193+3,TPMatrix!$D$6:$E$9,2,0),0)),"")</f>
        <v>0</v>
      </c>
      <c r="P193" s="239">
        <f ca="1">IF(COUNTIF(K192:K196,K193)&gt;=5,IF(J193=5,VLOOKUP(K193+4,TPMatrix!$A$6:$B$10,2,0),IF(J193=4,VLOOKUP(K193+4,TPMatrix!$D$6:$E$9,2,0),0)),"")</f>
        <v>0</v>
      </c>
      <c r="Q193" s="239">
        <f t="shared" ca="1" si="64"/>
        <v>0</v>
      </c>
      <c r="R193" s="240">
        <f t="shared" ca="1" si="65"/>
        <v>5</v>
      </c>
      <c r="S193" s="238">
        <f t="shared" ca="1" si="66"/>
        <v>0</v>
      </c>
      <c r="T193" s="239">
        <f t="shared" si="67"/>
        <v>0</v>
      </c>
      <c r="U193" s="240">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2.95" customHeight="1" x14ac:dyDescent="0.2">
      <c r="A194" s="137" t="str">
        <f ca="1">IF(ISBLANK('Tournament Info'!$B$11),"",INDIRECT(ADDRESS(ROW(),2,1,1,"Optimal Seating "&amp;'Tournament Info'!$B$11-1&amp;"R+F")))</f>
        <v/>
      </c>
      <c r="B194" s="143" t="str">
        <f ca="1">IF(ISNUMBER(A194),VLOOKUP(A194,Methuselahs!$A$7:$E$206,2,0),"")</f>
        <v/>
      </c>
      <c r="C194" s="241" t="str">
        <f ca="1">IF(ISNUMBER(A194),VLOOKUP(A194,Methuselahs!$A$7:$E$206,3,0),"")</f>
        <v/>
      </c>
      <c r="D194" s="242" t="str">
        <f t="shared" ca="1" si="60"/>
        <v/>
      </c>
      <c r="E194" s="243"/>
      <c r="F194" s="144">
        <f t="shared" si="61"/>
        <v>0</v>
      </c>
      <c r="G194" s="244" t="str">
        <f t="shared" ca="1" si="62"/>
        <v/>
      </c>
      <c r="H194" s="245" t="str">
        <f ca="1">IF(ISNUMBER(A194),IF(OR($S194=$U194,NOT(ISNA(MATCH($D194*5+$V$4,Override!$C$6:$C$125,0)))),$Q194,0),"")</f>
        <v/>
      </c>
      <c r="I194" s="396" t="str">
        <f t="shared" ca="1" si="63"/>
        <v/>
      </c>
      <c r="J194" s="246">
        <f ca="1">COUNT(A192:A196)</f>
        <v>0</v>
      </c>
      <c r="K194" s="247" t="str">
        <f ca="1">IF(ISNUMBER(A194),RANK(F194,F192:F196),"")</f>
        <v/>
      </c>
      <c r="L194" s="142">
        <f ca="1">IF(J194=5,VLOOKUP(K194,TPMatrix!$A$6:$B$10,2,0),IF(J194=4,VLOOKUP(K194,TPMatrix!$D$6:$E$9,2,0),0))</f>
        <v>0</v>
      </c>
      <c r="M194" s="142">
        <f ca="1">IF(COUNTIF(K192:K196,K194)&gt;=2,IF(J194=5,VLOOKUP(K194+1,TPMatrix!$A$6:$B$10,2,0),IF(J194=4,VLOOKUP(K194+1,TPMatrix!$D$6:$E$9,2,0),0)),"")</f>
        <v>0</v>
      </c>
      <c r="N194" s="142">
        <f ca="1">IF(COUNTIF(K192:K196,K194)&gt;=3,IF(J194=5,VLOOKUP(K194+2,TPMatrix!$A$6:$B$10,2,0),IF(J194=4,VLOOKUP(K194+2,TPMatrix!$D$6:$E$9,2,0),0)),"")</f>
        <v>0</v>
      </c>
      <c r="O194" s="142">
        <f ca="1">IF(COUNTIF(K192:K196,K194)&gt;=4,IF(J194=5,VLOOKUP(K194+3,TPMatrix!$A$6:$B$10,2,0),IF(J194=4,VLOOKUP(K194+3,TPMatrix!$D$6:$E$9,2,0),0)),"")</f>
        <v>0</v>
      </c>
      <c r="P194" s="142">
        <f ca="1">IF(COUNTIF(K192:K196,K194)&gt;=5,IF(J194=5,VLOOKUP(K194+4,TPMatrix!$A$6:$B$10,2,0),IF(J194=4,VLOOKUP(K194+4,TPMatrix!$D$6:$E$9,2,0),0)),"")</f>
        <v>0</v>
      </c>
      <c r="Q194" s="142">
        <f t="shared" ca="1" si="64"/>
        <v>0</v>
      </c>
      <c r="R194" s="248">
        <f t="shared" ca="1" si="65"/>
        <v>5</v>
      </c>
      <c r="S194" s="247">
        <f t="shared" ca="1" si="66"/>
        <v>0</v>
      </c>
      <c r="T194" s="142">
        <f t="shared" si="67"/>
        <v>0</v>
      </c>
      <c r="U194" s="248">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2.95" customHeight="1" x14ac:dyDescent="0.2">
      <c r="A195" s="249" t="str">
        <f ca="1">IF(ISBLANK('Tournament Info'!$B$11),"",INDIRECT(ADDRESS(ROW(),2,1,1,"Optimal Seating "&amp;'Tournament Info'!$B$11-1&amp;"R+F")))</f>
        <v/>
      </c>
      <c r="B195" s="250" t="str">
        <f ca="1">IF(ISNUMBER(A195),VLOOKUP(A195,Methuselahs!$A$7:$E$206,2,0),"")</f>
        <v/>
      </c>
      <c r="C195" s="251" t="str">
        <f ca="1">IF(ISNUMBER(A195),VLOOKUP(A195,Methuselahs!$A$7:$E$206,3,0),"")</f>
        <v/>
      </c>
      <c r="D195" s="252" t="str">
        <f t="shared" ca="1" si="60"/>
        <v/>
      </c>
      <c r="E195" s="253"/>
      <c r="F195" s="397">
        <f t="shared" si="61"/>
        <v>0</v>
      </c>
      <c r="G195" s="235" t="str">
        <f t="shared" ca="1" si="62"/>
        <v/>
      </c>
      <c r="H195" s="236" t="str">
        <f ca="1">IF(ISNUMBER(A195),IF(OR($S195=$U195,NOT(ISNA(MATCH($D195*5+$V$4,Override!$C$6:$C$125,0)))),$Q195,0),"")</f>
        <v/>
      </c>
      <c r="I195" s="395" t="str">
        <f t="shared" ca="1" si="63"/>
        <v/>
      </c>
      <c r="J195" s="254">
        <f ca="1">COUNT(A192:A196)</f>
        <v>0</v>
      </c>
      <c r="K195" s="238" t="str">
        <f ca="1">IF(ISNUMBER(A195),RANK(F195,F192:F196),"")</f>
        <v/>
      </c>
      <c r="L195" s="239">
        <f ca="1">IF(J195=5,VLOOKUP(K195,TPMatrix!$A$6:$B$10,2,0),IF(J195=4,VLOOKUP(K195,TPMatrix!$D$6:$E$9,2,0),0))</f>
        <v>0</v>
      </c>
      <c r="M195" s="239">
        <f ca="1">IF(COUNTIF(K192:K196,K195)&gt;=2,IF(J195=5,VLOOKUP(K195+1,TPMatrix!$A$6:$B$10,2,0),IF(J195=4,VLOOKUP(K195+1,TPMatrix!$D$6:$E$9,2,0),0)),"")</f>
        <v>0</v>
      </c>
      <c r="N195" s="239">
        <f ca="1">IF(COUNTIF(K192:K196,K195)&gt;=3,IF(J195=5,VLOOKUP(K195+2,TPMatrix!$A$6:$B$10,2,0),IF(J195=4,VLOOKUP(K195+2,TPMatrix!$D$6:$E$9,2,0),0)),"")</f>
        <v>0</v>
      </c>
      <c r="O195" s="239">
        <f ca="1">IF(COUNTIF(K192:K196,K195)&gt;=4,IF(J195=5,VLOOKUP(K195+3,TPMatrix!$A$6:$B$10,2,0),IF(J195=4,VLOOKUP(K195+3,TPMatrix!$D$6:$E$9,2,0),0)),"")</f>
        <v>0</v>
      </c>
      <c r="P195" s="239">
        <f ca="1">IF(COUNTIF(K192:K196,K195)&gt;=5,IF(J195=5,VLOOKUP(K195+4,TPMatrix!$A$6:$B$10,2,0),IF(J195=4,VLOOKUP(K195+4,TPMatrix!$D$6:$E$9,2,0),0)),"")</f>
        <v>0</v>
      </c>
      <c r="Q195" s="239">
        <f t="shared" ca="1" si="64"/>
        <v>0</v>
      </c>
      <c r="R195" s="240">
        <f t="shared" ca="1" si="65"/>
        <v>5</v>
      </c>
      <c r="S195" s="238">
        <f t="shared" ca="1" si="66"/>
        <v>0</v>
      </c>
      <c r="T195" s="239">
        <f t="shared" si="67"/>
        <v>0</v>
      </c>
      <c r="U195" s="240">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2.95" customHeight="1" x14ac:dyDescent="0.2">
      <c r="A196" s="255" t="str">
        <f ca="1">IF(ISBLANK('Tournament Info'!$B$11),"",INDIRECT(ADDRESS(ROW(),2,1,1,"Optimal Seating "&amp;'Tournament Info'!$B$11-1&amp;"R+F")))</f>
        <v/>
      </c>
      <c r="B196" s="256" t="str">
        <f ca="1">IF(ISNUMBER(A196),VLOOKUP(A196,Methuselahs!$A$7:$E$206,2,0),"")</f>
        <v/>
      </c>
      <c r="C196" s="257" t="str">
        <f ca="1">IF(ISNUMBER(A196),VLOOKUP(A196,Methuselahs!$A$7:$E$206,3,0),"")</f>
        <v/>
      </c>
      <c r="D196" s="258" t="str">
        <f t="shared" ca="1" si="60"/>
        <v/>
      </c>
      <c r="E196" s="259"/>
      <c r="F196" s="398">
        <f t="shared" si="61"/>
        <v>0</v>
      </c>
      <c r="G196" s="244" t="str">
        <f t="shared" ca="1" si="62"/>
        <v/>
      </c>
      <c r="H196" s="245" t="str">
        <f ca="1">IF(ISNUMBER(A196),IF(OR($S196=$U196,NOT(ISNA(MATCH($D196*5+$V$4,Override!$C$6:$C$125,0)))),$Q196,0),"")</f>
        <v/>
      </c>
      <c r="I196" s="396" t="str">
        <f t="shared" ca="1" si="63"/>
        <v/>
      </c>
      <c r="J196" s="260">
        <f ca="1">COUNT(A192:A196)</f>
        <v>0</v>
      </c>
      <c r="K196" s="261" t="str">
        <f ca="1">IF(ISNUMBER(A196),RANK(F196,F192:F196),"")</f>
        <v/>
      </c>
      <c r="L196" s="262">
        <f ca="1">IF(J196=5,VLOOKUP(K196,TPMatrix!$A$6:$B$10,2,0),IF(J196=4,VLOOKUP(K196,TPMatrix!$D$6:$E$9,2,0),0))</f>
        <v>0</v>
      </c>
      <c r="M196" s="262">
        <f ca="1">IF(COUNTIF(K192:K196,K196)&gt;=2,IF(J196=5,VLOOKUP(K196+1,TPMatrix!$A$6:$B$10,2,0),IF(J196=4,VLOOKUP(K196+1,TPMatrix!$D$6:$E$9,2,0),0)),"")</f>
        <v>0</v>
      </c>
      <c r="N196" s="262">
        <f ca="1">IF(COUNTIF(K192:K196,K196)&gt;=3,IF(J196=5,VLOOKUP(K196+2,TPMatrix!$A$6:$B$10,2,0),IF(J196=4,VLOOKUP(K196+2,TPMatrix!$D$6:$E$9,2,0),0)),"")</f>
        <v>0</v>
      </c>
      <c r="O196" s="262">
        <f ca="1">IF(COUNTIF(K192:K196,K196)&gt;=4,IF(J196=5,VLOOKUP(K196+3,TPMatrix!$A$6:$B$10,2,0),IF(J196=4,VLOOKUP(K196+3,TPMatrix!$D$6:$E$9,2,0),0)),"")</f>
        <v>0</v>
      </c>
      <c r="P196" s="262">
        <f ca="1">IF(COUNTIF(K192:K196,K196)&gt;=5,IF(J196=5,VLOOKUP(K196+4,TPMatrix!$A$6:$B$10,2,0),IF(J196=4,VLOOKUP(K196+4,TPMatrix!$D$6:$E$9,2,0),0)),"")</f>
        <v>0</v>
      </c>
      <c r="Q196" s="262">
        <f t="shared" ca="1" si="64"/>
        <v>0</v>
      </c>
      <c r="R196" s="263">
        <f t="shared" ca="1" si="65"/>
        <v>5</v>
      </c>
      <c r="S196" s="261">
        <f t="shared" ca="1" si="66"/>
        <v>0</v>
      </c>
      <c r="T196" s="262">
        <f t="shared" si="67"/>
        <v>0</v>
      </c>
      <c r="U196" s="263">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2.95" customHeight="1" x14ac:dyDescent="0.2">
      <c r="A197" s="219" t="str">
        <f ca="1">IF(ISBLANK('Tournament Info'!$B$11),"",INDIRECT(ADDRESS(ROW(),2,1,1,"Optimal Seating "&amp;'Tournament Info'!$B$11-1&amp;"R+F")))</f>
        <v/>
      </c>
      <c r="B197" s="143" t="str">
        <f ca="1">IF(ISNUMBER(A197),VLOOKUP(A197,Methuselahs!$A$7:$E$206,2,0),"")</f>
        <v/>
      </c>
      <c r="C197" s="220" t="str">
        <f ca="1">IF(ISNUMBER(A197),VLOOKUP(A197,Methuselahs!$A$7:$E$206,3,0),"")</f>
        <v/>
      </c>
      <c r="D197" s="221" t="str">
        <f t="shared" ca="1" si="60"/>
        <v/>
      </c>
      <c r="E197" s="222"/>
      <c r="F197" s="393">
        <f t="shared" si="61"/>
        <v>0</v>
      </c>
      <c r="G197" s="223" t="str">
        <f t="shared" ca="1" si="62"/>
        <v/>
      </c>
      <c r="H197" s="224" t="str">
        <f ca="1">IF(ISNUMBER(A197),IF(OR($S197=$U197,NOT(ISNA(MATCH($D197*5+$V$4,Override!$C$6:$C$125,0)))),$Q197,0),"")</f>
        <v/>
      </c>
      <c r="I197" s="394" t="str">
        <f t="shared" ca="1" si="63"/>
        <v/>
      </c>
      <c r="J197" s="225">
        <f ca="1">COUNT(A197:A201)</f>
        <v>0</v>
      </c>
      <c r="K197" s="226" t="str">
        <f ca="1">IF(ISNUMBER(A197),RANK(F197,F197:F201),"")</f>
        <v/>
      </c>
      <c r="L197" s="227">
        <f ca="1">IF(J197=5,VLOOKUP(K197,TPMatrix!$A$6:$B$10,2,0),IF(J197=4,VLOOKUP(K197,TPMatrix!$D$6:$E$9,2,0),0))</f>
        <v>0</v>
      </c>
      <c r="M197" s="227">
        <f ca="1">IF(COUNTIF(K197:K201,K197)&gt;=2,IF(J197=5,VLOOKUP(K197+1,TPMatrix!$A$6:$B$10,2,0),IF(J197=4,VLOOKUP(K197+1,TPMatrix!$D$6:$E$9,2,0),0)),"")</f>
        <v>0</v>
      </c>
      <c r="N197" s="227">
        <f ca="1">IF(COUNTIF(K197:K201,K197)&gt;=3,IF(J197=5,VLOOKUP(K197+2,TPMatrix!$A$6:$B$10,2,0),IF(J197=4,VLOOKUP(K197+2,TPMatrix!$D$6:$E$9,2,0),0)),"")</f>
        <v>0</v>
      </c>
      <c r="O197" s="227">
        <f ca="1">IF(COUNTIF(K197:K201,K197)&gt;=4,IF(J197=5,VLOOKUP(K197+3,TPMatrix!$A$6:$B$10,2,0),IF(J197=4,VLOOKUP(K197+3,TPMatrix!$D$6:$E$9,2,0),0)),"")</f>
        <v>0</v>
      </c>
      <c r="P197" s="227">
        <f ca="1">IF(COUNTIF(K197:K201,K197)&gt;=5,IF(J197=5,VLOOKUP(K197+4,TPMatrix!$A$6:$B$10,2,0),IF(J197=4,VLOOKUP(K197+4,TPMatrix!$D$6:$E$9,2,0),0)),"")</f>
        <v>0</v>
      </c>
      <c r="Q197" s="227">
        <f t="shared" ca="1" si="64"/>
        <v>0</v>
      </c>
      <c r="R197" s="228">
        <f t="shared" ca="1" si="65"/>
        <v>5</v>
      </c>
      <c r="S197" s="229">
        <f t="shared" ca="1" si="66"/>
        <v>0</v>
      </c>
      <c r="T197" s="230">
        <f t="shared" si="67"/>
        <v>0</v>
      </c>
      <c r="U197" s="231">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2.95" customHeight="1" x14ac:dyDescent="0.2">
      <c r="A198" s="111" t="str">
        <f ca="1">IF(ISBLANK('Tournament Info'!$B$11),"",INDIRECT(ADDRESS(ROW(),2,1,1,"Optimal Seating "&amp;'Tournament Info'!$B$11-1&amp;"R+F")))</f>
        <v/>
      </c>
      <c r="B198" s="117" t="str">
        <f ca="1">IF(ISNUMBER(A198),VLOOKUP(A198,Methuselahs!$A$7:$E$206,2,0),"")</f>
        <v/>
      </c>
      <c r="C198" s="232" t="str">
        <f ca="1">IF(ISNUMBER(A198),VLOOKUP(A198,Methuselahs!$A$7:$E$206,3,0),"")</f>
        <v/>
      </c>
      <c r="D198" s="233" t="str">
        <f t="shared" ca="1" si="60"/>
        <v/>
      </c>
      <c r="E198" s="234"/>
      <c r="F198" s="118">
        <f t="shared" si="61"/>
        <v>0</v>
      </c>
      <c r="G198" s="235" t="str">
        <f t="shared" ca="1" si="62"/>
        <v/>
      </c>
      <c r="H198" s="236" t="str">
        <f ca="1">IF(ISNUMBER(A198),IF(OR($S198=$U198,NOT(ISNA(MATCH($D198*5+$V$4,Override!$C$6:$C$125,0)))),$Q198,0),"")</f>
        <v/>
      </c>
      <c r="I198" s="395" t="str">
        <f t="shared" ca="1" si="63"/>
        <v/>
      </c>
      <c r="J198" s="237">
        <f ca="1">COUNT(A197:A201)</f>
        <v>0</v>
      </c>
      <c r="K198" s="238" t="str">
        <f ca="1">IF(ISNUMBER(A198),RANK(F198,F197:F201),"")</f>
        <v/>
      </c>
      <c r="L198" s="239">
        <f ca="1">IF(J198=5,VLOOKUP(K198,TPMatrix!$A$6:$B$10,2,0),IF(J198=4,VLOOKUP(K198,TPMatrix!$D$6:$E$9,2,0),0))</f>
        <v>0</v>
      </c>
      <c r="M198" s="239">
        <f ca="1">IF(COUNTIF(K197:K201,K198)&gt;=2,IF(J198=5,VLOOKUP(K198+1,TPMatrix!$A$6:$B$10,2,0),IF(J198=4,VLOOKUP(K198+1,TPMatrix!$D$6:$E$9,2,0),0)),"")</f>
        <v>0</v>
      </c>
      <c r="N198" s="239">
        <f ca="1">IF(COUNTIF(K197:K201,K198)&gt;=3,IF(J198=5,VLOOKUP(K198+2,TPMatrix!$A$6:$B$10,2,0),IF(J198=4,VLOOKUP(K198+2,TPMatrix!$D$6:$E$9,2,0),0)),"")</f>
        <v>0</v>
      </c>
      <c r="O198" s="239">
        <f ca="1">IF(COUNTIF(K197:K201,K198)&gt;=4,IF(J198=5,VLOOKUP(K198+3,TPMatrix!$A$6:$B$10,2,0),IF(J198=4,VLOOKUP(K198+3,TPMatrix!$D$6:$E$9,2,0),0)),"")</f>
        <v>0</v>
      </c>
      <c r="P198" s="239">
        <f ca="1">IF(COUNTIF(K197:K201,K198)&gt;=5,IF(J198=5,VLOOKUP(K198+4,TPMatrix!$A$6:$B$10,2,0),IF(J198=4,VLOOKUP(K198+4,TPMatrix!$D$6:$E$9,2,0),0)),"")</f>
        <v>0</v>
      </c>
      <c r="Q198" s="239">
        <f t="shared" ca="1" si="64"/>
        <v>0</v>
      </c>
      <c r="R198" s="240">
        <f t="shared" ca="1" si="65"/>
        <v>5</v>
      </c>
      <c r="S198" s="238">
        <f t="shared" ca="1" si="66"/>
        <v>0</v>
      </c>
      <c r="T198" s="239">
        <f t="shared" si="67"/>
        <v>0</v>
      </c>
      <c r="U198" s="240">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2.95" customHeight="1" x14ac:dyDescent="0.2">
      <c r="A199" s="137" t="str">
        <f ca="1">IF(ISBLANK('Tournament Info'!$B$11),"",INDIRECT(ADDRESS(ROW(),2,1,1,"Optimal Seating "&amp;'Tournament Info'!$B$11-1&amp;"R+F")))</f>
        <v/>
      </c>
      <c r="B199" s="143" t="str">
        <f ca="1">IF(ISNUMBER(A199),VLOOKUP(A199,Methuselahs!$A$7:$E$206,2,0),"")</f>
        <v/>
      </c>
      <c r="C199" s="241" t="str">
        <f ca="1">IF(ISNUMBER(A199),VLOOKUP(A199,Methuselahs!$A$7:$E$206,3,0),"")</f>
        <v/>
      </c>
      <c r="D199" s="242" t="str">
        <f t="shared" ref="D199:D206" ca="1" si="72">IF(ISNUMBER(A199),FLOOR((ROW()-ROW($A$7))/5,1)+1,"")</f>
        <v/>
      </c>
      <c r="E199" s="243"/>
      <c r="F199" s="144">
        <f t="shared" ref="F199:F206" si="73">IF(ISNUMBER(E199),E199,0)</f>
        <v>0</v>
      </c>
      <c r="G199" s="244" t="str">
        <f t="shared" ref="G199:G206" ca="1" si="74">IF(ISNUMBER($A199),IF(AND($F199&gt;=2,$H199=60),1,0),"")</f>
        <v/>
      </c>
      <c r="H199" s="245" t="str">
        <f ca="1">IF(ISNUMBER(A199),IF(OR($S199=$U199,NOT(ISNA(MATCH($D199*5+$V$4,Override!$C$6:$C$125,0)))),$Q199,0),"")</f>
        <v/>
      </c>
      <c r="I199" s="396" t="str">
        <f t="shared" ref="I199:I206" ca="1" si="75">IF(ISNUMBER(A199),IF(J199=5,K199,IF(AND(J199=4,OR(K199=4,K199=3)),K199+1,K199)),"")</f>
        <v/>
      </c>
      <c r="J199" s="246">
        <f ca="1">COUNT(A197:A201)</f>
        <v>0</v>
      </c>
      <c r="K199" s="247" t="str">
        <f ca="1">IF(ISNUMBER(A199),RANK(F199,F197:F201),"")</f>
        <v/>
      </c>
      <c r="L199" s="142">
        <f ca="1">IF(J199=5,VLOOKUP(K199,TPMatrix!$A$6:$B$10,2,0),IF(J199=4,VLOOKUP(K199,TPMatrix!$D$6:$E$9,2,0),0))</f>
        <v>0</v>
      </c>
      <c r="M199" s="142">
        <f ca="1">IF(COUNTIF(K197:K201,K199)&gt;=2,IF(J199=5,VLOOKUP(K199+1,TPMatrix!$A$6:$B$10,2,0),IF(J199=4,VLOOKUP(K199+1,TPMatrix!$D$6:$E$9,2,0),0)),"")</f>
        <v>0</v>
      </c>
      <c r="N199" s="142">
        <f ca="1">IF(COUNTIF(K197:K201,K199)&gt;=3,IF(J199=5,VLOOKUP(K199+2,TPMatrix!$A$6:$B$10,2,0),IF(J199=4,VLOOKUP(K199+2,TPMatrix!$D$6:$E$9,2,0),0)),"")</f>
        <v>0</v>
      </c>
      <c r="O199" s="142">
        <f ca="1">IF(COUNTIF(K197:K201,K199)&gt;=4,IF(J199=5,VLOOKUP(K199+3,TPMatrix!$A$6:$B$10,2,0),IF(J199=4,VLOOKUP(K199+3,TPMatrix!$D$6:$E$9,2,0),0)),"")</f>
        <v>0</v>
      </c>
      <c r="P199" s="142">
        <f ca="1">IF(COUNTIF(K197:K201,K199)&gt;=5,IF(J199=5,VLOOKUP(K199+4,TPMatrix!$A$6:$B$10,2,0),IF(J199=4,VLOOKUP(K199+4,TPMatrix!$D$6:$E$9,2,0),0)),"")</f>
        <v>0</v>
      </c>
      <c r="Q199" s="142">
        <f t="shared" ref="Q199:Q206" ca="1" si="76">SUM(L199:P199)/COUNT(L199:P199)</f>
        <v>0</v>
      </c>
      <c r="R199" s="248">
        <f t="shared" ref="R199:R206" ca="1" si="77">COUNT(L199:P199)</f>
        <v>5</v>
      </c>
      <c r="S199" s="247">
        <f t="shared" ref="S199:S206" ca="1" si="78">IF(ISNUMBER($A199),COUNTIF($D$7:$D$206,$D199),0)</f>
        <v>0</v>
      </c>
      <c r="T199" s="142">
        <f t="shared" ref="T199:T206" si="79">CEILING($F199,1)</f>
        <v>0</v>
      </c>
      <c r="U199" s="248">
        <f t="shared" ref="U199:U206" ca="1" si="80">SUM(OFFSET(T199,-MOD(ROW()-ROW($U$7),5),0,5,1))</f>
        <v>0</v>
      </c>
      <c r="W199" s="36" t="str">
        <f t="shared" ref="W199:W206" ca="1" si="81">$I199</f>
        <v/>
      </c>
      <c r="X199" s="36" t="str">
        <f ca="1">IF(ISNUMBER($A199),$W199*(Methuselahs!$A$4+1)+$A199,"")</f>
        <v/>
      </c>
      <c r="Y199" s="36" t="str">
        <f t="shared" ref="Y199:Y206" ca="1" si="82">IF(ISNUMBER($A199),RANK($X199,$X199:$X203,1),"")</f>
        <v/>
      </c>
      <c r="Z199" s="36" t="str">
        <f ca="1">IF(ISNUMBER($A199),VLOOKUP($A199,Methuselahs!$A$7:$X$206,5),"")</f>
        <v/>
      </c>
      <c r="AA199" s="36" t="str">
        <f t="shared" ref="AA199:AA206" ca="1" si="83">$I199</f>
        <v/>
      </c>
    </row>
    <row r="200" spans="1:27" ht="12.95" customHeight="1" x14ac:dyDescent="0.2">
      <c r="A200" s="249" t="str">
        <f ca="1">IF(ISBLANK('Tournament Info'!$B$11),"",INDIRECT(ADDRESS(ROW(),2,1,1,"Optimal Seating "&amp;'Tournament Info'!$B$11-1&amp;"R+F")))</f>
        <v/>
      </c>
      <c r="B200" s="250" t="str">
        <f ca="1">IF(ISNUMBER(A200),VLOOKUP(A200,Methuselahs!$A$7:$E$206,2,0),"")</f>
        <v/>
      </c>
      <c r="C200" s="251" t="str">
        <f ca="1">IF(ISNUMBER(A200),VLOOKUP(A200,Methuselahs!$A$7:$E$206,3,0),"")</f>
        <v/>
      </c>
      <c r="D200" s="252" t="str">
        <f t="shared" ca="1" si="72"/>
        <v/>
      </c>
      <c r="E200" s="253"/>
      <c r="F200" s="397">
        <f t="shared" si="73"/>
        <v>0</v>
      </c>
      <c r="G200" s="235" t="str">
        <f t="shared" ca="1" si="74"/>
        <v/>
      </c>
      <c r="H200" s="236" t="str">
        <f ca="1">IF(ISNUMBER(A200),IF(OR($S200=$U200,NOT(ISNA(MATCH($D200*5+$V$4,Override!$C$6:$C$125,0)))),$Q200,0),"")</f>
        <v/>
      </c>
      <c r="I200" s="395" t="str">
        <f t="shared" ca="1" si="75"/>
        <v/>
      </c>
      <c r="J200" s="254">
        <f ca="1">COUNT(A197:A201)</f>
        <v>0</v>
      </c>
      <c r="K200" s="238" t="str">
        <f ca="1">IF(ISNUMBER(A200),RANK(F200,F197:F201),"")</f>
        <v/>
      </c>
      <c r="L200" s="239">
        <f ca="1">IF(J200=5,VLOOKUP(K200,TPMatrix!$A$6:$B$10,2,0),IF(J200=4,VLOOKUP(K200,TPMatrix!$D$6:$E$9,2,0),0))</f>
        <v>0</v>
      </c>
      <c r="M200" s="239">
        <f ca="1">IF(COUNTIF(K197:K201,K200)&gt;=2,IF(J200=5,VLOOKUP(K200+1,TPMatrix!$A$6:$B$10,2,0),IF(J200=4,VLOOKUP(K200+1,TPMatrix!$D$6:$E$9,2,0),0)),"")</f>
        <v>0</v>
      </c>
      <c r="N200" s="239">
        <f ca="1">IF(COUNTIF(K197:K201,K200)&gt;=3,IF(J200=5,VLOOKUP(K200+2,TPMatrix!$A$6:$B$10,2,0),IF(J200=4,VLOOKUP(K200+2,TPMatrix!$D$6:$E$9,2,0),0)),"")</f>
        <v>0</v>
      </c>
      <c r="O200" s="239">
        <f ca="1">IF(COUNTIF(K197:K201,K200)&gt;=4,IF(J200=5,VLOOKUP(K200+3,TPMatrix!$A$6:$B$10,2,0),IF(J200=4,VLOOKUP(K200+3,TPMatrix!$D$6:$E$9,2,0),0)),"")</f>
        <v>0</v>
      </c>
      <c r="P200" s="239">
        <f ca="1">IF(COUNTIF(K197:K201,K200)&gt;=5,IF(J200=5,VLOOKUP(K200+4,TPMatrix!$A$6:$B$10,2,0),IF(J200=4,VLOOKUP(K200+4,TPMatrix!$D$6:$E$9,2,0),0)),"")</f>
        <v>0</v>
      </c>
      <c r="Q200" s="239">
        <f t="shared" ca="1" si="76"/>
        <v>0</v>
      </c>
      <c r="R200" s="240">
        <f t="shared" ca="1" si="77"/>
        <v>5</v>
      </c>
      <c r="S200" s="238">
        <f t="shared" ca="1" si="78"/>
        <v>0</v>
      </c>
      <c r="T200" s="239">
        <f t="shared" si="79"/>
        <v>0</v>
      </c>
      <c r="U200" s="240">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2.95" customHeight="1" x14ac:dyDescent="0.2">
      <c r="A201" s="255" t="str">
        <f ca="1">IF(ISBLANK('Tournament Info'!$B$11),"",INDIRECT(ADDRESS(ROW(),2,1,1,"Optimal Seating "&amp;'Tournament Info'!$B$11-1&amp;"R+F")))</f>
        <v/>
      </c>
      <c r="B201" s="256" t="str">
        <f ca="1">IF(ISNUMBER(A201),VLOOKUP(A201,Methuselahs!$A$7:$E$206,2,0),"")</f>
        <v/>
      </c>
      <c r="C201" s="257" t="str">
        <f ca="1">IF(ISNUMBER(A201),VLOOKUP(A201,Methuselahs!$A$7:$E$206,3,0),"")</f>
        <v/>
      </c>
      <c r="D201" s="258" t="str">
        <f t="shared" ca="1" si="72"/>
        <v/>
      </c>
      <c r="E201" s="259"/>
      <c r="F201" s="398">
        <f t="shared" si="73"/>
        <v>0</v>
      </c>
      <c r="G201" s="244" t="str">
        <f t="shared" ca="1" si="74"/>
        <v/>
      </c>
      <c r="H201" s="245" t="str">
        <f ca="1">IF(ISNUMBER(A201),IF(OR($S201=$U201,NOT(ISNA(MATCH($D201*5+$V$4,Override!$C$6:$C$125,0)))),$Q201,0),"")</f>
        <v/>
      </c>
      <c r="I201" s="396" t="str">
        <f t="shared" ca="1" si="75"/>
        <v/>
      </c>
      <c r="J201" s="260">
        <f ca="1">COUNT(A197:A201)</f>
        <v>0</v>
      </c>
      <c r="K201" s="261" t="str">
        <f ca="1">IF(ISNUMBER(A201),RANK(F201,F197:F201),"")</f>
        <v/>
      </c>
      <c r="L201" s="262">
        <f ca="1">IF(J201=5,VLOOKUP(K201,TPMatrix!$A$6:$B$10,2,0),IF(J201=4,VLOOKUP(K201,TPMatrix!$D$6:$E$9,2,0),0))</f>
        <v>0</v>
      </c>
      <c r="M201" s="262">
        <f ca="1">IF(COUNTIF(K197:K201,K201)&gt;=2,IF(J201=5,VLOOKUP(K201+1,TPMatrix!$A$6:$B$10,2,0),IF(J201=4,VLOOKUP(K201+1,TPMatrix!$D$6:$E$9,2,0),0)),"")</f>
        <v>0</v>
      </c>
      <c r="N201" s="262">
        <f ca="1">IF(COUNTIF(K197:K201,K201)&gt;=3,IF(J201=5,VLOOKUP(K201+2,TPMatrix!$A$6:$B$10,2,0),IF(J201=4,VLOOKUP(K201+2,TPMatrix!$D$6:$E$9,2,0),0)),"")</f>
        <v>0</v>
      </c>
      <c r="O201" s="262">
        <f ca="1">IF(COUNTIF(K197:K201,K201)&gt;=4,IF(J201=5,VLOOKUP(K201+3,TPMatrix!$A$6:$B$10,2,0),IF(J201=4,VLOOKUP(K201+3,TPMatrix!$D$6:$E$9,2,0),0)),"")</f>
        <v>0</v>
      </c>
      <c r="P201" s="262">
        <f ca="1">IF(COUNTIF(K197:K201,K201)&gt;=5,IF(J201=5,VLOOKUP(K201+4,TPMatrix!$A$6:$B$10,2,0),IF(J201=4,VLOOKUP(K201+4,TPMatrix!$D$6:$E$9,2,0),0)),"")</f>
        <v>0</v>
      </c>
      <c r="Q201" s="262">
        <f t="shared" ca="1" si="76"/>
        <v>0</v>
      </c>
      <c r="R201" s="263">
        <f t="shared" ca="1" si="77"/>
        <v>5</v>
      </c>
      <c r="S201" s="261">
        <f t="shared" ca="1" si="78"/>
        <v>0</v>
      </c>
      <c r="T201" s="262">
        <f t="shared" si="79"/>
        <v>0</v>
      </c>
      <c r="U201" s="263">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2.95" customHeight="1" x14ac:dyDescent="0.2">
      <c r="A202" s="219" t="str">
        <f ca="1">IF(ISBLANK('Tournament Info'!$B$11),"",INDIRECT(ADDRESS(ROW(),2,1,1,"Optimal Seating "&amp;'Tournament Info'!$B$11-1&amp;"R+F")))</f>
        <v/>
      </c>
      <c r="B202" s="264" t="str">
        <f ca="1">IF(ISNUMBER(A202),VLOOKUP(A202,Methuselahs!$A$7:$E$206,2,0),"")</f>
        <v/>
      </c>
      <c r="C202" s="220" t="str">
        <f ca="1">IF(ISNUMBER(A202),VLOOKUP(A202,Methuselahs!$A$7:$E$206,3,0),"")</f>
        <v/>
      </c>
      <c r="D202" s="221" t="str">
        <f t="shared" ca="1" si="72"/>
        <v/>
      </c>
      <c r="E202" s="222"/>
      <c r="F202" s="393">
        <f t="shared" si="73"/>
        <v>0</v>
      </c>
      <c r="G202" s="223" t="str">
        <f t="shared" ca="1" si="74"/>
        <v/>
      </c>
      <c r="H202" s="224" t="str">
        <f ca="1">IF(ISNUMBER(A202),IF(OR($S202=$U202,NOT(ISNA(MATCH($D202*5+$V$4,Override!$C$6:$C$125,0)))),$Q202,0),"")</f>
        <v/>
      </c>
      <c r="I202" s="394" t="str">
        <f t="shared" ca="1" si="75"/>
        <v/>
      </c>
      <c r="J202" s="225">
        <f ca="1">COUNT(A202:A206)</f>
        <v>0</v>
      </c>
      <c r="K202" s="226" t="str">
        <f ca="1">IF(ISNUMBER(A202),RANK(F202,F202:F206),"")</f>
        <v/>
      </c>
      <c r="L202" s="227">
        <f ca="1">IF(J202=5,VLOOKUP(K202,TPMatrix!$A$6:$B$10,2,0),IF(J202=4,VLOOKUP(K202,TPMatrix!$D$6:$E$9,2,0),0))</f>
        <v>0</v>
      </c>
      <c r="M202" s="227">
        <f ca="1">IF(COUNTIF(K202:K206,K202)&gt;=2,IF(J202=5,VLOOKUP(K202+1,TPMatrix!$A$6:$B$10,2,0),IF(J202=4,VLOOKUP(K202+1,TPMatrix!$D$6:$E$9,2,0),0)),"")</f>
        <v>0</v>
      </c>
      <c r="N202" s="227">
        <f ca="1">IF(COUNTIF(K202:K206,K202)&gt;=3,IF(J202=5,VLOOKUP(K202+2,TPMatrix!$A$6:$B$10,2,0),IF(J202=4,VLOOKUP(K202+2,TPMatrix!$D$6:$E$9,2,0),0)),"")</f>
        <v>0</v>
      </c>
      <c r="O202" s="227">
        <f ca="1">IF(COUNTIF(K202:K206,K202)&gt;=4,IF(J202=5,VLOOKUP(K202+3,TPMatrix!$A$6:$B$10,2,0),IF(J202=4,VLOOKUP(K202+3,TPMatrix!$D$6:$E$9,2,0),0)),"")</f>
        <v>0</v>
      </c>
      <c r="P202" s="227">
        <f ca="1">IF(COUNTIF(K202:K206,K202)&gt;=5,IF(J202=5,VLOOKUP(K202+4,TPMatrix!$A$6:$B$10,2,0),IF(J202=4,VLOOKUP(K202+4,TPMatrix!$D$6:$E$9,2,0),0)),"")</f>
        <v>0</v>
      </c>
      <c r="Q202" s="227">
        <f t="shared" ca="1" si="76"/>
        <v>0</v>
      </c>
      <c r="R202" s="228">
        <f t="shared" ca="1" si="77"/>
        <v>5</v>
      </c>
      <c r="S202" s="229">
        <f t="shared" ca="1" si="78"/>
        <v>0</v>
      </c>
      <c r="T202" s="230">
        <f t="shared" si="79"/>
        <v>0</v>
      </c>
      <c r="U202" s="231">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2.95" customHeight="1" x14ac:dyDescent="0.2">
      <c r="A203" s="111" t="str">
        <f ca="1">IF(ISBLANK('Tournament Info'!$B$11),"",INDIRECT(ADDRESS(ROW(),2,1,1,"Optimal Seating "&amp;'Tournament Info'!$B$11-1&amp;"R+F")))</f>
        <v/>
      </c>
      <c r="B203" s="117" t="str">
        <f ca="1">IF(ISNUMBER(A203),VLOOKUP(A203,Methuselahs!$A$7:$E$206,2,0),"")</f>
        <v/>
      </c>
      <c r="C203" s="232" t="str">
        <f ca="1">IF(ISNUMBER(A203),VLOOKUP(A203,Methuselahs!$A$7:$E$206,3,0),"")</f>
        <v/>
      </c>
      <c r="D203" s="233" t="str">
        <f t="shared" ca="1" si="72"/>
        <v/>
      </c>
      <c r="E203" s="234"/>
      <c r="F203" s="118">
        <f t="shared" si="73"/>
        <v>0</v>
      </c>
      <c r="G203" s="235" t="str">
        <f t="shared" ca="1" si="74"/>
        <v/>
      </c>
      <c r="H203" s="236" t="str">
        <f ca="1">IF(ISNUMBER(A203),IF(OR($S203=$U203,NOT(ISNA(MATCH($D203*5+$V$4,Override!$C$6:$C$125,0)))),$Q203,0),"")</f>
        <v/>
      </c>
      <c r="I203" s="395" t="str">
        <f t="shared" ca="1" si="75"/>
        <v/>
      </c>
      <c r="J203" s="237">
        <f ca="1">COUNT(A202:A206)</f>
        <v>0</v>
      </c>
      <c r="K203" s="238" t="str">
        <f ca="1">IF(ISNUMBER(A203),RANK(F203,F202:F206),"")</f>
        <v/>
      </c>
      <c r="L203" s="239">
        <f ca="1">IF(J203=5,VLOOKUP(K203,TPMatrix!$A$6:$B$10,2,0),IF(J203=4,VLOOKUP(K203,TPMatrix!$D$6:$E$9,2,0),0))</f>
        <v>0</v>
      </c>
      <c r="M203" s="239">
        <f ca="1">IF(COUNTIF(K202:K206,K203)&gt;=2,IF(J203=5,VLOOKUP(K203+1,TPMatrix!$A$6:$B$10,2,0),IF(J203=4,VLOOKUP(K203+1,TPMatrix!$D$6:$E$9,2,0),0)),"")</f>
        <v>0</v>
      </c>
      <c r="N203" s="239">
        <f ca="1">IF(COUNTIF(K202:K206,K203)&gt;=3,IF(J203=5,VLOOKUP(K203+2,TPMatrix!$A$6:$B$10,2,0),IF(J203=4,VLOOKUP(K203+2,TPMatrix!$D$6:$E$9,2,0),0)),"")</f>
        <v>0</v>
      </c>
      <c r="O203" s="239">
        <f ca="1">IF(COUNTIF(K202:K206,K203)&gt;=4,IF(J203=5,VLOOKUP(K203+3,TPMatrix!$A$6:$B$10,2,0),IF(J203=4,VLOOKUP(K203+3,TPMatrix!$D$6:$E$9,2,0),0)),"")</f>
        <v>0</v>
      </c>
      <c r="P203" s="239">
        <f ca="1">IF(COUNTIF(K202:K206,K203)&gt;=5,IF(J203=5,VLOOKUP(K203+4,TPMatrix!$A$6:$B$10,2,0),IF(J203=4,VLOOKUP(K203+4,TPMatrix!$D$6:$E$9,2,0),0)),"")</f>
        <v>0</v>
      </c>
      <c r="Q203" s="239">
        <f t="shared" ca="1" si="76"/>
        <v>0</v>
      </c>
      <c r="R203" s="240">
        <f t="shared" ca="1" si="77"/>
        <v>5</v>
      </c>
      <c r="S203" s="238">
        <f t="shared" ca="1" si="78"/>
        <v>0</v>
      </c>
      <c r="T203" s="239">
        <f t="shared" si="79"/>
        <v>0</v>
      </c>
      <c r="U203" s="240">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2.95" customHeight="1" x14ac:dyDescent="0.2">
      <c r="A204" s="137" t="str">
        <f ca="1">IF(ISBLANK('Tournament Info'!$B$11),"",INDIRECT(ADDRESS(ROW(),2,1,1,"Optimal Seating "&amp;'Tournament Info'!$B$11-1&amp;"R+F")))</f>
        <v/>
      </c>
      <c r="B204" s="143" t="str">
        <f ca="1">IF(ISNUMBER(A204),VLOOKUP(A204,Methuselahs!$A$7:$E$206,2,0),"")</f>
        <v/>
      </c>
      <c r="C204" s="241" t="str">
        <f ca="1">IF(ISNUMBER(A204),VLOOKUP(A204,Methuselahs!$A$7:$E$206,3,0),"")</f>
        <v/>
      </c>
      <c r="D204" s="242" t="str">
        <f t="shared" ca="1" si="72"/>
        <v/>
      </c>
      <c r="E204" s="243"/>
      <c r="F204" s="144">
        <f t="shared" si="73"/>
        <v>0</v>
      </c>
      <c r="G204" s="244" t="str">
        <f t="shared" ca="1" si="74"/>
        <v/>
      </c>
      <c r="H204" s="245" t="str">
        <f ca="1">IF(ISNUMBER(A204),IF(OR($S204=$U204,NOT(ISNA(MATCH($D204*5+$V$4,Override!$C$6:$C$125,0)))),$Q204,0),"")</f>
        <v/>
      </c>
      <c r="I204" s="396" t="str">
        <f t="shared" ca="1" si="75"/>
        <v/>
      </c>
      <c r="J204" s="246">
        <f ca="1">COUNT(A202:A206)</f>
        <v>0</v>
      </c>
      <c r="K204" s="247" t="str">
        <f ca="1">IF(ISNUMBER(A204),RANK(F204,F202:F206),"")</f>
        <v/>
      </c>
      <c r="L204" s="142">
        <f ca="1">IF(J204=5,VLOOKUP(K204,TPMatrix!$A$6:$B$10,2,0),IF(J204=4,VLOOKUP(K204,TPMatrix!$D$6:$E$9,2,0),0))</f>
        <v>0</v>
      </c>
      <c r="M204" s="142">
        <f ca="1">IF(COUNTIF(K202:K206,K204)&gt;=2,IF(J204=5,VLOOKUP(K204+1,TPMatrix!$A$6:$B$10,2,0),IF(J204=4,VLOOKUP(K204+1,TPMatrix!$D$6:$E$9,2,0),0)),"")</f>
        <v>0</v>
      </c>
      <c r="N204" s="142">
        <f ca="1">IF(COUNTIF(K202:K206,K204)&gt;=3,IF(J204=5,VLOOKUP(K204+2,TPMatrix!$A$6:$B$10,2,0),IF(J204=4,VLOOKUP(K204+2,TPMatrix!$D$6:$E$9,2,0),0)),"")</f>
        <v>0</v>
      </c>
      <c r="O204" s="142">
        <f ca="1">IF(COUNTIF(K202:K206,K204)&gt;=4,IF(J204=5,VLOOKUP(K204+3,TPMatrix!$A$6:$B$10,2,0),IF(J204=4,VLOOKUP(K204+3,TPMatrix!$D$6:$E$9,2,0),0)),"")</f>
        <v>0</v>
      </c>
      <c r="P204" s="142">
        <f ca="1">IF(COUNTIF(K202:K206,K204)&gt;=5,IF(J204=5,VLOOKUP(K204+4,TPMatrix!$A$6:$B$10,2,0),IF(J204=4,VLOOKUP(K204+4,TPMatrix!$D$6:$E$9,2,0),0)),"")</f>
        <v>0</v>
      </c>
      <c r="Q204" s="142">
        <f t="shared" ca="1" si="76"/>
        <v>0</v>
      </c>
      <c r="R204" s="248">
        <f t="shared" ca="1" si="77"/>
        <v>5</v>
      </c>
      <c r="S204" s="247">
        <f t="shared" ca="1" si="78"/>
        <v>0</v>
      </c>
      <c r="T204" s="142">
        <f t="shared" si="79"/>
        <v>0</v>
      </c>
      <c r="U204" s="248">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2.95" customHeight="1" x14ac:dyDescent="0.2">
      <c r="A205" s="249" t="str">
        <f ca="1">IF(ISBLANK('Tournament Info'!$B$11),"",INDIRECT(ADDRESS(ROW(),2,1,1,"Optimal Seating "&amp;'Tournament Info'!$B$11-1&amp;"R+F")))</f>
        <v/>
      </c>
      <c r="B205" s="250" t="str">
        <f ca="1">IF(ISNUMBER(A205),VLOOKUP(A205,Methuselahs!$A$7:$E$206,2,0),"")</f>
        <v/>
      </c>
      <c r="C205" s="251" t="str">
        <f ca="1">IF(ISNUMBER(A205),VLOOKUP(A205,Methuselahs!$A$7:$E$206,3,0),"")</f>
        <v/>
      </c>
      <c r="D205" s="252" t="str">
        <f t="shared" ca="1" si="72"/>
        <v/>
      </c>
      <c r="E205" s="253"/>
      <c r="F205" s="397">
        <f t="shared" si="73"/>
        <v>0</v>
      </c>
      <c r="G205" s="235" t="str">
        <f t="shared" ca="1" si="74"/>
        <v/>
      </c>
      <c r="H205" s="236" t="str">
        <f ca="1">IF(ISNUMBER(A205),IF(OR($S205=$U205,NOT(ISNA(MATCH($D205*5+$V$4,Override!$C$6:$C$125,0)))),$Q205,0),"")</f>
        <v/>
      </c>
      <c r="I205" s="395" t="str">
        <f t="shared" ca="1" si="75"/>
        <v/>
      </c>
      <c r="J205" s="254">
        <f ca="1">COUNT(A202:A206)</f>
        <v>0</v>
      </c>
      <c r="K205" s="238" t="str">
        <f ca="1">IF(ISNUMBER(A205),RANK(F205,F202:F206),"")</f>
        <v/>
      </c>
      <c r="L205" s="239">
        <f ca="1">IF(J205=5,VLOOKUP(K205,TPMatrix!$A$6:$B$10,2,0),IF(J205=4,VLOOKUP(K205,TPMatrix!$D$6:$E$9,2,0),0))</f>
        <v>0</v>
      </c>
      <c r="M205" s="239">
        <f ca="1">IF(COUNTIF(K202:K206,K205)&gt;=2,IF(J205=5,VLOOKUP(K205+1,TPMatrix!$A$6:$B$10,2,0),IF(J205=4,VLOOKUP(K205+1,TPMatrix!$D$6:$E$9,2,0),0)),"")</f>
        <v>0</v>
      </c>
      <c r="N205" s="239">
        <f ca="1">IF(COUNTIF(K202:K206,K205)&gt;=3,IF(J205=5,VLOOKUP(K205+2,TPMatrix!$A$6:$B$10,2,0),IF(J205=4,VLOOKUP(K205+2,TPMatrix!$D$6:$E$9,2,0),0)),"")</f>
        <v>0</v>
      </c>
      <c r="O205" s="239">
        <f ca="1">IF(COUNTIF(K202:K206,K205)&gt;=4,IF(J205=5,VLOOKUP(K205+3,TPMatrix!$A$6:$B$10,2,0),IF(J205=4,VLOOKUP(K205+3,TPMatrix!$D$6:$E$9,2,0),0)),"")</f>
        <v>0</v>
      </c>
      <c r="P205" s="239">
        <f ca="1">IF(COUNTIF(K202:K206,K205)&gt;=5,IF(J205=5,VLOOKUP(K205+4,TPMatrix!$A$6:$B$10,2,0),IF(J205=4,VLOOKUP(K205+4,TPMatrix!$D$6:$E$9,2,0),0)),"")</f>
        <v>0</v>
      </c>
      <c r="Q205" s="239">
        <f t="shared" ca="1" si="76"/>
        <v>0</v>
      </c>
      <c r="R205" s="240">
        <f t="shared" ca="1" si="77"/>
        <v>5</v>
      </c>
      <c r="S205" s="238">
        <f t="shared" ca="1" si="78"/>
        <v>0</v>
      </c>
      <c r="T205" s="239">
        <f t="shared" si="79"/>
        <v>0</v>
      </c>
      <c r="U205" s="240">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2.95" customHeight="1" x14ac:dyDescent="0.2">
      <c r="A206" s="255" t="str">
        <f ca="1">IF(ISBLANK('Tournament Info'!$B$11),"",INDIRECT(ADDRESS(ROW(),2,1,1,"Optimal Seating "&amp;'Tournament Info'!$B$11-1&amp;"R+F")))</f>
        <v/>
      </c>
      <c r="B206" s="256" t="str">
        <f ca="1">IF(ISNUMBER(A206),VLOOKUP(A206,Methuselahs!$A$7:$E$206,2,0),"")</f>
        <v/>
      </c>
      <c r="C206" s="257" t="str">
        <f ca="1">IF(ISNUMBER(A206),VLOOKUP(A206,Methuselahs!$A$7:$E$206,3,0),"")</f>
        <v/>
      </c>
      <c r="D206" s="258" t="str">
        <f t="shared" ca="1" si="72"/>
        <v/>
      </c>
      <c r="E206" s="259"/>
      <c r="F206" s="398">
        <f t="shared" si="73"/>
        <v>0</v>
      </c>
      <c r="G206" s="265" t="str">
        <f t="shared" ca="1" si="74"/>
        <v/>
      </c>
      <c r="H206" s="266" t="str">
        <f ca="1">IF(ISNUMBER(A206),IF(OR($S206=$U206,NOT(ISNA(MATCH($D206*5+$V$4,Override!$C$6:$C$125,0)))),$Q206,0),"")</f>
        <v/>
      </c>
      <c r="I206" s="403" t="str">
        <f t="shared" ca="1" si="75"/>
        <v/>
      </c>
      <c r="J206" s="260">
        <f ca="1">COUNT(A202:A206)</f>
        <v>0</v>
      </c>
      <c r="K206" s="261" t="str">
        <f ca="1">IF(ISNUMBER(A206),RANK(F206,F202:F206),"")</f>
        <v/>
      </c>
      <c r="L206" s="262">
        <f ca="1">IF(J206=5,VLOOKUP(K206,TPMatrix!$A$6:$B$10,2,0),IF(J206=4,VLOOKUP(K206,TPMatrix!$D$6:$E$9,2,0),0))</f>
        <v>0</v>
      </c>
      <c r="M206" s="262">
        <f ca="1">IF(COUNTIF(K202:K206,K206)&gt;=2,IF(J206=5,VLOOKUP(K206+1,TPMatrix!$A$6:$B$10,2,0),IF(J206=4,VLOOKUP(K206+1,TPMatrix!$D$6:$E$9,2,0),0)),"")</f>
        <v>0</v>
      </c>
      <c r="N206" s="262">
        <f ca="1">IF(COUNTIF(K202:K206,K206)&gt;=3,IF(J206=5,VLOOKUP(K206+2,TPMatrix!$A$6:$B$10,2,0),IF(J206=4,VLOOKUP(K206+2,TPMatrix!$D$6:$E$9,2,0),0)),"")</f>
        <v>0</v>
      </c>
      <c r="O206" s="262">
        <f ca="1">IF(COUNTIF(K202:K206,K206)&gt;=4,IF(J206=5,VLOOKUP(K206+3,TPMatrix!$A$6:$B$10,2,0),IF(J206=4,VLOOKUP(K206+3,TPMatrix!$D$6:$E$9,2,0),0)),"")</f>
        <v>0</v>
      </c>
      <c r="P206" s="262">
        <f ca="1">IF(COUNTIF(K202:K206,K206)&gt;=5,IF(J206=5,VLOOKUP(K206+4,TPMatrix!$A$6:$B$10,2,0),IF(J206=4,VLOOKUP(K206+4,TPMatrix!$D$6:$E$9,2,0),0)),"")</f>
        <v>0</v>
      </c>
      <c r="Q206" s="262">
        <f t="shared" ca="1" si="76"/>
        <v>0</v>
      </c>
      <c r="R206" s="263">
        <f t="shared" ca="1" si="77"/>
        <v>5</v>
      </c>
      <c r="S206" s="261">
        <f t="shared" ca="1" si="78"/>
        <v>0</v>
      </c>
      <c r="T206" s="262">
        <f t="shared" si="79"/>
        <v>0</v>
      </c>
      <c r="U206" s="263">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pageMargins left="0.74791666666666701" right="0.74791666666666701" top="0.98402777777777795" bottom="0.98402777777777795" header="0.51180555555555496" footer="0.51180555555555496"/>
  <pageSetup firstPageNumber="0" orientation="landscape" horizontalDpi="300" verticalDpi="30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206"/>
  <sheetViews>
    <sheetView zoomScaleNormal="100" workbookViewId="0">
      <pane ySplit="6" topLeftCell="A7" activePane="bottomLeft" state="frozen"/>
      <selection pane="bottomLeft" activeCell="G22" sqref="G22"/>
    </sheetView>
  </sheetViews>
  <sheetFormatPr defaultColWidth="8.85546875" defaultRowHeight="12.75" x14ac:dyDescent="0.2"/>
  <cols>
    <col min="1" max="1" width="3" customWidth="1"/>
    <col min="2" max="2" width="16.7109375" customWidth="1"/>
    <col min="3" max="3" width="18" customWidth="1"/>
    <col min="4" max="5" width="6.85546875" style="184" customWidth="1"/>
    <col min="6" max="6" width="7.7109375" hidden="1" customWidth="1"/>
    <col min="7" max="8" width="7.7109375" customWidth="1"/>
    <col min="10" max="10" width="5" style="59" hidden="1" customWidth="1"/>
    <col min="11" max="11" width="10.7109375" style="36" hidden="1" customWidth="1"/>
    <col min="12" max="12" width="7.85546875" style="36" hidden="1" customWidth="1"/>
    <col min="13" max="16" width="5" style="36" hidden="1" customWidth="1"/>
    <col min="17" max="17" width="6.140625" style="36" hidden="1" customWidth="1"/>
    <col min="18" max="18" width="8.42578125" style="36" hidden="1" customWidth="1"/>
    <col min="19" max="19" width="19.42578125" style="36" hidden="1" customWidth="1"/>
    <col min="20" max="20" width="8.28515625" style="36" hidden="1" customWidth="1"/>
    <col min="21" max="21" width="9.85546875" style="36" hidden="1" customWidth="1"/>
    <col min="22" max="22" width="12.42578125" style="36" hidden="1" customWidth="1"/>
    <col min="23" max="23" width="10.42578125" style="36" hidden="1" customWidth="1"/>
    <col min="24" max="25" width="7.42578125" style="36" hidden="1" customWidth="1"/>
    <col min="26" max="26" width="4.42578125" style="36" hidden="1" customWidth="1"/>
    <col min="27" max="27" width="10.42578125" style="36" hidden="1" customWidth="1"/>
    <col min="28" max="29" width="9.140625" style="36" customWidth="1"/>
    <col min="30" max="1024" width="8.85546875" style="36"/>
  </cols>
  <sheetData>
    <row r="1" spans="1:28" ht="25.5" x14ac:dyDescent="0.35">
      <c r="A1" s="37" t="str">
        <f>IF(ISBLANK('Tournament Info'!B3),"Vampire: The Eternal Struggle Tournament",'Tournament Info'!B3)</f>
        <v>German Nationals 2024</v>
      </c>
      <c r="B1" s="63"/>
      <c r="C1" s="63"/>
      <c r="D1" s="60"/>
      <c r="E1" s="60"/>
      <c r="F1" s="36"/>
      <c r="G1" s="36"/>
      <c r="H1" s="36"/>
      <c r="I1" s="36"/>
      <c r="J1" s="69"/>
    </row>
    <row r="2" spans="1:28" ht="13.7" customHeight="1" x14ac:dyDescent="0.3">
      <c r="A2" s="36"/>
      <c r="B2" s="63"/>
      <c r="C2" s="63"/>
      <c r="D2" s="60"/>
      <c r="E2" s="60"/>
      <c r="G2" s="36"/>
      <c r="H2" s="36" t="s">
        <v>195</v>
      </c>
      <c r="I2" s="36"/>
      <c r="AB2" s="185"/>
    </row>
    <row r="3" spans="1:28" s="2" customFormat="1" ht="15" customHeight="1" x14ac:dyDescent="0.3">
      <c r="A3" s="186" t="s">
        <v>231</v>
      </c>
      <c r="B3" s="32"/>
      <c r="C3" s="32"/>
      <c r="D3" s="187"/>
      <c r="E3" s="187"/>
      <c r="H3" s="2" t="s">
        <v>197</v>
      </c>
      <c r="V3" s="188" t="s">
        <v>224</v>
      </c>
      <c r="AB3" s="189"/>
    </row>
    <row r="4" spans="1:28" ht="12.95" customHeight="1" x14ac:dyDescent="0.3">
      <c r="B4" s="63"/>
      <c r="C4" s="63"/>
      <c r="D4" s="60"/>
      <c r="E4" s="60"/>
      <c r="F4" s="36"/>
      <c r="G4" s="36"/>
      <c r="H4" s="36"/>
      <c r="I4" s="36"/>
      <c r="J4" s="69"/>
      <c r="V4" s="191">
        <v>3</v>
      </c>
    </row>
    <row r="5" spans="1:28" ht="20.25" x14ac:dyDescent="0.3">
      <c r="A5" s="192" t="s">
        <v>198</v>
      </c>
      <c r="B5" s="193"/>
      <c r="C5" s="193"/>
      <c r="D5" s="194"/>
      <c r="E5" s="195" t="s">
        <v>199</v>
      </c>
      <c r="F5" s="390"/>
      <c r="G5" s="195"/>
      <c r="H5" s="196"/>
      <c r="I5" s="197"/>
      <c r="J5" s="198"/>
      <c r="K5" s="199" t="s">
        <v>200</v>
      </c>
      <c r="L5" s="200"/>
      <c r="M5" s="200"/>
      <c r="N5" s="200"/>
      <c r="O5" s="200"/>
      <c r="P5" s="200"/>
      <c r="Q5" s="200"/>
      <c r="R5" s="201"/>
      <c r="S5" s="202" t="s">
        <v>201</v>
      </c>
      <c r="T5" s="200"/>
      <c r="U5" s="201"/>
    </row>
    <row r="6" spans="1:28" s="82" customFormat="1" ht="12.95" customHeight="1" x14ac:dyDescent="0.2">
      <c r="A6" s="203" t="s">
        <v>190</v>
      </c>
      <c r="B6" s="204" t="s">
        <v>202</v>
      </c>
      <c r="C6" s="205" t="s">
        <v>203</v>
      </c>
      <c r="D6" s="206" t="s">
        <v>204</v>
      </c>
      <c r="E6" s="208" t="s">
        <v>180</v>
      </c>
      <c r="F6" s="404" t="s">
        <v>180</v>
      </c>
      <c r="G6" s="405" t="s">
        <v>205</v>
      </c>
      <c r="H6" s="208" t="s">
        <v>181</v>
      </c>
      <c r="I6" s="210" t="s">
        <v>206</v>
      </c>
      <c r="J6" s="392" t="s">
        <v>207</v>
      </c>
      <c r="K6" s="212" t="s">
        <v>208</v>
      </c>
      <c r="L6" s="213" t="s">
        <v>209</v>
      </c>
      <c r="M6" s="213" t="s">
        <v>210</v>
      </c>
      <c r="N6" s="213" t="s">
        <v>211</v>
      </c>
      <c r="O6" s="213" t="s">
        <v>212</v>
      </c>
      <c r="P6" s="213" t="s">
        <v>213</v>
      </c>
      <c r="Q6" s="213" t="s">
        <v>214</v>
      </c>
      <c r="R6" s="214" t="s">
        <v>215</v>
      </c>
      <c r="S6" s="215" t="s">
        <v>216</v>
      </c>
      <c r="T6" s="216" t="s">
        <v>217</v>
      </c>
      <c r="U6" s="217" t="s">
        <v>218</v>
      </c>
      <c r="W6" s="218" t="s">
        <v>219</v>
      </c>
      <c r="X6" s="218" t="s">
        <v>220</v>
      </c>
      <c r="Y6" s="218" t="s">
        <v>221</v>
      </c>
      <c r="Z6" s="218" t="s">
        <v>222</v>
      </c>
      <c r="AA6" s="218" t="s">
        <v>219</v>
      </c>
    </row>
    <row r="7" spans="1:28" ht="12.95" customHeight="1" x14ac:dyDescent="0.2">
      <c r="A7" s="219">
        <f ca="1">IF(OR(ISBLANK('Tournament Info'!$B$11),'Tournament Info'!$B$11&lt;&gt;4),"",INDIRECT(ADDRESS(ROW(),3,1,1,"Optimal Seating "&amp;'Tournament Info'!$B$11-1&amp;"R+F")))</f>
        <v>12</v>
      </c>
      <c r="B7" s="143">
        <f ca="1">IF(ISNUMBER(A7),VLOOKUP(A7,Methuselahs!$A$7:$E$206,2,0),"")</f>
        <v>0</v>
      </c>
      <c r="C7" s="220">
        <f ca="1">IF(ISNUMBER(A7),VLOOKUP(A7,Methuselahs!$A$7:$E$206,3,0),"")</f>
        <v>0</v>
      </c>
      <c r="D7" s="221">
        <f t="shared" ref="D7:D38" ca="1" si="0">IF(ISNUMBER(A7),FLOOR((ROW()-ROW($A$7))/5,1)+1,"")</f>
        <v>1</v>
      </c>
      <c r="E7" s="222">
        <v>2</v>
      </c>
      <c r="F7" s="393">
        <f t="shared" ref="F7:F38" si="1">IF(ISNUMBER(E7),E7,0)</f>
        <v>2</v>
      </c>
      <c r="G7" s="223">
        <f t="shared" ref="G7:G38" ca="1" si="2">IF(ISNUMBER($A7),IF(AND($F7&gt;=2,$H7=60),1,0),"")</f>
        <v>0</v>
      </c>
      <c r="H7" s="224">
        <f ca="1">IF(ISNUMBER(A7),IF(OR($S7=$U7,NOT(ISNA(MATCH($D7*5+$V$4,Override!$C$6:$C$125,0)))),$Q7,0),"")</f>
        <v>48</v>
      </c>
      <c r="I7" s="406">
        <f t="shared" ref="I7:I38" ca="1" si="3">IF(ISNUMBER(A7),IF(J7=5,K7,IF(AND(J7=4,OR(K7=4,K7=3)),K7+1,K7)),"")</f>
        <v>2</v>
      </c>
      <c r="J7" s="225">
        <f ca="1">COUNT(A7:A11)</f>
        <v>5</v>
      </c>
      <c r="K7" s="226">
        <f ca="1">IF(ISNUMBER(A7),RANK(F7,F7:F11),"")</f>
        <v>2</v>
      </c>
      <c r="L7" s="227">
        <f ca="1">IF(J7=5,VLOOKUP(K7,TPMatrix!$A$6:$B$10,2,0),IF(J7=4,VLOOKUP(K7,TPMatrix!$D$6:$E$9,2,0),0))</f>
        <v>48</v>
      </c>
      <c r="M7" s="227" t="str">
        <f ca="1">IF(COUNTIF(K7:K11,K7)&gt;=2,IF(J7=5,VLOOKUP(K7+1,TPMatrix!$A$6:$B$10,2,0),IF(J7=4,VLOOKUP(K7+1,TPMatrix!$D$6:$E$9,2,0),0)),"")</f>
        <v/>
      </c>
      <c r="N7" s="227" t="str">
        <f ca="1">IF(COUNTIF(K7:K11,K7)&gt;=3,IF(J7=5,VLOOKUP(K7+2,TPMatrix!$A$6:$B$10,2,0),IF(J7=4,VLOOKUP(K7+2,TPMatrix!$D$6:$E$9,2,0),0)),"")</f>
        <v/>
      </c>
      <c r="O7" s="227" t="str">
        <f ca="1">IF(COUNTIF(K7:K11,K7)&gt;=4,IF(J7=5,VLOOKUP(K7+3,TPMatrix!$A$6:$B$10,2,0),IF(J7=4,VLOOKUP(K7+3,TPMatrix!$D$6:$E$9,2,0),0)),"")</f>
        <v/>
      </c>
      <c r="P7" s="227" t="str">
        <f ca="1">IF(COUNTIF(K7:K11,K7)&gt;=5,IF(J7=5,VLOOKUP(K7+4,TPMatrix!$A$6:$B$10,2,0),IF(J7=4,VLOOKUP(K7+4,TPMatrix!$D$6:$E$9,2,0),0)),"")</f>
        <v/>
      </c>
      <c r="Q7" s="227">
        <f t="shared" ref="Q7:Q38" ca="1" si="4">SUM(L7:P7)/COUNT(L7:P7)</f>
        <v>48</v>
      </c>
      <c r="R7" s="228">
        <f t="shared" ref="R7:R38" ca="1" si="5">COUNT(L7:P7)</f>
        <v>1</v>
      </c>
      <c r="S7" s="229">
        <f t="shared" ref="S7:S38" ca="1" si="6">IF(ISNUMBER($A7),COUNTIF($D$7:$D$206,$D7),0)</f>
        <v>5</v>
      </c>
      <c r="T7" s="230">
        <f t="shared" ref="T7:T38" si="7">CEILING($F7,1)</f>
        <v>2</v>
      </c>
      <c r="U7" s="231">
        <f t="shared" ref="U7:U38" ca="1" si="8">SUM(OFFSET(T7,-MOD(ROW()-ROW($U$7),5),0,5,1))</f>
        <v>5</v>
      </c>
      <c r="W7" s="36">
        <f t="shared" ref="W7:W38" ca="1" si="9">$I7</f>
        <v>2</v>
      </c>
      <c r="X7" s="36">
        <f ca="1">IF(ISNUMBER($A7),$W7*(Methuselahs!$A$4+1)+$A7,"")</f>
        <v>78</v>
      </c>
      <c r="Y7" s="36">
        <f t="shared" ref="Y7:Y38" ca="1" si="10">IF(ISNUMBER($A7),RANK($X7,$X7:$X11,1),"")</f>
        <v>2</v>
      </c>
      <c r="Z7" s="36">
        <f ca="1">IF(ISNUMBER($A7),VLOOKUP($A7,Methuselahs!$A$7:$X$206,5),"")</f>
        <v>0</v>
      </c>
      <c r="AA7" s="36">
        <f t="shared" ref="AA7:AA38" ca="1" si="11">$I7</f>
        <v>2</v>
      </c>
    </row>
    <row r="8" spans="1:28" ht="12.95" customHeight="1" x14ac:dyDescent="0.2">
      <c r="A8" s="111">
        <f ca="1">IF(OR(ISBLANK('Tournament Info'!$B$11),'Tournament Info'!$B$11&lt;&gt;4),"",INDIRECT(ADDRESS(ROW(),3,1,1,"Optimal Seating "&amp;'Tournament Info'!$B$11-1&amp;"R+F")))</f>
        <v>32</v>
      </c>
      <c r="B8" s="117">
        <f ca="1">IF(ISNUMBER(A8),VLOOKUP(A8,Methuselahs!$A$7:$E$206,2,0),"")</f>
        <v>0</v>
      </c>
      <c r="C8" s="232">
        <f ca="1">IF(ISNUMBER(A8),VLOOKUP(A8,Methuselahs!$A$7:$E$206,3,0),"")</f>
        <v>0</v>
      </c>
      <c r="D8" s="233">
        <f t="shared" ca="1" si="0"/>
        <v>1</v>
      </c>
      <c r="E8" s="234">
        <v>3</v>
      </c>
      <c r="F8" s="118">
        <f t="shared" si="1"/>
        <v>3</v>
      </c>
      <c r="G8" s="235">
        <f t="shared" ca="1" si="2"/>
        <v>1</v>
      </c>
      <c r="H8" s="236">
        <f ca="1">IF(ISNUMBER(A8),IF(OR($S8=$U8,NOT(ISNA(MATCH($D8*5+$V$4,Override!$C$6:$C$125,0)))),$Q8,0),"")</f>
        <v>60</v>
      </c>
      <c r="I8" s="121">
        <f t="shared" ca="1" si="3"/>
        <v>1</v>
      </c>
      <c r="J8" s="237">
        <f ca="1">COUNT(A7:A11)</f>
        <v>5</v>
      </c>
      <c r="K8" s="238">
        <f ca="1">IF(ISNUMBER(A8),RANK(F8,F7:F11),"")</f>
        <v>1</v>
      </c>
      <c r="L8" s="239">
        <f ca="1">IF(J8=5,VLOOKUP(K8,TPMatrix!$A$6:$B$10,2,0),IF(J8=4,VLOOKUP(K8,TPMatrix!$D$6:$E$9,2,0),0))</f>
        <v>60</v>
      </c>
      <c r="M8" s="239" t="str">
        <f ca="1">IF(COUNTIF(K7:K11,K8)&gt;=2,IF(J8=5,VLOOKUP(K8+1,TPMatrix!$A$6:$B$10,2,0),IF(J8=4,VLOOKUP(K8+1,TPMatrix!$D$6:$E$9,2,0),0)),"")</f>
        <v/>
      </c>
      <c r="N8" s="239" t="str">
        <f ca="1">IF(COUNTIF(K7:K11,K8)&gt;=3,IF(J8=5,VLOOKUP(K8+2,TPMatrix!$A$6:$B$10,2,0),IF(J8=4,VLOOKUP(K8+2,TPMatrix!$D$6:$E$9,2,0),0)),"")</f>
        <v/>
      </c>
      <c r="O8" s="239" t="str">
        <f ca="1">IF(COUNTIF(K7:K11,K8)&gt;=4,IF(J8=5,VLOOKUP(K8+3,TPMatrix!$A$6:$B$10,2,0),IF(J8=4,VLOOKUP(K8+3,TPMatrix!$D$6:$E$9,2,0),0)),"")</f>
        <v/>
      </c>
      <c r="P8" s="239" t="str">
        <f ca="1">IF(COUNTIF(K7:K11,K8)&gt;=5,IF(J8=5,VLOOKUP(K8+4,TPMatrix!$A$6:$B$10,2,0),IF(J8=4,VLOOKUP(K8+4,TPMatrix!$D$6:$E$9,2,0),0)),"")</f>
        <v/>
      </c>
      <c r="Q8" s="239">
        <f t="shared" ca="1" si="4"/>
        <v>60</v>
      </c>
      <c r="R8" s="240">
        <f t="shared" ca="1" si="5"/>
        <v>1</v>
      </c>
      <c r="S8" s="238">
        <f t="shared" ca="1" si="6"/>
        <v>5</v>
      </c>
      <c r="T8" s="239">
        <f t="shared" si="7"/>
        <v>3</v>
      </c>
      <c r="U8" s="240">
        <f t="shared" ca="1" si="8"/>
        <v>5</v>
      </c>
      <c r="W8" s="36">
        <f t="shared" ca="1" si="9"/>
        <v>1</v>
      </c>
      <c r="X8" s="36">
        <f ca="1">IF(ISNUMBER($A8),$W8*(Methuselahs!$A$4+1)+$A8,"")</f>
        <v>65</v>
      </c>
      <c r="Y8" s="36">
        <f t="shared" ca="1" si="10"/>
        <v>1</v>
      </c>
      <c r="Z8" s="36">
        <f ca="1">IF(ISNUMBER($A8),VLOOKUP($A8,Methuselahs!$A$7:$X$206,5),"")</f>
        <v>5521202573</v>
      </c>
      <c r="AA8" s="36">
        <f t="shared" ca="1" si="11"/>
        <v>1</v>
      </c>
    </row>
    <row r="9" spans="1:28" ht="12.95" customHeight="1" x14ac:dyDescent="0.2">
      <c r="A9" s="137">
        <f ca="1">IF(OR(ISBLANK('Tournament Info'!$B$11),'Tournament Info'!$B$11&lt;&gt;4),"",INDIRECT(ADDRESS(ROW(),3,1,1,"Optimal Seating "&amp;'Tournament Info'!$B$11-1&amp;"R+F")))</f>
        <v>22</v>
      </c>
      <c r="B9" s="143">
        <f ca="1">IF(ISNUMBER(A9),VLOOKUP(A9,Methuselahs!$A$7:$E$206,2,0),"")</f>
        <v>0</v>
      </c>
      <c r="C9" s="241">
        <f ca="1">IF(ISNUMBER(A9),VLOOKUP(A9,Methuselahs!$A$7:$E$206,3,0),"")</f>
        <v>0</v>
      </c>
      <c r="D9" s="242">
        <f t="shared" ca="1" si="0"/>
        <v>1</v>
      </c>
      <c r="E9" s="243"/>
      <c r="F9" s="144">
        <f t="shared" si="1"/>
        <v>0</v>
      </c>
      <c r="G9" s="244">
        <f t="shared" ca="1" si="2"/>
        <v>0</v>
      </c>
      <c r="H9" s="245">
        <f ca="1">IF(ISNUMBER(A9),IF(OR($S9=$U9,NOT(ISNA(MATCH($D9*5+$V$4,Override!$C$6:$C$125,0)))),$Q9,0),"")</f>
        <v>24</v>
      </c>
      <c r="I9" s="147">
        <f t="shared" ca="1" si="3"/>
        <v>3</v>
      </c>
      <c r="J9" s="246">
        <f ca="1">COUNT(A7:A11)</f>
        <v>5</v>
      </c>
      <c r="K9" s="247">
        <f ca="1">IF(ISNUMBER(A9),RANK(F9,F7:F11),"")</f>
        <v>3</v>
      </c>
      <c r="L9" s="142">
        <f ca="1">IF(J9=5,VLOOKUP(K9,TPMatrix!$A$6:$B$10,2,0),IF(J9=4,VLOOKUP(K9,TPMatrix!$D$6:$E$9,2,0),0))</f>
        <v>36</v>
      </c>
      <c r="M9" s="142">
        <f ca="1">IF(COUNTIF(K7:K11,K9)&gt;=2,IF(J9=5,VLOOKUP(K9+1,TPMatrix!$A$6:$B$10,2,0),IF(J9=4,VLOOKUP(K9+1,TPMatrix!$D$6:$E$9,2,0),0)),"")</f>
        <v>24</v>
      </c>
      <c r="N9" s="142">
        <f ca="1">IF(COUNTIF(K7:K11,K9)&gt;=3,IF(J9=5,VLOOKUP(K9+2,TPMatrix!$A$6:$B$10,2,0),IF(J9=4,VLOOKUP(K9+2,TPMatrix!$D$6:$E$9,2,0),0)),"")</f>
        <v>12</v>
      </c>
      <c r="O9" s="142" t="str">
        <f ca="1">IF(COUNTIF(K7:K11,K9)&gt;=4,IF(J9=5,VLOOKUP(K9+3,TPMatrix!$A$6:$B$10,2,0),IF(J9=4,VLOOKUP(K9+3,TPMatrix!$D$6:$E$9,2,0),0)),"")</f>
        <v/>
      </c>
      <c r="P9" s="142" t="str">
        <f ca="1">IF(COUNTIF(K7:K11,K9)&gt;=5,IF(J9=5,VLOOKUP(K9+4,TPMatrix!$A$6:$B$10,2,0),IF(J9=4,VLOOKUP(K9+4,TPMatrix!$D$6:$E$9,2,0),0)),"")</f>
        <v/>
      </c>
      <c r="Q9" s="142">
        <f t="shared" ca="1" si="4"/>
        <v>24</v>
      </c>
      <c r="R9" s="248">
        <f t="shared" ca="1" si="5"/>
        <v>3</v>
      </c>
      <c r="S9" s="247">
        <f t="shared" ca="1" si="6"/>
        <v>5</v>
      </c>
      <c r="T9" s="142">
        <f t="shared" si="7"/>
        <v>0</v>
      </c>
      <c r="U9" s="248">
        <f t="shared" ca="1" si="8"/>
        <v>5</v>
      </c>
      <c r="W9" s="36">
        <f t="shared" ca="1" si="9"/>
        <v>3</v>
      </c>
      <c r="X9" s="36">
        <f ca="1">IF(ISNUMBER($A9),$W9*(Methuselahs!$A$4+1)+$A9,"")</f>
        <v>121</v>
      </c>
      <c r="Y9" s="36">
        <f t="shared" ca="1" si="10"/>
        <v>4</v>
      </c>
      <c r="Z9" s="36">
        <f ca="1">IF(ISNUMBER($A9),VLOOKUP($A9,Methuselahs!$A$7:$X$206,5),"")</f>
        <v>9370279301</v>
      </c>
      <c r="AA9" s="36">
        <f t="shared" ca="1" si="11"/>
        <v>3</v>
      </c>
    </row>
    <row r="10" spans="1:28" ht="12.95" customHeight="1" x14ac:dyDescent="0.2">
      <c r="A10" s="249">
        <f ca="1">IF(OR(ISBLANK('Tournament Info'!$B$11),'Tournament Info'!$B$11&lt;&gt;4),"",INDIRECT(ADDRESS(ROW(),3,1,1,"Optimal Seating "&amp;'Tournament Info'!$B$11-1&amp;"R+F")))</f>
        <v>2</v>
      </c>
      <c r="B10" s="250">
        <f ca="1">IF(ISNUMBER(A10),VLOOKUP(A10,Methuselahs!$A$7:$E$206,2,0),"")</f>
        <v>0</v>
      </c>
      <c r="C10" s="251">
        <f ca="1">IF(ISNUMBER(A10),VLOOKUP(A10,Methuselahs!$A$7:$E$206,3,0),"")</f>
        <v>0</v>
      </c>
      <c r="D10" s="252">
        <f t="shared" ca="1" si="0"/>
        <v>1</v>
      </c>
      <c r="E10" s="253"/>
      <c r="F10" s="397">
        <f t="shared" si="1"/>
        <v>0</v>
      </c>
      <c r="G10" s="235">
        <f t="shared" ca="1" si="2"/>
        <v>0</v>
      </c>
      <c r="H10" s="236">
        <f ca="1">IF(ISNUMBER(A10),IF(OR($S10=$U10,NOT(ISNA(MATCH($D10*5+$V$4,Override!$C$6:$C$125,0)))),$Q10,0),"")</f>
        <v>24</v>
      </c>
      <c r="I10" s="121">
        <f t="shared" ca="1" si="3"/>
        <v>3</v>
      </c>
      <c r="J10" s="254">
        <f ca="1">COUNT(A7:A11)</f>
        <v>5</v>
      </c>
      <c r="K10" s="238">
        <f ca="1">IF(ISNUMBER(A10),RANK(F10,F7:F11),"")</f>
        <v>3</v>
      </c>
      <c r="L10" s="239">
        <f ca="1">IF(J10=5,VLOOKUP(K10,TPMatrix!$A$6:$B$10,2,0),IF(J10=4,VLOOKUP(K10,TPMatrix!$D$6:$E$9,2,0),0))</f>
        <v>36</v>
      </c>
      <c r="M10" s="239">
        <f ca="1">IF(COUNTIF(K7:K11,K10)&gt;=2,IF(J10=5,VLOOKUP(K10+1,TPMatrix!$A$6:$B$10,2,0),IF(J10=4,VLOOKUP(K10+1,TPMatrix!$D$6:$E$9,2,0),0)),"")</f>
        <v>24</v>
      </c>
      <c r="N10" s="239">
        <f ca="1">IF(COUNTIF(K7:K11,K10)&gt;=3,IF(J10=5,VLOOKUP(K10+2,TPMatrix!$A$6:$B$10,2,0),IF(J10=4,VLOOKUP(K10+2,TPMatrix!$D$6:$E$9,2,0),0)),"")</f>
        <v>12</v>
      </c>
      <c r="O10" s="239" t="str">
        <f ca="1">IF(COUNTIF(K7:K11,K10)&gt;=4,IF(J10=5,VLOOKUP(K10+3,TPMatrix!$A$6:$B$10,2,0),IF(J10=4,VLOOKUP(K10+3,TPMatrix!$D$6:$E$9,2,0),0)),"")</f>
        <v/>
      </c>
      <c r="P10" s="239" t="str">
        <f ca="1">IF(COUNTIF(K7:K11,K10)&gt;=5,IF(J10=5,VLOOKUP(K10+4,TPMatrix!$A$6:$B$10,2,0),IF(J10=4,VLOOKUP(K10+4,TPMatrix!$D$6:$E$9,2,0),0)),"")</f>
        <v/>
      </c>
      <c r="Q10" s="239">
        <f t="shared" ca="1" si="4"/>
        <v>24</v>
      </c>
      <c r="R10" s="240">
        <f t="shared" ca="1" si="5"/>
        <v>3</v>
      </c>
      <c r="S10" s="238">
        <f t="shared" ca="1" si="6"/>
        <v>5</v>
      </c>
      <c r="T10" s="239">
        <f t="shared" si="7"/>
        <v>0</v>
      </c>
      <c r="U10" s="240">
        <f t="shared" ca="1" si="8"/>
        <v>5</v>
      </c>
      <c r="W10" s="36">
        <f t="shared" ca="1" si="9"/>
        <v>3</v>
      </c>
      <c r="X10" s="36">
        <f ca="1">IF(ISNUMBER($A10),$W10*(Methuselahs!$A$4+1)+$A10,"")</f>
        <v>101</v>
      </c>
      <c r="Y10" s="36">
        <f t="shared" ca="1" si="10"/>
        <v>1</v>
      </c>
      <c r="Z10" s="36" t="e">
        <f ca="1">IF(ISNUMBER($A10),VLOOKUP($A10,Methuselahs!$A$7:$X$206,5),"")</f>
        <v>#N/A</v>
      </c>
      <c r="AA10" s="36">
        <f t="shared" ca="1" si="11"/>
        <v>3</v>
      </c>
    </row>
    <row r="11" spans="1:28" ht="12.95" customHeight="1" x14ac:dyDescent="0.2">
      <c r="A11" s="255">
        <f ca="1">IF(OR(ISBLANK('Tournament Info'!$B$11),'Tournament Info'!$B$11&lt;&gt;4),"",INDIRECT(ADDRESS(ROW(),3,1,1,"Optimal Seating "&amp;'Tournament Info'!$B$11-1&amp;"R+F")))</f>
        <v>8</v>
      </c>
      <c r="B11" s="256">
        <f ca="1">IF(ISNUMBER(A11),VLOOKUP(A11,Methuselahs!$A$7:$E$206,2,0),"")</f>
        <v>0</v>
      </c>
      <c r="C11" s="257">
        <f ca="1">IF(ISNUMBER(A11),VLOOKUP(A11,Methuselahs!$A$7:$E$206,3,0),"")</f>
        <v>0</v>
      </c>
      <c r="D11" s="258">
        <f t="shared" ca="1" si="0"/>
        <v>1</v>
      </c>
      <c r="E11" s="259"/>
      <c r="F11" s="398">
        <f t="shared" si="1"/>
        <v>0</v>
      </c>
      <c r="G11" s="244">
        <f t="shared" ca="1" si="2"/>
        <v>0</v>
      </c>
      <c r="H11" s="245">
        <f ca="1">IF(ISNUMBER(A11),IF(OR($S11=$U11,NOT(ISNA(MATCH($D11*5+$V$4,Override!$C$6:$C$125,0)))),$Q11,0),"")</f>
        <v>24</v>
      </c>
      <c r="I11" s="147">
        <f t="shared" ca="1" si="3"/>
        <v>3</v>
      </c>
      <c r="J11" s="260">
        <f ca="1">COUNT(A7:A11)</f>
        <v>5</v>
      </c>
      <c r="K11" s="261">
        <f ca="1">IF(ISNUMBER(A11),RANK(F11,F7:F11),"")</f>
        <v>3</v>
      </c>
      <c r="L11" s="262">
        <f ca="1">IF(J11=5,VLOOKUP(K11,TPMatrix!$A$6:$B$10,2,0),IF(J11=4,VLOOKUP(K11,TPMatrix!$D$6:$E$9,2,0),0))</f>
        <v>36</v>
      </c>
      <c r="M11" s="262">
        <f ca="1">IF(COUNTIF(K7:K11,K11)&gt;=2,IF(J11=5,VLOOKUP(K11+1,TPMatrix!$A$6:$B$10,2,0),IF(J11=4,VLOOKUP(K11+1,TPMatrix!$D$6:$E$9,2,0),0)),"")</f>
        <v>24</v>
      </c>
      <c r="N11" s="262">
        <f ca="1">IF(COUNTIF(K7:K11,K11)&gt;=3,IF(J11=5,VLOOKUP(K11+2,TPMatrix!$A$6:$B$10,2,0),IF(J11=4,VLOOKUP(K11+2,TPMatrix!$D$6:$E$9,2,0),0)),"")</f>
        <v>12</v>
      </c>
      <c r="O11" s="262" t="str">
        <f ca="1">IF(COUNTIF(K7:K11,K11)&gt;=4,IF(J11=5,VLOOKUP(K11+3,TPMatrix!$A$6:$B$10,2,0),IF(J11=4,VLOOKUP(K11+3,TPMatrix!$D$6:$E$9,2,0),0)),"")</f>
        <v/>
      </c>
      <c r="P11" s="262" t="str">
        <f ca="1">IF(COUNTIF(K7:K11,K11)&gt;=5,IF(J11=5,VLOOKUP(K11+4,TPMatrix!$A$6:$B$10,2,0),IF(J11=4,VLOOKUP(K11+4,TPMatrix!$D$6:$E$9,2,0),0)),"")</f>
        <v/>
      </c>
      <c r="Q11" s="262">
        <f t="shared" ca="1" si="4"/>
        <v>24</v>
      </c>
      <c r="R11" s="263">
        <f t="shared" ca="1" si="5"/>
        <v>3</v>
      </c>
      <c r="S11" s="261">
        <f t="shared" ca="1" si="6"/>
        <v>5</v>
      </c>
      <c r="T11" s="262">
        <f t="shared" si="7"/>
        <v>0</v>
      </c>
      <c r="U11" s="263">
        <f t="shared" ca="1" si="8"/>
        <v>5</v>
      </c>
      <c r="W11" s="36">
        <f t="shared" ca="1" si="9"/>
        <v>3</v>
      </c>
      <c r="X11" s="36">
        <f ca="1">IF(ISNUMBER($A11),$W11*(Methuselahs!$A$4+1)+$A11,"")</f>
        <v>107</v>
      </c>
      <c r="Y11" s="36">
        <f t="shared" ca="1" si="10"/>
        <v>3</v>
      </c>
      <c r="Z11" s="36">
        <f ca="1">IF(ISNUMBER($A11),VLOOKUP($A11,Methuselahs!$A$7:$X$206,5),"")</f>
        <v>0</v>
      </c>
      <c r="AA11" s="36">
        <f t="shared" ca="1" si="11"/>
        <v>3</v>
      </c>
    </row>
    <row r="12" spans="1:28" ht="12.95" customHeight="1" x14ac:dyDescent="0.2">
      <c r="A12" s="219">
        <f ca="1">IF(OR(ISBLANK('Tournament Info'!$B$11),'Tournament Info'!$B$11&lt;&gt;4),"",INDIRECT(ADDRESS(ROW(),3,1,1,"Optimal Seating "&amp;'Tournament Info'!$B$11-1&amp;"R+F")))</f>
        <v>31</v>
      </c>
      <c r="B12" s="143">
        <f ca="1">IF(ISNUMBER(A12),VLOOKUP(A12,Methuselahs!$A$7:$E$206,2,0),"")</f>
        <v>0</v>
      </c>
      <c r="C12" s="220">
        <f ca="1">IF(ISNUMBER(A12),VLOOKUP(A12,Methuselahs!$A$7:$E$206,3,0),"")</f>
        <v>0</v>
      </c>
      <c r="D12" s="221">
        <f t="shared" ca="1" si="0"/>
        <v>2</v>
      </c>
      <c r="E12" s="222"/>
      <c r="F12" s="393">
        <f t="shared" si="1"/>
        <v>0</v>
      </c>
      <c r="G12" s="223">
        <f t="shared" ca="1" si="2"/>
        <v>0</v>
      </c>
      <c r="H12" s="224">
        <f ca="1">IF(ISNUMBER(A12),IF(OR($S12=$U12,NOT(ISNA(MATCH($D12*5+$V$4,Override!$C$6:$C$125,0)))),$Q12,0),"")</f>
        <v>24</v>
      </c>
      <c r="I12" s="406">
        <f t="shared" ca="1" si="3"/>
        <v>3</v>
      </c>
      <c r="J12" s="225">
        <f ca="1">COUNT(A12:A16)</f>
        <v>5</v>
      </c>
      <c r="K12" s="226">
        <f ca="1">IF(ISNUMBER(A12),RANK(F12,F12:F16),"")</f>
        <v>3</v>
      </c>
      <c r="L12" s="227">
        <f ca="1">IF(J12=5,VLOOKUP(K12,TPMatrix!$A$6:$B$10,2,0),IF(J12=4,VLOOKUP(K12,TPMatrix!$D$6:$E$9,2,0),0))</f>
        <v>36</v>
      </c>
      <c r="M12" s="227">
        <f ca="1">IF(COUNTIF(K12:K16,K12)&gt;=2,IF(J12=5,VLOOKUP(K12+1,TPMatrix!$A$6:$B$10,2,0),IF(J12=4,VLOOKUP(K12+1,TPMatrix!$D$6:$E$9,2,0),0)),"")</f>
        <v>24</v>
      </c>
      <c r="N12" s="227">
        <f ca="1">IF(COUNTIF(K12:K16,K12)&gt;=3,IF(J12=5,VLOOKUP(K12+2,TPMatrix!$A$6:$B$10,2,0),IF(J12=4,VLOOKUP(K12+2,TPMatrix!$D$6:$E$9,2,0),0)),"")</f>
        <v>12</v>
      </c>
      <c r="O12" s="227" t="str">
        <f ca="1">IF(COUNTIF(K12:K16,K12)&gt;=4,IF(J12=5,VLOOKUP(K12+3,TPMatrix!$A$6:$B$10,2,0),IF(J12=4,VLOOKUP(K12+3,TPMatrix!$D$6:$E$9,2,0),0)),"")</f>
        <v/>
      </c>
      <c r="P12" s="227" t="str">
        <f ca="1">IF(COUNTIF(K12:K16,K12)&gt;=5,IF(J12=5,VLOOKUP(K12+4,TPMatrix!$A$6:$B$10,2,0),IF(J12=4,VLOOKUP(K12+4,TPMatrix!$D$6:$E$9,2,0),0)),"")</f>
        <v/>
      </c>
      <c r="Q12" s="227">
        <f t="shared" ca="1" si="4"/>
        <v>24</v>
      </c>
      <c r="R12" s="228">
        <f t="shared" ca="1" si="5"/>
        <v>3</v>
      </c>
      <c r="S12" s="229">
        <f t="shared" ca="1" si="6"/>
        <v>5</v>
      </c>
      <c r="T12" s="230">
        <f t="shared" si="7"/>
        <v>0</v>
      </c>
      <c r="U12" s="231">
        <f t="shared" ca="1" si="8"/>
        <v>5</v>
      </c>
      <c r="W12" s="36">
        <f t="shared" ca="1" si="9"/>
        <v>3</v>
      </c>
      <c r="X12" s="36">
        <f ca="1">IF(ISNUMBER($A12),$W12*(Methuselahs!$A$4+1)+$A12,"")</f>
        <v>130</v>
      </c>
      <c r="Y12" s="36">
        <f t="shared" ca="1" si="10"/>
        <v>5</v>
      </c>
      <c r="Z12" s="36">
        <f ca="1">IF(ISNUMBER($A12),VLOOKUP($A12,Methuselahs!$A$7:$X$206,5),"")</f>
        <v>5521202573</v>
      </c>
      <c r="AA12" s="36">
        <f t="shared" ca="1" si="11"/>
        <v>3</v>
      </c>
    </row>
    <row r="13" spans="1:28" ht="12.95" customHeight="1" x14ac:dyDescent="0.2">
      <c r="A13" s="111">
        <f ca="1">IF(OR(ISBLANK('Tournament Info'!$B$11),'Tournament Info'!$B$11&lt;&gt;4),"",INDIRECT(ADDRESS(ROW(),3,1,1,"Optimal Seating "&amp;'Tournament Info'!$B$11-1&amp;"R+F")))</f>
        <v>3</v>
      </c>
      <c r="B13" s="117">
        <f ca="1">IF(ISNUMBER(A13),VLOOKUP(A13,Methuselahs!$A$7:$E$206,2,0),"")</f>
        <v>0</v>
      </c>
      <c r="C13" s="232">
        <f ca="1">IF(ISNUMBER(A13),VLOOKUP(A13,Methuselahs!$A$7:$E$206,3,0),"")</f>
        <v>0</v>
      </c>
      <c r="D13" s="233">
        <f t="shared" ca="1" si="0"/>
        <v>2</v>
      </c>
      <c r="E13" s="234"/>
      <c r="F13" s="118">
        <f t="shared" si="1"/>
        <v>0</v>
      </c>
      <c r="G13" s="235">
        <f t="shared" ca="1" si="2"/>
        <v>0</v>
      </c>
      <c r="H13" s="236">
        <f ca="1">IF(ISNUMBER(A13),IF(OR($S13=$U13,NOT(ISNA(MATCH($D13*5+$V$4,Override!$C$6:$C$125,0)))),$Q13,0),"")</f>
        <v>24</v>
      </c>
      <c r="I13" s="121">
        <f t="shared" ca="1" si="3"/>
        <v>3</v>
      </c>
      <c r="J13" s="237">
        <f ca="1">COUNT(A12:A16)</f>
        <v>5</v>
      </c>
      <c r="K13" s="238">
        <f ca="1">IF(ISNUMBER(A13),RANK(F13,F12:F16),"")</f>
        <v>3</v>
      </c>
      <c r="L13" s="239">
        <f ca="1">IF(J13=5,VLOOKUP(K13,TPMatrix!$A$6:$B$10,2,0),IF(J13=4,VLOOKUP(K13,TPMatrix!$D$6:$E$9,2,0),0))</f>
        <v>36</v>
      </c>
      <c r="M13" s="239">
        <f ca="1">IF(COUNTIF(K12:K16,K13)&gt;=2,IF(J13=5,VLOOKUP(K13+1,TPMatrix!$A$6:$B$10,2,0),IF(J13=4,VLOOKUP(K13+1,TPMatrix!$D$6:$E$9,2,0),0)),"")</f>
        <v>24</v>
      </c>
      <c r="N13" s="239">
        <f ca="1">IF(COUNTIF(K12:K16,K13)&gt;=3,IF(J13=5,VLOOKUP(K13+2,TPMatrix!$A$6:$B$10,2,0),IF(J13=4,VLOOKUP(K13+2,TPMatrix!$D$6:$E$9,2,0),0)),"")</f>
        <v>12</v>
      </c>
      <c r="O13" s="239" t="str">
        <f ca="1">IF(COUNTIF(K12:K16,K13)&gt;=4,IF(J13=5,VLOOKUP(K13+3,TPMatrix!$A$6:$B$10,2,0),IF(J13=4,VLOOKUP(K13+3,TPMatrix!$D$6:$E$9,2,0),0)),"")</f>
        <v/>
      </c>
      <c r="P13" s="239" t="str">
        <f ca="1">IF(COUNTIF(K12:K16,K13)&gt;=5,IF(J13=5,VLOOKUP(K13+4,TPMatrix!$A$6:$B$10,2,0),IF(J13=4,VLOOKUP(K13+4,TPMatrix!$D$6:$E$9,2,0),0)),"")</f>
        <v/>
      </c>
      <c r="Q13" s="239">
        <f t="shared" ca="1" si="4"/>
        <v>24</v>
      </c>
      <c r="R13" s="240">
        <f t="shared" ca="1" si="5"/>
        <v>3</v>
      </c>
      <c r="S13" s="238">
        <f t="shared" ca="1" si="6"/>
        <v>5</v>
      </c>
      <c r="T13" s="239">
        <f t="shared" si="7"/>
        <v>0</v>
      </c>
      <c r="U13" s="240">
        <f t="shared" ca="1" si="8"/>
        <v>5</v>
      </c>
      <c r="W13" s="36">
        <f t="shared" ca="1" si="9"/>
        <v>3</v>
      </c>
      <c r="X13" s="36">
        <f ca="1">IF(ISNUMBER($A13),$W13*(Methuselahs!$A$4+1)+$A13,"")</f>
        <v>102</v>
      </c>
      <c r="Y13" s="36">
        <f t="shared" ca="1" si="10"/>
        <v>4</v>
      </c>
      <c r="Z13" s="36" t="e">
        <f ca="1">IF(ISNUMBER($A13),VLOOKUP($A13,Methuselahs!$A$7:$X$206,5),"")</f>
        <v>#N/A</v>
      </c>
      <c r="AA13" s="36">
        <f t="shared" ca="1" si="11"/>
        <v>3</v>
      </c>
    </row>
    <row r="14" spans="1:28" ht="12.95" customHeight="1" x14ac:dyDescent="0.2">
      <c r="A14" s="137">
        <f ca="1">IF(OR(ISBLANK('Tournament Info'!$B$11),'Tournament Info'!$B$11&lt;&gt;4),"",INDIRECT(ADDRESS(ROW(),3,1,1,"Optimal Seating "&amp;'Tournament Info'!$B$11-1&amp;"R+F")))</f>
        <v>19</v>
      </c>
      <c r="B14" s="143">
        <f ca="1">IF(ISNUMBER(A14),VLOOKUP(A14,Methuselahs!$A$7:$E$206,2,0),"")</f>
        <v>0</v>
      </c>
      <c r="C14" s="241">
        <f ca="1">IF(ISNUMBER(A14),VLOOKUP(A14,Methuselahs!$A$7:$E$206,3,0),"")</f>
        <v>0</v>
      </c>
      <c r="D14" s="242">
        <f t="shared" ca="1" si="0"/>
        <v>2</v>
      </c>
      <c r="E14" s="243"/>
      <c r="F14" s="144">
        <f t="shared" si="1"/>
        <v>0</v>
      </c>
      <c r="G14" s="244">
        <f t="shared" ca="1" si="2"/>
        <v>0</v>
      </c>
      <c r="H14" s="245">
        <f ca="1">IF(ISNUMBER(A14),IF(OR($S14=$U14,NOT(ISNA(MATCH($D14*5+$V$4,Override!$C$6:$C$125,0)))),$Q14,0),"")</f>
        <v>24</v>
      </c>
      <c r="I14" s="147">
        <f t="shared" ca="1" si="3"/>
        <v>3</v>
      </c>
      <c r="J14" s="246">
        <f ca="1">COUNT(A12:A16)</f>
        <v>5</v>
      </c>
      <c r="K14" s="247">
        <f ca="1">IF(ISNUMBER(A14),RANK(F14,F12:F16),"")</f>
        <v>3</v>
      </c>
      <c r="L14" s="142">
        <f ca="1">IF(J14=5,VLOOKUP(K14,TPMatrix!$A$6:$B$10,2,0),IF(J14=4,VLOOKUP(K14,TPMatrix!$D$6:$E$9,2,0),0))</f>
        <v>36</v>
      </c>
      <c r="M14" s="142">
        <f ca="1">IF(COUNTIF(K12:K16,K14)&gt;=2,IF(J14=5,VLOOKUP(K14+1,TPMatrix!$A$6:$B$10,2,0),IF(J14=4,VLOOKUP(K14+1,TPMatrix!$D$6:$E$9,2,0),0)),"")</f>
        <v>24</v>
      </c>
      <c r="N14" s="142">
        <f ca="1">IF(COUNTIF(K12:K16,K14)&gt;=3,IF(J14=5,VLOOKUP(K14+2,TPMatrix!$A$6:$B$10,2,0),IF(J14=4,VLOOKUP(K14+2,TPMatrix!$D$6:$E$9,2,0),0)),"")</f>
        <v>12</v>
      </c>
      <c r="O14" s="142" t="str">
        <f ca="1">IF(COUNTIF(K12:K16,K14)&gt;=4,IF(J14=5,VLOOKUP(K14+3,TPMatrix!$A$6:$B$10,2,0),IF(J14=4,VLOOKUP(K14+3,TPMatrix!$D$6:$E$9,2,0),0)),"")</f>
        <v/>
      </c>
      <c r="P14" s="142" t="str">
        <f ca="1">IF(COUNTIF(K12:K16,K14)&gt;=5,IF(J14=5,VLOOKUP(K14+4,TPMatrix!$A$6:$B$10,2,0),IF(J14=4,VLOOKUP(K14+4,TPMatrix!$D$6:$E$9,2,0),0)),"")</f>
        <v/>
      </c>
      <c r="Q14" s="142">
        <f t="shared" ca="1" si="4"/>
        <v>24</v>
      </c>
      <c r="R14" s="248">
        <f t="shared" ca="1" si="5"/>
        <v>3</v>
      </c>
      <c r="S14" s="247">
        <f t="shared" ca="1" si="6"/>
        <v>5</v>
      </c>
      <c r="T14" s="142">
        <f t="shared" si="7"/>
        <v>0</v>
      </c>
      <c r="U14" s="248">
        <f t="shared" ca="1" si="8"/>
        <v>5</v>
      </c>
      <c r="W14" s="36">
        <f t="shared" ca="1" si="9"/>
        <v>3</v>
      </c>
      <c r="X14" s="36">
        <f ca="1">IF(ISNUMBER($A14),$W14*(Methuselahs!$A$4+1)+$A14,"")</f>
        <v>118</v>
      </c>
      <c r="Y14" s="36">
        <f t="shared" ca="1" si="10"/>
        <v>4</v>
      </c>
      <c r="Z14" s="36">
        <f ca="1">IF(ISNUMBER($A14),VLOOKUP($A14,Methuselahs!$A$7:$X$206,5),"")</f>
        <v>1028087486</v>
      </c>
      <c r="AA14" s="36">
        <f t="shared" ca="1" si="11"/>
        <v>3</v>
      </c>
    </row>
    <row r="15" spans="1:28" ht="12.95" customHeight="1" x14ac:dyDescent="0.2">
      <c r="A15" s="249">
        <f ca="1">IF(OR(ISBLANK('Tournament Info'!$B$11),'Tournament Info'!$B$11&lt;&gt;4),"",INDIRECT(ADDRESS(ROW(),3,1,1,"Optimal Seating "&amp;'Tournament Info'!$B$11-1&amp;"R+F")))</f>
        <v>25</v>
      </c>
      <c r="B15" s="250">
        <f ca="1">IF(ISNUMBER(A15),VLOOKUP(A15,Methuselahs!$A$7:$E$206,2,0),"")</f>
        <v>0</v>
      </c>
      <c r="C15" s="251">
        <f ca="1">IF(ISNUMBER(A15),VLOOKUP(A15,Methuselahs!$A$7:$E$206,3,0),"")</f>
        <v>0</v>
      </c>
      <c r="D15" s="252">
        <f t="shared" ca="1" si="0"/>
        <v>2</v>
      </c>
      <c r="E15" s="253">
        <v>0.5</v>
      </c>
      <c r="F15" s="397">
        <f t="shared" si="1"/>
        <v>0.5</v>
      </c>
      <c r="G15" s="235">
        <f t="shared" ca="1" si="2"/>
        <v>0</v>
      </c>
      <c r="H15" s="236">
        <f ca="1">IF(ISNUMBER(A15),IF(OR($S15=$U15,NOT(ISNA(MATCH($D15*5+$V$4,Override!$C$6:$C$125,0)))),$Q15,0),"")</f>
        <v>48</v>
      </c>
      <c r="I15" s="121">
        <f t="shared" ca="1" si="3"/>
        <v>2</v>
      </c>
      <c r="J15" s="254">
        <f ca="1">COUNT(A12:A16)</f>
        <v>5</v>
      </c>
      <c r="K15" s="238">
        <f ca="1">IF(ISNUMBER(A15),RANK(F15,F12:F16),"")</f>
        <v>2</v>
      </c>
      <c r="L15" s="239">
        <f ca="1">IF(J15=5,VLOOKUP(K15,TPMatrix!$A$6:$B$10,2,0),IF(J15=4,VLOOKUP(K15,TPMatrix!$D$6:$E$9,2,0),0))</f>
        <v>48</v>
      </c>
      <c r="M15" s="239" t="str">
        <f ca="1">IF(COUNTIF(K12:K16,K15)&gt;=2,IF(J15=5,VLOOKUP(K15+1,TPMatrix!$A$6:$B$10,2,0),IF(J15=4,VLOOKUP(K15+1,TPMatrix!$D$6:$E$9,2,0),0)),"")</f>
        <v/>
      </c>
      <c r="N15" s="239" t="str">
        <f ca="1">IF(COUNTIF(K12:K16,K15)&gt;=3,IF(J15=5,VLOOKUP(K15+2,TPMatrix!$A$6:$B$10,2,0),IF(J15=4,VLOOKUP(K15+2,TPMatrix!$D$6:$E$9,2,0),0)),"")</f>
        <v/>
      </c>
      <c r="O15" s="239" t="str">
        <f ca="1">IF(COUNTIF(K12:K16,K15)&gt;=4,IF(J15=5,VLOOKUP(K15+3,TPMatrix!$A$6:$B$10,2,0),IF(J15=4,VLOOKUP(K15+3,TPMatrix!$D$6:$E$9,2,0),0)),"")</f>
        <v/>
      </c>
      <c r="P15" s="239" t="str">
        <f ca="1">IF(COUNTIF(K12:K16,K15)&gt;=5,IF(J15=5,VLOOKUP(K15+4,TPMatrix!$A$6:$B$10,2,0),IF(J15=4,VLOOKUP(K15+4,TPMatrix!$D$6:$E$9,2,0),0)),"")</f>
        <v/>
      </c>
      <c r="Q15" s="239">
        <f t="shared" ca="1" si="4"/>
        <v>48</v>
      </c>
      <c r="R15" s="240">
        <f t="shared" ca="1" si="5"/>
        <v>1</v>
      </c>
      <c r="S15" s="238">
        <f t="shared" ca="1" si="6"/>
        <v>5</v>
      </c>
      <c r="T15" s="239">
        <f t="shared" si="7"/>
        <v>1</v>
      </c>
      <c r="U15" s="240">
        <f t="shared" ca="1" si="8"/>
        <v>5</v>
      </c>
      <c r="W15" s="36">
        <f t="shared" ca="1" si="9"/>
        <v>2</v>
      </c>
      <c r="X15" s="36">
        <f ca="1">IF(ISNUMBER($A15),$W15*(Methuselahs!$A$4+1)+$A15,"")</f>
        <v>91</v>
      </c>
      <c r="Y15" s="36">
        <f t="shared" ca="1" si="10"/>
        <v>3</v>
      </c>
      <c r="Z15" s="36">
        <f ca="1">IF(ISNUMBER($A15),VLOOKUP($A15,Methuselahs!$A$7:$X$206,5),"")</f>
        <v>9370279301</v>
      </c>
      <c r="AA15" s="36">
        <f t="shared" ca="1" si="11"/>
        <v>2</v>
      </c>
    </row>
    <row r="16" spans="1:28" ht="12.95" customHeight="1" x14ac:dyDescent="0.2">
      <c r="A16" s="255">
        <f ca="1">IF(OR(ISBLANK('Tournament Info'!$B$11),'Tournament Info'!$B$11&lt;&gt;4),"",INDIRECT(ADDRESS(ROW(),3,1,1,"Optimal Seating "&amp;'Tournament Info'!$B$11-1&amp;"R+F")))</f>
        <v>21</v>
      </c>
      <c r="B16" s="256">
        <f ca="1">IF(ISNUMBER(A16),VLOOKUP(A16,Methuselahs!$A$7:$E$206,2,0),"")</f>
        <v>0</v>
      </c>
      <c r="C16" s="257">
        <f ca="1">IF(ISNUMBER(A16),VLOOKUP(A16,Methuselahs!$A$7:$E$206,3,0),"")</f>
        <v>0</v>
      </c>
      <c r="D16" s="258">
        <f t="shared" ca="1" si="0"/>
        <v>2</v>
      </c>
      <c r="E16" s="259">
        <v>3.5</v>
      </c>
      <c r="F16" s="398">
        <f t="shared" si="1"/>
        <v>3.5</v>
      </c>
      <c r="G16" s="244">
        <f t="shared" ca="1" si="2"/>
        <v>1</v>
      </c>
      <c r="H16" s="245">
        <f ca="1">IF(ISNUMBER(A16),IF(OR($S16=$U16,NOT(ISNA(MATCH($D16*5+$V$4,Override!$C$6:$C$125,0)))),$Q16,0),"")</f>
        <v>60</v>
      </c>
      <c r="I16" s="147">
        <f t="shared" ca="1" si="3"/>
        <v>1</v>
      </c>
      <c r="J16" s="260">
        <f ca="1">COUNT(A12:A16)</f>
        <v>5</v>
      </c>
      <c r="K16" s="261">
        <f ca="1">IF(ISNUMBER(A16),RANK(F16,F12:F16),"")</f>
        <v>1</v>
      </c>
      <c r="L16" s="262">
        <f ca="1">IF(J16=5,VLOOKUP(K16,TPMatrix!$A$6:$B$10,2,0),IF(J16=4,VLOOKUP(K16,TPMatrix!$D$6:$E$9,2,0),0))</f>
        <v>60</v>
      </c>
      <c r="M16" s="262" t="str">
        <f ca="1">IF(COUNTIF(K12:K16,K16)&gt;=2,IF(J16=5,VLOOKUP(K16+1,TPMatrix!$A$6:$B$10,2,0),IF(J16=4,VLOOKUP(K16+1,TPMatrix!$D$6:$E$9,2,0),0)),"")</f>
        <v/>
      </c>
      <c r="N16" s="262" t="str">
        <f ca="1">IF(COUNTIF(K12:K16,K16)&gt;=3,IF(J16=5,VLOOKUP(K16+2,TPMatrix!$A$6:$B$10,2,0),IF(J16=4,VLOOKUP(K16+2,TPMatrix!$D$6:$E$9,2,0),0)),"")</f>
        <v/>
      </c>
      <c r="O16" s="262" t="str">
        <f ca="1">IF(COUNTIF(K12:K16,K16)&gt;=4,IF(J16=5,VLOOKUP(K16+3,TPMatrix!$A$6:$B$10,2,0),IF(J16=4,VLOOKUP(K16+3,TPMatrix!$D$6:$E$9,2,0),0)),"")</f>
        <v/>
      </c>
      <c r="P16" s="262" t="str">
        <f ca="1">IF(COUNTIF(K12:K16,K16)&gt;=5,IF(J16=5,VLOOKUP(K16+4,TPMatrix!$A$6:$B$10,2,0),IF(J16=4,VLOOKUP(K16+4,TPMatrix!$D$6:$E$9,2,0),0)),"")</f>
        <v/>
      </c>
      <c r="Q16" s="262">
        <f t="shared" ca="1" si="4"/>
        <v>60</v>
      </c>
      <c r="R16" s="263">
        <f t="shared" ca="1" si="5"/>
        <v>1</v>
      </c>
      <c r="S16" s="261">
        <f t="shared" ca="1" si="6"/>
        <v>5</v>
      </c>
      <c r="T16" s="262">
        <f t="shared" si="7"/>
        <v>4</v>
      </c>
      <c r="U16" s="263">
        <f t="shared" ca="1" si="8"/>
        <v>5</v>
      </c>
      <c r="W16" s="36">
        <f t="shared" ca="1" si="9"/>
        <v>1</v>
      </c>
      <c r="X16" s="36">
        <f ca="1">IF(ISNUMBER($A16),$W16*(Methuselahs!$A$4+1)+$A16,"")</f>
        <v>54</v>
      </c>
      <c r="Y16" s="36">
        <f t="shared" ca="1" si="10"/>
        <v>2</v>
      </c>
      <c r="Z16" s="36">
        <f ca="1">IF(ISNUMBER($A16),VLOOKUP($A16,Methuselahs!$A$7:$X$206,5),"")</f>
        <v>9370279301</v>
      </c>
      <c r="AA16" s="36">
        <f t="shared" ca="1" si="11"/>
        <v>1</v>
      </c>
    </row>
    <row r="17" spans="1:27" ht="12.95" customHeight="1" x14ac:dyDescent="0.2">
      <c r="A17" s="219">
        <f ca="1">IF(OR(ISBLANK('Tournament Info'!$B$11),'Tournament Info'!$B$11&lt;&gt;4),"",INDIRECT(ADDRESS(ROW(),3,1,1,"Optimal Seating "&amp;'Tournament Info'!$B$11-1&amp;"R+F")))</f>
        <v>20</v>
      </c>
      <c r="B17" s="143">
        <f ca="1">IF(ISNUMBER(A17),VLOOKUP(A17,Methuselahs!$A$7:$E$206,2,0),"")</f>
        <v>0</v>
      </c>
      <c r="C17" s="220">
        <f ca="1">IF(ISNUMBER(A17),VLOOKUP(A17,Methuselahs!$A$7:$E$206,3,0),"")</f>
        <v>0</v>
      </c>
      <c r="D17" s="221">
        <f t="shared" ca="1" si="0"/>
        <v>3</v>
      </c>
      <c r="E17" s="222">
        <v>1.5</v>
      </c>
      <c r="F17" s="393">
        <f t="shared" si="1"/>
        <v>1.5</v>
      </c>
      <c r="G17" s="223">
        <f t="shared" ca="1" si="2"/>
        <v>0</v>
      </c>
      <c r="H17" s="224">
        <f ca="1">IF(ISNUMBER(A17),IF(OR($S17=$U17,NOT(ISNA(MATCH($D17*5+$V$4,Override!$C$6:$C$125,0)))),$Q17,0),"")</f>
        <v>54</v>
      </c>
      <c r="I17" s="406">
        <f t="shared" ca="1" si="3"/>
        <v>1</v>
      </c>
      <c r="J17" s="225">
        <f ca="1">COUNT(A17:A21)</f>
        <v>5</v>
      </c>
      <c r="K17" s="226">
        <f ca="1">IF(ISNUMBER(A17),RANK(F17,F17:F21),"")</f>
        <v>1</v>
      </c>
      <c r="L17" s="227">
        <f ca="1">IF(J17=5,VLOOKUP(K17,TPMatrix!$A$6:$B$10,2,0),IF(J17=4,VLOOKUP(K17,TPMatrix!$D$6:$E$9,2,0),0))</f>
        <v>60</v>
      </c>
      <c r="M17" s="227">
        <f ca="1">IF(COUNTIF(K17:K21,K17)&gt;=2,IF(J17=5,VLOOKUP(K17+1,TPMatrix!$A$6:$B$10,2,0),IF(J17=4,VLOOKUP(K17+1,TPMatrix!$D$6:$E$9,2,0),0)),"")</f>
        <v>48</v>
      </c>
      <c r="N17" s="227" t="str">
        <f ca="1">IF(COUNTIF(K17:K21,K17)&gt;=3,IF(J17=5,VLOOKUP(K17+2,TPMatrix!$A$6:$B$10,2,0),IF(J17=4,VLOOKUP(K17+2,TPMatrix!$D$6:$E$9,2,0),0)),"")</f>
        <v/>
      </c>
      <c r="O17" s="227" t="str">
        <f ca="1">IF(COUNTIF(K17:K21,K17)&gt;=4,IF(J17=5,VLOOKUP(K17+3,TPMatrix!$A$6:$B$10,2,0),IF(J17=4,VLOOKUP(K17+3,TPMatrix!$D$6:$E$9,2,0),0)),"")</f>
        <v/>
      </c>
      <c r="P17" s="227" t="str">
        <f ca="1">IF(COUNTIF(K17:K21,K17)&gt;=5,IF(J17=5,VLOOKUP(K17+4,TPMatrix!$A$6:$B$10,2,0),IF(J17=4,VLOOKUP(K17+4,TPMatrix!$D$6:$E$9,2,0),0)),"")</f>
        <v/>
      </c>
      <c r="Q17" s="227">
        <f t="shared" ca="1" si="4"/>
        <v>54</v>
      </c>
      <c r="R17" s="228">
        <f t="shared" ca="1" si="5"/>
        <v>2</v>
      </c>
      <c r="S17" s="229">
        <f t="shared" ca="1" si="6"/>
        <v>5</v>
      </c>
      <c r="T17" s="230">
        <f t="shared" si="7"/>
        <v>2</v>
      </c>
      <c r="U17" s="231">
        <f t="shared" ca="1" si="8"/>
        <v>5</v>
      </c>
      <c r="W17" s="36">
        <f t="shared" ca="1" si="9"/>
        <v>1</v>
      </c>
      <c r="X17" s="36">
        <f ca="1">IF(ISNUMBER($A17),$W17*(Methuselahs!$A$4+1)+$A17,"")</f>
        <v>53</v>
      </c>
      <c r="Y17" s="36">
        <f t="shared" ca="1" si="10"/>
        <v>1</v>
      </c>
      <c r="Z17" s="36">
        <f ca="1">IF(ISNUMBER($A17),VLOOKUP($A17,Methuselahs!$A$7:$X$206,5),"")</f>
        <v>1028087486</v>
      </c>
      <c r="AA17" s="36">
        <f t="shared" ca="1" si="11"/>
        <v>1</v>
      </c>
    </row>
    <row r="18" spans="1:27" ht="12.95" customHeight="1" x14ac:dyDescent="0.2">
      <c r="A18" s="111">
        <f ca="1">IF(OR(ISBLANK('Tournament Info'!$B$11),'Tournament Info'!$B$11&lt;&gt;4),"",INDIRECT(ADDRESS(ROW(),3,1,1,"Optimal Seating "&amp;'Tournament Info'!$B$11-1&amp;"R+F")))</f>
        <v>29</v>
      </c>
      <c r="B18" s="117">
        <f ca="1">IF(ISNUMBER(A18),VLOOKUP(A18,Methuselahs!$A$7:$E$206,2,0),"")</f>
        <v>0</v>
      </c>
      <c r="C18" s="232">
        <f ca="1">IF(ISNUMBER(A18),VLOOKUP(A18,Methuselahs!$A$7:$E$206,3,0),"")</f>
        <v>0</v>
      </c>
      <c r="D18" s="233">
        <f t="shared" ca="1" si="0"/>
        <v>3</v>
      </c>
      <c r="E18" s="234"/>
      <c r="F18" s="118">
        <f t="shared" si="1"/>
        <v>0</v>
      </c>
      <c r="G18" s="235">
        <f t="shared" ca="1" si="2"/>
        <v>0</v>
      </c>
      <c r="H18" s="236">
        <f ca="1">IF(ISNUMBER(A18),IF(OR($S18=$U18,NOT(ISNA(MATCH($D18*5+$V$4,Override!$C$6:$C$125,0)))),$Q18,0),"")</f>
        <v>18</v>
      </c>
      <c r="I18" s="121">
        <f t="shared" ca="1" si="3"/>
        <v>4</v>
      </c>
      <c r="J18" s="237">
        <f ca="1">COUNT(A17:A21)</f>
        <v>5</v>
      </c>
      <c r="K18" s="238">
        <f ca="1">IF(ISNUMBER(A18),RANK(F18,F17:F21),"")</f>
        <v>4</v>
      </c>
      <c r="L18" s="239">
        <f ca="1">IF(J18=5,VLOOKUP(K18,TPMatrix!$A$6:$B$10,2,0),IF(J18=4,VLOOKUP(K18,TPMatrix!$D$6:$E$9,2,0),0))</f>
        <v>24</v>
      </c>
      <c r="M18" s="239">
        <f ca="1">IF(COUNTIF(K17:K21,K18)&gt;=2,IF(J18=5,VLOOKUP(K18+1,TPMatrix!$A$6:$B$10,2,0),IF(J18=4,VLOOKUP(K18+1,TPMatrix!$D$6:$E$9,2,0),0)),"")</f>
        <v>12</v>
      </c>
      <c r="N18" s="239" t="str">
        <f ca="1">IF(COUNTIF(K17:K21,K18)&gt;=3,IF(J18=5,VLOOKUP(K18+2,TPMatrix!$A$6:$B$10,2,0),IF(J18=4,VLOOKUP(K18+2,TPMatrix!$D$6:$E$9,2,0),0)),"")</f>
        <v/>
      </c>
      <c r="O18" s="239" t="str">
        <f ca="1">IF(COUNTIF(K17:K21,K18)&gt;=4,IF(J18=5,VLOOKUP(K18+3,TPMatrix!$A$6:$B$10,2,0),IF(J18=4,VLOOKUP(K18+3,TPMatrix!$D$6:$E$9,2,0),0)),"")</f>
        <v/>
      </c>
      <c r="P18" s="239" t="str">
        <f ca="1">IF(COUNTIF(K17:K21,K18)&gt;=5,IF(J18=5,VLOOKUP(K18+4,TPMatrix!$A$6:$B$10,2,0),IF(J18=4,VLOOKUP(K18+4,TPMatrix!$D$6:$E$9,2,0),0)),"")</f>
        <v/>
      </c>
      <c r="Q18" s="239">
        <f t="shared" ca="1" si="4"/>
        <v>18</v>
      </c>
      <c r="R18" s="240">
        <f t="shared" ca="1" si="5"/>
        <v>2</v>
      </c>
      <c r="S18" s="238">
        <f t="shared" ca="1" si="6"/>
        <v>5</v>
      </c>
      <c r="T18" s="239">
        <f t="shared" si="7"/>
        <v>0</v>
      </c>
      <c r="U18" s="240">
        <f t="shared" ca="1" si="8"/>
        <v>5</v>
      </c>
      <c r="W18" s="36">
        <f t="shared" ca="1" si="9"/>
        <v>4</v>
      </c>
      <c r="X18" s="36">
        <f ca="1">IF(ISNUMBER($A18),$W18*(Methuselahs!$A$4+1)+$A18,"")</f>
        <v>161</v>
      </c>
      <c r="Y18" s="36">
        <f t="shared" ca="1" si="10"/>
        <v>5</v>
      </c>
      <c r="Z18" s="36">
        <f ca="1">IF(ISNUMBER($A18),VLOOKUP($A18,Methuselahs!$A$7:$X$206,5),"")</f>
        <v>5521202573</v>
      </c>
      <c r="AA18" s="36">
        <f t="shared" ca="1" si="11"/>
        <v>4</v>
      </c>
    </row>
    <row r="19" spans="1:27" ht="12.95" customHeight="1" x14ac:dyDescent="0.2">
      <c r="A19" s="137">
        <f ca="1">IF(OR(ISBLANK('Tournament Info'!$B$11),'Tournament Info'!$B$11&lt;&gt;4),"",INDIRECT(ADDRESS(ROW(),3,1,1,"Optimal Seating "&amp;'Tournament Info'!$B$11-1&amp;"R+F")))</f>
        <v>5</v>
      </c>
      <c r="B19" s="143">
        <f ca="1">IF(ISNUMBER(A19),VLOOKUP(A19,Methuselahs!$A$7:$E$206,2,0),"")</f>
        <v>0</v>
      </c>
      <c r="C19" s="241">
        <f ca="1">IF(ISNUMBER(A19),VLOOKUP(A19,Methuselahs!$A$7:$E$206,3,0),"")</f>
        <v>0</v>
      </c>
      <c r="D19" s="242">
        <f t="shared" ca="1" si="0"/>
        <v>3</v>
      </c>
      <c r="E19" s="243">
        <v>0.5</v>
      </c>
      <c r="F19" s="144">
        <f t="shared" si="1"/>
        <v>0.5</v>
      </c>
      <c r="G19" s="244">
        <f t="shared" ca="1" si="2"/>
        <v>0</v>
      </c>
      <c r="H19" s="245">
        <f ca="1">IF(ISNUMBER(A19),IF(OR($S19=$U19,NOT(ISNA(MATCH($D19*5+$V$4,Override!$C$6:$C$125,0)))),$Q19,0),"")</f>
        <v>36</v>
      </c>
      <c r="I19" s="147">
        <f t="shared" ca="1" si="3"/>
        <v>3</v>
      </c>
      <c r="J19" s="246">
        <f ca="1">COUNT(A17:A21)</f>
        <v>5</v>
      </c>
      <c r="K19" s="247">
        <f ca="1">IF(ISNUMBER(A19),RANK(F19,F17:F21),"")</f>
        <v>3</v>
      </c>
      <c r="L19" s="142">
        <f ca="1">IF(J19=5,VLOOKUP(K19,TPMatrix!$A$6:$B$10,2,0),IF(J19=4,VLOOKUP(K19,TPMatrix!$D$6:$E$9,2,0),0))</f>
        <v>36</v>
      </c>
      <c r="M19" s="142" t="str">
        <f ca="1">IF(COUNTIF(K17:K21,K19)&gt;=2,IF(J19=5,VLOOKUP(K19+1,TPMatrix!$A$6:$B$10,2,0),IF(J19=4,VLOOKUP(K19+1,TPMatrix!$D$6:$E$9,2,0),0)),"")</f>
        <v/>
      </c>
      <c r="N19" s="142" t="str">
        <f ca="1">IF(COUNTIF(K17:K21,K19)&gt;=3,IF(J19=5,VLOOKUP(K19+2,TPMatrix!$A$6:$B$10,2,0),IF(J19=4,VLOOKUP(K19+2,TPMatrix!$D$6:$E$9,2,0),0)),"")</f>
        <v/>
      </c>
      <c r="O19" s="142" t="str">
        <f ca="1">IF(COUNTIF(K17:K21,K19)&gt;=4,IF(J19=5,VLOOKUP(K19+3,TPMatrix!$A$6:$B$10,2,0),IF(J19=4,VLOOKUP(K19+3,TPMatrix!$D$6:$E$9,2,0),0)),"")</f>
        <v/>
      </c>
      <c r="P19" s="142" t="str">
        <f ca="1">IF(COUNTIF(K17:K21,K19)&gt;=5,IF(J19=5,VLOOKUP(K19+4,TPMatrix!$A$6:$B$10,2,0),IF(J19=4,VLOOKUP(K19+4,TPMatrix!$D$6:$E$9,2,0),0)),"")</f>
        <v/>
      </c>
      <c r="Q19" s="142">
        <f t="shared" ca="1" si="4"/>
        <v>36</v>
      </c>
      <c r="R19" s="248">
        <f t="shared" ca="1" si="5"/>
        <v>1</v>
      </c>
      <c r="S19" s="247">
        <f t="shared" ca="1" si="6"/>
        <v>5</v>
      </c>
      <c r="T19" s="142">
        <f t="shared" si="7"/>
        <v>1</v>
      </c>
      <c r="U19" s="248">
        <f t="shared" ca="1" si="8"/>
        <v>5</v>
      </c>
      <c r="W19" s="36">
        <f t="shared" ca="1" si="9"/>
        <v>3</v>
      </c>
      <c r="X19" s="36">
        <f ca="1">IF(ISNUMBER($A19),$W19*(Methuselahs!$A$4+1)+$A19,"")</f>
        <v>104</v>
      </c>
      <c r="Y19" s="36">
        <f t="shared" ca="1" si="10"/>
        <v>3</v>
      </c>
      <c r="Z19" s="36" t="e">
        <f ca="1">IF(ISNUMBER($A19),VLOOKUP($A19,Methuselahs!$A$7:$X$206,5),"")</f>
        <v>#N/A</v>
      </c>
      <c r="AA19" s="36">
        <f t="shared" ca="1" si="11"/>
        <v>3</v>
      </c>
    </row>
    <row r="20" spans="1:27" ht="12.95" customHeight="1" x14ac:dyDescent="0.2">
      <c r="A20" s="249">
        <f ca="1">IF(OR(ISBLANK('Tournament Info'!$B$11),'Tournament Info'!$B$11&lt;&gt;4),"",INDIRECT(ADDRESS(ROW(),3,1,1,"Optimal Seating "&amp;'Tournament Info'!$B$11-1&amp;"R+F")))</f>
        <v>23</v>
      </c>
      <c r="B20" s="250">
        <f ca="1">IF(ISNUMBER(A20),VLOOKUP(A20,Methuselahs!$A$7:$E$206,2,0),"")</f>
        <v>0</v>
      </c>
      <c r="C20" s="251">
        <f ca="1">IF(ISNUMBER(A20),VLOOKUP(A20,Methuselahs!$A$7:$E$206,3,0),"")</f>
        <v>0</v>
      </c>
      <c r="D20" s="252">
        <f t="shared" ca="1" si="0"/>
        <v>3</v>
      </c>
      <c r="E20" s="253">
        <v>1.5</v>
      </c>
      <c r="F20" s="397">
        <f t="shared" si="1"/>
        <v>1.5</v>
      </c>
      <c r="G20" s="235">
        <f t="shared" ca="1" si="2"/>
        <v>0</v>
      </c>
      <c r="H20" s="236">
        <f ca="1">IF(ISNUMBER(A20),IF(OR($S20=$U20,NOT(ISNA(MATCH($D20*5+$V$4,Override!$C$6:$C$125,0)))),$Q20,0),"")</f>
        <v>54</v>
      </c>
      <c r="I20" s="121">
        <f t="shared" ca="1" si="3"/>
        <v>1</v>
      </c>
      <c r="J20" s="254">
        <f ca="1">COUNT(A17:A21)</f>
        <v>5</v>
      </c>
      <c r="K20" s="238">
        <f ca="1">IF(ISNUMBER(A20),RANK(F20,F17:F21),"")</f>
        <v>1</v>
      </c>
      <c r="L20" s="239">
        <f ca="1">IF(J20=5,VLOOKUP(K20,TPMatrix!$A$6:$B$10,2,0),IF(J20=4,VLOOKUP(K20,TPMatrix!$D$6:$E$9,2,0),0))</f>
        <v>60</v>
      </c>
      <c r="M20" s="239">
        <f ca="1">IF(COUNTIF(K17:K21,K20)&gt;=2,IF(J20=5,VLOOKUP(K20+1,TPMatrix!$A$6:$B$10,2,0),IF(J20=4,VLOOKUP(K20+1,TPMatrix!$D$6:$E$9,2,0),0)),"")</f>
        <v>48</v>
      </c>
      <c r="N20" s="239" t="str">
        <f ca="1">IF(COUNTIF(K17:K21,K20)&gt;=3,IF(J20=5,VLOOKUP(K20+2,TPMatrix!$A$6:$B$10,2,0),IF(J20=4,VLOOKUP(K20+2,TPMatrix!$D$6:$E$9,2,0),0)),"")</f>
        <v/>
      </c>
      <c r="O20" s="239" t="str">
        <f ca="1">IF(COUNTIF(K17:K21,K20)&gt;=4,IF(J20=5,VLOOKUP(K20+3,TPMatrix!$A$6:$B$10,2,0),IF(J20=4,VLOOKUP(K20+3,TPMatrix!$D$6:$E$9,2,0),0)),"")</f>
        <v/>
      </c>
      <c r="P20" s="239" t="str">
        <f ca="1">IF(COUNTIF(K17:K21,K20)&gt;=5,IF(J20=5,VLOOKUP(K20+4,TPMatrix!$A$6:$B$10,2,0),IF(J20=4,VLOOKUP(K20+4,TPMatrix!$D$6:$E$9,2,0),0)),"")</f>
        <v/>
      </c>
      <c r="Q20" s="239">
        <f t="shared" ca="1" si="4"/>
        <v>54</v>
      </c>
      <c r="R20" s="240">
        <f t="shared" ca="1" si="5"/>
        <v>2</v>
      </c>
      <c r="S20" s="238">
        <f t="shared" ca="1" si="6"/>
        <v>5</v>
      </c>
      <c r="T20" s="239">
        <f t="shared" si="7"/>
        <v>2</v>
      </c>
      <c r="U20" s="240">
        <f t="shared" ca="1" si="8"/>
        <v>5</v>
      </c>
      <c r="W20" s="36">
        <f t="shared" ca="1" si="9"/>
        <v>1</v>
      </c>
      <c r="X20" s="36">
        <f ca="1">IF(ISNUMBER($A20),$W20*(Methuselahs!$A$4+1)+$A20,"")</f>
        <v>56</v>
      </c>
      <c r="Y20" s="36">
        <f t="shared" ca="1" si="10"/>
        <v>1</v>
      </c>
      <c r="Z20" s="36">
        <f ca="1">IF(ISNUMBER($A20),VLOOKUP($A20,Methuselahs!$A$7:$X$206,5),"")</f>
        <v>9370279301</v>
      </c>
      <c r="AA20" s="36">
        <f t="shared" ca="1" si="11"/>
        <v>1</v>
      </c>
    </row>
    <row r="21" spans="1:27" ht="12.95" customHeight="1" x14ac:dyDescent="0.2">
      <c r="A21" s="255">
        <f ca="1">IF(OR(ISBLANK('Tournament Info'!$B$11),'Tournament Info'!$B$11&lt;&gt;4),"",INDIRECT(ADDRESS(ROW(),3,1,1,"Optimal Seating "&amp;'Tournament Info'!$B$11-1&amp;"R+F")))</f>
        <v>26</v>
      </c>
      <c r="B21" s="256">
        <f ca="1">IF(ISNUMBER(A21),VLOOKUP(A21,Methuselahs!$A$7:$E$206,2,0),"")</f>
        <v>0</v>
      </c>
      <c r="C21" s="257">
        <f ca="1">IF(ISNUMBER(A21),VLOOKUP(A21,Methuselahs!$A$7:$E$206,3,0),"")</f>
        <v>0</v>
      </c>
      <c r="D21" s="258">
        <f t="shared" ca="1" si="0"/>
        <v>3</v>
      </c>
      <c r="E21" s="259"/>
      <c r="F21" s="398">
        <f t="shared" si="1"/>
        <v>0</v>
      </c>
      <c r="G21" s="244">
        <f t="shared" ca="1" si="2"/>
        <v>0</v>
      </c>
      <c r="H21" s="245">
        <f ca="1">IF(ISNUMBER(A21),IF(OR($S21=$U21,NOT(ISNA(MATCH($D21*5+$V$4,Override!$C$6:$C$125,0)))),$Q21,0),"")</f>
        <v>18</v>
      </c>
      <c r="I21" s="147">
        <f t="shared" ca="1" si="3"/>
        <v>4</v>
      </c>
      <c r="J21" s="260">
        <f ca="1">COUNT(A17:A21)</f>
        <v>5</v>
      </c>
      <c r="K21" s="261">
        <f ca="1">IF(ISNUMBER(A21),RANK(F21,F17:F21),"")</f>
        <v>4</v>
      </c>
      <c r="L21" s="262">
        <f ca="1">IF(J21=5,VLOOKUP(K21,TPMatrix!$A$6:$B$10,2,0),IF(J21=4,VLOOKUP(K21,TPMatrix!$D$6:$E$9,2,0),0))</f>
        <v>24</v>
      </c>
      <c r="M21" s="262">
        <f ca="1">IF(COUNTIF(K17:K21,K21)&gt;=2,IF(J21=5,VLOOKUP(K21+1,TPMatrix!$A$6:$B$10,2,0),IF(J21=4,VLOOKUP(K21+1,TPMatrix!$D$6:$E$9,2,0),0)),"")</f>
        <v>12</v>
      </c>
      <c r="N21" s="262" t="str">
        <f ca="1">IF(COUNTIF(K17:K21,K21)&gt;=3,IF(J21=5,VLOOKUP(K21+2,TPMatrix!$A$6:$B$10,2,0),IF(J21=4,VLOOKUP(K21+2,TPMatrix!$D$6:$E$9,2,0),0)),"")</f>
        <v/>
      </c>
      <c r="O21" s="262" t="str">
        <f ca="1">IF(COUNTIF(K17:K21,K21)&gt;=4,IF(J21=5,VLOOKUP(K21+3,TPMatrix!$A$6:$B$10,2,0),IF(J21=4,VLOOKUP(K21+3,TPMatrix!$D$6:$E$9,2,0),0)),"")</f>
        <v/>
      </c>
      <c r="P21" s="262" t="str">
        <f ca="1">IF(COUNTIF(K17:K21,K21)&gt;=5,IF(J21=5,VLOOKUP(K21+4,TPMatrix!$A$6:$B$10,2,0),IF(J21=4,VLOOKUP(K21+4,TPMatrix!$D$6:$E$9,2,0),0)),"")</f>
        <v/>
      </c>
      <c r="Q21" s="262">
        <f t="shared" ca="1" si="4"/>
        <v>18</v>
      </c>
      <c r="R21" s="263">
        <f t="shared" ca="1" si="5"/>
        <v>2</v>
      </c>
      <c r="S21" s="261">
        <f t="shared" ca="1" si="6"/>
        <v>5</v>
      </c>
      <c r="T21" s="262">
        <f t="shared" si="7"/>
        <v>0</v>
      </c>
      <c r="U21" s="263">
        <f t="shared" ca="1" si="8"/>
        <v>5</v>
      </c>
      <c r="W21" s="36">
        <f t="shared" ca="1" si="9"/>
        <v>4</v>
      </c>
      <c r="X21" s="36">
        <f ca="1">IF(ISNUMBER($A21),$W21*(Methuselahs!$A$4+1)+$A21,"")</f>
        <v>158</v>
      </c>
      <c r="Y21" s="36">
        <f t="shared" ca="1" si="10"/>
        <v>5</v>
      </c>
      <c r="Z21" s="36">
        <f ca="1">IF(ISNUMBER($A21),VLOOKUP($A21,Methuselahs!$A$7:$X$206,5),"")</f>
        <v>8261671295</v>
      </c>
      <c r="AA21" s="36">
        <f t="shared" ca="1" si="11"/>
        <v>4</v>
      </c>
    </row>
    <row r="22" spans="1:27" ht="12.95" customHeight="1" x14ac:dyDescent="0.2">
      <c r="A22" s="219">
        <f ca="1">IF(OR(ISBLANK('Tournament Info'!$B$11),'Tournament Info'!$B$11&lt;&gt;4),"",INDIRECT(ADDRESS(ROW(),3,1,1,"Optimal Seating "&amp;'Tournament Info'!$B$11-1&amp;"R+F")))</f>
        <v>17</v>
      </c>
      <c r="B22" s="143">
        <f ca="1">IF(ISNUMBER(A22),VLOOKUP(A22,Methuselahs!$A$7:$E$206,2,0),"")</f>
        <v>0</v>
      </c>
      <c r="C22" s="220">
        <f ca="1">IF(ISNUMBER(A22),VLOOKUP(A22,Methuselahs!$A$7:$E$206,3,0),"")</f>
        <v>0</v>
      </c>
      <c r="D22" s="221">
        <f t="shared" ca="1" si="0"/>
        <v>4</v>
      </c>
      <c r="E22" s="222"/>
      <c r="F22" s="393">
        <f t="shared" si="1"/>
        <v>0</v>
      </c>
      <c r="G22" s="223">
        <f t="shared" ca="1" si="2"/>
        <v>0</v>
      </c>
      <c r="H22" s="224">
        <f ca="1">IF(ISNUMBER(A22),IF(OR($S22=$U22,NOT(ISNA(MATCH($D22*5+$V$4,Override!$C$6:$C$125,0)))),$Q22,0),"")</f>
        <v>24</v>
      </c>
      <c r="I22" s="406">
        <f t="shared" ca="1" si="3"/>
        <v>3</v>
      </c>
      <c r="J22" s="225">
        <f ca="1">COUNT(A22:A26)</f>
        <v>5</v>
      </c>
      <c r="K22" s="226">
        <f ca="1">IF(ISNUMBER(A22),RANK(F22,F22:F26),"")</f>
        <v>3</v>
      </c>
      <c r="L22" s="227">
        <f ca="1">IF(J22=5,VLOOKUP(K22,TPMatrix!$A$6:$B$10,2,0),IF(J22=4,VLOOKUP(K22,TPMatrix!$D$6:$E$9,2,0),0))</f>
        <v>36</v>
      </c>
      <c r="M22" s="227">
        <f ca="1">IF(COUNTIF(K22:K26,K22)&gt;=2,IF(J22=5,VLOOKUP(K22+1,TPMatrix!$A$6:$B$10,2,0),IF(J22=4,VLOOKUP(K22+1,TPMatrix!$D$6:$E$9,2,0),0)),"")</f>
        <v>24</v>
      </c>
      <c r="N22" s="227">
        <f ca="1">IF(COUNTIF(K22:K26,K22)&gt;=3,IF(J22=5,VLOOKUP(K22+2,TPMatrix!$A$6:$B$10,2,0),IF(J22=4,VLOOKUP(K22+2,TPMatrix!$D$6:$E$9,2,0),0)),"")</f>
        <v>12</v>
      </c>
      <c r="O22" s="227" t="str">
        <f ca="1">IF(COUNTIF(K22:K26,K22)&gt;=4,IF(J22=5,VLOOKUP(K22+3,TPMatrix!$A$6:$B$10,2,0),IF(J22=4,VLOOKUP(K22+3,TPMatrix!$D$6:$E$9,2,0),0)),"")</f>
        <v/>
      </c>
      <c r="P22" s="227" t="str">
        <f ca="1">IF(COUNTIF(K22:K26,K22)&gt;=5,IF(J22=5,VLOOKUP(K22+4,TPMatrix!$A$6:$B$10,2,0),IF(J22=4,VLOOKUP(K22+4,TPMatrix!$D$6:$E$9,2,0),0)),"")</f>
        <v/>
      </c>
      <c r="Q22" s="227">
        <f t="shared" ca="1" si="4"/>
        <v>24</v>
      </c>
      <c r="R22" s="228">
        <f t="shared" ca="1" si="5"/>
        <v>3</v>
      </c>
      <c r="S22" s="229">
        <f t="shared" ca="1" si="6"/>
        <v>5</v>
      </c>
      <c r="T22" s="230">
        <f t="shared" si="7"/>
        <v>0</v>
      </c>
      <c r="U22" s="231">
        <f t="shared" ca="1" si="8"/>
        <v>5</v>
      </c>
      <c r="W22" s="36">
        <f t="shared" ca="1" si="9"/>
        <v>3</v>
      </c>
      <c r="X22" s="36">
        <f ca="1">IF(ISNUMBER($A22),$W22*(Methuselahs!$A$4+1)+$A22,"")</f>
        <v>116</v>
      </c>
      <c r="Y22" s="36">
        <f t="shared" ca="1" si="10"/>
        <v>4</v>
      </c>
      <c r="Z22" s="36">
        <f ca="1">IF(ISNUMBER($A22),VLOOKUP($A22,Methuselahs!$A$7:$X$206,5),"")</f>
        <v>1028087486</v>
      </c>
      <c r="AA22" s="36">
        <f t="shared" ca="1" si="11"/>
        <v>3</v>
      </c>
    </row>
    <row r="23" spans="1:27" ht="12.95" customHeight="1" x14ac:dyDescent="0.2">
      <c r="A23" s="111">
        <f ca="1">IF(OR(ISBLANK('Tournament Info'!$B$11),'Tournament Info'!$B$11&lt;&gt;4),"",INDIRECT(ADDRESS(ROW(),3,1,1,"Optimal Seating "&amp;'Tournament Info'!$B$11-1&amp;"R+F")))</f>
        <v>28</v>
      </c>
      <c r="B23" s="117">
        <f ca="1">IF(ISNUMBER(A23),VLOOKUP(A23,Methuselahs!$A$7:$E$206,2,0),"")</f>
        <v>0</v>
      </c>
      <c r="C23" s="232">
        <f ca="1">IF(ISNUMBER(A23),VLOOKUP(A23,Methuselahs!$A$7:$E$206,3,0),"")</f>
        <v>0</v>
      </c>
      <c r="D23" s="233">
        <f t="shared" ca="1" si="0"/>
        <v>4</v>
      </c>
      <c r="E23" s="234">
        <v>3</v>
      </c>
      <c r="F23" s="118">
        <f t="shared" si="1"/>
        <v>3</v>
      </c>
      <c r="G23" s="235">
        <f t="shared" ca="1" si="2"/>
        <v>1</v>
      </c>
      <c r="H23" s="236">
        <f ca="1">IF(ISNUMBER(A23),IF(OR($S23=$U23,NOT(ISNA(MATCH($D23*5+$V$4,Override!$C$6:$C$125,0)))),$Q23,0),"")</f>
        <v>60</v>
      </c>
      <c r="I23" s="121">
        <f t="shared" ca="1" si="3"/>
        <v>1</v>
      </c>
      <c r="J23" s="237">
        <f ca="1">COUNT(A22:A26)</f>
        <v>5</v>
      </c>
      <c r="K23" s="238">
        <f ca="1">IF(ISNUMBER(A23),RANK(F23,F22:F26),"")</f>
        <v>1</v>
      </c>
      <c r="L23" s="239">
        <f ca="1">IF(J23=5,VLOOKUP(K23,TPMatrix!$A$6:$B$10,2,0),IF(J23=4,VLOOKUP(K23,TPMatrix!$D$6:$E$9,2,0),0))</f>
        <v>60</v>
      </c>
      <c r="M23" s="239" t="str">
        <f ca="1">IF(COUNTIF(K22:K26,K23)&gt;=2,IF(J23=5,VLOOKUP(K23+1,TPMatrix!$A$6:$B$10,2,0),IF(J23=4,VLOOKUP(K23+1,TPMatrix!$D$6:$E$9,2,0),0)),"")</f>
        <v/>
      </c>
      <c r="N23" s="239" t="str">
        <f ca="1">IF(COUNTIF(K22:K26,K23)&gt;=3,IF(J23=5,VLOOKUP(K23+2,TPMatrix!$A$6:$B$10,2,0),IF(J23=4,VLOOKUP(K23+2,TPMatrix!$D$6:$E$9,2,0),0)),"")</f>
        <v/>
      </c>
      <c r="O23" s="239" t="str">
        <f ca="1">IF(COUNTIF(K22:K26,K23)&gt;=4,IF(J23=5,VLOOKUP(K23+3,TPMatrix!$A$6:$B$10,2,0),IF(J23=4,VLOOKUP(K23+3,TPMatrix!$D$6:$E$9,2,0),0)),"")</f>
        <v/>
      </c>
      <c r="P23" s="239" t="str">
        <f ca="1">IF(COUNTIF(K22:K26,K23)&gt;=5,IF(J23=5,VLOOKUP(K23+4,TPMatrix!$A$6:$B$10,2,0),IF(J23=4,VLOOKUP(K23+4,TPMatrix!$D$6:$E$9,2,0),0)),"")</f>
        <v/>
      </c>
      <c r="Q23" s="239">
        <f t="shared" ca="1" si="4"/>
        <v>60</v>
      </c>
      <c r="R23" s="240">
        <f t="shared" ca="1" si="5"/>
        <v>1</v>
      </c>
      <c r="S23" s="238">
        <f t="shared" ca="1" si="6"/>
        <v>5</v>
      </c>
      <c r="T23" s="239">
        <f t="shared" si="7"/>
        <v>3</v>
      </c>
      <c r="U23" s="240">
        <f t="shared" ca="1" si="8"/>
        <v>5</v>
      </c>
      <c r="W23" s="36">
        <f t="shared" ca="1" si="9"/>
        <v>1</v>
      </c>
      <c r="X23" s="36">
        <f ca="1">IF(ISNUMBER($A23),$W23*(Methuselahs!$A$4+1)+$A23,"")</f>
        <v>61</v>
      </c>
      <c r="Y23" s="36">
        <f t="shared" ca="1" si="10"/>
        <v>1</v>
      </c>
      <c r="Z23" s="36">
        <f ca="1">IF(ISNUMBER($A23),VLOOKUP($A23,Methuselahs!$A$7:$X$206,5),"")</f>
        <v>5521202573</v>
      </c>
      <c r="AA23" s="36">
        <f t="shared" ca="1" si="11"/>
        <v>1</v>
      </c>
    </row>
    <row r="24" spans="1:27" ht="12.95" customHeight="1" x14ac:dyDescent="0.2">
      <c r="A24" s="137">
        <f ca="1">IF(OR(ISBLANK('Tournament Info'!$B$11),'Tournament Info'!$B$11&lt;&gt;4),"",INDIRECT(ADDRESS(ROW(),3,1,1,"Optimal Seating "&amp;'Tournament Info'!$B$11-1&amp;"R+F")))</f>
        <v>14</v>
      </c>
      <c r="B24" s="143">
        <f ca="1">IF(ISNUMBER(A24),VLOOKUP(A24,Methuselahs!$A$7:$E$206,2,0),"")</f>
        <v>0</v>
      </c>
      <c r="C24" s="241">
        <f ca="1">IF(ISNUMBER(A24),VLOOKUP(A24,Methuselahs!$A$7:$E$206,3,0),"")</f>
        <v>0</v>
      </c>
      <c r="D24" s="242">
        <f t="shared" ca="1" si="0"/>
        <v>4</v>
      </c>
      <c r="E24" s="243"/>
      <c r="F24" s="144">
        <f t="shared" si="1"/>
        <v>0</v>
      </c>
      <c r="G24" s="244">
        <f t="shared" ca="1" si="2"/>
        <v>0</v>
      </c>
      <c r="H24" s="245">
        <f ca="1">IF(ISNUMBER(A24),IF(OR($S24=$U24,NOT(ISNA(MATCH($D24*5+$V$4,Override!$C$6:$C$125,0)))),$Q24,0),"")</f>
        <v>24</v>
      </c>
      <c r="I24" s="147">
        <f t="shared" ca="1" si="3"/>
        <v>3</v>
      </c>
      <c r="J24" s="246">
        <f ca="1">COUNT(A22:A26)</f>
        <v>5</v>
      </c>
      <c r="K24" s="247">
        <f ca="1">IF(ISNUMBER(A24),RANK(F24,F22:F26),"")</f>
        <v>3</v>
      </c>
      <c r="L24" s="142">
        <f ca="1">IF(J24=5,VLOOKUP(K24,TPMatrix!$A$6:$B$10,2,0),IF(J24=4,VLOOKUP(K24,TPMatrix!$D$6:$E$9,2,0),0))</f>
        <v>36</v>
      </c>
      <c r="M24" s="142">
        <f ca="1">IF(COUNTIF(K22:K26,K24)&gt;=2,IF(J24=5,VLOOKUP(K24+1,TPMatrix!$A$6:$B$10,2,0),IF(J24=4,VLOOKUP(K24+1,TPMatrix!$D$6:$E$9,2,0),0)),"")</f>
        <v>24</v>
      </c>
      <c r="N24" s="142">
        <f ca="1">IF(COUNTIF(K22:K26,K24)&gt;=3,IF(J24=5,VLOOKUP(K24+2,TPMatrix!$A$6:$B$10,2,0),IF(J24=4,VLOOKUP(K24+2,TPMatrix!$D$6:$E$9,2,0),0)),"")</f>
        <v>12</v>
      </c>
      <c r="O24" s="142" t="str">
        <f ca="1">IF(COUNTIF(K22:K26,K24)&gt;=4,IF(J24=5,VLOOKUP(K24+3,TPMatrix!$A$6:$B$10,2,0),IF(J24=4,VLOOKUP(K24+3,TPMatrix!$D$6:$E$9,2,0),0)),"")</f>
        <v/>
      </c>
      <c r="P24" s="142" t="str">
        <f ca="1">IF(COUNTIF(K22:K26,K24)&gt;=5,IF(J24=5,VLOOKUP(K24+4,TPMatrix!$A$6:$B$10,2,0),IF(J24=4,VLOOKUP(K24+4,TPMatrix!$D$6:$E$9,2,0),0)),"")</f>
        <v/>
      </c>
      <c r="Q24" s="142">
        <f t="shared" ca="1" si="4"/>
        <v>24</v>
      </c>
      <c r="R24" s="248">
        <f t="shared" ca="1" si="5"/>
        <v>3</v>
      </c>
      <c r="S24" s="247">
        <f t="shared" ca="1" si="6"/>
        <v>5</v>
      </c>
      <c r="T24" s="142">
        <f t="shared" si="7"/>
        <v>0</v>
      </c>
      <c r="U24" s="248">
        <f t="shared" ca="1" si="8"/>
        <v>5</v>
      </c>
      <c r="W24" s="36">
        <f t="shared" ca="1" si="9"/>
        <v>3</v>
      </c>
      <c r="X24" s="36">
        <f ca="1">IF(ISNUMBER($A24),$W24*(Methuselahs!$A$4+1)+$A24,"")</f>
        <v>113</v>
      </c>
      <c r="Y24" s="36">
        <f t="shared" ca="1" si="10"/>
        <v>3</v>
      </c>
      <c r="Z24" s="36">
        <f ca="1">IF(ISNUMBER($A24),VLOOKUP($A24,Methuselahs!$A$7:$X$206,5),"")</f>
        <v>0</v>
      </c>
      <c r="AA24" s="36">
        <f t="shared" ca="1" si="11"/>
        <v>3</v>
      </c>
    </row>
    <row r="25" spans="1:27" ht="12.95" customHeight="1" x14ac:dyDescent="0.2">
      <c r="A25" s="249">
        <f ca="1">IF(OR(ISBLANK('Tournament Info'!$B$11),'Tournament Info'!$B$11&lt;&gt;4),"",INDIRECT(ADDRESS(ROW(),3,1,1,"Optimal Seating "&amp;'Tournament Info'!$B$11-1&amp;"R+F")))</f>
        <v>30</v>
      </c>
      <c r="B25" s="250">
        <f ca="1">IF(ISNUMBER(A25),VLOOKUP(A25,Methuselahs!$A$7:$E$206,2,0),"")</f>
        <v>0</v>
      </c>
      <c r="C25" s="251">
        <f ca="1">IF(ISNUMBER(A25),VLOOKUP(A25,Methuselahs!$A$7:$E$206,3,0),"")</f>
        <v>0</v>
      </c>
      <c r="D25" s="252">
        <f t="shared" ca="1" si="0"/>
        <v>4</v>
      </c>
      <c r="E25" s="253"/>
      <c r="F25" s="397">
        <f t="shared" si="1"/>
        <v>0</v>
      </c>
      <c r="G25" s="235">
        <f t="shared" ca="1" si="2"/>
        <v>0</v>
      </c>
      <c r="H25" s="236">
        <f ca="1">IF(ISNUMBER(A25),IF(OR($S25=$U25,NOT(ISNA(MATCH($D25*5+$V$4,Override!$C$6:$C$125,0)))),$Q25,0),"")</f>
        <v>24</v>
      </c>
      <c r="I25" s="121">
        <f t="shared" ca="1" si="3"/>
        <v>3</v>
      </c>
      <c r="J25" s="254">
        <f ca="1">COUNT(A22:A26)</f>
        <v>5</v>
      </c>
      <c r="K25" s="238">
        <f ca="1">IF(ISNUMBER(A25),RANK(F25,F22:F26),"")</f>
        <v>3</v>
      </c>
      <c r="L25" s="239">
        <f ca="1">IF(J25=5,VLOOKUP(K25,TPMatrix!$A$6:$B$10,2,0),IF(J25=4,VLOOKUP(K25,TPMatrix!$D$6:$E$9,2,0),0))</f>
        <v>36</v>
      </c>
      <c r="M25" s="239">
        <f ca="1">IF(COUNTIF(K22:K26,K25)&gt;=2,IF(J25=5,VLOOKUP(K25+1,TPMatrix!$A$6:$B$10,2,0),IF(J25=4,VLOOKUP(K25+1,TPMatrix!$D$6:$E$9,2,0),0)),"")</f>
        <v>24</v>
      </c>
      <c r="N25" s="239">
        <f ca="1">IF(COUNTIF(K22:K26,K25)&gt;=3,IF(J25=5,VLOOKUP(K25+2,TPMatrix!$A$6:$B$10,2,0),IF(J25=4,VLOOKUP(K25+2,TPMatrix!$D$6:$E$9,2,0),0)),"")</f>
        <v>12</v>
      </c>
      <c r="O25" s="239" t="str">
        <f ca="1">IF(COUNTIF(K22:K26,K25)&gt;=4,IF(J25=5,VLOOKUP(K25+3,TPMatrix!$A$6:$B$10,2,0),IF(J25=4,VLOOKUP(K25+3,TPMatrix!$D$6:$E$9,2,0),0)),"")</f>
        <v/>
      </c>
      <c r="P25" s="239" t="str">
        <f ca="1">IF(COUNTIF(K22:K26,K25)&gt;=5,IF(J25=5,VLOOKUP(K25+4,TPMatrix!$A$6:$B$10,2,0),IF(J25=4,VLOOKUP(K25+4,TPMatrix!$D$6:$E$9,2,0),0)),"")</f>
        <v/>
      </c>
      <c r="Q25" s="239">
        <f t="shared" ca="1" si="4"/>
        <v>24</v>
      </c>
      <c r="R25" s="240">
        <f t="shared" ca="1" si="5"/>
        <v>3</v>
      </c>
      <c r="S25" s="238">
        <f t="shared" ca="1" si="6"/>
        <v>5</v>
      </c>
      <c r="T25" s="239">
        <f t="shared" si="7"/>
        <v>0</v>
      </c>
      <c r="U25" s="240">
        <f t="shared" ca="1" si="8"/>
        <v>5</v>
      </c>
      <c r="W25" s="36">
        <f t="shared" ca="1" si="9"/>
        <v>3</v>
      </c>
      <c r="X25" s="36">
        <f ca="1">IF(ISNUMBER($A25),$W25*(Methuselahs!$A$4+1)+$A25,"")</f>
        <v>129</v>
      </c>
      <c r="Y25" s="36">
        <f t="shared" ca="1" si="10"/>
        <v>3</v>
      </c>
      <c r="Z25" s="36">
        <f ca="1">IF(ISNUMBER($A25),VLOOKUP($A25,Methuselahs!$A$7:$X$206,5),"")</f>
        <v>5521202573</v>
      </c>
      <c r="AA25" s="36">
        <f t="shared" ca="1" si="11"/>
        <v>3</v>
      </c>
    </row>
    <row r="26" spans="1:27" ht="12.95" customHeight="1" x14ac:dyDescent="0.2">
      <c r="A26" s="255">
        <f ca="1">IF(OR(ISBLANK('Tournament Info'!$B$11),'Tournament Info'!$B$11&lt;&gt;4),"",INDIRECT(ADDRESS(ROW(),3,1,1,"Optimal Seating "&amp;'Tournament Info'!$B$11-1&amp;"R+F")))</f>
        <v>7</v>
      </c>
      <c r="B26" s="256">
        <f ca="1">IF(ISNUMBER(A26),VLOOKUP(A26,Methuselahs!$A$7:$E$206,2,0),"")</f>
        <v>0</v>
      </c>
      <c r="C26" s="257">
        <f ca="1">IF(ISNUMBER(A26),VLOOKUP(A26,Methuselahs!$A$7:$E$206,3,0),"")</f>
        <v>0</v>
      </c>
      <c r="D26" s="258">
        <f t="shared" ca="1" si="0"/>
        <v>4</v>
      </c>
      <c r="E26" s="259">
        <v>2</v>
      </c>
      <c r="F26" s="398">
        <f t="shared" si="1"/>
        <v>2</v>
      </c>
      <c r="G26" s="244">
        <f t="shared" ca="1" si="2"/>
        <v>0</v>
      </c>
      <c r="H26" s="245">
        <f ca="1">IF(ISNUMBER(A26),IF(OR($S26=$U26,NOT(ISNA(MATCH($D26*5+$V$4,Override!$C$6:$C$125,0)))),$Q26,0),"")</f>
        <v>48</v>
      </c>
      <c r="I26" s="147">
        <f t="shared" ca="1" si="3"/>
        <v>2</v>
      </c>
      <c r="J26" s="260">
        <f ca="1">COUNT(A22:A26)</f>
        <v>5</v>
      </c>
      <c r="K26" s="261">
        <f ca="1">IF(ISNUMBER(A26),RANK(F26,F22:F26),"")</f>
        <v>2</v>
      </c>
      <c r="L26" s="262">
        <f ca="1">IF(J26=5,VLOOKUP(K26,TPMatrix!$A$6:$B$10,2,0),IF(J26=4,VLOOKUP(K26,TPMatrix!$D$6:$E$9,2,0),0))</f>
        <v>48</v>
      </c>
      <c r="M26" s="262" t="str">
        <f ca="1">IF(COUNTIF(K22:K26,K26)&gt;=2,IF(J26=5,VLOOKUP(K26+1,TPMatrix!$A$6:$B$10,2,0),IF(J26=4,VLOOKUP(K26+1,TPMatrix!$D$6:$E$9,2,0),0)),"")</f>
        <v/>
      </c>
      <c r="N26" s="262" t="str">
        <f ca="1">IF(COUNTIF(K22:K26,K26)&gt;=3,IF(J26=5,VLOOKUP(K26+2,TPMatrix!$A$6:$B$10,2,0),IF(J26=4,VLOOKUP(K26+2,TPMatrix!$D$6:$E$9,2,0),0)),"")</f>
        <v/>
      </c>
      <c r="O26" s="262" t="str">
        <f ca="1">IF(COUNTIF(K22:K26,K26)&gt;=4,IF(J26=5,VLOOKUP(K26+3,TPMatrix!$A$6:$B$10,2,0),IF(J26=4,VLOOKUP(K26+3,TPMatrix!$D$6:$E$9,2,0),0)),"")</f>
        <v/>
      </c>
      <c r="P26" s="262" t="str">
        <f ca="1">IF(COUNTIF(K22:K26,K26)&gt;=5,IF(J26=5,VLOOKUP(K26+4,TPMatrix!$A$6:$B$10,2,0),IF(J26=4,VLOOKUP(K26+4,TPMatrix!$D$6:$E$9,2,0),0)),"")</f>
        <v/>
      </c>
      <c r="Q26" s="262">
        <f t="shared" ca="1" si="4"/>
        <v>48</v>
      </c>
      <c r="R26" s="263">
        <f t="shared" ca="1" si="5"/>
        <v>1</v>
      </c>
      <c r="S26" s="261">
        <f t="shared" ca="1" si="6"/>
        <v>5</v>
      </c>
      <c r="T26" s="262">
        <f t="shared" si="7"/>
        <v>2</v>
      </c>
      <c r="U26" s="263">
        <f t="shared" ca="1" si="8"/>
        <v>5</v>
      </c>
      <c r="W26" s="36">
        <f t="shared" ca="1" si="9"/>
        <v>2</v>
      </c>
      <c r="X26" s="36">
        <f ca="1">IF(ISNUMBER($A26),$W26*(Methuselahs!$A$4+1)+$A26,"")</f>
        <v>73</v>
      </c>
      <c r="Y26" s="36">
        <f t="shared" ca="1" si="10"/>
        <v>2</v>
      </c>
      <c r="Z26" s="36">
        <f ca="1">IF(ISNUMBER($A26),VLOOKUP($A26,Methuselahs!$A$7:$X$206,5),"")</f>
        <v>0</v>
      </c>
      <c r="AA26" s="36">
        <f t="shared" ca="1" si="11"/>
        <v>2</v>
      </c>
    </row>
    <row r="27" spans="1:27" ht="12.95" customHeight="1" x14ac:dyDescent="0.2">
      <c r="A27" s="219">
        <f ca="1">IF(OR(ISBLANK('Tournament Info'!$B$11),'Tournament Info'!$B$11&lt;&gt;4),"",INDIRECT(ADDRESS(ROW(),3,1,1,"Optimal Seating "&amp;'Tournament Info'!$B$11-1&amp;"R+F")))</f>
        <v>24</v>
      </c>
      <c r="B27" s="143">
        <f ca="1">IF(ISNUMBER(A27),VLOOKUP(A27,Methuselahs!$A$7:$E$206,2,0),"")</f>
        <v>0</v>
      </c>
      <c r="C27" s="220">
        <f ca="1">IF(ISNUMBER(A27),VLOOKUP(A27,Methuselahs!$A$7:$E$206,3,0),"")</f>
        <v>0</v>
      </c>
      <c r="D27" s="221">
        <f t="shared" ca="1" si="0"/>
        <v>5</v>
      </c>
      <c r="E27" s="222"/>
      <c r="F27" s="393">
        <f t="shared" si="1"/>
        <v>0</v>
      </c>
      <c r="G27" s="223">
        <f t="shared" ca="1" si="2"/>
        <v>0</v>
      </c>
      <c r="H27" s="224">
        <f ca="1">IF(ISNUMBER(A27),IF(OR($S27=$U27,NOT(ISNA(MATCH($D27*5+$V$4,Override!$C$6:$C$125,0)))),$Q27,0),"")</f>
        <v>18</v>
      </c>
      <c r="I27" s="406">
        <f t="shared" ca="1" si="3"/>
        <v>4</v>
      </c>
      <c r="J27" s="225">
        <f ca="1">COUNT(A27:A31)</f>
        <v>4</v>
      </c>
      <c r="K27" s="226">
        <f ca="1">IF(ISNUMBER(A27),RANK(F27,F27:F31),"")</f>
        <v>3</v>
      </c>
      <c r="L27" s="227">
        <f ca="1">IF(J27=5,VLOOKUP(K27,TPMatrix!$A$6:$B$10,2,0),IF(J27=4,VLOOKUP(K27,TPMatrix!$D$6:$E$9,2,0),0))</f>
        <v>24</v>
      </c>
      <c r="M27" s="227">
        <f ca="1">IF(COUNTIF(K27:K31,K27)&gt;=2,IF(J27=5,VLOOKUP(K27+1,TPMatrix!$A$6:$B$10,2,0),IF(J27=4,VLOOKUP(K27+1,TPMatrix!$D$6:$E$9,2,0),0)),"")</f>
        <v>12</v>
      </c>
      <c r="N27" s="227" t="str">
        <f ca="1">IF(COUNTIF(K27:K31,K27)&gt;=3,IF(J27=5,VLOOKUP(K27+2,TPMatrix!$A$6:$B$10,2,0),IF(J27=4,VLOOKUP(K27+2,TPMatrix!$D$6:$E$9,2,0),0)),"")</f>
        <v/>
      </c>
      <c r="O27" s="227" t="str">
        <f ca="1">IF(COUNTIF(K27:K31,K27)&gt;=4,IF(J27=5,VLOOKUP(K27+3,TPMatrix!$A$6:$B$10,2,0),IF(J27=4,VLOOKUP(K27+3,TPMatrix!$D$6:$E$9,2,0),0)),"")</f>
        <v/>
      </c>
      <c r="P27" s="227" t="str">
        <f ca="1">IF(COUNTIF(K27:K31,K27)&gt;=5,IF(J27=5,VLOOKUP(K27+4,TPMatrix!$A$6:$B$10,2,0),IF(J27=4,VLOOKUP(K27+4,TPMatrix!$D$6:$E$9,2,0),0)),"")</f>
        <v/>
      </c>
      <c r="Q27" s="227">
        <f t="shared" ca="1" si="4"/>
        <v>18</v>
      </c>
      <c r="R27" s="228">
        <f t="shared" ca="1" si="5"/>
        <v>2</v>
      </c>
      <c r="S27" s="229">
        <f t="shared" ca="1" si="6"/>
        <v>4</v>
      </c>
      <c r="T27" s="230">
        <f t="shared" si="7"/>
        <v>0</v>
      </c>
      <c r="U27" s="231">
        <f t="shared" ca="1" si="8"/>
        <v>4</v>
      </c>
      <c r="W27" s="36">
        <f t="shared" ca="1" si="9"/>
        <v>4</v>
      </c>
      <c r="X27" s="36">
        <f ca="1">IF(ISNUMBER($A27),$W27*(Methuselahs!$A$4+1)+$A27,"")</f>
        <v>156</v>
      </c>
      <c r="Y27" s="36">
        <f t="shared" ca="1" si="10"/>
        <v>4</v>
      </c>
      <c r="Z27" s="36">
        <f ca="1">IF(ISNUMBER($A27),VLOOKUP($A27,Methuselahs!$A$7:$X$206,5),"")</f>
        <v>9370279301</v>
      </c>
      <c r="AA27" s="36">
        <f t="shared" ca="1" si="11"/>
        <v>4</v>
      </c>
    </row>
    <row r="28" spans="1:27" ht="12.95" customHeight="1" x14ac:dyDescent="0.2">
      <c r="A28" s="111">
        <f ca="1">IF(OR(ISBLANK('Tournament Info'!$B$11),'Tournament Info'!$B$11&lt;&gt;4),"",INDIRECT(ADDRESS(ROW(),3,1,1,"Optimal Seating "&amp;'Tournament Info'!$B$11-1&amp;"R+F")))</f>
        <v>11</v>
      </c>
      <c r="B28" s="117">
        <f ca="1">IF(ISNUMBER(A28),VLOOKUP(A28,Methuselahs!$A$7:$E$206,2,0),"")</f>
        <v>0</v>
      </c>
      <c r="C28" s="232">
        <f ca="1">IF(ISNUMBER(A28),VLOOKUP(A28,Methuselahs!$A$7:$E$206,3,0),"")</f>
        <v>0</v>
      </c>
      <c r="D28" s="233">
        <f t="shared" ca="1" si="0"/>
        <v>5</v>
      </c>
      <c r="E28" s="234">
        <v>3</v>
      </c>
      <c r="F28" s="118">
        <f t="shared" si="1"/>
        <v>3</v>
      </c>
      <c r="G28" s="235">
        <f t="shared" ca="1" si="2"/>
        <v>1</v>
      </c>
      <c r="H28" s="236">
        <f ca="1">IF(ISNUMBER(A28),IF(OR($S28=$U28,NOT(ISNA(MATCH($D28*5+$V$4,Override!$C$6:$C$125,0)))),$Q28,0),"")</f>
        <v>60</v>
      </c>
      <c r="I28" s="121">
        <f t="shared" ca="1" si="3"/>
        <v>1</v>
      </c>
      <c r="J28" s="237">
        <f ca="1">COUNT(A27:A31)</f>
        <v>4</v>
      </c>
      <c r="K28" s="238">
        <f ca="1">IF(ISNUMBER(A28),RANK(F28,F27:F31),"")</f>
        <v>1</v>
      </c>
      <c r="L28" s="239">
        <f ca="1">IF(J28=5,VLOOKUP(K28,TPMatrix!$A$6:$B$10,2,0),IF(J28=4,VLOOKUP(K28,TPMatrix!$D$6:$E$9,2,0),0))</f>
        <v>60</v>
      </c>
      <c r="M28" s="239" t="str">
        <f ca="1">IF(COUNTIF(K27:K31,K28)&gt;=2,IF(J28=5,VLOOKUP(K28+1,TPMatrix!$A$6:$B$10,2,0),IF(J28=4,VLOOKUP(K28+1,TPMatrix!$D$6:$E$9,2,0),0)),"")</f>
        <v/>
      </c>
      <c r="N28" s="239" t="str">
        <f ca="1">IF(COUNTIF(K27:K31,K28)&gt;=3,IF(J28=5,VLOOKUP(K28+2,TPMatrix!$A$6:$B$10,2,0),IF(J28=4,VLOOKUP(K28+2,TPMatrix!$D$6:$E$9,2,0),0)),"")</f>
        <v/>
      </c>
      <c r="O28" s="239" t="str">
        <f ca="1">IF(COUNTIF(K27:K31,K28)&gt;=4,IF(J28=5,VLOOKUP(K28+3,TPMatrix!$A$6:$B$10,2,0),IF(J28=4,VLOOKUP(K28+3,TPMatrix!$D$6:$E$9,2,0),0)),"")</f>
        <v/>
      </c>
      <c r="P28" s="239" t="str">
        <f ca="1">IF(COUNTIF(K27:K31,K28)&gt;=5,IF(J28=5,VLOOKUP(K28+4,TPMatrix!$A$6:$B$10,2,0),IF(J28=4,VLOOKUP(K28+4,TPMatrix!$D$6:$E$9,2,0),0)),"")</f>
        <v/>
      </c>
      <c r="Q28" s="239">
        <f t="shared" ca="1" si="4"/>
        <v>60</v>
      </c>
      <c r="R28" s="240">
        <f t="shared" ca="1" si="5"/>
        <v>1</v>
      </c>
      <c r="S28" s="238">
        <f t="shared" ca="1" si="6"/>
        <v>4</v>
      </c>
      <c r="T28" s="239">
        <f t="shared" si="7"/>
        <v>3</v>
      </c>
      <c r="U28" s="240">
        <f t="shared" ca="1" si="8"/>
        <v>4</v>
      </c>
      <c r="W28" s="36">
        <f t="shared" ca="1" si="9"/>
        <v>1</v>
      </c>
      <c r="X28" s="36">
        <f ca="1">IF(ISNUMBER($A28),$W28*(Methuselahs!$A$4+1)+$A28,"")</f>
        <v>44</v>
      </c>
      <c r="Y28" s="36">
        <f t="shared" ca="1" si="10"/>
        <v>1</v>
      </c>
      <c r="Z28" s="36">
        <f ca="1">IF(ISNUMBER($A28),VLOOKUP($A28,Methuselahs!$A$7:$X$206,5),"")</f>
        <v>0</v>
      </c>
      <c r="AA28" s="36">
        <f t="shared" ca="1" si="11"/>
        <v>1</v>
      </c>
    </row>
    <row r="29" spans="1:27" ht="12.95" customHeight="1" x14ac:dyDescent="0.2">
      <c r="A29" s="137">
        <f ca="1">IF(OR(ISBLANK('Tournament Info'!$B$11),'Tournament Info'!$B$11&lt;&gt;4),"",INDIRECT(ADDRESS(ROW(),3,1,1,"Optimal Seating "&amp;'Tournament Info'!$B$11-1&amp;"R+F")))</f>
        <v>6</v>
      </c>
      <c r="B29" s="143">
        <f ca="1">IF(ISNUMBER(A29),VLOOKUP(A29,Methuselahs!$A$7:$E$206,2,0),"")</f>
        <v>0</v>
      </c>
      <c r="C29" s="241">
        <f ca="1">IF(ISNUMBER(A29),VLOOKUP(A29,Methuselahs!$A$7:$E$206,3,0),"")</f>
        <v>0</v>
      </c>
      <c r="D29" s="242">
        <f t="shared" ca="1" si="0"/>
        <v>5</v>
      </c>
      <c r="E29" s="243"/>
      <c r="F29" s="144">
        <f t="shared" si="1"/>
        <v>0</v>
      </c>
      <c r="G29" s="244">
        <f t="shared" ca="1" si="2"/>
        <v>0</v>
      </c>
      <c r="H29" s="245">
        <f ca="1">IF(ISNUMBER(A29),IF(OR($S29=$U29,NOT(ISNA(MATCH($D29*5+$V$4,Override!$C$6:$C$125,0)))),$Q29,0),"")</f>
        <v>18</v>
      </c>
      <c r="I29" s="147">
        <f t="shared" ca="1" si="3"/>
        <v>4</v>
      </c>
      <c r="J29" s="246">
        <f ca="1">COUNT(A27:A31)</f>
        <v>4</v>
      </c>
      <c r="K29" s="247">
        <f ca="1">IF(ISNUMBER(A29),RANK(F29,F27:F31),"")</f>
        <v>3</v>
      </c>
      <c r="L29" s="142">
        <f ca="1">IF(J29=5,VLOOKUP(K29,TPMatrix!$A$6:$B$10,2,0),IF(J29=4,VLOOKUP(K29,TPMatrix!$D$6:$E$9,2,0),0))</f>
        <v>24</v>
      </c>
      <c r="M29" s="142">
        <f ca="1">IF(COUNTIF(K27:K31,K29)&gt;=2,IF(J29=5,VLOOKUP(K29+1,TPMatrix!$A$6:$B$10,2,0),IF(J29=4,VLOOKUP(K29+1,TPMatrix!$D$6:$E$9,2,0),0)),"")</f>
        <v>12</v>
      </c>
      <c r="N29" s="142" t="str">
        <f ca="1">IF(COUNTIF(K27:K31,K29)&gt;=3,IF(J29=5,VLOOKUP(K29+2,TPMatrix!$A$6:$B$10,2,0),IF(J29=4,VLOOKUP(K29+2,TPMatrix!$D$6:$E$9,2,0),0)),"")</f>
        <v/>
      </c>
      <c r="O29" s="142" t="str">
        <f ca="1">IF(COUNTIF(K27:K31,K29)&gt;=4,IF(J29=5,VLOOKUP(K29+3,TPMatrix!$A$6:$B$10,2,0),IF(J29=4,VLOOKUP(K29+3,TPMatrix!$D$6:$E$9,2,0),0)),"")</f>
        <v/>
      </c>
      <c r="P29" s="142" t="str">
        <f ca="1">IF(COUNTIF(K27:K31,K29)&gt;=5,IF(J29=5,VLOOKUP(K29+4,TPMatrix!$A$6:$B$10,2,0),IF(J29=4,VLOOKUP(K29+4,TPMatrix!$D$6:$E$9,2,0),0)),"")</f>
        <v/>
      </c>
      <c r="Q29" s="142">
        <f t="shared" ca="1" si="4"/>
        <v>18</v>
      </c>
      <c r="R29" s="248">
        <f t="shared" ca="1" si="5"/>
        <v>2</v>
      </c>
      <c r="S29" s="247">
        <f t="shared" ca="1" si="6"/>
        <v>4</v>
      </c>
      <c r="T29" s="142">
        <f t="shared" si="7"/>
        <v>0</v>
      </c>
      <c r="U29" s="248">
        <f t="shared" ca="1" si="8"/>
        <v>4</v>
      </c>
      <c r="W29" s="36">
        <f t="shared" ca="1" si="9"/>
        <v>4</v>
      </c>
      <c r="X29" s="36">
        <f ca="1">IF(ISNUMBER($A29),$W29*(Methuselahs!$A$4+1)+$A29,"")</f>
        <v>138</v>
      </c>
      <c r="Y29" s="36">
        <f t="shared" ca="1" si="10"/>
        <v>3</v>
      </c>
      <c r="Z29" s="36">
        <f ca="1">IF(ISNUMBER($A29),VLOOKUP($A29,Methuselahs!$A$7:$X$206,5),"")</f>
        <v>0</v>
      </c>
      <c r="AA29" s="36">
        <f t="shared" ca="1" si="11"/>
        <v>4</v>
      </c>
    </row>
    <row r="30" spans="1:27" ht="12.95" customHeight="1" x14ac:dyDescent="0.2">
      <c r="A30" s="249">
        <f ca="1">IF(OR(ISBLANK('Tournament Info'!$B$11),'Tournament Info'!$B$11&lt;&gt;4),"",INDIRECT(ADDRESS(ROW(),3,1,1,"Optimal Seating "&amp;'Tournament Info'!$B$11-1&amp;"R+F")))</f>
        <v>16</v>
      </c>
      <c r="B30" s="250">
        <f ca="1">IF(ISNUMBER(A30),VLOOKUP(A30,Methuselahs!$A$7:$E$206,2,0),"")</f>
        <v>0</v>
      </c>
      <c r="C30" s="251">
        <f ca="1">IF(ISNUMBER(A30),VLOOKUP(A30,Methuselahs!$A$7:$E$206,3,0),"")</f>
        <v>0</v>
      </c>
      <c r="D30" s="252">
        <f t="shared" ca="1" si="0"/>
        <v>5</v>
      </c>
      <c r="E30" s="253">
        <v>1</v>
      </c>
      <c r="F30" s="397">
        <f t="shared" si="1"/>
        <v>1</v>
      </c>
      <c r="G30" s="235">
        <f t="shared" ca="1" si="2"/>
        <v>0</v>
      </c>
      <c r="H30" s="236">
        <f ca="1">IF(ISNUMBER(A30),IF(OR($S30=$U30,NOT(ISNA(MATCH($D30*5+$V$4,Override!$C$6:$C$125,0)))),$Q30,0),"")</f>
        <v>48</v>
      </c>
      <c r="I30" s="121">
        <f t="shared" ca="1" si="3"/>
        <v>2</v>
      </c>
      <c r="J30" s="254">
        <f ca="1">COUNT(A27:A31)</f>
        <v>4</v>
      </c>
      <c r="K30" s="238">
        <f ca="1">IF(ISNUMBER(A30),RANK(F30,F27:F31),"")</f>
        <v>2</v>
      </c>
      <c r="L30" s="239">
        <f ca="1">IF(J30=5,VLOOKUP(K30,TPMatrix!$A$6:$B$10,2,0),IF(J30=4,VLOOKUP(K30,TPMatrix!$D$6:$E$9,2,0),0))</f>
        <v>48</v>
      </c>
      <c r="M30" s="239" t="str">
        <f ca="1">IF(COUNTIF(K27:K31,K30)&gt;=2,IF(J30=5,VLOOKUP(K30+1,TPMatrix!$A$6:$B$10,2,0),IF(J30=4,VLOOKUP(K30+1,TPMatrix!$D$6:$E$9,2,0),0)),"")</f>
        <v/>
      </c>
      <c r="N30" s="239" t="str">
        <f ca="1">IF(COUNTIF(K27:K31,K30)&gt;=3,IF(J30=5,VLOOKUP(K30+2,TPMatrix!$A$6:$B$10,2,0),IF(J30=4,VLOOKUP(K30+2,TPMatrix!$D$6:$E$9,2,0),0)),"")</f>
        <v/>
      </c>
      <c r="O30" s="239" t="str">
        <f ca="1">IF(COUNTIF(K27:K31,K30)&gt;=4,IF(J30=5,VLOOKUP(K30+3,TPMatrix!$A$6:$B$10,2,0),IF(J30=4,VLOOKUP(K30+3,TPMatrix!$D$6:$E$9,2,0),0)),"")</f>
        <v/>
      </c>
      <c r="P30" s="239" t="str">
        <f ca="1">IF(COUNTIF(K27:K31,K30)&gt;=5,IF(J30=5,VLOOKUP(K30+4,TPMatrix!$A$6:$B$10,2,0),IF(J30=4,VLOOKUP(K30+4,TPMatrix!$D$6:$E$9,2,0),0)),"")</f>
        <v/>
      </c>
      <c r="Q30" s="239">
        <f t="shared" ca="1" si="4"/>
        <v>48</v>
      </c>
      <c r="R30" s="240">
        <f t="shared" ca="1" si="5"/>
        <v>1</v>
      </c>
      <c r="S30" s="238">
        <f t="shared" ca="1" si="6"/>
        <v>4</v>
      </c>
      <c r="T30" s="239">
        <f t="shared" si="7"/>
        <v>1</v>
      </c>
      <c r="U30" s="240">
        <f t="shared" ca="1" si="8"/>
        <v>4</v>
      </c>
      <c r="W30" s="36">
        <f t="shared" ca="1" si="9"/>
        <v>2</v>
      </c>
      <c r="X30" s="36">
        <f ca="1">IF(ISNUMBER($A30),$W30*(Methuselahs!$A$4+1)+$A30,"")</f>
        <v>82</v>
      </c>
      <c r="Y30" s="36">
        <f t="shared" ca="1" si="10"/>
        <v>2</v>
      </c>
      <c r="Z30" s="36">
        <f ca="1">IF(ISNUMBER($A30),VLOOKUP($A30,Methuselahs!$A$7:$X$206,5),"")</f>
        <v>1631978624</v>
      </c>
      <c r="AA30" s="36">
        <f t="shared" ca="1" si="11"/>
        <v>2</v>
      </c>
    </row>
    <row r="31" spans="1:27" ht="12.95" customHeight="1" x14ac:dyDescent="0.2">
      <c r="A31" s="255" t="str">
        <f ca="1">IF(OR(ISBLANK('Tournament Info'!$B$11),'Tournament Info'!$B$11&lt;&gt;4),"",INDIRECT(ADDRESS(ROW(),3,1,1,"Optimal Seating "&amp;'Tournament Info'!$B$11-1&amp;"R+F")))</f>
        <v/>
      </c>
      <c r="B31" s="256" t="str">
        <f ca="1">IF(ISNUMBER(A31),VLOOKUP(A31,Methuselahs!$A$7:$E$206,2,0),"")</f>
        <v/>
      </c>
      <c r="C31" s="257" t="str">
        <f ca="1">IF(ISNUMBER(A31),VLOOKUP(A31,Methuselahs!$A$7:$E$206,3,0),"")</f>
        <v/>
      </c>
      <c r="D31" s="258" t="str">
        <f t="shared" ca="1" si="0"/>
        <v/>
      </c>
      <c r="E31" s="259"/>
      <c r="F31" s="398">
        <f t="shared" si="1"/>
        <v>0</v>
      </c>
      <c r="G31" s="244" t="str">
        <f t="shared" ca="1" si="2"/>
        <v/>
      </c>
      <c r="H31" s="245" t="str">
        <f ca="1">IF(ISNUMBER(A31),IF(OR($S31=$U31,NOT(ISNA(MATCH($D31*5+$V$4,Override!$C$6:$C$125,0)))),$Q31,0),"")</f>
        <v/>
      </c>
      <c r="I31" s="147" t="str">
        <f t="shared" ca="1" si="3"/>
        <v/>
      </c>
      <c r="J31" s="260">
        <f ca="1">COUNT(A27:A31)</f>
        <v>4</v>
      </c>
      <c r="K31" s="261" t="str">
        <f ca="1">IF(ISNUMBER(A31),RANK(F31,F27:F31),"")</f>
        <v/>
      </c>
      <c r="L31" s="262" t="e">
        <f ca="1">IF(J31=5,VLOOKUP(K31,TPMatrix!$A$6:$B$10,2,0),IF(J31=4,VLOOKUP(K31,TPMatrix!$D$6:$E$9,2,0),0))</f>
        <v>#N/A</v>
      </c>
      <c r="M31" s="262" t="str">
        <f ca="1">IF(COUNTIF(K27:K31,K31)&gt;=2,IF(J31=5,VLOOKUP(K31+1,TPMatrix!$A$6:$B$10,2,0),IF(J31=4,VLOOKUP(K31+1,TPMatrix!$D$6:$E$9,2,0),0)),"")</f>
        <v/>
      </c>
      <c r="N31" s="262" t="str">
        <f ca="1">IF(COUNTIF(K27:K31,K31)&gt;=3,IF(J31=5,VLOOKUP(K31+2,TPMatrix!$A$6:$B$10,2,0),IF(J31=4,VLOOKUP(K31+2,TPMatrix!$D$6:$E$9,2,0),0)),"")</f>
        <v/>
      </c>
      <c r="O31" s="262" t="str">
        <f ca="1">IF(COUNTIF(K27:K31,K31)&gt;=4,IF(J31=5,VLOOKUP(K31+3,TPMatrix!$A$6:$B$10,2,0),IF(J31=4,VLOOKUP(K31+3,TPMatrix!$D$6:$E$9,2,0),0)),"")</f>
        <v/>
      </c>
      <c r="P31" s="262" t="str">
        <f ca="1">IF(COUNTIF(K27:K31,K31)&gt;=5,IF(J31=5,VLOOKUP(K31+4,TPMatrix!$A$6:$B$10,2,0),IF(J31=4,VLOOKUP(K31+4,TPMatrix!$D$6:$E$9,2,0),0)),"")</f>
        <v/>
      </c>
      <c r="Q31" s="262" t="e">
        <f t="shared" ca="1" si="4"/>
        <v>#N/A</v>
      </c>
      <c r="R31" s="263">
        <f t="shared" ca="1" si="5"/>
        <v>0</v>
      </c>
      <c r="S31" s="261">
        <f t="shared" ca="1" si="6"/>
        <v>0</v>
      </c>
      <c r="T31" s="262">
        <f t="shared" si="7"/>
        <v>0</v>
      </c>
      <c r="U31" s="263">
        <f t="shared" ca="1" si="8"/>
        <v>4</v>
      </c>
      <c r="W31" s="36" t="str">
        <f t="shared" ca="1" si="9"/>
        <v/>
      </c>
      <c r="X31" s="36" t="str">
        <f ca="1">IF(ISNUMBER($A31),$W31*(Methuselahs!$A$4+1)+$A31,"")</f>
        <v/>
      </c>
      <c r="Y31" s="36" t="str">
        <f t="shared" ca="1" si="10"/>
        <v/>
      </c>
      <c r="Z31" s="36" t="str">
        <f ca="1">IF(ISNUMBER($A31),VLOOKUP($A31,Methuselahs!$A$7:$X$206,5),"")</f>
        <v/>
      </c>
      <c r="AA31" s="36" t="str">
        <f t="shared" ca="1" si="11"/>
        <v/>
      </c>
    </row>
    <row r="32" spans="1:27" ht="12.95" customHeight="1" x14ac:dyDescent="0.2">
      <c r="A32" s="219">
        <f ca="1">IF(OR(ISBLANK('Tournament Info'!$B$11),'Tournament Info'!$B$11&lt;&gt;4),"",INDIRECT(ADDRESS(ROW(),3,1,1,"Optimal Seating "&amp;'Tournament Info'!$B$11-1&amp;"R+F")))</f>
        <v>13</v>
      </c>
      <c r="B32" s="143">
        <f ca="1">IF(ISNUMBER(A32),VLOOKUP(A32,Methuselahs!$A$7:$E$206,2,0),"")</f>
        <v>0</v>
      </c>
      <c r="C32" s="220">
        <f ca="1">IF(ISNUMBER(A32),VLOOKUP(A32,Methuselahs!$A$7:$E$206,3,0),"")</f>
        <v>0</v>
      </c>
      <c r="D32" s="221">
        <f t="shared" ca="1" si="0"/>
        <v>6</v>
      </c>
      <c r="E32" s="222"/>
      <c r="F32" s="393">
        <f t="shared" si="1"/>
        <v>0</v>
      </c>
      <c r="G32" s="223">
        <f t="shared" ca="1" si="2"/>
        <v>0</v>
      </c>
      <c r="H32" s="224">
        <f ca="1">IF(ISNUMBER(A32),IF(OR($S32=$U32,NOT(ISNA(MATCH($D32*5+$V$4,Override!$C$6:$C$125,0)))),$Q32,0),"")</f>
        <v>18</v>
      </c>
      <c r="I32" s="406">
        <f t="shared" ca="1" si="3"/>
        <v>4</v>
      </c>
      <c r="J32" s="225">
        <f ca="1">COUNT(A32:A36)</f>
        <v>4</v>
      </c>
      <c r="K32" s="226">
        <f ca="1">IF(ISNUMBER(A32),RANK(F32,F32:F36),"")</f>
        <v>3</v>
      </c>
      <c r="L32" s="227">
        <f ca="1">IF(J32=5,VLOOKUP(K32,TPMatrix!$A$6:$B$10,2,0),IF(J32=4,VLOOKUP(K32,TPMatrix!$D$6:$E$9,2,0),0))</f>
        <v>24</v>
      </c>
      <c r="M32" s="227">
        <f ca="1">IF(COUNTIF(K32:K36,K32)&gt;=2,IF(J32=5,VLOOKUP(K32+1,TPMatrix!$A$6:$B$10,2,0),IF(J32=4,VLOOKUP(K32+1,TPMatrix!$D$6:$E$9,2,0),0)),"")</f>
        <v>12</v>
      </c>
      <c r="N32" s="227" t="str">
        <f ca="1">IF(COUNTIF(K32:K36,K32)&gt;=3,IF(J32=5,VLOOKUP(K32+2,TPMatrix!$A$6:$B$10,2,0),IF(J32=4,VLOOKUP(K32+2,TPMatrix!$D$6:$E$9,2,0),0)),"")</f>
        <v/>
      </c>
      <c r="O32" s="227" t="str">
        <f ca="1">IF(COUNTIF(K32:K36,K32)&gt;=4,IF(J32=5,VLOOKUP(K32+3,TPMatrix!$A$6:$B$10,2,0),IF(J32=4,VLOOKUP(K32+3,TPMatrix!$D$6:$E$9,2,0),0)),"")</f>
        <v/>
      </c>
      <c r="P32" s="227" t="str">
        <f ca="1">IF(COUNTIF(K32:K36,K32)&gt;=5,IF(J32=5,VLOOKUP(K32+4,TPMatrix!$A$6:$B$10,2,0),IF(J32=4,VLOOKUP(K32+4,TPMatrix!$D$6:$E$9,2,0),0)),"")</f>
        <v/>
      </c>
      <c r="Q32" s="227">
        <f t="shared" ca="1" si="4"/>
        <v>18</v>
      </c>
      <c r="R32" s="228">
        <f t="shared" ca="1" si="5"/>
        <v>2</v>
      </c>
      <c r="S32" s="229">
        <f t="shared" ca="1" si="6"/>
        <v>4</v>
      </c>
      <c r="T32" s="230">
        <f t="shared" si="7"/>
        <v>0</v>
      </c>
      <c r="U32" s="231">
        <f t="shared" ca="1" si="8"/>
        <v>4</v>
      </c>
      <c r="W32" s="36">
        <f t="shared" ca="1" si="9"/>
        <v>4</v>
      </c>
      <c r="X32" s="36">
        <f ca="1">IF(ISNUMBER($A32),$W32*(Methuselahs!$A$4+1)+$A32,"")</f>
        <v>145</v>
      </c>
      <c r="Y32" s="36">
        <f t="shared" ca="1" si="10"/>
        <v>4</v>
      </c>
      <c r="Z32" s="36">
        <f ca="1">IF(ISNUMBER($A32),VLOOKUP($A32,Methuselahs!$A$7:$X$206,5),"")</f>
        <v>0</v>
      </c>
      <c r="AA32" s="36">
        <f t="shared" ca="1" si="11"/>
        <v>4</v>
      </c>
    </row>
    <row r="33" spans="1:27" ht="12.95" customHeight="1" x14ac:dyDescent="0.2">
      <c r="A33" s="111">
        <f ca="1">IF(OR(ISBLANK('Tournament Info'!$B$11),'Tournament Info'!$B$11&lt;&gt;4),"",INDIRECT(ADDRESS(ROW(),3,1,1,"Optimal Seating "&amp;'Tournament Info'!$B$11-1&amp;"R+F")))</f>
        <v>10</v>
      </c>
      <c r="B33" s="117">
        <f ca="1">IF(ISNUMBER(A33),VLOOKUP(A33,Methuselahs!$A$7:$E$206,2,0),"")</f>
        <v>0</v>
      </c>
      <c r="C33" s="232">
        <f ca="1">IF(ISNUMBER(A33),VLOOKUP(A33,Methuselahs!$A$7:$E$206,3,0),"")</f>
        <v>0</v>
      </c>
      <c r="D33" s="233">
        <f t="shared" ca="1" si="0"/>
        <v>6</v>
      </c>
      <c r="E33" s="234">
        <v>3</v>
      </c>
      <c r="F33" s="118">
        <f t="shared" si="1"/>
        <v>3</v>
      </c>
      <c r="G33" s="235">
        <f t="shared" ca="1" si="2"/>
        <v>1</v>
      </c>
      <c r="H33" s="236">
        <f ca="1">IF(ISNUMBER(A33),IF(OR($S33=$U33,NOT(ISNA(MATCH($D33*5+$V$4,Override!$C$6:$C$125,0)))),$Q33,0),"")</f>
        <v>60</v>
      </c>
      <c r="I33" s="121">
        <f t="shared" ca="1" si="3"/>
        <v>1</v>
      </c>
      <c r="J33" s="237">
        <f ca="1">COUNT(A32:A36)</f>
        <v>4</v>
      </c>
      <c r="K33" s="238">
        <f ca="1">IF(ISNUMBER(A33),RANK(F33,F32:F36),"")</f>
        <v>1</v>
      </c>
      <c r="L33" s="239">
        <f ca="1">IF(J33=5,VLOOKUP(K33,TPMatrix!$A$6:$B$10,2,0),IF(J33=4,VLOOKUP(K33,TPMatrix!$D$6:$E$9,2,0),0))</f>
        <v>60</v>
      </c>
      <c r="M33" s="239" t="str">
        <f ca="1">IF(COUNTIF(K32:K36,K33)&gt;=2,IF(J33=5,VLOOKUP(K33+1,TPMatrix!$A$6:$B$10,2,0),IF(J33=4,VLOOKUP(K33+1,TPMatrix!$D$6:$E$9,2,0),0)),"")</f>
        <v/>
      </c>
      <c r="N33" s="239" t="str">
        <f ca="1">IF(COUNTIF(K32:K36,K33)&gt;=3,IF(J33=5,VLOOKUP(K33+2,TPMatrix!$A$6:$B$10,2,0),IF(J33=4,VLOOKUP(K33+2,TPMatrix!$D$6:$E$9,2,0),0)),"")</f>
        <v/>
      </c>
      <c r="O33" s="239" t="str">
        <f ca="1">IF(COUNTIF(K32:K36,K33)&gt;=4,IF(J33=5,VLOOKUP(K33+3,TPMatrix!$A$6:$B$10,2,0),IF(J33=4,VLOOKUP(K33+3,TPMatrix!$D$6:$E$9,2,0),0)),"")</f>
        <v/>
      </c>
      <c r="P33" s="239" t="str">
        <f ca="1">IF(COUNTIF(K32:K36,K33)&gt;=5,IF(J33=5,VLOOKUP(K33+4,TPMatrix!$A$6:$B$10,2,0),IF(J33=4,VLOOKUP(K33+4,TPMatrix!$D$6:$E$9,2,0),0)),"")</f>
        <v/>
      </c>
      <c r="Q33" s="239">
        <f t="shared" ca="1" si="4"/>
        <v>60</v>
      </c>
      <c r="R33" s="240">
        <f t="shared" ca="1" si="5"/>
        <v>1</v>
      </c>
      <c r="S33" s="238">
        <f t="shared" ca="1" si="6"/>
        <v>4</v>
      </c>
      <c r="T33" s="239">
        <f t="shared" si="7"/>
        <v>3</v>
      </c>
      <c r="U33" s="240">
        <f t="shared" ca="1" si="8"/>
        <v>4</v>
      </c>
      <c r="W33" s="36">
        <f t="shared" ca="1" si="9"/>
        <v>1</v>
      </c>
      <c r="X33" s="36">
        <f ca="1">IF(ISNUMBER($A33),$W33*(Methuselahs!$A$4+1)+$A33,"")</f>
        <v>43</v>
      </c>
      <c r="Y33" s="36">
        <f t="shared" ca="1" si="10"/>
        <v>1</v>
      </c>
      <c r="Z33" s="36">
        <f ca="1">IF(ISNUMBER($A33),VLOOKUP($A33,Methuselahs!$A$7:$X$206,5),"")</f>
        <v>0</v>
      </c>
      <c r="AA33" s="36">
        <f t="shared" ca="1" si="11"/>
        <v>1</v>
      </c>
    </row>
    <row r="34" spans="1:27" ht="12.95" customHeight="1" x14ac:dyDescent="0.2">
      <c r="A34" s="137">
        <f ca="1">IF(OR(ISBLANK('Tournament Info'!$B$11),'Tournament Info'!$B$11&lt;&gt;4),"",INDIRECT(ADDRESS(ROW(),3,1,1,"Optimal Seating "&amp;'Tournament Info'!$B$11-1&amp;"R+F")))</f>
        <v>1</v>
      </c>
      <c r="B34" s="143">
        <f ca="1">IF(ISNUMBER(A34),VLOOKUP(A34,Methuselahs!$A$7:$E$206,2,0),"")</f>
        <v>0</v>
      </c>
      <c r="C34" s="241">
        <f ca="1">IF(ISNUMBER(A34),VLOOKUP(A34,Methuselahs!$A$7:$E$206,3,0),"")</f>
        <v>0</v>
      </c>
      <c r="D34" s="242">
        <f t="shared" ca="1" si="0"/>
        <v>6</v>
      </c>
      <c r="E34" s="243"/>
      <c r="F34" s="144">
        <f t="shared" si="1"/>
        <v>0</v>
      </c>
      <c r="G34" s="244">
        <f t="shared" ca="1" si="2"/>
        <v>0</v>
      </c>
      <c r="H34" s="245">
        <f ca="1">IF(ISNUMBER(A34),IF(OR($S34=$U34,NOT(ISNA(MATCH($D34*5+$V$4,Override!$C$6:$C$125,0)))),$Q34,0),"")</f>
        <v>18</v>
      </c>
      <c r="I34" s="147">
        <f t="shared" ca="1" si="3"/>
        <v>4</v>
      </c>
      <c r="J34" s="246">
        <f ca="1">COUNT(A32:A36)</f>
        <v>4</v>
      </c>
      <c r="K34" s="247">
        <f ca="1">IF(ISNUMBER(A34),RANK(F34,F32:F36),"")</f>
        <v>3</v>
      </c>
      <c r="L34" s="142">
        <f ca="1">IF(J34=5,VLOOKUP(K34,TPMatrix!$A$6:$B$10,2,0),IF(J34=4,VLOOKUP(K34,TPMatrix!$D$6:$E$9,2,0),0))</f>
        <v>24</v>
      </c>
      <c r="M34" s="142">
        <f ca="1">IF(COUNTIF(K32:K36,K34)&gt;=2,IF(J34=5,VLOOKUP(K34+1,TPMatrix!$A$6:$B$10,2,0),IF(J34=4,VLOOKUP(K34+1,TPMatrix!$D$6:$E$9,2,0),0)),"")</f>
        <v>12</v>
      </c>
      <c r="N34" s="142" t="str">
        <f ca="1">IF(COUNTIF(K32:K36,K34)&gt;=3,IF(J34=5,VLOOKUP(K34+2,TPMatrix!$A$6:$B$10,2,0),IF(J34=4,VLOOKUP(K34+2,TPMatrix!$D$6:$E$9,2,0),0)),"")</f>
        <v/>
      </c>
      <c r="O34" s="142" t="str">
        <f ca="1">IF(COUNTIF(K32:K36,K34)&gt;=4,IF(J34=5,VLOOKUP(K34+3,TPMatrix!$A$6:$B$10,2,0),IF(J34=4,VLOOKUP(K34+3,TPMatrix!$D$6:$E$9,2,0),0)),"")</f>
        <v/>
      </c>
      <c r="P34" s="142" t="str">
        <f ca="1">IF(COUNTIF(K32:K36,K34)&gt;=5,IF(J34=5,VLOOKUP(K34+4,TPMatrix!$A$6:$B$10,2,0),IF(J34=4,VLOOKUP(K34+4,TPMatrix!$D$6:$E$9,2,0),0)),"")</f>
        <v/>
      </c>
      <c r="Q34" s="142">
        <f t="shared" ca="1" si="4"/>
        <v>18</v>
      </c>
      <c r="R34" s="248">
        <f t="shared" ca="1" si="5"/>
        <v>2</v>
      </c>
      <c r="S34" s="247">
        <f t="shared" ca="1" si="6"/>
        <v>4</v>
      </c>
      <c r="T34" s="142">
        <f t="shared" si="7"/>
        <v>0</v>
      </c>
      <c r="U34" s="248">
        <f t="shared" ca="1" si="8"/>
        <v>4</v>
      </c>
      <c r="W34" s="36">
        <f t="shared" ca="1" si="9"/>
        <v>4</v>
      </c>
      <c r="X34" s="36">
        <f ca="1">IF(ISNUMBER($A34),$W34*(Methuselahs!$A$4+1)+$A34,"")</f>
        <v>133</v>
      </c>
      <c r="Y34" s="36">
        <f t="shared" ca="1" si="10"/>
        <v>4</v>
      </c>
      <c r="Z34" s="36" t="e">
        <f ca="1">IF(ISNUMBER($A34),VLOOKUP($A34,Methuselahs!$A$7:$X$206,5),"")</f>
        <v>#N/A</v>
      </c>
      <c r="AA34" s="36">
        <f t="shared" ca="1" si="11"/>
        <v>4</v>
      </c>
    </row>
    <row r="35" spans="1:27" ht="12.95" customHeight="1" x14ac:dyDescent="0.2">
      <c r="A35" s="249">
        <f ca="1">IF(OR(ISBLANK('Tournament Info'!$B$11),'Tournament Info'!$B$11&lt;&gt;4),"",INDIRECT(ADDRESS(ROW(),3,1,1,"Optimal Seating "&amp;'Tournament Info'!$B$11-1&amp;"R+F")))</f>
        <v>27</v>
      </c>
      <c r="B35" s="250">
        <f ca="1">IF(ISNUMBER(A35),VLOOKUP(A35,Methuselahs!$A$7:$E$206,2,0),"")</f>
        <v>0</v>
      </c>
      <c r="C35" s="251">
        <f ca="1">IF(ISNUMBER(A35),VLOOKUP(A35,Methuselahs!$A$7:$E$206,3,0),"")</f>
        <v>0</v>
      </c>
      <c r="D35" s="252">
        <f t="shared" ca="1" si="0"/>
        <v>6</v>
      </c>
      <c r="E35" s="253">
        <v>1</v>
      </c>
      <c r="F35" s="397">
        <f t="shared" si="1"/>
        <v>1</v>
      </c>
      <c r="G35" s="235">
        <f t="shared" ca="1" si="2"/>
        <v>0</v>
      </c>
      <c r="H35" s="236">
        <f ca="1">IF(ISNUMBER(A35),IF(OR($S35=$U35,NOT(ISNA(MATCH($D35*5+$V$4,Override!$C$6:$C$125,0)))),$Q35,0),"")</f>
        <v>48</v>
      </c>
      <c r="I35" s="121">
        <f t="shared" ca="1" si="3"/>
        <v>2</v>
      </c>
      <c r="J35" s="254">
        <f ca="1">COUNT(A32:A36)</f>
        <v>4</v>
      </c>
      <c r="K35" s="238">
        <f ca="1">IF(ISNUMBER(A35),RANK(F35,F32:F36),"")</f>
        <v>2</v>
      </c>
      <c r="L35" s="239">
        <f ca="1">IF(J35=5,VLOOKUP(K35,TPMatrix!$A$6:$B$10,2,0),IF(J35=4,VLOOKUP(K35,TPMatrix!$D$6:$E$9,2,0),0))</f>
        <v>48</v>
      </c>
      <c r="M35" s="239" t="str">
        <f ca="1">IF(COUNTIF(K32:K36,K35)&gt;=2,IF(J35=5,VLOOKUP(K35+1,TPMatrix!$A$6:$B$10,2,0),IF(J35=4,VLOOKUP(K35+1,TPMatrix!$D$6:$E$9,2,0),0)),"")</f>
        <v/>
      </c>
      <c r="N35" s="239" t="str">
        <f ca="1">IF(COUNTIF(K32:K36,K35)&gt;=3,IF(J35=5,VLOOKUP(K35+2,TPMatrix!$A$6:$B$10,2,0),IF(J35=4,VLOOKUP(K35+2,TPMatrix!$D$6:$E$9,2,0),0)),"")</f>
        <v/>
      </c>
      <c r="O35" s="239" t="str">
        <f ca="1">IF(COUNTIF(K32:K36,K35)&gt;=4,IF(J35=5,VLOOKUP(K35+3,TPMatrix!$A$6:$B$10,2,0),IF(J35=4,VLOOKUP(K35+3,TPMatrix!$D$6:$E$9,2,0),0)),"")</f>
        <v/>
      </c>
      <c r="P35" s="239" t="str">
        <f ca="1">IF(COUNTIF(K32:K36,K35)&gt;=5,IF(J35=5,VLOOKUP(K35+4,TPMatrix!$A$6:$B$10,2,0),IF(J35=4,VLOOKUP(K35+4,TPMatrix!$D$6:$E$9,2,0),0)),"")</f>
        <v/>
      </c>
      <c r="Q35" s="239">
        <f t="shared" ca="1" si="4"/>
        <v>48</v>
      </c>
      <c r="R35" s="240">
        <f t="shared" ca="1" si="5"/>
        <v>1</v>
      </c>
      <c r="S35" s="238">
        <f t="shared" ca="1" si="6"/>
        <v>4</v>
      </c>
      <c r="T35" s="239">
        <f t="shared" si="7"/>
        <v>1</v>
      </c>
      <c r="U35" s="240">
        <f t="shared" ca="1" si="8"/>
        <v>4</v>
      </c>
      <c r="W35" s="36">
        <f t="shared" ca="1" si="9"/>
        <v>2</v>
      </c>
      <c r="X35" s="36">
        <f ca="1">IF(ISNUMBER($A35),$W35*(Methuselahs!$A$4+1)+$A35,"")</f>
        <v>93</v>
      </c>
      <c r="Y35" s="36">
        <f t="shared" ca="1" si="10"/>
        <v>4</v>
      </c>
      <c r="Z35" s="36">
        <f ca="1">IF(ISNUMBER($A35),VLOOKUP($A35,Methuselahs!$A$7:$X$206,5),"")</f>
        <v>5521202573</v>
      </c>
      <c r="AA35" s="36">
        <f t="shared" ca="1" si="11"/>
        <v>2</v>
      </c>
    </row>
    <row r="36" spans="1:27" ht="12.95" customHeight="1" x14ac:dyDescent="0.2">
      <c r="A36" s="255" t="str">
        <f ca="1">IF(OR(ISBLANK('Tournament Info'!$B$11),'Tournament Info'!$B$11&lt;&gt;4),"",INDIRECT(ADDRESS(ROW(),3,1,1,"Optimal Seating "&amp;'Tournament Info'!$B$11-1&amp;"R+F")))</f>
        <v/>
      </c>
      <c r="B36" s="256" t="str">
        <f ca="1">IF(ISNUMBER(A36),VLOOKUP(A36,Methuselahs!$A$7:$E$206,2,0),"")</f>
        <v/>
      </c>
      <c r="C36" s="257" t="str">
        <f ca="1">IF(ISNUMBER(A36),VLOOKUP(A36,Methuselahs!$A$7:$E$206,3,0),"")</f>
        <v/>
      </c>
      <c r="D36" s="258" t="str">
        <f t="shared" ca="1" si="0"/>
        <v/>
      </c>
      <c r="E36" s="259"/>
      <c r="F36" s="398">
        <f t="shared" si="1"/>
        <v>0</v>
      </c>
      <c r="G36" s="244" t="str">
        <f t="shared" ca="1" si="2"/>
        <v/>
      </c>
      <c r="H36" s="245" t="str">
        <f ca="1">IF(ISNUMBER(A36),IF(OR($S36=$U36,NOT(ISNA(MATCH($D36*5+$V$4,Override!$C$6:$C$125,0)))),$Q36,0),"")</f>
        <v/>
      </c>
      <c r="I36" s="147" t="str">
        <f t="shared" ca="1" si="3"/>
        <v/>
      </c>
      <c r="J36" s="260">
        <f ca="1">COUNT(A32:A36)</f>
        <v>4</v>
      </c>
      <c r="K36" s="261" t="str">
        <f ca="1">IF(ISNUMBER(A36),RANK(F36,F32:F36),"")</f>
        <v/>
      </c>
      <c r="L36" s="262" t="e">
        <f ca="1">IF(J36=5,VLOOKUP(K36,TPMatrix!$A$6:$B$10,2,0),IF(J36=4,VLOOKUP(K36,TPMatrix!$D$6:$E$9,2,0),0))</f>
        <v>#N/A</v>
      </c>
      <c r="M36" s="262" t="str">
        <f ca="1">IF(COUNTIF(K32:K36,K36)&gt;=2,IF(J36=5,VLOOKUP(K36+1,TPMatrix!$A$6:$B$10,2,0),IF(J36=4,VLOOKUP(K36+1,TPMatrix!$D$6:$E$9,2,0),0)),"")</f>
        <v/>
      </c>
      <c r="N36" s="262" t="str">
        <f ca="1">IF(COUNTIF(K32:K36,K36)&gt;=3,IF(J36=5,VLOOKUP(K36+2,TPMatrix!$A$6:$B$10,2,0),IF(J36=4,VLOOKUP(K36+2,TPMatrix!$D$6:$E$9,2,0),0)),"")</f>
        <v/>
      </c>
      <c r="O36" s="262" t="str">
        <f ca="1">IF(COUNTIF(K32:K36,K36)&gt;=4,IF(J36=5,VLOOKUP(K36+3,TPMatrix!$A$6:$B$10,2,0),IF(J36=4,VLOOKUP(K36+3,TPMatrix!$D$6:$E$9,2,0),0)),"")</f>
        <v/>
      </c>
      <c r="P36" s="262" t="str">
        <f ca="1">IF(COUNTIF(K32:K36,K36)&gt;=5,IF(J36=5,VLOOKUP(K36+4,TPMatrix!$A$6:$B$10,2,0),IF(J36=4,VLOOKUP(K36+4,TPMatrix!$D$6:$E$9,2,0),0)),"")</f>
        <v/>
      </c>
      <c r="Q36" s="262" t="e">
        <f t="shared" ca="1" si="4"/>
        <v>#N/A</v>
      </c>
      <c r="R36" s="263">
        <f t="shared" ca="1" si="5"/>
        <v>0</v>
      </c>
      <c r="S36" s="261">
        <f t="shared" ca="1" si="6"/>
        <v>0</v>
      </c>
      <c r="T36" s="262">
        <f t="shared" si="7"/>
        <v>0</v>
      </c>
      <c r="U36" s="263">
        <f t="shared" ca="1" si="8"/>
        <v>4</v>
      </c>
      <c r="W36" s="36" t="str">
        <f t="shared" ca="1" si="9"/>
        <v/>
      </c>
      <c r="X36" s="36" t="str">
        <f ca="1">IF(ISNUMBER($A36),$W36*(Methuselahs!$A$4+1)+$A36,"")</f>
        <v/>
      </c>
      <c r="Y36" s="36" t="str">
        <f t="shared" ca="1" si="10"/>
        <v/>
      </c>
      <c r="Z36" s="36" t="str">
        <f ca="1">IF(ISNUMBER($A36),VLOOKUP($A36,Methuselahs!$A$7:$X$206,5),"")</f>
        <v/>
      </c>
      <c r="AA36" s="36" t="str">
        <f t="shared" ca="1" si="11"/>
        <v/>
      </c>
    </row>
    <row r="37" spans="1:27" ht="12.95" customHeight="1" x14ac:dyDescent="0.2">
      <c r="A37" s="219">
        <f ca="1">IF(OR(ISBLANK('Tournament Info'!$B$11),'Tournament Info'!$B$11&lt;&gt;4),"",INDIRECT(ADDRESS(ROW(),3,1,1,"Optimal Seating "&amp;'Tournament Info'!$B$11-1&amp;"R+F")))</f>
        <v>4</v>
      </c>
      <c r="B37" s="143">
        <f ca="1">IF(ISNUMBER(A37),VLOOKUP(A37,Methuselahs!$A$7:$E$206,2,0),"")</f>
        <v>0</v>
      </c>
      <c r="C37" s="220">
        <f ca="1">IF(ISNUMBER(A37),VLOOKUP(A37,Methuselahs!$A$7:$E$206,3,0),"")</f>
        <v>0</v>
      </c>
      <c r="D37" s="221">
        <f t="shared" ca="1" si="0"/>
        <v>7</v>
      </c>
      <c r="E37" s="222"/>
      <c r="F37" s="393">
        <f t="shared" si="1"/>
        <v>0</v>
      </c>
      <c r="G37" s="223">
        <f t="shared" ca="1" si="2"/>
        <v>0</v>
      </c>
      <c r="H37" s="224">
        <f ca="1">IF(ISNUMBER(A37),IF(OR($S37=$U37,NOT(ISNA(MATCH($D37*5+$V$4,Override!$C$6:$C$125,0)))),$Q37,0),"")</f>
        <v>28</v>
      </c>
      <c r="I37" s="406">
        <f t="shared" ca="1" si="3"/>
        <v>2</v>
      </c>
      <c r="J37" s="225">
        <f ca="1">COUNT(A37:A41)</f>
        <v>4</v>
      </c>
      <c r="K37" s="226">
        <f ca="1">IF(ISNUMBER(A37),RANK(F37,F37:F41),"")</f>
        <v>2</v>
      </c>
      <c r="L37" s="227">
        <f ca="1">IF(J37=5,VLOOKUP(K37,TPMatrix!$A$6:$B$10,2,0),IF(J37=4,VLOOKUP(K37,TPMatrix!$D$6:$E$9,2,0),0))</f>
        <v>48</v>
      </c>
      <c r="M37" s="227">
        <f ca="1">IF(COUNTIF(K37:K41,K37)&gt;=2,IF(J37=5,VLOOKUP(K37+1,TPMatrix!$A$6:$B$10,2,0),IF(J37=4,VLOOKUP(K37+1,TPMatrix!$D$6:$E$9,2,0),0)),"")</f>
        <v>24</v>
      </c>
      <c r="N37" s="227">
        <f ca="1">IF(COUNTIF(K37:K41,K37)&gt;=3,IF(J37=5,VLOOKUP(K37+2,TPMatrix!$A$6:$B$10,2,0),IF(J37=4,VLOOKUP(K37+2,TPMatrix!$D$6:$E$9,2,0),0)),"")</f>
        <v>12</v>
      </c>
      <c r="O37" s="227" t="str">
        <f ca="1">IF(COUNTIF(K37:K41,K37)&gt;=4,IF(J37=5,VLOOKUP(K37+3,TPMatrix!$A$6:$B$10,2,0),IF(J37=4,VLOOKUP(K37+3,TPMatrix!$D$6:$E$9,2,0),0)),"")</f>
        <v/>
      </c>
      <c r="P37" s="227" t="str">
        <f ca="1">IF(COUNTIF(K37:K41,K37)&gt;=5,IF(J37=5,VLOOKUP(K37+4,TPMatrix!$A$6:$B$10,2,0),IF(J37=4,VLOOKUP(K37+4,TPMatrix!$D$6:$E$9,2,0),0)),"")</f>
        <v/>
      </c>
      <c r="Q37" s="227">
        <f t="shared" ca="1" si="4"/>
        <v>28</v>
      </c>
      <c r="R37" s="228">
        <f t="shared" ca="1" si="5"/>
        <v>3</v>
      </c>
      <c r="S37" s="229">
        <f t="shared" ca="1" si="6"/>
        <v>4</v>
      </c>
      <c r="T37" s="230">
        <f t="shared" si="7"/>
        <v>0</v>
      </c>
      <c r="U37" s="231">
        <f t="shared" ca="1" si="8"/>
        <v>4</v>
      </c>
      <c r="W37" s="36">
        <f t="shared" ca="1" si="9"/>
        <v>2</v>
      </c>
      <c r="X37" s="36">
        <f ca="1">IF(ISNUMBER($A37),$W37*(Methuselahs!$A$4+1)+$A37,"")</f>
        <v>70</v>
      </c>
      <c r="Y37" s="36">
        <f t="shared" ca="1" si="10"/>
        <v>2</v>
      </c>
      <c r="Z37" s="36" t="e">
        <f ca="1">IF(ISNUMBER($A37),VLOOKUP($A37,Methuselahs!$A$7:$X$206,5),"")</f>
        <v>#N/A</v>
      </c>
      <c r="AA37" s="36">
        <f t="shared" ca="1" si="11"/>
        <v>2</v>
      </c>
    </row>
    <row r="38" spans="1:27" ht="12.95" customHeight="1" x14ac:dyDescent="0.2">
      <c r="A38" s="111">
        <f ca="1">IF(OR(ISBLANK('Tournament Info'!$B$11),'Tournament Info'!$B$11&lt;&gt;4),"",INDIRECT(ADDRESS(ROW(),3,1,1,"Optimal Seating "&amp;'Tournament Info'!$B$11-1&amp;"R+F")))</f>
        <v>15</v>
      </c>
      <c r="B38" s="117">
        <f ca="1">IF(ISNUMBER(A38),VLOOKUP(A38,Methuselahs!$A$7:$E$206,2,0),"")</f>
        <v>0</v>
      </c>
      <c r="C38" s="232">
        <f ca="1">IF(ISNUMBER(A38),VLOOKUP(A38,Methuselahs!$A$7:$E$206,3,0),"")</f>
        <v>0</v>
      </c>
      <c r="D38" s="233">
        <f t="shared" ca="1" si="0"/>
        <v>7</v>
      </c>
      <c r="E38" s="234">
        <v>4</v>
      </c>
      <c r="F38" s="118">
        <f t="shared" si="1"/>
        <v>4</v>
      </c>
      <c r="G38" s="235">
        <f t="shared" ca="1" si="2"/>
        <v>1</v>
      </c>
      <c r="H38" s="236">
        <f ca="1">IF(ISNUMBER(A38),IF(OR($S38=$U38,NOT(ISNA(MATCH($D38*5+$V$4,Override!$C$6:$C$125,0)))),$Q38,0),"")</f>
        <v>60</v>
      </c>
      <c r="I38" s="121">
        <f t="shared" ca="1" si="3"/>
        <v>1</v>
      </c>
      <c r="J38" s="237">
        <f ca="1">COUNT(A37:A41)</f>
        <v>4</v>
      </c>
      <c r="K38" s="238">
        <f ca="1">IF(ISNUMBER(A38),RANK(F38,F37:F41),"")</f>
        <v>1</v>
      </c>
      <c r="L38" s="239">
        <f ca="1">IF(J38=5,VLOOKUP(K38,TPMatrix!$A$6:$B$10,2,0),IF(J38=4,VLOOKUP(K38,TPMatrix!$D$6:$E$9,2,0),0))</f>
        <v>60</v>
      </c>
      <c r="M38" s="239" t="str">
        <f ca="1">IF(COUNTIF(K37:K41,K38)&gt;=2,IF(J38=5,VLOOKUP(K38+1,TPMatrix!$A$6:$B$10,2,0),IF(J38=4,VLOOKUP(K38+1,TPMatrix!$D$6:$E$9,2,0),0)),"")</f>
        <v/>
      </c>
      <c r="N38" s="239" t="str">
        <f ca="1">IF(COUNTIF(K37:K41,K38)&gt;=3,IF(J38=5,VLOOKUP(K38+2,TPMatrix!$A$6:$B$10,2,0),IF(J38=4,VLOOKUP(K38+2,TPMatrix!$D$6:$E$9,2,0),0)),"")</f>
        <v/>
      </c>
      <c r="O38" s="239" t="str">
        <f ca="1">IF(COUNTIF(K37:K41,K38)&gt;=4,IF(J38=5,VLOOKUP(K38+3,TPMatrix!$A$6:$B$10,2,0),IF(J38=4,VLOOKUP(K38+3,TPMatrix!$D$6:$E$9,2,0),0)),"")</f>
        <v/>
      </c>
      <c r="P38" s="239" t="str">
        <f ca="1">IF(COUNTIF(K37:K41,K38)&gt;=5,IF(J38=5,VLOOKUP(K38+4,TPMatrix!$A$6:$B$10,2,0),IF(J38=4,VLOOKUP(K38+4,TPMatrix!$D$6:$E$9,2,0),0)),"")</f>
        <v/>
      </c>
      <c r="Q38" s="239">
        <f t="shared" ca="1" si="4"/>
        <v>60</v>
      </c>
      <c r="R38" s="240">
        <f t="shared" ca="1" si="5"/>
        <v>1</v>
      </c>
      <c r="S38" s="238">
        <f t="shared" ca="1" si="6"/>
        <v>4</v>
      </c>
      <c r="T38" s="239">
        <f t="shared" si="7"/>
        <v>4</v>
      </c>
      <c r="U38" s="240">
        <f t="shared" ca="1" si="8"/>
        <v>4</v>
      </c>
      <c r="W38" s="36">
        <f t="shared" ca="1" si="9"/>
        <v>1</v>
      </c>
      <c r="X38" s="36">
        <f ca="1">IF(ISNUMBER($A38),$W38*(Methuselahs!$A$4+1)+$A38,"")</f>
        <v>48</v>
      </c>
      <c r="Y38" s="36">
        <f t="shared" ca="1" si="10"/>
        <v>1</v>
      </c>
      <c r="Z38" s="36">
        <f ca="1">IF(ISNUMBER($A38),VLOOKUP($A38,Methuselahs!$A$7:$X$206,5),"")</f>
        <v>0</v>
      </c>
      <c r="AA38" s="36">
        <f t="shared" ca="1" si="11"/>
        <v>1</v>
      </c>
    </row>
    <row r="39" spans="1:27" ht="12.95" customHeight="1" x14ac:dyDescent="0.2">
      <c r="A39" s="137">
        <f ca="1">IF(OR(ISBLANK('Tournament Info'!$B$11),'Tournament Info'!$B$11&lt;&gt;4),"",INDIRECT(ADDRESS(ROW(),3,1,1,"Optimal Seating "&amp;'Tournament Info'!$B$11-1&amp;"R+F")))</f>
        <v>9</v>
      </c>
      <c r="B39" s="143">
        <f ca="1">IF(ISNUMBER(A39),VLOOKUP(A39,Methuselahs!$A$7:$E$206,2,0),"")</f>
        <v>0</v>
      </c>
      <c r="C39" s="241">
        <f ca="1">IF(ISNUMBER(A39),VLOOKUP(A39,Methuselahs!$A$7:$E$206,3,0),"")</f>
        <v>0</v>
      </c>
      <c r="D39" s="242">
        <f t="shared" ref="D39:D70" ca="1" si="12">IF(ISNUMBER(A39),FLOOR((ROW()-ROW($A$7))/5,1)+1,"")</f>
        <v>7</v>
      </c>
      <c r="E39" s="243"/>
      <c r="F39" s="144">
        <f t="shared" ref="F39:F70" si="13">IF(ISNUMBER(E39),E39,0)</f>
        <v>0</v>
      </c>
      <c r="G39" s="244">
        <f t="shared" ref="G39:G70" ca="1" si="14">IF(ISNUMBER($A39),IF(AND($F39&gt;=2,$H39=60),1,0),"")</f>
        <v>0</v>
      </c>
      <c r="H39" s="245">
        <f ca="1">IF(ISNUMBER(A39),IF(OR($S39=$U39,NOT(ISNA(MATCH($D39*5+$V$4,Override!$C$6:$C$125,0)))),$Q39,0),"")</f>
        <v>28</v>
      </c>
      <c r="I39" s="147">
        <f t="shared" ref="I39:I70" ca="1" si="15">IF(ISNUMBER(A39),IF(J39=5,K39,IF(AND(J39=4,OR(K39=4,K39=3)),K39+1,K39)),"")</f>
        <v>2</v>
      </c>
      <c r="J39" s="246">
        <f ca="1">COUNT(A37:A41)</f>
        <v>4</v>
      </c>
      <c r="K39" s="247">
        <f ca="1">IF(ISNUMBER(A39),RANK(F39,F37:F41),"")</f>
        <v>2</v>
      </c>
      <c r="L39" s="142">
        <f ca="1">IF(J39=5,VLOOKUP(K39,TPMatrix!$A$6:$B$10,2,0),IF(J39=4,VLOOKUP(K39,TPMatrix!$D$6:$E$9,2,0),0))</f>
        <v>48</v>
      </c>
      <c r="M39" s="142">
        <f ca="1">IF(COUNTIF(K37:K41,K39)&gt;=2,IF(J39=5,VLOOKUP(K39+1,TPMatrix!$A$6:$B$10,2,0),IF(J39=4,VLOOKUP(K39+1,TPMatrix!$D$6:$E$9,2,0),0)),"")</f>
        <v>24</v>
      </c>
      <c r="N39" s="142">
        <f ca="1">IF(COUNTIF(K37:K41,K39)&gt;=3,IF(J39=5,VLOOKUP(K39+2,TPMatrix!$A$6:$B$10,2,0),IF(J39=4,VLOOKUP(K39+2,TPMatrix!$D$6:$E$9,2,0),0)),"")</f>
        <v>12</v>
      </c>
      <c r="O39" s="142" t="str">
        <f ca="1">IF(COUNTIF(K37:K41,K39)&gt;=4,IF(J39=5,VLOOKUP(K39+3,TPMatrix!$A$6:$B$10,2,0),IF(J39=4,VLOOKUP(K39+3,TPMatrix!$D$6:$E$9,2,0),0)),"")</f>
        <v/>
      </c>
      <c r="P39" s="142" t="str">
        <f ca="1">IF(COUNTIF(K37:K41,K39)&gt;=5,IF(J39=5,VLOOKUP(K39+4,TPMatrix!$A$6:$B$10,2,0),IF(J39=4,VLOOKUP(K39+4,TPMatrix!$D$6:$E$9,2,0),0)),"")</f>
        <v/>
      </c>
      <c r="Q39" s="142">
        <f t="shared" ref="Q39:Q70" ca="1" si="16">SUM(L39:P39)/COUNT(L39:P39)</f>
        <v>28</v>
      </c>
      <c r="R39" s="248">
        <f t="shared" ref="R39:R70" ca="1" si="17">COUNT(L39:P39)</f>
        <v>3</v>
      </c>
      <c r="S39" s="247">
        <f t="shared" ref="S39:S70" ca="1" si="18">IF(ISNUMBER($A39),COUNTIF($D$7:$D$206,$D39),0)</f>
        <v>4</v>
      </c>
      <c r="T39" s="142">
        <f t="shared" ref="T39:T70" si="19">CEILING($F39,1)</f>
        <v>0</v>
      </c>
      <c r="U39" s="248">
        <f t="shared" ref="U39:U70" ca="1" si="20">SUM(OFFSET(T39,-MOD(ROW()-ROW($U$7),5),0,5,1))</f>
        <v>4</v>
      </c>
      <c r="W39" s="36">
        <f t="shared" ref="W39:W70" ca="1" si="21">$I39</f>
        <v>2</v>
      </c>
      <c r="X39" s="36">
        <f ca="1">IF(ISNUMBER($A39),$W39*(Methuselahs!$A$4+1)+$A39,"")</f>
        <v>75</v>
      </c>
      <c r="Y39" s="36">
        <f t="shared" ref="Y39:Y70" ca="1" si="22">IF(ISNUMBER($A39),RANK($X39,$X39:$X43,1),"")</f>
        <v>1</v>
      </c>
      <c r="Z39" s="36">
        <f ca="1">IF(ISNUMBER($A39),VLOOKUP($A39,Methuselahs!$A$7:$X$206,5),"")</f>
        <v>0</v>
      </c>
      <c r="AA39" s="36">
        <f t="shared" ref="AA39:AA70" ca="1" si="23">$I39</f>
        <v>2</v>
      </c>
    </row>
    <row r="40" spans="1:27" ht="12.95" customHeight="1" x14ac:dyDescent="0.2">
      <c r="A40" s="249">
        <f ca="1">IF(OR(ISBLANK('Tournament Info'!$B$11),'Tournament Info'!$B$11&lt;&gt;4),"",INDIRECT(ADDRESS(ROW(),3,1,1,"Optimal Seating "&amp;'Tournament Info'!$B$11-1&amp;"R+F")))</f>
        <v>18</v>
      </c>
      <c r="B40" s="250">
        <f ca="1">IF(ISNUMBER(A40),VLOOKUP(A40,Methuselahs!$A$7:$E$206,2,0),"")</f>
        <v>0</v>
      </c>
      <c r="C40" s="251">
        <f ca="1">IF(ISNUMBER(A40),VLOOKUP(A40,Methuselahs!$A$7:$E$206,3,0),"")</f>
        <v>0</v>
      </c>
      <c r="D40" s="252">
        <f t="shared" ca="1" si="12"/>
        <v>7</v>
      </c>
      <c r="E40" s="253"/>
      <c r="F40" s="397">
        <f t="shared" si="13"/>
        <v>0</v>
      </c>
      <c r="G40" s="235">
        <f t="shared" ca="1" si="14"/>
        <v>0</v>
      </c>
      <c r="H40" s="236">
        <f ca="1">IF(ISNUMBER(A40),IF(OR($S40=$U40,NOT(ISNA(MATCH($D40*5+$V$4,Override!$C$6:$C$125,0)))),$Q40,0),"")</f>
        <v>28</v>
      </c>
      <c r="I40" s="121">
        <f t="shared" ca="1" si="15"/>
        <v>2</v>
      </c>
      <c r="J40" s="254">
        <f ca="1">COUNT(A37:A41)</f>
        <v>4</v>
      </c>
      <c r="K40" s="238">
        <f ca="1">IF(ISNUMBER(A40),RANK(F40,F37:F41),"")</f>
        <v>2</v>
      </c>
      <c r="L40" s="239">
        <f ca="1">IF(J40=5,VLOOKUP(K40,TPMatrix!$A$6:$B$10,2,0),IF(J40=4,VLOOKUP(K40,TPMatrix!$D$6:$E$9,2,0),0))</f>
        <v>48</v>
      </c>
      <c r="M40" s="239">
        <f ca="1">IF(COUNTIF(K37:K41,K40)&gt;=2,IF(J40=5,VLOOKUP(K40+1,TPMatrix!$A$6:$B$10,2,0),IF(J40=4,VLOOKUP(K40+1,TPMatrix!$D$6:$E$9,2,0),0)),"")</f>
        <v>24</v>
      </c>
      <c r="N40" s="239">
        <f ca="1">IF(COUNTIF(K37:K41,K40)&gt;=3,IF(J40=5,VLOOKUP(K40+2,TPMatrix!$A$6:$B$10,2,0),IF(J40=4,VLOOKUP(K40+2,TPMatrix!$D$6:$E$9,2,0),0)),"")</f>
        <v>12</v>
      </c>
      <c r="O40" s="239" t="str">
        <f ca="1">IF(COUNTIF(K37:K41,K40)&gt;=4,IF(J40=5,VLOOKUP(K40+3,TPMatrix!$A$6:$B$10,2,0),IF(J40=4,VLOOKUP(K40+3,TPMatrix!$D$6:$E$9,2,0),0)),"")</f>
        <v/>
      </c>
      <c r="P40" s="239" t="str">
        <f ca="1">IF(COUNTIF(K37:K41,K40)&gt;=5,IF(J40=5,VLOOKUP(K40+4,TPMatrix!$A$6:$B$10,2,0),IF(J40=4,VLOOKUP(K40+4,TPMatrix!$D$6:$E$9,2,0),0)),"")</f>
        <v/>
      </c>
      <c r="Q40" s="239">
        <f t="shared" ca="1" si="16"/>
        <v>28</v>
      </c>
      <c r="R40" s="240">
        <f t="shared" ca="1" si="17"/>
        <v>3</v>
      </c>
      <c r="S40" s="238">
        <f t="shared" ca="1" si="18"/>
        <v>4</v>
      </c>
      <c r="T40" s="239">
        <f t="shared" si="19"/>
        <v>0</v>
      </c>
      <c r="U40" s="240">
        <f t="shared" ca="1" si="20"/>
        <v>4</v>
      </c>
      <c r="W40" s="36">
        <f t="shared" ca="1" si="21"/>
        <v>2</v>
      </c>
      <c r="X40" s="36">
        <f ca="1">IF(ISNUMBER($A40),$W40*(Methuselahs!$A$4+1)+$A40,"")</f>
        <v>84</v>
      </c>
      <c r="Y40" s="36">
        <f t="shared" ca="1" si="22"/>
        <v>1</v>
      </c>
      <c r="Z40" s="36">
        <f ca="1">IF(ISNUMBER($A40),VLOOKUP($A40,Methuselahs!$A$7:$X$206,5),"")</f>
        <v>1028087486</v>
      </c>
      <c r="AA40" s="36">
        <f t="shared" ca="1" si="23"/>
        <v>2</v>
      </c>
    </row>
    <row r="41" spans="1:27" ht="12.95" customHeight="1" x14ac:dyDescent="0.2">
      <c r="A41" s="255" t="str">
        <f ca="1">IF(OR(ISBLANK('Tournament Info'!$B$11),'Tournament Info'!$B$11&lt;&gt;4),"",INDIRECT(ADDRESS(ROW(),3,1,1,"Optimal Seating "&amp;'Tournament Info'!$B$11-1&amp;"R+F")))</f>
        <v/>
      </c>
      <c r="B41" s="256" t="str">
        <f ca="1">IF(ISNUMBER(A41),VLOOKUP(A41,Methuselahs!$A$7:$E$206,2,0),"")</f>
        <v/>
      </c>
      <c r="C41" s="257" t="str">
        <f ca="1">IF(ISNUMBER(A41),VLOOKUP(A41,Methuselahs!$A$7:$E$206,3,0),"")</f>
        <v/>
      </c>
      <c r="D41" s="258" t="str">
        <f t="shared" ca="1" si="12"/>
        <v/>
      </c>
      <c r="E41" s="259"/>
      <c r="F41" s="398">
        <f t="shared" si="13"/>
        <v>0</v>
      </c>
      <c r="G41" s="244" t="str">
        <f t="shared" ca="1" si="14"/>
        <v/>
      </c>
      <c r="H41" s="245" t="str">
        <f ca="1">IF(ISNUMBER(A41),IF(OR($S41=$U41,NOT(ISNA(MATCH($D41*5+$V$4,Override!$C$6:$C$125,0)))),$Q41,0),"")</f>
        <v/>
      </c>
      <c r="I41" s="147" t="str">
        <f t="shared" ca="1" si="15"/>
        <v/>
      </c>
      <c r="J41" s="260">
        <f ca="1">COUNT(A37:A41)</f>
        <v>4</v>
      </c>
      <c r="K41" s="261" t="str">
        <f ca="1">IF(ISNUMBER(A41),RANK(F41,F37:F41),"")</f>
        <v/>
      </c>
      <c r="L41" s="262" t="e">
        <f ca="1">IF(J41=5,VLOOKUP(K41,TPMatrix!$A$6:$B$10,2,0),IF(J41=4,VLOOKUP(K41,TPMatrix!$D$6:$E$9,2,0),0))</f>
        <v>#N/A</v>
      </c>
      <c r="M41" s="262" t="str">
        <f ca="1">IF(COUNTIF(K37:K41,K41)&gt;=2,IF(J41=5,VLOOKUP(K41+1,TPMatrix!$A$6:$B$10,2,0),IF(J41=4,VLOOKUP(K41+1,TPMatrix!$D$6:$E$9,2,0),0)),"")</f>
        <v/>
      </c>
      <c r="N41" s="262" t="str">
        <f ca="1">IF(COUNTIF(K37:K41,K41)&gt;=3,IF(J41=5,VLOOKUP(K41+2,TPMatrix!$A$6:$B$10,2,0),IF(J41=4,VLOOKUP(K41+2,TPMatrix!$D$6:$E$9,2,0),0)),"")</f>
        <v/>
      </c>
      <c r="O41" s="262" t="str">
        <f ca="1">IF(COUNTIF(K37:K41,K41)&gt;=4,IF(J41=5,VLOOKUP(K41+3,TPMatrix!$A$6:$B$10,2,0),IF(J41=4,VLOOKUP(K41+3,TPMatrix!$D$6:$E$9,2,0),0)),"")</f>
        <v/>
      </c>
      <c r="P41" s="262" t="str">
        <f ca="1">IF(COUNTIF(K37:K41,K41)&gt;=5,IF(J41=5,VLOOKUP(K41+4,TPMatrix!$A$6:$B$10,2,0),IF(J41=4,VLOOKUP(K41+4,TPMatrix!$D$6:$E$9,2,0),0)),"")</f>
        <v/>
      </c>
      <c r="Q41" s="262" t="e">
        <f t="shared" ca="1" si="16"/>
        <v>#N/A</v>
      </c>
      <c r="R41" s="263">
        <f t="shared" ca="1" si="17"/>
        <v>0</v>
      </c>
      <c r="S41" s="261">
        <f t="shared" ca="1" si="18"/>
        <v>0</v>
      </c>
      <c r="T41" s="262">
        <f t="shared" si="19"/>
        <v>0</v>
      </c>
      <c r="U41" s="263">
        <f t="shared" ca="1" si="20"/>
        <v>4</v>
      </c>
      <c r="W41" s="36" t="str">
        <f t="shared" ca="1" si="21"/>
        <v/>
      </c>
      <c r="X41" s="36" t="str">
        <f ca="1">IF(ISNUMBER($A41),$W41*(Methuselahs!$A$4+1)+$A41,"")</f>
        <v/>
      </c>
      <c r="Y41" s="36" t="str">
        <f t="shared" ca="1" si="22"/>
        <v/>
      </c>
      <c r="Z41" s="36" t="str">
        <f ca="1">IF(ISNUMBER($A41),VLOOKUP($A41,Methuselahs!$A$7:$X$206,5),"")</f>
        <v/>
      </c>
      <c r="AA41" s="36" t="str">
        <f t="shared" ca="1" si="23"/>
        <v/>
      </c>
    </row>
    <row r="42" spans="1:27" ht="12.95" customHeight="1" x14ac:dyDescent="0.2">
      <c r="A42" s="219" t="str">
        <f ca="1">IF(OR(ISBLANK('Tournament Info'!$B$11),'Tournament Info'!$B$11&lt;&gt;4),"",INDIRECT(ADDRESS(ROW(),3,1,1,"Optimal Seating "&amp;'Tournament Info'!$B$11-1&amp;"R+F")))</f>
        <v/>
      </c>
      <c r="B42" s="143" t="str">
        <f ca="1">IF(ISNUMBER(A42),VLOOKUP(A42,Methuselahs!$A$7:$E$206,2,0),"")</f>
        <v/>
      </c>
      <c r="C42" s="220" t="str">
        <f ca="1">IF(ISNUMBER(A42),VLOOKUP(A42,Methuselahs!$A$7:$E$206,3,0),"")</f>
        <v/>
      </c>
      <c r="D42" s="221" t="str">
        <f t="shared" ca="1" si="12"/>
        <v/>
      </c>
      <c r="E42" s="222"/>
      <c r="F42" s="393">
        <f t="shared" si="13"/>
        <v>0</v>
      </c>
      <c r="G42" s="223" t="str">
        <f t="shared" ca="1" si="14"/>
        <v/>
      </c>
      <c r="H42" s="224" t="str">
        <f ca="1">IF(ISNUMBER(A42),IF(OR($S42=$U42,NOT(ISNA(MATCH($D42*5+$V$4,Override!$C$6:$C$125,0)))),$Q42,0),"")</f>
        <v/>
      </c>
      <c r="I42" s="406" t="str">
        <f t="shared" ca="1" si="15"/>
        <v/>
      </c>
      <c r="J42" s="225">
        <f ca="1">COUNT(A42:A46)</f>
        <v>0</v>
      </c>
      <c r="K42" s="226" t="str">
        <f ca="1">IF(ISNUMBER(A42),RANK(F42,F42:F46),"")</f>
        <v/>
      </c>
      <c r="L42" s="227">
        <f ca="1">IF(J42=5,VLOOKUP(K42,TPMatrix!$A$6:$B$10,2,0),IF(J42=4,VLOOKUP(K42,TPMatrix!$D$6:$E$9,2,0),0))</f>
        <v>0</v>
      </c>
      <c r="M42" s="227">
        <f ca="1">IF(COUNTIF(K42:K46,K42)&gt;=2,IF(J42=5,VLOOKUP(K42+1,TPMatrix!$A$6:$B$10,2,0),IF(J42=4,VLOOKUP(K42+1,TPMatrix!$D$6:$E$9,2,0),0)),"")</f>
        <v>0</v>
      </c>
      <c r="N42" s="227">
        <f ca="1">IF(COUNTIF(K42:K46,K42)&gt;=3,IF(J42=5,VLOOKUP(K42+2,TPMatrix!$A$6:$B$10,2,0),IF(J42=4,VLOOKUP(K42+2,TPMatrix!$D$6:$E$9,2,0),0)),"")</f>
        <v>0</v>
      </c>
      <c r="O42" s="227">
        <f ca="1">IF(COUNTIF(K42:K46,K42)&gt;=4,IF(J42=5,VLOOKUP(K42+3,TPMatrix!$A$6:$B$10,2,0),IF(J42=4,VLOOKUP(K42+3,TPMatrix!$D$6:$E$9,2,0),0)),"")</f>
        <v>0</v>
      </c>
      <c r="P42" s="227">
        <f ca="1">IF(COUNTIF(K42:K46,K42)&gt;=5,IF(J42=5,VLOOKUP(K42+4,TPMatrix!$A$6:$B$10,2,0),IF(J42=4,VLOOKUP(K42+4,TPMatrix!$D$6:$E$9,2,0),0)),"")</f>
        <v>0</v>
      </c>
      <c r="Q42" s="227">
        <f t="shared" ca="1" si="16"/>
        <v>0</v>
      </c>
      <c r="R42" s="228">
        <f t="shared" ca="1" si="17"/>
        <v>5</v>
      </c>
      <c r="S42" s="229">
        <f t="shared" ca="1" si="18"/>
        <v>0</v>
      </c>
      <c r="T42" s="230">
        <f t="shared" si="19"/>
        <v>0</v>
      </c>
      <c r="U42" s="231">
        <f t="shared" ca="1" si="20"/>
        <v>0</v>
      </c>
      <c r="W42" s="36" t="str">
        <f t="shared" ca="1" si="21"/>
        <v/>
      </c>
      <c r="X42" s="36" t="str">
        <f ca="1">IF(ISNUMBER($A42),$W42*(Methuselahs!$A$4+1)+$A42,"")</f>
        <v/>
      </c>
      <c r="Y42" s="36" t="str">
        <f t="shared" ca="1" si="22"/>
        <v/>
      </c>
      <c r="Z42" s="36" t="str">
        <f ca="1">IF(ISNUMBER($A42),VLOOKUP($A42,Methuselahs!$A$7:$X$206,5),"")</f>
        <v/>
      </c>
      <c r="AA42" s="36" t="str">
        <f t="shared" ca="1" si="23"/>
        <v/>
      </c>
    </row>
    <row r="43" spans="1:27" ht="12.95" customHeight="1" x14ac:dyDescent="0.2">
      <c r="A43" s="111" t="str">
        <f ca="1">IF(OR(ISBLANK('Tournament Info'!$B$11),'Tournament Info'!$B$11&lt;&gt;4),"",INDIRECT(ADDRESS(ROW(),3,1,1,"Optimal Seating "&amp;'Tournament Info'!$B$11-1&amp;"R+F")))</f>
        <v/>
      </c>
      <c r="B43" s="117" t="str">
        <f ca="1">IF(ISNUMBER(A43),VLOOKUP(A43,Methuselahs!$A$7:$E$206,2,0),"")</f>
        <v/>
      </c>
      <c r="C43" s="232" t="str">
        <f ca="1">IF(ISNUMBER(A43),VLOOKUP(A43,Methuselahs!$A$7:$E$206,3,0),"")</f>
        <v/>
      </c>
      <c r="D43" s="233" t="str">
        <f t="shared" ca="1" si="12"/>
        <v/>
      </c>
      <c r="E43" s="234"/>
      <c r="F43" s="118">
        <f t="shared" si="13"/>
        <v>0</v>
      </c>
      <c r="G43" s="235" t="str">
        <f t="shared" ca="1" si="14"/>
        <v/>
      </c>
      <c r="H43" s="236" t="str">
        <f ca="1">IF(ISNUMBER(A43),IF(OR($S43=$U43,NOT(ISNA(MATCH($D43*5+$V$4,Override!$C$6:$C$125,0)))),$Q43,0),"")</f>
        <v/>
      </c>
      <c r="I43" s="121" t="str">
        <f t="shared" ca="1" si="15"/>
        <v/>
      </c>
      <c r="J43" s="237">
        <f ca="1">COUNT(A42:A46)</f>
        <v>0</v>
      </c>
      <c r="K43" s="238" t="str">
        <f ca="1">IF(ISNUMBER(A43),RANK(F43,F42:F46),"")</f>
        <v/>
      </c>
      <c r="L43" s="239">
        <f ca="1">IF(J43=5,VLOOKUP(K43,TPMatrix!$A$6:$B$10,2,0),IF(J43=4,VLOOKUP(K43,TPMatrix!$D$6:$E$9,2,0),0))</f>
        <v>0</v>
      </c>
      <c r="M43" s="239">
        <f ca="1">IF(COUNTIF(K42:K46,K43)&gt;=2,IF(J43=5,VLOOKUP(K43+1,TPMatrix!$A$6:$B$10,2,0),IF(J43=4,VLOOKUP(K43+1,TPMatrix!$D$6:$E$9,2,0),0)),"")</f>
        <v>0</v>
      </c>
      <c r="N43" s="239">
        <f ca="1">IF(COUNTIF(K42:K46,K43)&gt;=3,IF(J43=5,VLOOKUP(K43+2,TPMatrix!$A$6:$B$10,2,0),IF(J43=4,VLOOKUP(K43+2,TPMatrix!$D$6:$E$9,2,0),0)),"")</f>
        <v>0</v>
      </c>
      <c r="O43" s="239">
        <f ca="1">IF(COUNTIF(K42:K46,K43)&gt;=4,IF(J43=5,VLOOKUP(K43+3,TPMatrix!$A$6:$B$10,2,0),IF(J43=4,VLOOKUP(K43+3,TPMatrix!$D$6:$E$9,2,0),0)),"")</f>
        <v>0</v>
      </c>
      <c r="P43" s="239">
        <f ca="1">IF(COUNTIF(K42:K46,K43)&gt;=5,IF(J43=5,VLOOKUP(K43+4,TPMatrix!$A$6:$B$10,2,0),IF(J43=4,VLOOKUP(K43+4,TPMatrix!$D$6:$E$9,2,0),0)),"")</f>
        <v>0</v>
      </c>
      <c r="Q43" s="239">
        <f t="shared" ca="1" si="16"/>
        <v>0</v>
      </c>
      <c r="R43" s="240">
        <f t="shared" ca="1" si="17"/>
        <v>5</v>
      </c>
      <c r="S43" s="238">
        <f t="shared" ca="1" si="18"/>
        <v>0</v>
      </c>
      <c r="T43" s="239">
        <f t="shared" si="19"/>
        <v>0</v>
      </c>
      <c r="U43" s="240">
        <f t="shared" ca="1" si="20"/>
        <v>0</v>
      </c>
      <c r="W43" s="36" t="str">
        <f t="shared" ca="1" si="21"/>
        <v/>
      </c>
      <c r="X43" s="36" t="str">
        <f ca="1">IF(ISNUMBER($A43),$W43*(Methuselahs!$A$4+1)+$A43,"")</f>
        <v/>
      </c>
      <c r="Y43" s="36" t="str">
        <f t="shared" ca="1" si="22"/>
        <v/>
      </c>
      <c r="Z43" s="36" t="str">
        <f ca="1">IF(ISNUMBER($A43),VLOOKUP($A43,Methuselahs!$A$7:$X$206,5),"")</f>
        <v/>
      </c>
      <c r="AA43" s="36" t="str">
        <f t="shared" ca="1" si="23"/>
        <v/>
      </c>
    </row>
    <row r="44" spans="1:27" ht="12.95" customHeight="1" x14ac:dyDescent="0.2">
      <c r="A44" s="137" t="str">
        <f ca="1">IF(OR(ISBLANK('Tournament Info'!$B$11),'Tournament Info'!$B$11&lt;&gt;4),"",INDIRECT(ADDRESS(ROW(),3,1,1,"Optimal Seating "&amp;'Tournament Info'!$B$11-1&amp;"R+F")))</f>
        <v/>
      </c>
      <c r="B44" s="143" t="str">
        <f ca="1">IF(ISNUMBER(A44),VLOOKUP(A44,Methuselahs!$A$7:$E$206,2,0),"")</f>
        <v/>
      </c>
      <c r="C44" s="241" t="str">
        <f ca="1">IF(ISNUMBER(A44),VLOOKUP(A44,Methuselahs!$A$7:$E$206,3,0),"")</f>
        <v/>
      </c>
      <c r="D44" s="242" t="str">
        <f t="shared" ca="1" si="12"/>
        <v/>
      </c>
      <c r="E44" s="243"/>
      <c r="F44" s="144">
        <f t="shared" si="13"/>
        <v>0</v>
      </c>
      <c r="G44" s="244" t="str">
        <f t="shared" ca="1" si="14"/>
        <v/>
      </c>
      <c r="H44" s="245" t="str">
        <f ca="1">IF(ISNUMBER(A44),IF(OR($S44=$U44,NOT(ISNA(MATCH($D44*5+$V$4,Override!$C$6:$C$125,0)))),$Q44,0),"")</f>
        <v/>
      </c>
      <c r="I44" s="147" t="str">
        <f t="shared" ca="1" si="15"/>
        <v/>
      </c>
      <c r="J44" s="246">
        <f ca="1">COUNT(A42:A46)</f>
        <v>0</v>
      </c>
      <c r="K44" s="247" t="str">
        <f ca="1">IF(ISNUMBER(A44),RANK(F44,F42:F46),"")</f>
        <v/>
      </c>
      <c r="L44" s="142">
        <f ca="1">IF(J44=5,VLOOKUP(K44,TPMatrix!$A$6:$B$10,2,0),IF(J44=4,VLOOKUP(K44,TPMatrix!$D$6:$E$9,2,0),0))</f>
        <v>0</v>
      </c>
      <c r="M44" s="142">
        <f ca="1">IF(COUNTIF(K42:K46,K44)&gt;=2,IF(J44=5,VLOOKUP(K44+1,TPMatrix!$A$6:$B$10,2,0),IF(J44=4,VLOOKUP(K44+1,TPMatrix!$D$6:$E$9,2,0),0)),"")</f>
        <v>0</v>
      </c>
      <c r="N44" s="142">
        <f ca="1">IF(COUNTIF(K42:K46,K44)&gt;=3,IF(J44=5,VLOOKUP(K44+2,TPMatrix!$A$6:$B$10,2,0),IF(J44=4,VLOOKUP(K44+2,TPMatrix!$D$6:$E$9,2,0),0)),"")</f>
        <v>0</v>
      </c>
      <c r="O44" s="142">
        <f ca="1">IF(COUNTIF(K42:K46,K44)&gt;=4,IF(J44=5,VLOOKUP(K44+3,TPMatrix!$A$6:$B$10,2,0),IF(J44=4,VLOOKUP(K44+3,TPMatrix!$D$6:$E$9,2,0),0)),"")</f>
        <v>0</v>
      </c>
      <c r="P44" s="142">
        <f ca="1">IF(COUNTIF(K42:K46,K44)&gt;=5,IF(J44=5,VLOOKUP(K44+4,TPMatrix!$A$6:$B$10,2,0),IF(J44=4,VLOOKUP(K44+4,TPMatrix!$D$6:$E$9,2,0),0)),"")</f>
        <v>0</v>
      </c>
      <c r="Q44" s="142">
        <f t="shared" ca="1" si="16"/>
        <v>0</v>
      </c>
      <c r="R44" s="248">
        <f t="shared" ca="1" si="17"/>
        <v>5</v>
      </c>
      <c r="S44" s="247">
        <f t="shared" ca="1" si="18"/>
        <v>0</v>
      </c>
      <c r="T44" s="142">
        <f t="shared" si="19"/>
        <v>0</v>
      </c>
      <c r="U44" s="248">
        <f t="shared" ca="1" si="20"/>
        <v>0</v>
      </c>
      <c r="W44" s="36" t="str">
        <f t="shared" ca="1" si="21"/>
        <v/>
      </c>
      <c r="X44" s="36" t="str">
        <f ca="1">IF(ISNUMBER($A44),$W44*(Methuselahs!$A$4+1)+$A44,"")</f>
        <v/>
      </c>
      <c r="Y44" s="36" t="str">
        <f t="shared" ca="1" si="22"/>
        <v/>
      </c>
      <c r="Z44" s="36" t="str">
        <f ca="1">IF(ISNUMBER($A44),VLOOKUP($A44,Methuselahs!$A$7:$X$206,5),"")</f>
        <v/>
      </c>
      <c r="AA44" s="36" t="str">
        <f t="shared" ca="1" si="23"/>
        <v/>
      </c>
    </row>
    <row r="45" spans="1:27" ht="12.95" customHeight="1" x14ac:dyDescent="0.2">
      <c r="A45" s="249" t="str">
        <f ca="1">IF(OR(ISBLANK('Tournament Info'!$B$11),'Tournament Info'!$B$11&lt;&gt;4),"",INDIRECT(ADDRESS(ROW(),3,1,1,"Optimal Seating "&amp;'Tournament Info'!$B$11-1&amp;"R+F")))</f>
        <v/>
      </c>
      <c r="B45" s="250" t="str">
        <f ca="1">IF(ISNUMBER(A45),VLOOKUP(A45,Methuselahs!$A$7:$E$206,2,0),"")</f>
        <v/>
      </c>
      <c r="C45" s="251" t="str">
        <f ca="1">IF(ISNUMBER(A45),VLOOKUP(A45,Methuselahs!$A$7:$E$206,3,0),"")</f>
        <v/>
      </c>
      <c r="D45" s="252" t="str">
        <f t="shared" ca="1" si="12"/>
        <v/>
      </c>
      <c r="E45" s="253"/>
      <c r="F45" s="397">
        <f t="shared" si="13"/>
        <v>0</v>
      </c>
      <c r="G45" s="235" t="str">
        <f t="shared" ca="1" si="14"/>
        <v/>
      </c>
      <c r="H45" s="236" t="str">
        <f ca="1">IF(ISNUMBER(A45),IF(OR($S45=$U45,NOT(ISNA(MATCH($D45*5+$V$4,Override!$C$6:$C$125,0)))),$Q45,0),"")</f>
        <v/>
      </c>
      <c r="I45" s="121" t="str">
        <f t="shared" ca="1" si="15"/>
        <v/>
      </c>
      <c r="J45" s="254">
        <f ca="1">COUNT(A42:A46)</f>
        <v>0</v>
      </c>
      <c r="K45" s="238" t="str">
        <f ca="1">IF(ISNUMBER(A45),RANK(F45,F42:F46),"")</f>
        <v/>
      </c>
      <c r="L45" s="239">
        <f ca="1">IF(J45=5,VLOOKUP(K45,TPMatrix!$A$6:$B$10,2,0),IF(J45=4,VLOOKUP(K45,TPMatrix!$D$6:$E$9,2,0),0))</f>
        <v>0</v>
      </c>
      <c r="M45" s="239">
        <f ca="1">IF(COUNTIF(K42:K46,K45)&gt;=2,IF(J45=5,VLOOKUP(K45+1,TPMatrix!$A$6:$B$10,2,0),IF(J45=4,VLOOKUP(K45+1,TPMatrix!$D$6:$E$9,2,0),0)),"")</f>
        <v>0</v>
      </c>
      <c r="N45" s="239">
        <f ca="1">IF(COUNTIF(K42:K46,K45)&gt;=3,IF(J45=5,VLOOKUP(K45+2,TPMatrix!$A$6:$B$10,2,0),IF(J45=4,VLOOKUP(K45+2,TPMatrix!$D$6:$E$9,2,0),0)),"")</f>
        <v>0</v>
      </c>
      <c r="O45" s="239">
        <f ca="1">IF(COUNTIF(K42:K46,K45)&gt;=4,IF(J45=5,VLOOKUP(K45+3,TPMatrix!$A$6:$B$10,2,0),IF(J45=4,VLOOKUP(K45+3,TPMatrix!$D$6:$E$9,2,0),0)),"")</f>
        <v>0</v>
      </c>
      <c r="P45" s="239">
        <f ca="1">IF(COUNTIF(K42:K46,K45)&gt;=5,IF(J45=5,VLOOKUP(K45+4,TPMatrix!$A$6:$B$10,2,0),IF(J45=4,VLOOKUP(K45+4,TPMatrix!$D$6:$E$9,2,0),0)),"")</f>
        <v>0</v>
      </c>
      <c r="Q45" s="239">
        <f t="shared" ca="1" si="16"/>
        <v>0</v>
      </c>
      <c r="R45" s="240">
        <f t="shared" ca="1" si="17"/>
        <v>5</v>
      </c>
      <c r="S45" s="238">
        <f t="shared" ca="1" si="18"/>
        <v>0</v>
      </c>
      <c r="T45" s="239">
        <f t="shared" si="19"/>
        <v>0</v>
      </c>
      <c r="U45" s="240">
        <f t="shared" ca="1" si="20"/>
        <v>0</v>
      </c>
      <c r="W45" s="36" t="str">
        <f t="shared" ca="1" si="21"/>
        <v/>
      </c>
      <c r="X45" s="36" t="str">
        <f ca="1">IF(ISNUMBER($A45),$W45*(Methuselahs!$A$4+1)+$A45,"")</f>
        <v/>
      </c>
      <c r="Y45" s="36" t="str">
        <f t="shared" ca="1" si="22"/>
        <v/>
      </c>
      <c r="Z45" s="36" t="str">
        <f ca="1">IF(ISNUMBER($A45),VLOOKUP($A45,Methuselahs!$A$7:$X$206,5),"")</f>
        <v/>
      </c>
      <c r="AA45" s="36" t="str">
        <f t="shared" ca="1" si="23"/>
        <v/>
      </c>
    </row>
    <row r="46" spans="1:27" ht="12.95" customHeight="1" x14ac:dyDescent="0.2">
      <c r="A46" s="255" t="str">
        <f ca="1">IF(OR(ISBLANK('Tournament Info'!$B$11),'Tournament Info'!$B$11&lt;&gt;4),"",INDIRECT(ADDRESS(ROW(),3,1,1,"Optimal Seating "&amp;'Tournament Info'!$B$11-1&amp;"R+F")))</f>
        <v/>
      </c>
      <c r="B46" s="256" t="str">
        <f ca="1">IF(ISNUMBER(A46),VLOOKUP(A46,Methuselahs!$A$7:$E$206,2,0),"")</f>
        <v/>
      </c>
      <c r="C46" s="257" t="str">
        <f ca="1">IF(ISNUMBER(A46),VLOOKUP(A46,Methuselahs!$A$7:$E$206,3,0),"")</f>
        <v/>
      </c>
      <c r="D46" s="258" t="str">
        <f t="shared" ca="1" si="12"/>
        <v/>
      </c>
      <c r="E46" s="259"/>
      <c r="F46" s="398">
        <f t="shared" si="13"/>
        <v>0</v>
      </c>
      <c r="G46" s="244" t="str">
        <f t="shared" ca="1" si="14"/>
        <v/>
      </c>
      <c r="H46" s="245" t="str">
        <f ca="1">IF(ISNUMBER(A46),IF(OR($S46=$U46,NOT(ISNA(MATCH($D46*5+$V$4,Override!$C$6:$C$125,0)))),$Q46,0),"")</f>
        <v/>
      </c>
      <c r="I46" s="147" t="str">
        <f t="shared" ca="1" si="15"/>
        <v/>
      </c>
      <c r="J46" s="260">
        <f ca="1">COUNT(A42:A46)</f>
        <v>0</v>
      </c>
      <c r="K46" s="261" t="str">
        <f ca="1">IF(ISNUMBER(A46),RANK(F46,F42:F46),"")</f>
        <v/>
      </c>
      <c r="L46" s="262">
        <f ca="1">IF(J46=5,VLOOKUP(K46,TPMatrix!$A$6:$B$10,2,0),IF(J46=4,VLOOKUP(K46,TPMatrix!$D$6:$E$9,2,0),0))</f>
        <v>0</v>
      </c>
      <c r="M46" s="262">
        <f ca="1">IF(COUNTIF(K42:K46,K46)&gt;=2,IF(J46=5,VLOOKUP(K46+1,TPMatrix!$A$6:$B$10,2,0),IF(J46=4,VLOOKUP(K46+1,TPMatrix!$D$6:$E$9,2,0),0)),"")</f>
        <v>0</v>
      </c>
      <c r="N46" s="262">
        <f ca="1">IF(COUNTIF(K42:K46,K46)&gt;=3,IF(J46=5,VLOOKUP(K46+2,TPMatrix!$A$6:$B$10,2,0),IF(J46=4,VLOOKUP(K46+2,TPMatrix!$D$6:$E$9,2,0),0)),"")</f>
        <v>0</v>
      </c>
      <c r="O46" s="262">
        <f ca="1">IF(COUNTIF(K42:K46,K46)&gt;=4,IF(J46=5,VLOOKUP(K46+3,TPMatrix!$A$6:$B$10,2,0),IF(J46=4,VLOOKUP(K46+3,TPMatrix!$D$6:$E$9,2,0),0)),"")</f>
        <v>0</v>
      </c>
      <c r="P46" s="262">
        <f ca="1">IF(COUNTIF(K42:K46,K46)&gt;=5,IF(J46=5,VLOOKUP(K46+4,TPMatrix!$A$6:$B$10,2,0),IF(J46=4,VLOOKUP(K46+4,TPMatrix!$D$6:$E$9,2,0),0)),"")</f>
        <v>0</v>
      </c>
      <c r="Q46" s="262">
        <f t="shared" ca="1" si="16"/>
        <v>0</v>
      </c>
      <c r="R46" s="263">
        <f t="shared" ca="1" si="17"/>
        <v>5</v>
      </c>
      <c r="S46" s="261">
        <f t="shared" ca="1" si="18"/>
        <v>0</v>
      </c>
      <c r="T46" s="262">
        <f t="shared" si="19"/>
        <v>0</v>
      </c>
      <c r="U46" s="263">
        <f t="shared" ca="1" si="20"/>
        <v>0</v>
      </c>
      <c r="W46" s="36" t="str">
        <f t="shared" ca="1" si="21"/>
        <v/>
      </c>
      <c r="X46" s="36" t="str">
        <f ca="1">IF(ISNUMBER($A46),$W46*(Methuselahs!$A$4+1)+$A46,"")</f>
        <v/>
      </c>
      <c r="Y46" s="36" t="str">
        <f t="shared" ca="1" si="22"/>
        <v/>
      </c>
      <c r="Z46" s="36" t="str">
        <f ca="1">IF(ISNUMBER($A46),VLOOKUP($A46,Methuselahs!$A$7:$X$206,5),"")</f>
        <v/>
      </c>
      <c r="AA46" s="36" t="str">
        <f t="shared" ca="1" si="23"/>
        <v/>
      </c>
    </row>
    <row r="47" spans="1:27" ht="12.95" customHeight="1" x14ac:dyDescent="0.2">
      <c r="A47" s="219" t="str">
        <f ca="1">IF(OR(ISBLANK('Tournament Info'!$B$11),'Tournament Info'!$B$11&lt;&gt;4),"",INDIRECT(ADDRESS(ROW(),3,1,1,"Optimal Seating "&amp;'Tournament Info'!$B$11-1&amp;"R+F")))</f>
        <v/>
      </c>
      <c r="B47" s="143" t="str">
        <f ca="1">IF(ISNUMBER(A47),VLOOKUP(A47,Methuselahs!$A$7:$E$206,2,0),"")</f>
        <v/>
      </c>
      <c r="C47" s="220" t="str">
        <f ca="1">IF(ISNUMBER(A47),VLOOKUP(A47,Methuselahs!$A$7:$E$206,3,0),"")</f>
        <v/>
      </c>
      <c r="D47" s="221" t="str">
        <f t="shared" ca="1" si="12"/>
        <v/>
      </c>
      <c r="E47" s="222"/>
      <c r="F47" s="393">
        <f t="shared" si="13"/>
        <v>0</v>
      </c>
      <c r="G47" s="223" t="str">
        <f t="shared" ca="1" si="14"/>
        <v/>
      </c>
      <c r="H47" s="224" t="str">
        <f ca="1">IF(ISNUMBER(A47),IF(OR($S47=$U47,NOT(ISNA(MATCH($D47*5+$V$4,Override!$C$6:$C$125,0)))),$Q47,0),"")</f>
        <v/>
      </c>
      <c r="I47" s="406" t="str">
        <f t="shared" ca="1" si="15"/>
        <v/>
      </c>
      <c r="J47" s="225">
        <f ca="1">COUNT(A47:A51)</f>
        <v>0</v>
      </c>
      <c r="K47" s="226" t="str">
        <f ca="1">IF(ISNUMBER(A47),RANK(F47,F47:F51),"")</f>
        <v/>
      </c>
      <c r="L47" s="227">
        <f ca="1">IF(J47=5,VLOOKUP(K47,TPMatrix!$A$6:$B$10,2,0),IF(J47=4,VLOOKUP(K47,TPMatrix!$D$6:$E$9,2,0),0))</f>
        <v>0</v>
      </c>
      <c r="M47" s="227">
        <f ca="1">IF(COUNTIF(K47:K51,K47)&gt;=2,IF(J47=5,VLOOKUP(K47+1,TPMatrix!$A$6:$B$10,2,0),IF(J47=4,VLOOKUP(K47+1,TPMatrix!$D$6:$E$9,2,0),0)),"")</f>
        <v>0</v>
      </c>
      <c r="N47" s="227">
        <f ca="1">IF(COUNTIF(K47:K51,K47)&gt;=3,IF(J47=5,VLOOKUP(K47+2,TPMatrix!$A$6:$B$10,2,0),IF(J47=4,VLOOKUP(K47+2,TPMatrix!$D$6:$E$9,2,0),0)),"")</f>
        <v>0</v>
      </c>
      <c r="O47" s="227">
        <f ca="1">IF(COUNTIF(K47:K51,K47)&gt;=4,IF(J47=5,VLOOKUP(K47+3,TPMatrix!$A$6:$B$10,2,0),IF(J47=4,VLOOKUP(K47+3,TPMatrix!$D$6:$E$9,2,0),0)),"")</f>
        <v>0</v>
      </c>
      <c r="P47" s="227">
        <f ca="1">IF(COUNTIF(K47:K51,K47)&gt;=5,IF(J47=5,VLOOKUP(K47+4,TPMatrix!$A$6:$B$10,2,0),IF(J47=4,VLOOKUP(K47+4,TPMatrix!$D$6:$E$9,2,0),0)),"")</f>
        <v>0</v>
      </c>
      <c r="Q47" s="227">
        <f t="shared" ca="1" si="16"/>
        <v>0</v>
      </c>
      <c r="R47" s="228">
        <f t="shared" ca="1" si="17"/>
        <v>5</v>
      </c>
      <c r="S47" s="229">
        <f t="shared" ca="1" si="18"/>
        <v>0</v>
      </c>
      <c r="T47" s="230">
        <f t="shared" si="19"/>
        <v>0</v>
      </c>
      <c r="U47" s="231">
        <f t="shared" ca="1" si="20"/>
        <v>0</v>
      </c>
      <c r="W47" s="36" t="str">
        <f t="shared" ca="1" si="21"/>
        <v/>
      </c>
      <c r="X47" s="36" t="str">
        <f ca="1">IF(ISNUMBER($A47),$W47*(Methuselahs!$A$4+1)+$A47,"")</f>
        <v/>
      </c>
      <c r="Y47" s="36" t="str">
        <f t="shared" ca="1" si="22"/>
        <v/>
      </c>
      <c r="Z47" s="36" t="str">
        <f ca="1">IF(ISNUMBER($A47),VLOOKUP($A47,Methuselahs!$A$7:$X$206,5),"")</f>
        <v/>
      </c>
      <c r="AA47" s="36" t="str">
        <f t="shared" ca="1" si="23"/>
        <v/>
      </c>
    </row>
    <row r="48" spans="1:27" ht="12.95" customHeight="1" x14ac:dyDescent="0.2">
      <c r="A48" s="111" t="str">
        <f ca="1">IF(OR(ISBLANK('Tournament Info'!$B$11),'Tournament Info'!$B$11&lt;&gt;4),"",INDIRECT(ADDRESS(ROW(),3,1,1,"Optimal Seating "&amp;'Tournament Info'!$B$11-1&amp;"R+F")))</f>
        <v/>
      </c>
      <c r="B48" s="117" t="str">
        <f ca="1">IF(ISNUMBER(A48),VLOOKUP(A48,Methuselahs!$A$7:$E$206,2,0),"")</f>
        <v/>
      </c>
      <c r="C48" s="232" t="str">
        <f ca="1">IF(ISNUMBER(A48),VLOOKUP(A48,Methuselahs!$A$7:$E$206,3,0),"")</f>
        <v/>
      </c>
      <c r="D48" s="233" t="str">
        <f t="shared" ca="1" si="12"/>
        <v/>
      </c>
      <c r="E48" s="234"/>
      <c r="F48" s="118">
        <f t="shared" si="13"/>
        <v>0</v>
      </c>
      <c r="G48" s="235" t="str">
        <f t="shared" ca="1" si="14"/>
        <v/>
      </c>
      <c r="H48" s="236" t="str">
        <f ca="1">IF(ISNUMBER(A48),IF(OR($S48=$U48,NOT(ISNA(MATCH($D48*5+$V$4,Override!$C$6:$C$125,0)))),$Q48,0),"")</f>
        <v/>
      </c>
      <c r="I48" s="121" t="str">
        <f t="shared" ca="1" si="15"/>
        <v/>
      </c>
      <c r="J48" s="237">
        <f ca="1">COUNT(A47:A51)</f>
        <v>0</v>
      </c>
      <c r="K48" s="238" t="str">
        <f ca="1">IF(ISNUMBER(A48),RANK(F48,F47:F51),"")</f>
        <v/>
      </c>
      <c r="L48" s="239">
        <f ca="1">IF(J48=5,VLOOKUP(K48,TPMatrix!$A$6:$B$10,2,0),IF(J48=4,VLOOKUP(K48,TPMatrix!$D$6:$E$9,2,0),0))</f>
        <v>0</v>
      </c>
      <c r="M48" s="239">
        <f ca="1">IF(COUNTIF(K47:K51,K48)&gt;=2,IF(J48=5,VLOOKUP(K48+1,TPMatrix!$A$6:$B$10,2,0),IF(J48=4,VLOOKUP(K48+1,TPMatrix!$D$6:$E$9,2,0),0)),"")</f>
        <v>0</v>
      </c>
      <c r="N48" s="239">
        <f ca="1">IF(COUNTIF(K47:K51,K48)&gt;=3,IF(J48=5,VLOOKUP(K48+2,TPMatrix!$A$6:$B$10,2,0),IF(J48=4,VLOOKUP(K48+2,TPMatrix!$D$6:$E$9,2,0),0)),"")</f>
        <v>0</v>
      </c>
      <c r="O48" s="239">
        <f ca="1">IF(COUNTIF(K47:K51,K48)&gt;=4,IF(J48=5,VLOOKUP(K48+3,TPMatrix!$A$6:$B$10,2,0),IF(J48=4,VLOOKUP(K48+3,TPMatrix!$D$6:$E$9,2,0),0)),"")</f>
        <v>0</v>
      </c>
      <c r="P48" s="239">
        <f ca="1">IF(COUNTIF(K47:K51,K48)&gt;=5,IF(J48=5,VLOOKUP(K48+4,TPMatrix!$A$6:$B$10,2,0),IF(J48=4,VLOOKUP(K48+4,TPMatrix!$D$6:$E$9,2,0),0)),"")</f>
        <v>0</v>
      </c>
      <c r="Q48" s="239">
        <f t="shared" ca="1" si="16"/>
        <v>0</v>
      </c>
      <c r="R48" s="240">
        <f t="shared" ca="1" si="17"/>
        <v>5</v>
      </c>
      <c r="S48" s="238">
        <f t="shared" ca="1" si="18"/>
        <v>0</v>
      </c>
      <c r="T48" s="239">
        <f t="shared" si="19"/>
        <v>0</v>
      </c>
      <c r="U48" s="240">
        <f t="shared" ca="1" si="20"/>
        <v>0</v>
      </c>
      <c r="W48" s="36" t="str">
        <f t="shared" ca="1" si="21"/>
        <v/>
      </c>
      <c r="X48" s="36" t="str">
        <f ca="1">IF(ISNUMBER($A48),$W48*(Methuselahs!$A$4+1)+$A48,"")</f>
        <v/>
      </c>
      <c r="Y48" s="36" t="str">
        <f t="shared" ca="1" si="22"/>
        <v/>
      </c>
      <c r="Z48" s="36" t="str">
        <f ca="1">IF(ISNUMBER($A48),VLOOKUP($A48,Methuselahs!$A$7:$X$206,5),"")</f>
        <v/>
      </c>
      <c r="AA48" s="36" t="str">
        <f t="shared" ca="1" si="23"/>
        <v/>
      </c>
    </row>
    <row r="49" spans="1:27" ht="12.95" customHeight="1" x14ac:dyDescent="0.2">
      <c r="A49" s="137" t="str">
        <f ca="1">IF(OR(ISBLANK('Tournament Info'!$B$11),'Tournament Info'!$B$11&lt;&gt;4),"",INDIRECT(ADDRESS(ROW(),3,1,1,"Optimal Seating "&amp;'Tournament Info'!$B$11-1&amp;"R+F")))</f>
        <v/>
      </c>
      <c r="B49" s="143" t="str">
        <f ca="1">IF(ISNUMBER(A49),VLOOKUP(A49,Methuselahs!$A$7:$E$206,2,0),"")</f>
        <v/>
      </c>
      <c r="C49" s="241" t="str">
        <f ca="1">IF(ISNUMBER(A49),VLOOKUP(A49,Methuselahs!$A$7:$E$206,3,0),"")</f>
        <v/>
      </c>
      <c r="D49" s="242" t="str">
        <f t="shared" ca="1" si="12"/>
        <v/>
      </c>
      <c r="E49" s="243"/>
      <c r="F49" s="144">
        <f t="shared" si="13"/>
        <v>0</v>
      </c>
      <c r="G49" s="244" t="str">
        <f t="shared" ca="1" si="14"/>
        <v/>
      </c>
      <c r="H49" s="245" t="str">
        <f ca="1">IF(ISNUMBER(A49),IF(OR($S49=$U49,NOT(ISNA(MATCH($D49*5+$V$4,Override!$C$6:$C$125,0)))),$Q49,0),"")</f>
        <v/>
      </c>
      <c r="I49" s="147" t="str">
        <f t="shared" ca="1" si="15"/>
        <v/>
      </c>
      <c r="J49" s="246">
        <f ca="1">COUNT(A47:A51)</f>
        <v>0</v>
      </c>
      <c r="K49" s="247" t="str">
        <f ca="1">IF(ISNUMBER(A49),RANK(F49,F47:F51),"")</f>
        <v/>
      </c>
      <c r="L49" s="142">
        <f ca="1">IF(J49=5,VLOOKUP(K49,TPMatrix!$A$6:$B$10,2,0),IF(J49=4,VLOOKUP(K49,TPMatrix!$D$6:$E$9,2,0),0))</f>
        <v>0</v>
      </c>
      <c r="M49" s="142">
        <f ca="1">IF(COUNTIF(K47:K51,K49)&gt;=2,IF(J49=5,VLOOKUP(K49+1,TPMatrix!$A$6:$B$10,2,0),IF(J49=4,VLOOKUP(K49+1,TPMatrix!$D$6:$E$9,2,0),0)),"")</f>
        <v>0</v>
      </c>
      <c r="N49" s="142">
        <f ca="1">IF(COUNTIF(K47:K51,K49)&gt;=3,IF(J49=5,VLOOKUP(K49+2,TPMatrix!$A$6:$B$10,2,0),IF(J49=4,VLOOKUP(K49+2,TPMatrix!$D$6:$E$9,2,0),0)),"")</f>
        <v>0</v>
      </c>
      <c r="O49" s="142">
        <f ca="1">IF(COUNTIF(K47:K51,K49)&gt;=4,IF(J49=5,VLOOKUP(K49+3,TPMatrix!$A$6:$B$10,2,0),IF(J49=4,VLOOKUP(K49+3,TPMatrix!$D$6:$E$9,2,0),0)),"")</f>
        <v>0</v>
      </c>
      <c r="P49" s="142">
        <f ca="1">IF(COUNTIF(K47:K51,K49)&gt;=5,IF(J49=5,VLOOKUP(K49+4,TPMatrix!$A$6:$B$10,2,0),IF(J49=4,VLOOKUP(K49+4,TPMatrix!$D$6:$E$9,2,0),0)),"")</f>
        <v>0</v>
      </c>
      <c r="Q49" s="142">
        <f t="shared" ca="1" si="16"/>
        <v>0</v>
      </c>
      <c r="R49" s="248">
        <f t="shared" ca="1" si="17"/>
        <v>5</v>
      </c>
      <c r="S49" s="247">
        <f t="shared" ca="1" si="18"/>
        <v>0</v>
      </c>
      <c r="T49" s="142">
        <f t="shared" si="19"/>
        <v>0</v>
      </c>
      <c r="U49" s="248">
        <f t="shared" ca="1" si="20"/>
        <v>0</v>
      </c>
      <c r="W49" s="36" t="str">
        <f t="shared" ca="1" si="21"/>
        <v/>
      </c>
      <c r="X49" s="36" t="str">
        <f ca="1">IF(ISNUMBER($A49),$W49*(Methuselahs!$A$4+1)+$A49,"")</f>
        <v/>
      </c>
      <c r="Y49" s="36" t="str">
        <f t="shared" ca="1" si="22"/>
        <v/>
      </c>
      <c r="Z49" s="36" t="str">
        <f ca="1">IF(ISNUMBER($A49),VLOOKUP($A49,Methuselahs!$A$7:$X$206,5),"")</f>
        <v/>
      </c>
      <c r="AA49" s="36" t="str">
        <f t="shared" ca="1" si="23"/>
        <v/>
      </c>
    </row>
    <row r="50" spans="1:27" ht="12.95" customHeight="1" x14ac:dyDescent="0.2">
      <c r="A50" s="249" t="str">
        <f ca="1">IF(OR(ISBLANK('Tournament Info'!$B$11),'Tournament Info'!$B$11&lt;&gt;4),"",INDIRECT(ADDRESS(ROW(),3,1,1,"Optimal Seating "&amp;'Tournament Info'!$B$11-1&amp;"R+F")))</f>
        <v/>
      </c>
      <c r="B50" s="250" t="str">
        <f ca="1">IF(ISNUMBER(A50),VLOOKUP(A50,Methuselahs!$A$7:$E$206,2,0),"")</f>
        <v/>
      </c>
      <c r="C50" s="251" t="str">
        <f ca="1">IF(ISNUMBER(A50),VLOOKUP(A50,Methuselahs!$A$7:$E$206,3,0),"")</f>
        <v/>
      </c>
      <c r="D50" s="252" t="str">
        <f t="shared" ca="1" si="12"/>
        <v/>
      </c>
      <c r="E50" s="253"/>
      <c r="F50" s="397">
        <f t="shared" si="13"/>
        <v>0</v>
      </c>
      <c r="G50" s="235" t="str">
        <f t="shared" ca="1" si="14"/>
        <v/>
      </c>
      <c r="H50" s="236" t="str">
        <f ca="1">IF(ISNUMBER(A50),IF(OR($S50=$U50,NOT(ISNA(MATCH($D50*5+$V$4,Override!$C$6:$C$125,0)))),$Q50,0),"")</f>
        <v/>
      </c>
      <c r="I50" s="121" t="str">
        <f t="shared" ca="1" si="15"/>
        <v/>
      </c>
      <c r="J50" s="254">
        <f ca="1">COUNT(A47:A51)</f>
        <v>0</v>
      </c>
      <c r="K50" s="238" t="str">
        <f ca="1">IF(ISNUMBER(A50),RANK(F50,F47:F51),"")</f>
        <v/>
      </c>
      <c r="L50" s="239">
        <f ca="1">IF(J50=5,VLOOKUP(K50,TPMatrix!$A$6:$B$10,2,0),IF(J50=4,VLOOKUP(K50,TPMatrix!$D$6:$E$9,2,0),0))</f>
        <v>0</v>
      </c>
      <c r="M50" s="239">
        <f ca="1">IF(COUNTIF(K47:K51,K50)&gt;=2,IF(J50=5,VLOOKUP(K50+1,TPMatrix!$A$6:$B$10,2,0),IF(J50=4,VLOOKUP(K50+1,TPMatrix!$D$6:$E$9,2,0),0)),"")</f>
        <v>0</v>
      </c>
      <c r="N50" s="239">
        <f ca="1">IF(COUNTIF(K47:K51,K50)&gt;=3,IF(J50=5,VLOOKUP(K50+2,TPMatrix!$A$6:$B$10,2,0),IF(J50=4,VLOOKUP(K50+2,TPMatrix!$D$6:$E$9,2,0),0)),"")</f>
        <v>0</v>
      </c>
      <c r="O50" s="239">
        <f ca="1">IF(COUNTIF(K47:K51,K50)&gt;=4,IF(J50=5,VLOOKUP(K50+3,TPMatrix!$A$6:$B$10,2,0),IF(J50=4,VLOOKUP(K50+3,TPMatrix!$D$6:$E$9,2,0),0)),"")</f>
        <v>0</v>
      </c>
      <c r="P50" s="239">
        <f ca="1">IF(COUNTIF(K47:K51,K50)&gt;=5,IF(J50=5,VLOOKUP(K50+4,TPMatrix!$A$6:$B$10,2,0),IF(J50=4,VLOOKUP(K50+4,TPMatrix!$D$6:$E$9,2,0),0)),"")</f>
        <v>0</v>
      </c>
      <c r="Q50" s="239">
        <f t="shared" ca="1" si="16"/>
        <v>0</v>
      </c>
      <c r="R50" s="240">
        <f t="shared" ca="1" si="17"/>
        <v>5</v>
      </c>
      <c r="S50" s="238">
        <f t="shared" ca="1" si="18"/>
        <v>0</v>
      </c>
      <c r="T50" s="239">
        <f t="shared" si="19"/>
        <v>0</v>
      </c>
      <c r="U50" s="240">
        <f t="shared" ca="1" si="20"/>
        <v>0</v>
      </c>
      <c r="W50" s="36" t="str">
        <f t="shared" ca="1" si="21"/>
        <v/>
      </c>
      <c r="X50" s="36" t="str">
        <f ca="1">IF(ISNUMBER($A50),$W50*(Methuselahs!$A$4+1)+$A50,"")</f>
        <v/>
      </c>
      <c r="Y50" s="36" t="str">
        <f t="shared" ca="1" si="22"/>
        <v/>
      </c>
      <c r="Z50" s="36" t="str">
        <f ca="1">IF(ISNUMBER($A50),VLOOKUP($A50,Methuselahs!$A$7:$X$206,5),"")</f>
        <v/>
      </c>
      <c r="AA50" s="36" t="str">
        <f t="shared" ca="1" si="23"/>
        <v/>
      </c>
    </row>
    <row r="51" spans="1:27" ht="12.95" customHeight="1" x14ac:dyDescent="0.2">
      <c r="A51" s="255" t="str">
        <f ca="1">IF(OR(ISBLANK('Tournament Info'!$B$11),'Tournament Info'!$B$11&lt;&gt;4),"",INDIRECT(ADDRESS(ROW(),3,1,1,"Optimal Seating "&amp;'Tournament Info'!$B$11-1&amp;"R+F")))</f>
        <v/>
      </c>
      <c r="B51" s="256" t="str">
        <f ca="1">IF(ISNUMBER(A51),VLOOKUP(A51,Methuselahs!$A$7:$E$206,2,0),"")</f>
        <v/>
      </c>
      <c r="C51" s="257" t="str">
        <f ca="1">IF(ISNUMBER(A51),VLOOKUP(A51,Methuselahs!$A$7:$E$206,3,0),"")</f>
        <v/>
      </c>
      <c r="D51" s="258" t="str">
        <f t="shared" ca="1" si="12"/>
        <v/>
      </c>
      <c r="E51" s="259"/>
      <c r="F51" s="398">
        <f t="shared" si="13"/>
        <v>0</v>
      </c>
      <c r="G51" s="244" t="str">
        <f t="shared" ca="1" si="14"/>
        <v/>
      </c>
      <c r="H51" s="245" t="str">
        <f ca="1">IF(ISNUMBER(A51),IF(OR($S51=$U51,NOT(ISNA(MATCH($D51*5+$V$4,Override!$C$6:$C$125,0)))),$Q51,0),"")</f>
        <v/>
      </c>
      <c r="I51" s="147" t="str">
        <f t="shared" ca="1" si="15"/>
        <v/>
      </c>
      <c r="J51" s="260">
        <f ca="1">COUNT(A47:A51)</f>
        <v>0</v>
      </c>
      <c r="K51" s="261" t="str">
        <f ca="1">IF(ISNUMBER(A51),RANK(F51,F47:F51),"")</f>
        <v/>
      </c>
      <c r="L51" s="262">
        <f ca="1">IF(J51=5,VLOOKUP(K51,TPMatrix!$A$6:$B$10,2,0),IF(J51=4,VLOOKUP(K51,TPMatrix!$D$6:$E$9,2,0),0))</f>
        <v>0</v>
      </c>
      <c r="M51" s="262">
        <f ca="1">IF(COUNTIF(K47:K51,K51)&gt;=2,IF(J51=5,VLOOKUP(K51+1,TPMatrix!$A$6:$B$10,2,0),IF(J51=4,VLOOKUP(K51+1,TPMatrix!$D$6:$E$9,2,0),0)),"")</f>
        <v>0</v>
      </c>
      <c r="N51" s="262">
        <f ca="1">IF(COUNTIF(K47:K51,K51)&gt;=3,IF(J51=5,VLOOKUP(K51+2,TPMatrix!$A$6:$B$10,2,0),IF(J51=4,VLOOKUP(K51+2,TPMatrix!$D$6:$E$9,2,0),0)),"")</f>
        <v>0</v>
      </c>
      <c r="O51" s="262">
        <f ca="1">IF(COUNTIF(K47:K51,K51)&gt;=4,IF(J51=5,VLOOKUP(K51+3,TPMatrix!$A$6:$B$10,2,0),IF(J51=4,VLOOKUP(K51+3,TPMatrix!$D$6:$E$9,2,0),0)),"")</f>
        <v>0</v>
      </c>
      <c r="P51" s="262">
        <f ca="1">IF(COUNTIF(K47:K51,K51)&gt;=5,IF(J51=5,VLOOKUP(K51+4,TPMatrix!$A$6:$B$10,2,0),IF(J51=4,VLOOKUP(K51+4,TPMatrix!$D$6:$E$9,2,0),0)),"")</f>
        <v>0</v>
      </c>
      <c r="Q51" s="262">
        <f t="shared" ca="1" si="16"/>
        <v>0</v>
      </c>
      <c r="R51" s="263">
        <f t="shared" ca="1" si="17"/>
        <v>5</v>
      </c>
      <c r="S51" s="261">
        <f t="shared" ca="1" si="18"/>
        <v>0</v>
      </c>
      <c r="T51" s="262">
        <f t="shared" si="19"/>
        <v>0</v>
      </c>
      <c r="U51" s="263">
        <f t="shared" ca="1" si="20"/>
        <v>0</v>
      </c>
      <c r="W51" s="36" t="str">
        <f t="shared" ca="1" si="21"/>
        <v/>
      </c>
      <c r="X51" s="36" t="str">
        <f ca="1">IF(ISNUMBER($A51),$W51*(Methuselahs!$A$4+1)+$A51,"")</f>
        <v/>
      </c>
      <c r="Y51" s="36" t="str">
        <f t="shared" ca="1" si="22"/>
        <v/>
      </c>
      <c r="Z51" s="36" t="str">
        <f ca="1">IF(ISNUMBER($A51),VLOOKUP($A51,Methuselahs!$A$7:$X$206,5),"")</f>
        <v/>
      </c>
      <c r="AA51" s="36" t="str">
        <f t="shared" ca="1" si="23"/>
        <v/>
      </c>
    </row>
    <row r="52" spans="1:27" ht="12.95" customHeight="1" x14ac:dyDescent="0.2">
      <c r="A52" s="219" t="str">
        <f ca="1">IF(OR(ISBLANK('Tournament Info'!$B$11),'Tournament Info'!$B$11&lt;&gt;4),"",INDIRECT(ADDRESS(ROW(),3,1,1,"Optimal Seating "&amp;'Tournament Info'!$B$11-1&amp;"R+F")))</f>
        <v/>
      </c>
      <c r="B52" s="143" t="str">
        <f ca="1">IF(ISNUMBER(A52),VLOOKUP(A52,Methuselahs!$A$7:$E$206,2,0),"")</f>
        <v/>
      </c>
      <c r="C52" s="220" t="str">
        <f ca="1">IF(ISNUMBER(A52),VLOOKUP(A52,Methuselahs!$A$7:$E$206,3,0),"")</f>
        <v/>
      </c>
      <c r="D52" s="221" t="str">
        <f t="shared" ca="1" si="12"/>
        <v/>
      </c>
      <c r="E52" s="222"/>
      <c r="F52" s="393">
        <f t="shared" si="13"/>
        <v>0</v>
      </c>
      <c r="G52" s="223" t="str">
        <f t="shared" ca="1" si="14"/>
        <v/>
      </c>
      <c r="H52" s="224" t="str">
        <f ca="1">IF(ISNUMBER(A52),IF(OR($S52=$U52,NOT(ISNA(MATCH($D52*5+$V$4,Override!$C$6:$C$125,0)))),$Q52,0),"")</f>
        <v/>
      </c>
      <c r="I52" s="406" t="str">
        <f t="shared" ca="1" si="15"/>
        <v/>
      </c>
      <c r="J52" s="225">
        <f ca="1">COUNT(A52:A56)</f>
        <v>0</v>
      </c>
      <c r="K52" s="226" t="str">
        <f ca="1">IF(ISNUMBER(A52),RANK(F52,F52:F56),"")</f>
        <v/>
      </c>
      <c r="L52" s="227">
        <f ca="1">IF(J52=5,VLOOKUP(K52,TPMatrix!$A$6:$B$10,2,0),IF(J52=4,VLOOKUP(K52,TPMatrix!$D$6:$E$9,2,0),0))</f>
        <v>0</v>
      </c>
      <c r="M52" s="227">
        <f ca="1">IF(COUNTIF(K52:K56,K52)&gt;=2,IF(J52=5,VLOOKUP(K52+1,TPMatrix!$A$6:$B$10,2,0),IF(J52=4,VLOOKUP(K52+1,TPMatrix!$D$6:$E$9,2,0),0)),"")</f>
        <v>0</v>
      </c>
      <c r="N52" s="227">
        <f ca="1">IF(COUNTIF(K52:K56,K52)&gt;=3,IF(J52=5,VLOOKUP(K52+2,TPMatrix!$A$6:$B$10,2,0),IF(J52=4,VLOOKUP(K52+2,TPMatrix!$D$6:$E$9,2,0),0)),"")</f>
        <v>0</v>
      </c>
      <c r="O52" s="227">
        <f ca="1">IF(COUNTIF(K52:K56,K52)&gt;=4,IF(J52=5,VLOOKUP(K52+3,TPMatrix!$A$6:$B$10,2,0),IF(J52=4,VLOOKUP(K52+3,TPMatrix!$D$6:$E$9,2,0),0)),"")</f>
        <v>0</v>
      </c>
      <c r="P52" s="227">
        <f ca="1">IF(COUNTIF(K52:K56,K52)&gt;=5,IF(J52=5,VLOOKUP(K52+4,TPMatrix!$A$6:$B$10,2,0),IF(J52=4,VLOOKUP(K52+4,TPMatrix!$D$6:$E$9,2,0),0)),"")</f>
        <v>0</v>
      </c>
      <c r="Q52" s="227">
        <f t="shared" ca="1" si="16"/>
        <v>0</v>
      </c>
      <c r="R52" s="228">
        <f t="shared" ca="1" si="17"/>
        <v>5</v>
      </c>
      <c r="S52" s="229">
        <f t="shared" ca="1" si="18"/>
        <v>0</v>
      </c>
      <c r="T52" s="230">
        <f t="shared" si="19"/>
        <v>0</v>
      </c>
      <c r="U52" s="231">
        <f t="shared" ca="1" si="20"/>
        <v>0</v>
      </c>
      <c r="W52" s="36" t="str">
        <f t="shared" ca="1" si="21"/>
        <v/>
      </c>
      <c r="X52" s="36" t="str">
        <f ca="1">IF(ISNUMBER($A52),$W52*(Methuselahs!$A$4+1)+$A52,"")</f>
        <v/>
      </c>
      <c r="Y52" s="36" t="str">
        <f t="shared" ca="1" si="22"/>
        <v/>
      </c>
      <c r="Z52" s="36" t="str">
        <f ca="1">IF(ISNUMBER($A52),VLOOKUP($A52,Methuselahs!$A$7:$X$206,5),"")</f>
        <v/>
      </c>
      <c r="AA52" s="36" t="str">
        <f t="shared" ca="1" si="23"/>
        <v/>
      </c>
    </row>
    <row r="53" spans="1:27" ht="12.95" customHeight="1" x14ac:dyDescent="0.2">
      <c r="A53" s="111" t="str">
        <f ca="1">IF(OR(ISBLANK('Tournament Info'!$B$11),'Tournament Info'!$B$11&lt;&gt;4),"",INDIRECT(ADDRESS(ROW(),3,1,1,"Optimal Seating "&amp;'Tournament Info'!$B$11-1&amp;"R+F")))</f>
        <v/>
      </c>
      <c r="B53" s="117" t="str">
        <f ca="1">IF(ISNUMBER(A53),VLOOKUP(A53,Methuselahs!$A$7:$E$206,2,0),"")</f>
        <v/>
      </c>
      <c r="C53" s="232" t="str">
        <f ca="1">IF(ISNUMBER(A53),VLOOKUP(A53,Methuselahs!$A$7:$E$206,3,0),"")</f>
        <v/>
      </c>
      <c r="D53" s="233" t="str">
        <f t="shared" ca="1" si="12"/>
        <v/>
      </c>
      <c r="E53" s="234"/>
      <c r="F53" s="118">
        <f t="shared" si="13"/>
        <v>0</v>
      </c>
      <c r="G53" s="235" t="str">
        <f t="shared" ca="1" si="14"/>
        <v/>
      </c>
      <c r="H53" s="236" t="str">
        <f ca="1">IF(ISNUMBER(A53),IF(OR($S53=$U53,NOT(ISNA(MATCH($D53*5+$V$4,Override!$C$6:$C$125,0)))),$Q53,0),"")</f>
        <v/>
      </c>
      <c r="I53" s="121" t="str">
        <f t="shared" ca="1" si="15"/>
        <v/>
      </c>
      <c r="J53" s="237">
        <f ca="1">COUNT(A52:A56)</f>
        <v>0</v>
      </c>
      <c r="K53" s="238" t="str">
        <f ca="1">IF(ISNUMBER(A53),RANK(F53,F52:F56),"")</f>
        <v/>
      </c>
      <c r="L53" s="239">
        <f ca="1">IF(J53=5,VLOOKUP(K53,TPMatrix!$A$6:$B$10,2,0),IF(J53=4,VLOOKUP(K53,TPMatrix!$D$6:$E$9,2,0),0))</f>
        <v>0</v>
      </c>
      <c r="M53" s="239">
        <f ca="1">IF(COUNTIF(K52:K56,K53)&gt;=2,IF(J53=5,VLOOKUP(K53+1,TPMatrix!$A$6:$B$10,2,0),IF(J53=4,VLOOKUP(K53+1,TPMatrix!$D$6:$E$9,2,0),0)),"")</f>
        <v>0</v>
      </c>
      <c r="N53" s="239">
        <f ca="1">IF(COUNTIF(K52:K56,K53)&gt;=3,IF(J53=5,VLOOKUP(K53+2,TPMatrix!$A$6:$B$10,2,0),IF(J53=4,VLOOKUP(K53+2,TPMatrix!$D$6:$E$9,2,0),0)),"")</f>
        <v>0</v>
      </c>
      <c r="O53" s="239">
        <f ca="1">IF(COUNTIF(K52:K56,K53)&gt;=4,IF(J53=5,VLOOKUP(K53+3,TPMatrix!$A$6:$B$10,2,0),IF(J53=4,VLOOKUP(K53+3,TPMatrix!$D$6:$E$9,2,0),0)),"")</f>
        <v>0</v>
      </c>
      <c r="P53" s="239">
        <f ca="1">IF(COUNTIF(K52:K56,K53)&gt;=5,IF(J53=5,VLOOKUP(K53+4,TPMatrix!$A$6:$B$10,2,0),IF(J53=4,VLOOKUP(K53+4,TPMatrix!$D$6:$E$9,2,0),0)),"")</f>
        <v>0</v>
      </c>
      <c r="Q53" s="239">
        <f t="shared" ca="1" si="16"/>
        <v>0</v>
      </c>
      <c r="R53" s="240">
        <f t="shared" ca="1" si="17"/>
        <v>5</v>
      </c>
      <c r="S53" s="238">
        <f t="shared" ca="1" si="18"/>
        <v>0</v>
      </c>
      <c r="T53" s="239">
        <f t="shared" si="19"/>
        <v>0</v>
      </c>
      <c r="U53" s="240">
        <f t="shared" ca="1" si="20"/>
        <v>0</v>
      </c>
      <c r="W53" s="36" t="str">
        <f t="shared" ca="1" si="21"/>
        <v/>
      </c>
      <c r="X53" s="36" t="str">
        <f ca="1">IF(ISNUMBER($A53),$W53*(Methuselahs!$A$4+1)+$A53,"")</f>
        <v/>
      </c>
      <c r="Y53" s="36" t="str">
        <f t="shared" ca="1" si="22"/>
        <v/>
      </c>
      <c r="Z53" s="36" t="str">
        <f ca="1">IF(ISNUMBER($A53),VLOOKUP($A53,Methuselahs!$A$7:$X$206,5),"")</f>
        <v/>
      </c>
      <c r="AA53" s="36" t="str">
        <f t="shared" ca="1" si="23"/>
        <v/>
      </c>
    </row>
    <row r="54" spans="1:27" ht="12.95" customHeight="1" x14ac:dyDescent="0.2">
      <c r="A54" s="137" t="str">
        <f ca="1">IF(OR(ISBLANK('Tournament Info'!$B$11),'Tournament Info'!$B$11&lt;&gt;4),"",INDIRECT(ADDRESS(ROW(),3,1,1,"Optimal Seating "&amp;'Tournament Info'!$B$11-1&amp;"R+F")))</f>
        <v/>
      </c>
      <c r="B54" s="143" t="str">
        <f ca="1">IF(ISNUMBER(A54),VLOOKUP(A54,Methuselahs!$A$7:$E$206,2,0),"")</f>
        <v/>
      </c>
      <c r="C54" s="241" t="str">
        <f ca="1">IF(ISNUMBER(A54),VLOOKUP(A54,Methuselahs!$A$7:$E$206,3,0),"")</f>
        <v/>
      </c>
      <c r="D54" s="242" t="str">
        <f t="shared" ca="1" si="12"/>
        <v/>
      </c>
      <c r="E54" s="243"/>
      <c r="F54" s="144">
        <f t="shared" si="13"/>
        <v>0</v>
      </c>
      <c r="G54" s="244" t="str">
        <f t="shared" ca="1" si="14"/>
        <v/>
      </c>
      <c r="H54" s="245" t="str">
        <f ca="1">IF(ISNUMBER(A54),IF(OR($S54=$U54,NOT(ISNA(MATCH($D54*5+$V$4,Override!$C$6:$C$125,0)))),$Q54,0),"")</f>
        <v/>
      </c>
      <c r="I54" s="147" t="str">
        <f t="shared" ca="1" si="15"/>
        <v/>
      </c>
      <c r="J54" s="246">
        <f ca="1">COUNT(A52:A56)</f>
        <v>0</v>
      </c>
      <c r="K54" s="247" t="str">
        <f ca="1">IF(ISNUMBER(A54),RANK(F54,F52:F56),"")</f>
        <v/>
      </c>
      <c r="L54" s="142">
        <f ca="1">IF(J54=5,VLOOKUP(K54,TPMatrix!$A$6:$B$10,2,0),IF(J54=4,VLOOKUP(K54,TPMatrix!$D$6:$E$9,2,0),0))</f>
        <v>0</v>
      </c>
      <c r="M54" s="142">
        <f ca="1">IF(COUNTIF(K52:K56,K54)&gt;=2,IF(J54=5,VLOOKUP(K54+1,TPMatrix!$A$6:$B$10,2,0),IF(J54=4,VLOOKUP(K54+1,TPMatrix!$D$6:$E$9,2,0),0)),"")</f>
        <v>0</v>
      </c>
      <c r="N54" s="142">
        <f ca="1">IF(COUNTIF(K52:K56,K54)&gt;=3,IF(J54=5,VLOOKUP(K54+2,TPMatrix!$A$6:$B$10,2,0),IF(J54=4,VLOOKUP(K54+2,TPMatrix!$D$6:$E$9,2,0),0)),"")</f>
        <v>0</v>
      </c>
      <c r="O54" s="142">
        <f ca="1">IF(COUNTIF(K52:K56,K54)&gt;=4,IF(J54=5,VLOOKUP(K54+3,TPMatrix!$A$6:$B$10,2,0),IF(J54=4,VLOOKUP(K54+3,TPMatrix!$D$6:$E$9,2,0),0)),"")</f>
        <v>0</v>
      </c>
      <c r="P54" s="142">
        <f ca="1">IF(COUNTIF(K52:K56,K54)&gt;=5,IF(J54=5,VLOOKUP(K54+4,TPMatrix!$A$6:$B$10,2,0),IF(J54=4,VLOOKUP(K54+4,TPMatrix!$D$6:$E$9,2,0),0)),"")</f>
        <v>0</v>
      </c>
      <c r="Q54" s="142">
        <f t="shared" ca="1" si="16"/>
        <v>0</v>
      </c>
      <c r="R54" s="248">
        <f t="shared" ca="1" si="17"/>
        <v>5</v>
      </c>
      <c r="S54" s="247">
        <f t="shared" ca="1" si="18"/>
        <v>0</v>
      </c>
      <c r="T54" s="142">
        <f t="shared" si="19"/>
        <v>0</v>
      </c>
      <c r="U54" s="248">
        <f t="shared" ca="1" si="20"/>
        <v>0</v>
      </c>
      <c r="W54" s="36" t="str">
        <f t="shared" ca="1" si="21"/>
        <v/>
      </c>
      <c r="X54" s="36" t="str">
        <f ca="1">IF(ISNUMBER($A54),$W54*(Methuselahs!$A$4+1)+$A54,"")</f>
        <v/>
      </c>
      <c r="Y54" s="36" t="str">
        <f t="shared" ca="1" si="22"/>
        <v/>
      </c>
      <c r="Z54" s="36" t="str">
        <f ca="1">IF(ISNUMBER($A54),VLOOKUP($A54,Methuselahs!$A$7:$X$206,5),"")</f>
        <v/>
      </c>
      <c r="AA54" s="36" t="str">
        <f t="shared" ca="1" si="23"/>
        <v/>
      </c>
    </row>
    <row r="55" spans="1:27" ht="12.95" customHeight="1" x14ac:dyDescent="0.2">
      <c r="A55" s="249" t="str">
        <f ca="1">IF(OR(ISBLANK('Tournament Info'!$B$11),'Tournament Info'!$B$11&lt;&gt;4),"",INDIRECT(ADDRESS(ROW(),3,1,1,"Optimal Seating "&amp;'Tournament Info'!$B$11-1&amp;"R+F")))</f>
        <v/>
      </c>
      <c r="B55" s="250" t="str">
        <f ca="1">IF(ISNUMBER(A55),VLOOKUP(A55,Methuselahs!$A$7:$E$206,2,0),"")</f>
        <v/>
      </c>
      <c r="C55" s="251" t="str">
        <f ca="1">IF(ISNUMBER(A55),VLOOKUP(A55,Methuselahs!$A$7:$E$206,3,0),"")</f>
        <v/>
      </c>
      <c r="D55" s="252" t="str">
        <f t="shared" ca="1" si="12"/>
        <v/>
      </c>
      <c r="E55" s="253"/>
      <c r="F55" s="397">
        <f t="shared" si="13"/>
        <v>0</v>
      </c>
      <c r="G55" s="235" t="str">
        <f t="shared" ca="1" si="14"/>
        <v/>
      </c>
      <c r="H55" s="236" t="str">
        <f ca="1">IF(ISNUMBER(A55),IF(OR($S55=$U55,NOT(ISNA(MATCH($D55*5+$V$4,Override!$C$6:$C$125,0)))),$Q55,0),"")</f>
        <v/>
      </c>
      <c r="I55" s="121" t="str">
        <f t="shared" ca="1" si="15"/>
        <v/>
      </c>
      <c r="J55" s="254">
        <f ca="1">COUNT(A52:A56)</f>
        <v>0</v>
      </c>
      <c r="K55" s="238" t="str">
        <f ca="1">IF(ISNUMBER(A55),RANK(F55,F52:F56),"")</f>
        <v/>
      </c>
      <c r="L55" s="239">
        <f ca="1">IF(J55=5,VLOOKUP(K55,TPMatrix!$A$6:$B$10,2,0),IF(J55=4,VLOOKUP(K55,TPMatrix!$D$6:$E$9,2,0),0))</f>
        <v>0</v>
      </c>
      <c r="M55" s="239">
        <f ca="1">IF(COUNTIF(K52:K56,K55)&gt;=2,IF(J55=5,VLOOKUP(K55+1,TPMatrix!$A$6:$B$10,2,0),IF(J55=4,VLOOKUP(K55+1,TPMatrix!$D$6:$E$9,2,0),0)),"")</f>
        <v>0</v>
      </c>
      <c r="N55" s="239">
        <f ca="1">IF(COUNTIF(K52:K56,K55)&gt;=3,IF(J55=5,VLOOKUP(K55+2,TPMatrix!$A$6:$B$10,2,0),IF(J55=4,VLOOKUP(K55+2,TPMatrix!$D$6:$E$9,2,0),0)),"")</f>
        <v>0</v>
      </c>
      <c r="O55" s="239">
        <f ca="1">IF(COUNTIF(K52:K56,K55)&gt;=4,IF(J55=5,VLOOKUP(K55+3,TPMatrix!$A$6:$B$10,2,0),IF(J55=4,VLOOKUP(K55+3,TPMatrix!$D$6:$E$9,2,0),0)),"")</f>
        <v>0</v>
      </c>
      <c r="P55" s="239">
        <f ca="1">IF(COUNTIF(K52:K56,K55)&gt;=5,IF(J55=5,VLOOKUP(K55+4,TPMatrix!$A$6:$B$10,2,0),IF(J55=4,VLOOKUP(K55+4,TPMatrix!$D$6:$E$9,2,0),0)),"")</f>
        <v>0</v>
      </c>
      <c r="Q55" s="239">
        <f t="shared" ca="1" si="16"/>
        <v>0</v>
      </c>
      <c r="R55" s="240">
        <f t="shared" ca="1" si="17"/>
        <v>5</v>
      </c>
      <c r="S55" s="238">
        <f t="shared" ca="1" si="18"/>
        <v>0</v>
      </c>
      <c r="T55" s="239">
        <f t="shared" si="19"/>
        <v>0</v>
      </c>
      <c r="U55" s="240">
        <f t="shared" ca="1" si="20"/>
        <v>0</v>
      </c>
      <c r="W55" s="36" t="str">
        <f t="shared" ca="1" si="21"/>
        <v/>
      </c>
      <c r="X55" s="36" t="str">
        <f ca="1">IF(ISNUMBER($A55),$W55*(Methuselahs!$A$4+1)+$A55,"")</f>
        <v/>
      </c>
      <c r="Y55" s="36" t="str">
        <f t="shared" ca="1" si="22"/>
        <v/>
      </c>
      <c r="Z55" s="36" t="str">
        <f ca="1">IF(ISNUMBER($A55),VLOOKUP($A55,Methuselahs!$A$7:$X$206,5),"")</f>
        <v/>
      </c>
      <c r="AA55" s="36" t="str">
        <f t="shared" ca="1" si="23"/>
        <v/>
      </c>
    </row>
    <row r="56" spans="1:27" ht="12.95" customHeight="1" x14ac:dyDescent="0.2">
      <c r="A56" s="255" t="str">
        <f ca="1">IF(OR(ISBLANK('Tournament Info'!$B$11),'Tournament Info'!$B$11&lt;&gt;4),"",INDIRECT(ADDRESS(ROW(),3,1,1,"Optimal Seating "&amp;'Tournament Info'!$B$11-1&amp;"R+F")))</f>
        <v/>
      </c>
      <c r="B56" s="256" t="str">
        <f ca="1">IF(ISNUMBER(A56),VLOOKUP(A56,Methuselahs!$A$7:$E$206,2,0),"")</f>
        <v/>
      </c>
      <c r="C56" s="257" t="str">
        <f ca="1">IF(ISNUMBER(A56),VLOOKUP(A56,Methuselahs!$A$7:$E$206,3,0),"")</f>
        <v/>
      </c>
      <c r="D56" s="258" t="str">
        <f t="shared" ca="1" si="12"/>
        <v/>
      </c>
      <c r="E56" s="259"/>
      <c r="F56" s="398">
        <f t="shared" si="13"/>
        <v>0</v>
      </c>
      <c r="G56" s="244" t="str">
        <f t="shared" ca="1" si="14"/>
        <v/>
      </c>
      <c r="H56" s="245" t="str">
        <f ca="1">IF(ISNUMBER(A56),IF(OR($S56=$U56,NOT(ISNA(MATCH($D56*5+$V$4,Override!$C$6:$C$125,0)))),$Q56,0),"")</f>
        <v/>
      </c>
      <c r="I56" s="147" t="str">
        <f t="shared" ca="1" si="15"/>
        <v/>
      </c>
      <c r="J56" s="260">
        <f ca="1">COUNT(A52:A56)</f>
        <v>0</v>
      </c>
      <c r="K56" s="261" t="str">
        <f ca="1">IF(ISNUMBER(A56),RANK(F56,F52:F56),"")</f>
        <v/>
      </c>
      <c r="L56" s="262">
        <f ca="1">IF(J56=5,VLOOKUP(K56,TPMatrix!$A$6:$B$10,2,0),IF(J56=4,VLOOKUP(K56,TPMatrix!$D$6:$E$9,2,0),0))</f>
        <v>0</v>
      </c>
      <c r="M56" s="262">
        <f ca="1">IF(COUNTIF(K52:K56,K56)&gt;=2,IF(J56=5,VLOOKUP(K56+1,TPMatrix!$A$6:$B$10,2,0),IF(J56=4,VLOOKUP(K56+1,TPMatrix!$D$6:$E$9,2,0),0)),"")</f>
        <v>0</v>
      </c>
      <c r="N56" s="262">
        <f ca="1">IF(COUNTIF(K52:K56,K56)&gt;=3,IF(J56=5,VLOOKUP(K56+2,TPMatrix!$A$6:$B$10,2,0),IF(J56=4,VLOOKUP(K56+2,TPMatrix!$D$6:$E$9,2,0),0)),"")</f>
        <v>0</v>
      </c>
      <c r="O56" s="262">
        <f ca="1">IF(COUNTIF(K52:K56,K56)&gt;=4,IF(J56=5,VLOOKUP(K56+3,TPMatrix!$A$6:$B$10,2,0),IF(J56=4,VLOOKUP(K56+3,TPMatrix!$D$6:$E$9,2,0),0)),"")</f>
        <v>0</v>
      </c>
      <c r="P56" s="262">
        <f ca="1">IF(COUNTIF(K52:K56,K56)&gt;=5,IF(J56=5,VLOOKUP(K56+4,TPMatrix!$A$6:$B$10,2,0),IF(J56=4,VLOOKUP(K56+4,TPMatrix!$D$6:$E$9,2,0),0)),"")</f>
        <v>0</v>
      </c>
      <c r="Q56" s="262">
        <f t="shared" ca="1" si="16"/>
        <v>0</v>
      </c>
      <c r="R56" s="263">
        <f t="shared" ca="1" si="17"/>
        <v>5</v>
      </c>
      <c r="S56" s="261">
        <f t="shared" ca="1" si="18"/>
        <v>0</v>
      </c>
      <c r="T56" s="262">
        <f t="shared" si="19"/>
        <v>0</v>
      </c>
      <c r="U56" s="263">
        <f t="shared" ca="1" si="20"/>
        <v>0</v>
      </c>
      <c r="W56" s="36" t="str">
        <f t="shared" ca="1" si="21"/>
        <v/>
      </c>
      <c r="X56" s="36" t="str">
        <f ca="1">IF(ISNUMBER($A56),$W56*(Methuselahs!$A$4+1)+$A56,"")</f>
        <v/>
      </c>
      <c r="Y56" s="36" t="str">
        <f t="shared" ca="1" si="22"/>
        <v/>
      </c>
      <c r="Z56" s="36" t="str">
        <f ca="1">IF(ISNUMBER($A56),VLOOKUP($A56,Methuselahs!$A$7:$X$206,5),"")</f>
        <v/>
      </c>
      <c r="AA56" s="36" t="str">
        <f t="shared" ca="1" si="23"/>
        <v/>
      </c>
    </row>
    <row r="57" spans="1:27" ht="12.95" customHeight="1" x14ac:dyDescent="0.2">
      <c r="A57" s="219" t="str">
        <f ca="1">IF(OR(ISBLANK('Tournament Info'!$B$11),'Tournament Info'!$B$11&lt;&gt;4),"",INDIRECT(ADDRESS(ROW(),3,1,1,"Optimal Seating "&amp;'Tournament Info'!$B$11-1&amp;"R+F")))</f>
        <v/>
      </c>
      <c r="B57" s="143" t="str">
        <f ca="1">IF(ISNUMBER(A57),VLOOKUP(A57,Methuselahs!$A$7:$E$206,2,0),"")</f>
        <v/>
      </c>
      <c r="C57" s="220" t="str">
        <f ca="1">IF(ISNUMBER(A57),VLOOKUP(A57,Methuselahs!$A$7:$E$206,3,0),"")</f>
        <v/>
      </c>
      <c r="D57" s="221" t="str">
        <f t="shared" ca="1" si="12"/>
        <v/>
      </c>
      <c r="E57" s="222"/>
      <c r="F57" s="393">
        <f t="shared" si="13"/>
        <v>0</v>
      </c>
      <c r="G57" s="223" t="str">
        <f t="shared" ca="1" si="14"/>
        <v/>
      </c>
      <c r="H57" s="224" t="str">
        <f ca="1">IF(ISNUMBER(A57),IF(OR($S57=$U57,NOT(ISNA(MATCH($D57*5+$V$4,Override!$C$6:$C$125,0)))),$Q57,0),"")</f>
        <v/>
      </c>
      <c r="I57" s="406" t="str">
        <f t="shared" ca="1" si="15"/>
        <v/>
      </c>
      <c r="J57" s="225">
        <f ca="1">COUNT(A57:A61)</f>
        <v>0</v>
      </c>
      <c r="K57" s="226" t="str">
        <f ca="1">IF(ISNUMBER(A57),RANK(F57,F57:F61),"")</f>
        <v/>
      </c>
      <c r="L57" s="227">
        <f ca="1">IF(J57=5,VLOOKUP(K57,TPMatrix!$A$6:$B$10,2,0),IF(J57=4,VLOOKUP(K57,TPMatrix!$D$6:$E$9,2,0),0))</f>
        <v>0</v>
      </c>
      <c r="M57" s="227">
        <f ca="1">IF(COUNTIF(K57:K61,K57)&gt;=2,IF(J57=5,VLOOKUP(K57+1,TPMatrix!$A$6:$B$10,2,0),IF(J57=4,VLOOKUP(K57+1,TPMatrix!$D$6:$E$9,2,0),0)),"")</f>
        <v>0</v>
      </c>
      <c r="N57" s="227">
        <f ca="1">IF(COUNTIF(K57:K61,K57)&gt;=3,IF(J57=5,VLOOKUP(K57+2,TPMatrix!$A$6:$B$10,2,0),IF(J57=4,VLOOKUP(K57+2,TPMatrix!$D$6:$E$9,2,0),0)),"")</f>
        <v>0</v>
      </c>
      <c r="O57" s="227">
        <f ca="1">IF(COUNTIF(K57:K61,K57)&gt;=4,IF(J57=5,VLOOKUP(K57+3,TPMatrix!$A$6:$B$10,2,0),IF(J57=4,VLOOKUP(K57+3,TPMatrix!$D$6:$E$9,2,0),0)),"")</f>
        <v>0</v>
      </c>
      <c r="P57" s="227">
        <f ca="1">IF(COUNTIF(K57:K61,K57)&gt;=5,IF(J57=5,VLOOKUP(K57+4,TPMatrix!$A$6:$B$10,2,0),IF(J57=4,VLOOKUP(K57+4,TPMatrix!$D$6:$E$9,2,0),0)),"")</f>
        <v>0</v>
      </c>
      <c r="Q57" s="227">
        <f t="shared" ca="1" si="16"/>
        <v>0</v>
      </c>
      <c r="R57" s="228">
        <f t="shared" ca="1" si="17"/>
        <v>5</v>
      </c>
      <c r="S57" s="229">
        <f t="shared" ca="1" si="18"/>
        <v>0</v>
      </c>
      <c r="T57" s="230">
        <f t="shared" si="19"/>
        <v>0</v>
      </c>
      <c r="U57" s="231">
        <f t="shared" ca="1" si="20"/>
        <v>0</v>
      </c>
      <c r="W57" s="36" t="str">
        <f t="shared" ca="1" si="21"/>
        <v/>
      </c>
      <c r="X57" s="36" t="str">
        <f ca="1">IF(ISNUMBER($A57),$W57*(Methuselahs!$A$4+1)+$A57,"")</f>
        <v/>
      </c>
      <c r="Y57" s="36" t="str">
        <f t="shared" ca="1" si="22"/>
        <v/>
      </c>
      <c r="Z57" s="36" t="str">
        <f ca="1">IF(ISNUMBER($A57),VLOOKUP($A57,Methuselahs!$A$7:$X$206,5),"")</f>
        <v/>
      </c>
      <c r="AA57" s="36" t="str">
        <f t="shared" ca="1" si="23"/>
        <v/>
      </c>
    </row>
    <row r="58" spans="1:27" ht="12.95" customHeight="1" x14ac:dyDescent="0.2">
      <c r="A58" s="111" t="str">
        <f ca="1">IF(OR(ISBLANK('Tournament Info'!$B$11),'Tournament Info'!$B$11&lt;&gt;4),"",INDIRECT(ADDRESS(ROW(),3,1,1,"Optimal Seating "&amp;'Tournament Info'!$B$11-1&amp;"R+F")))</f>
        <v/>
      </c>
      <c r="B58" s="117" t="str">
        <f ca="1">IF(ISNUMBER(A58),VLOOKUP(A58,Methuselahs!$A$7:$E$206,2,0),"")</f>
        <v/>
      </c>
      <c r="C58" s="232" t="str">
        <f ca="1">IF(ISNUMBER(A58),VLOOKUP(A58,Methuselahs!$A$7:$E$206,3,0),"")</f>
        <v/>
      </c>
      <c r="D58" s="233" t="str">
        <f t="shared" ca="1" si="12"/>
        <v/>
      </c>
      <c r="E58" s="234"/>
      <c r="F58" s="118">
        <f t="shared" si="13"/>
        <v>0</v>
      </c>
      <c r="G58" s="235" t="str">
        <f t="shared" ca="1" si="14"/>
        <v/>
      </c>
      <c r="H58" s="236" t="str">
        <f ca="1">IF(ISNUMBER(A58),IF(OR($S58=$U58,NOT(ISNA(MATCH($D58*5+$V$4,Override!$C$6:$C$125,0)))),$Q58,0),"")</f>
        <v/>
      </c>
      <c r="I58" s="121" t="str">
        <f t="shared" ca="1" si="15"/>
        <v/>
      </c>
      <c r="J58" s="237">
        <f ca="1">COUNT(A57:A61)</f>
        <v>0</v>
      </c>
      <c r="K58" s="238" t="str">
        <f ca="1">IF(ISNUMBER(A58),RANK(F58,F57:F61),"")</f>
        <v/>
      </c>
      <c r="L58" s="239">
        <f ca="1">IF(J58=5,VLOOKUP(K58,TPMatrix!$A$6:$B$10,2,0),IF(J58=4,VLOOKUP(K58,TPMatrix!$D$6:$E$9,2,0),0))</f>
        <v>0</v>
      </c>
      <c r="M58" s="239">
        <f ca="1">IF(COUNTIF(K57:K61,K58)&gt;=2,IF(J58=5,VLOOKUP(K58+1,TPMatrix!$A$6:$B$10,2,0),IF(J58=4,VLOOKUP(K58+1,TPMatrix!$D$6:$E$9,2,0),0)),"")</f>
        <v>0</v>
      </c>
      <c r="N58" s="239">
        <f ca="1">IF(COUNTIF(K57:K61,K58)&gt;=3,IF(J58=5,VLOOKUP(K58+2,TPMatrix!$A$6:$B$10,2,0),IF(J58=4,VLOOKUP(K58+2,TPMatrix!$D$6:$E$9,2,0),0)),"")</f>
        <v>0</v>
      </c>
      <c r="O58" s="239">
        <f ca="1">IF(COUNTIF(K57:K61,K58)&gt;=4,IF(J58=5,VLOOKUP(K58+3,TPMatrix!$A$6:$B$10,2,0),IF(J58=4,VLOOKUP(K58+3,TPMatrix!$D$6:$E$9,2,0),0)),"")</f>
        <v>0</v>
      </c>
      <c r="P58" s="239">
        <f ca="1">IF(COUNTIF(K57:K61,K58)&gt;=5,IF(J58=5,VLOOKUP(K58+4,TPMatrix!$A$6:$B$10,2,0),IF(J58=4,VLOOKUP(K58+4,TPMatrix!$D$6:$E$9,2,0),0)),"")</f>
        <v>0</v>
      </c>
      <c r="Q58" s="239">
        <f t="shared" ca="1" si="16"/>
        <v>0</v>
      </c>
      <c r="R58" s="240">
        <f t="shared" ca="1" si="17"/>
        <v>5</v>
      </c>
      <c r="S58" s="238">
        <f t="shared" ca="1" si="18"/>
        <v>0</v>
      </c>
      <c r="T58" s="239">
        <f t="shared" si="19"/>
        <v>0</v>
      </c>
      <c r="U58" s="240">
        <f t="shared" ca="1" si="20"/>
        <v>0</v>
      </c>
      <c r="W58" s="36" t="str">
        <f t="shared" ca="1" si="21"/>
        <v/>
      </c>
      <c r="X58" s="36" t="str">
        <f ca="1">IF(ISNUMBER($A58),$W58*(Methuselahs!$A$4+1)+$A58,"")</f>
        <v/>
      </c>
      <c r="Y58" s="36" t="str">
        <f t="shared" ca="1" si="22"/>
        <v/>
      </c>
      <c r="Z58" s="36" t="str">
        <f ca="1">IF(ISNUMBER($A58),VLOOKUP($A58,Methuselahs!$A$7:$X$206,5),"")</f>
        <v/>
      </c>
      <c r="AA58" s="36" t="str">
        <f t="shared" ca="1" si="23"/>
        <v/>
      </c>
    </row>
    <row r="59" spans="1:27" ht="12.95" customHeight="1" x14ac:dyDescent="0.2">
      <c r="A59" s="137" t="str">
        <f ca="1">IF(OR(ISBLANK('Tournament Info'!$B$11),'Tournament Info'!$B$11&lt;&gt;4),"",INDIRECT(ADDRESS(ROW(),3,1,1,"Optimal Seating "&amp;'Tournament Info'!$B$11-1&amp;"R+F")))</f>
        <v/>
      </c>
      <c r="B59" s="143" t="str">
        <f ca="1">IF(ISNUMBER(A59),VLOOKUP(A59,Methuselahs!$A$7:$E$206,2,0),"")</f>
        <v/>
      </c>
      <c r="C59" s="241" t="str">
        <f ca="1">IF(ISNUMBER(A59),VLOOKUP(A59,Methuselahs!$A$7:$E$206,3,0),"")</f>
        <v/>
      </c>
      <c r="D59" s="242" t="str">
        <f t="shared" ca="1" si="12"/>
        <v/>
      </c>
      <c r="E59" s="243"/>
      <c r="F59" s="144">
        <f t="shared" si="13"/>
        <v>0</v>
      </c>
      <c r="G59" s="244" t="str">
        <f t="shared" ca="1" si="14"/>
        <v/>
      </c>
      <c r="H59" s="245" t="str">
        <f ca="1">IF(ISNUMBER(A59),IF(OR($S59=$U59,NOT(ISNA(MATCH($D59*5+$V$4,Override!$C$6:$C$125,0)))),$Q59,0),"")</f>
        <v/>
      </c>
      <c r="I59" s="147" t="str">
        <f t="shared" ca="1" si="15"/>
        <v/>
      </c>
      <c r="J59" s="246">
        <f ca="1">COUNT(A57:A61)</f>
        <v>0</v>
      </c>
      <c r="K59" s="247" t="str">
        <f ca="1">IF(ISNUMBER(A59),RANK(F59,F57:F61),"")</f>
        <v/>
      </c>
      <c r="L59" s="142">
        <f ca="1">IF(J59=5,VLOOKUP(K59,TPMatrix!$A$6:$B$10,2,0),IF(J59=4,VLOOKUP(K59,TPMatrix!$D$6:$E$9,2,0),0))</f>
        <v>0</v>
      </c>
      <c r="M59" s="142">
        <f ca="1">IF(COUNTIF(K57:K61,K59)&gt;=2,IF(J59=5,VLOOKUP(K59+1,TPMatrix!$A$6:$B$10,2,0),IF(J59=4,VLOOKUP(K59+1,TPMatrix!$D$6:$E$9,2,0),0)),"")</f>
        <v>0</v>
      </c>
      <c r="N59" s="142">
        <f ca="1">IF(COUNTIF(K57:K61,K59)&gt;=3,IF(J59=5,VLOOKUP(K59+2,TPMatrix!$A$6:$B$10,2,0),IF(J59=4,VLOOKUP(K59+2,TPMatrix!$D$6:$E$9,2,0),0)),"")</f>
        <v>0</v>
      </c>
      <c r="O59" s="142">
        <f ca="1">IF(COUNTIF(K57:K61,K59)&gt;=4,IF(J59=5,VLOOKUP(K59+3,TPMatrix!$A$6:$B$10,2,0),IF(J59=4,VLOOKUP(K59+3,TPMatrix!$D$6:$E$9,2,0),0)),"")</f>
        <v>0</v>
      </c>
      <c r="P59" s="142">
        <f ca="1">IF(COUNTIF(K57:K61,K59)&gt;=5,IF(J59=5,VLOOKUP(K59+4,TPMatrix!$A$6:$B$10,2,0),IF(J59=4,VLOOKUP(K59+4,TPMatrix!$D$6:$E$9,2,0),0)),"")</f>
        <v>0</v>
      </c>
      <c r="Q59" s="142">
        <f t="shared" ca="1" si="16"/>
        <v>0</v>
      </c>
      <c r="R59" s="248">
        <f t="shared" ca="1" si="17"/>
        <v>5</v>
      </c>
      <c r="S59" s="247">
        <f t="shared" ca="1" si="18"/>
        <v>0</v>
      </c>
      <c r="T59" s="142">
        <f t="shared" si="19"/>
        <v>0</v>
      </c>
      <c r="U59" s="248">
        <f t="shared" ca="1" si="20"/>
        <v>0</v>
      </c>
      <c r="W59" s="36" t="str">
        <f t="shared" ca="1" si="21"/>
        <v/>
      </c>
      <c r="X59" s="36" t="str">
        <f ca="1">IF(ISNUMBER($A59),$W59*(Methuselahs!$A$4+1)+$A59,"")</f>
        <v/>
      </c>
      <c r="Y59" s="36" t="str">
        <f t="shared" ca="1" si="22"/>
        <v/>
      </c>
      <c r="Z59" s="36" t="str">
        <f ca="1">IF(ISNUMBER($A59),VLOOKUP($A59,Methuselahs!$A$7:$X$206,5),"")</f>
        <v/>
      </c>
      <c r="AA59" s="36" t="str">
        <f t="shared" ca="1" si="23"/>
        <v/>
      </c>
    </row>
    <row r="60" spans="1:27" ht="12.95" customHeight="1" x14ac:dyDescent="0.2">
      <c r="A60" s="249" t="str">
        <f ca="1">IF(OR(ISBLANK('Tournament Info'!$B$11),'Tournament Info'!$B$11&lt;&gt;4),"",INDIRECT(ADDRESS(ROW(),3,1,1,"Optimal Seating "&amp;'Tournament Info'!$B$11-1&amp;"R+F")))</f>
        <v/>
      </c>
      <c r="B60" s="250" t="str">
        <f ca="1">IF(ISNUMBER(A60),VLOOKUP(A60,Methuselahs!$A$7:$E$206,2,0),"")</f>
        <v/>
      </c>
      <c r="C60" s="251" t="str">
        <f ca="1">IF(ISNUMBER(A60),VLOOKUP(A60,Methuselahs!$A$7:$E$206,3,0),"")</f>
        <v/>
      </c>
      <c r="D60" s="252" t="str">
        <f t="shared" ca="1" si="12"/>
        <v/>
      </c>
      <c r="E60" s="253"/>
      <c r="F60" s="397">
        <f t="shared" si="13"/>
        <v>0</v>
      </c>
      <c r="G60" s="235" t="str">
        <f t="shared" ca="1" si="14"/>
        <v/>
      </c>
      <c r="H60" s="236" t="str">
        <f ca="1">IF(ISNUMBER(A60),IF(OR($S60=$U60,NOT(ISNA(MATCH($D60*5+$V$4,Override!$C$6:$C$125,0)))),$Q60,0),"")</f>
        <v/>
      </c>
      <c r="I60" s="121" t="str">
        <f t="shared" ca="1" si="15"/>
        <v/>
      </c>
      <c r="J60" s="254">
        <f ca="1">COUNT(A57:A61)</f>
        <v>0</v>
      </c>
      <c r="K60" s="238" t="str">
        <f ca="1">IF(ISNUMBER(A60),RANK(F60,F57:F61),"")</f>
        <v/>
      </c>
      <c r="L60" s="239">
        <f ca="1">IF(J60=5,VLOOKUP(K60,TPMatrix!$A$6:$B$10,2,0),IF(J60=4,VLOOKUP(K60,TPMatrix!$D$6:$E$9,2,0),0))</f>
        <v>0</v>
      </c>
      <c r="M60" s="239">
        <f ca="1">IF(COUNTIF(K57:K61,K60)&gt;=2,IF(J60=5,VLOOKUP(K60+1,TPMatrix!$A$6:$B$10,2,0),IF(J60=4,VLOOKUP(K60+1,TPMatrix!$D$6:$E$9,2,0),0)),"")</f>
        <v>0</v>
      </c>
      <c r="N60" s="239">
        <f ca="1">IF(COUNTIF(K57:K61,K60)&gt;=3,IF(J60=5,VLOOKUP(K60+2,TPMatrix!$A$6:$B$10,2,0),IF(J60=4,VLOOKUP(K60+2,TPMatrix!$D$6:$E$9,2,0),0)),"")</f>
        <v>0</v>
      </c>
      <c r="O60" s="239">
        <f ca="1">IF(COUNTIF(K57:K61,K60)&gt;=4,IF(J60=5,VLOOKUP(K60+3,TPMatrix!$A$6:$B$10,2,0),IF(J60=4,VLOOKUP(K60+3,TPMatrix!$D$6:$E$9,2,0),0)),"")</f>
        <v>0</v>
      </c>
      <c r="P60" s="239">
        <f ca="1">IF(COUNTIF(K57:K61,K60)&gt;=5,IF(J60=5,VLOOKUP(K60+4,TPMatrix!$A$6:$B$10,2,0),IF(J60=4,VLOOKUP(K60+4,TPMatrix!$D$6:$E$9,2,0),0)),"")</f>
        <v>0</v>
      </c>
      <c r="Q60" s="239">
        <f t="shared" ca="1" si="16"/>
        <v>0</v>
      </c>
      <c r="R60" s="240">
        <f t="shared" ca="1" si="17"/>
        <v>5</v>
      </c>
      <c r="S60" s="238">
        <f t="shared" ca="1" si="18"/>
        <v>0</v>
      </c>
      <c r="T60" s="239">
        <f t="shared" si="19"/>
        <v>0</v>
      </c>
      <c r="U60" s="240">
        <f t="shared" ca="1" si="20"/>
        <v>0</v>
      </c>
      <c r="W60" s="36" t="str">
        <f t="shared" ca="1" si="21"/>
        <v/>
      </c>
      <c r="X60" s="36" t="str">
        <f ca="1">IF(ISNUMBER($A60),$W60*(Methuselahs!$A$4+1)+$A60,"")</f>
        <v/>
      </c>
      <c r="Y60" s="36" t="str">
        <f t="shared" ca="1" si="22"/>
        <v/>
      </c>
      <c r="Z60" s="36" t="str">
        <f ca="1">IF(ISNUMBER($A60),VLOOKUP($A60,Methuselahs!$A$7:$X$206,5),"")</f>
        <v/>
      </c>
      <c r="AA60" s="36" t="str">
        <f t="shared" ca="1" si="23"/>
        <v/>
      </c>
    </row>
    <row r="61" spans="1:27" ht="12.95" customHeight="1" x14ac:dyDescent="0.2">
      <c r="A61" s="255" t="str">
        <f ca="1">IF(OR(ISBLANK('Tournament Info'!$B$11),'Tournament Info'!$B$11&lt;&gt;4),"",INDIRECT(ADDRESS(ROW(),3,1,1,"Optimal Seating "&amp;'Tournament Info'!$B$11-1&amp;"R+F")))</f>
        <v/>
      </c>
      <c r="B61" s="256" t="str">
        <f ca="1">IF(ISNUMBER(A61),VLOOKUP(A61,Methuselahs!$A$7:$E$206,2,0),"")</f>
        <v/>
      </c>
      <c r="C61" s="257" t="str">
        <f ca="1">IF(ISNUMBER(A61),VLOOKUP(A61,Methuselahs!$A$7:$E$206,3,0),"")</f>
        <v/>
      </c>
      <c r="D61" s="258" t="str">
        <f t="shared" ca="1" si="12"/>
        <v/>
      </c>
      <c r="E61" s="259"/>
      <c r="F61" s="398">
        <f t="shared" si="13"/>
        <v>0</v>
      </c>
      <c r="G61" s="244" t="str">
        <f t="shared" ca="1" si="14"/>
        <v/>
      </c>
      <c r="H61" s="245" t="str">
        <f ca="1">IF(ISNUMBER(A61),IF(OR($S61=$U61,NOT(ISNA(MATCH($D61*5+$V$4,Override!$C$6:$C$125,0)))),$Q61,0),"")</f>
        <v/>
      </c>
      <c r="I61" s="147" t="str">
        <f t="shared" ca="1" si="15"/>
        <v/>
      </c>
      <c r="J61" s="260">
        <f ca="1">COUNT(A57:A61)</f>
        <v>0</v>
      </c>
      <c r="K61" s="261" t="str">
        <f ca="1">IF(ISNUMBER(A61),RANK(F61,F57:F61),"")</f>
        <v/>
      </c>
      <c r="L61" s="262">
        <f ca="1">IF(J61=5,VLOOKUP(K61,TPMatrix!$A$6:$B$10,2,0),IF(J61=4,VLOOKUP(K61,TPMatrix!$D$6:$E$9,2,0),0))</f>
        <v>0</v>
      </c>
      <c r="M61" s="262">
        <f ca="1">IF(COUNTIF(K57:K61,K61)&gt;=2,IF(J61=5,VLOOKUP(K61+1,TPMatrix!$A$6:$B$10,2,0),IF(J61=4,VLOOKUP(K61+1,TPMatrix!$D$6:$E$9,2,0),0)),"")</f>
        <v>0</v>
      </c>
      <c r="N61" s="262">
        <f ca="1">IF(COUNTIF(K57:K61,K61)&gt;=3,IF(J61=5,VLOOKUP(K61+2,TPMatrix!$A$6:$B$10,2,0),IF(J61=4,VLOOKUP(K61+2,TPMatrix!$D$6:$E$9,2,0),0)),"")</f>
        <v>0</v>
      </c>
      <c r="O61" s="262">
        <f ca="1">IF(COUNTIF(K57:K61,K61)&gt;=4,IF(J61=5,VLOOKUP(K61+3,TPMatrix!$A$6:$B$10,2,0),IF(J61=4,VLOOKUP(K61+3,TPMatrix!$D$6:$E$9,2,0),0)),"")</f>
        <v>0</v>
      </c>
      <c r="P61" s="262">
        <f ca="1">IF(COUNTIF(K57:K61,K61)&gt;=5,IF(J61=5,VLOOKUP(K61+4,TPMatrix!$A$6:$B$10,2,0),IF(J61=4,VLOOKUP(K61+4,TPMatrix!$D$6:$E$9,2,0),0)),"")</f>
        <v>0</v>
      </c>
      <c r="Q61" s="262">
        <f t="shared" ca="1" si="16"/>
        <v>0</v>
      </c>
      <c r="R61" s="263">
        <f t="shared" ca="1" si="17"/>
        <v>5</v>
      </c>
      <c r="S61" s="261">
        <f t="shared" ca="1" si="18"/>
        <v>0</v>
      </c>
      <c r="T61" s="262">
        <f t="shared" si="19"/>
        <v>0</v>
      </c>
      <c r="U61" s="263">
        <f t="shared" ca="1" si="20"/>
        <v>0</v>
      </c>
      <c r="W61" s="36" t="str">
        <f t="shared" ca="1" si="21"/>
        <v/>
      </c>
      <c r="X61" s="36" t="str">
        <f ca="1">IF(ISNUMBER($A61),$W61*(Methuselahs!$A$4+1)+$A61,"")</f>
        <v/>
      </c>
      <c r="Y61" s="36" t="str">
        <f t="shared" ca="1" si="22"/>
        <v/>
      </c>
      <c r="Z61" s="36" t="str">
        <f ca="1">IF(ISNUMBER($A61),VLOOKUP($A61,Methuselahs!$A$7:$X$206,5),"")</f>
        <v/>
      </c>
      <c r="AA61" s="36" t="str">
        <f t="shared" ca="1" si="23"/>
        <v/>
      </c>
    </row>
    <row r="62" spans="1:27" ht="12.95" customHeight="1" x14ac:dyDescent="0.2">
      <c r="A62" s="219" t="str">
        <f ca="1">IF(OR(ISBLANK('Tournament Info'!$B$11),'Tournament Info'!$B$11&lt;&gt;4),"",INDIRECT(ADDRESS(ROW(),3,1,1,"Optimal Seating "&amp;'Tournament Info'!$B$11-1&amp;"R+F")))</f>
        <v/>
      </c>
      <c r="B62" s="143" t="str">
        <f ca="1">IF(ISNUMBER(A62),VLOOKUP(A62,Methuselahs!$A$7:$E$206,2,0),"")</f>
        <v/>
      </c>
      <c r="C62" s="220" t="str">
        <f ca="1">IF(ISNUMBER(A62),VLOOKUP(A62,Methuselahs!$A$7:$E$206,3,0),"")</f>
        <v/>
      </c>
      <c r="D62" s="221" t="str">
        <f t="shared" ca="1" si="12"/>
        <v/>
      </c>
      <c r="E62" s="222"/>
      <c r="F62" s="393">
        <f t="shared" si="13"/>
        <v>0</v>
      </c>
      <c r="G62" s="223" t="str">
        <f t="shared" ca="1" si="14"/>
        <v/>
      </c>
      <c r="H62" s="224" t="str">
        <f ca="1">IF(ISNUMBER(A62),IF(OR($S62=$U62,NOT(ISNA(MATCH($D62*5+$V$4,Override!$C$6:$C$125,0)))),$Q62,0),"")</f>
        <v/>
      </c>
      <c r="I62" s="406" t="str">
        <f t="shared" ca="1" si="15"/>
        <v/>
      </c>
      <c r="J62" s="225">
        <f ca="1">COUNT(A62:A66)</f>
        <v>0</v>
      </c>
      <c r="K62" s="226" t="str">
        <f ca="1">IF(ISNUMBER(A62),RANK(F62,F62:F66),"")</f>
        <v/>
      </c>
      <c r="L62" s="227">
        <f ca="1">IF(J62=5,VLOOKUP(K62,TPMatrix!$A$6:$B$10,2,0),IF(J62=4,VLOOKUP(K62,TPMatrix!$D$6:$E$9,2,0),0))</f>
        <v>0</v>
      </c>
      <c r="M62" s="227">
        <f ca="1">IF(COUNTIF(K62:K66,K62)&gt;=2,IF(J62=5,VLOOKUP(K62+1,TPMatrix!$A$6:$B$10,2,0),IF(J62=4,VLOOKUP(K62+1,TPMatrix!$D$6:$E$9,2,0),0)),"")</f>
        <v>0</v>
      </c>
      <c r="N62" s="227">
        <f ca="1">IF(COUNTIF(K62:K66,K62)&gt;=3,IF(J62=5,VLOOKUP(K62+2,TPMatrix!$A$6:$B$10,2,0),IF(J62=4,VLOOKUP(K62+2,TPMatrix!$D$6:$E$9,2,0),0)),"")</f>
        <v>0</v>
      </c>
      <c r="O62" s="227">
        <f ca="1">IF(COUNTIF(K62:K66,K62)&gt;=4,IF(J62=5,VLOOKUP(K62+3,TPMatrix!$A$6:$B$10,2,0),IF(J62=4,VLOOKUP(K62+3,TPMatrix!$D$6:$E$9,2,0),0)),"")</f>
        <v>0</v>
      </c>
      <c r="P62" s="227">
        <f ca="1">IF(COUNTIF(K62:K66,K62)&gt;=5,IF(J62=5,VLOOKUP(K62+4,TPMatrix!$A$6:$B$10,2,0),IF(J62=4,VLOOKUP(K62+4,TPMatrix!$D$6:$E$9,2,0),0)),"")</f>
        <v>0</v>
      </c>
      <c r="Q62" s="227">
        <f t="shared" ca="1" si="16"/>
        <v>0</v>
      </c>
      <c r="R62" s="228">
        <f t="shared" ca="1" si="17"/>
        <v>5</v>
      </c>
      <c r="S62" s="229">
        <f t="shared" ca="1" si="18"/>
        <v>0</v>
      </c>
      <c r="T62" s="230">
        <f t="shared" si="19"/>
        <v>0</v>
      </c>
      <c r="U62" s="231">
        <f t="shared" ca="1" si="20"/>
        <v>0</v>
      </c>
      <c r="W62" s="36" t="str">
        <f t="shared" ca="1" si="21"/>
        <v/>
      </c>
      <c r="X62" s="36" t="str">
        <f ca="1">IF(ISNUMBER($A62),$W62*(Methuselahs!$A$4+1)+$A62,"")</f>
        <v/>
      </c>
      <c r="Y62" s="36" t="str">
        <f t="shared" ca="1" si="22"/>
        <v/>
      </c>
      <c r="Z62" s="36" t="str">
        <f ca="1">IF(ISNUMBER($A62),VLOOKUP($A62,Methuselahs!$A$7:$X$206,5),"")</f>
        <v/>
      </c>
      <c r="AA62" s="36" t="str">
        <f t="shared" ca="1" si="23"/>
        <v/>
      </c>
    </row>
    <row r="63" spans="1:27" ht="12.95" customHeight="1" x14ac:dyDescent="0.2">
      <c r="A63" s="111" t="str">
        <f ca="1">IF(OR(ISBLANK('Tournament Info'!$B$11),'Tournament Info'!$B$11&lt;&gt;4),"",INDIRECT(ADDRESS(ROW(),3,1,1,"Optimal Seating "&amp;'Tournament Info'!$B$11-1&amp;"R+F")))</f>
        <v/>
      </c>
      <c r="B63" s="117" t="str">
        <f ca="1">IF(ISNUMBER(A63),VLOOKUP(A63,Methuselahs!$A$7:$E$206,2,0),"")</f>
        <v/>
      </c>
      <c r="C63" s="232" t="str">
        <f ca="1">IF(ISNUMBER(A63),VLOOKUP(A63,Methuselahs!$A$7:$E$206,3,0),"")</f>
        <v/>
      </c>
      <c r="D63" s="233" t="str">
        <f t="shared" ca="1" si="12"/>
        <v/>
      </c>
      <c r="E63" s="234"/>
      <c r="F63" s="118">
        <f t="shared" si="13"/>
        <v>0</v>
      </c>
      <c r="G63" s="235" t="str">
        <f t="shared" ca="1" si="14"/>
        <v/>
      </c>
      <c r="H63" s="236" t="str">
        <f ca="1">IF(ISNUMBER(A63),IF(OR($S63=$U63,NOT(ISNA(MATCH($D63*5+$V$4,Override!$C$6:$C$125,0)))),$Q63,0),"")</f>
        <v/>
      </c>
      <c r="I63" s="121" t="str">
        <f t="shared" ca="1" si="15"/>
        <v/>
      </c>
      <c r="J63" s="237">
        <f ca="1">COUNT(A62:A66)</f>
        <v>0</v>
      </c>
      <c r="K63" s="238" t="str">
        <f ca="1">IF(ISNUMBER(A63),RANK(F63,F62:F66),"")</f>
        <v/>
      </c>
      <c r="L63" s="239">
        <f ca="1">IF(J63=5,VLOOKUP(K63,TPMatrix!$A$6:$B$10,2,0),IF(J63=4,VLOOKUP(K63,TPMatrix!$D$6:$E$9,2,0),0))</f>
        <v>0</v>
      </c>
      <c r="M63" s="239">
        <f ca="1">IF(COUNTIF(K62:K66,K63)&gt;=2,IF(J63=5,VLOOKUP(K63+1,TPMatrix!$A$6:$B$10,2,0),IF(J63=4,VLOOKUP(K63+1,TPMatrix!$D$6:$E$9,2,0),0)),"")</f>
        <v>0</v>
      </c>
      <c r="N63" s="239">
        <f ca="1">IF(COUNTIF(K62:K66,K63)&gt;=3,IF(J63=5,VLOOKUP(K63+2,TPMatrix!$A$6:$B$10,2,0),IF(J63=4,VLOOKUP(K63+2,TPMatrix!$D$6:$E$9,2,0),0)),"")</f>
        <v>0</v>
      </c>
      <c r="O63" s="239">
        <f ca="1">IF(COUNTIF(K62:K66,K63)&gt;=4,IF(J63=5,VLOOKUP(K63+3,TPMatrix!$A$6:$B$10,2,0),IF(J63=4,VLOOKUP(K63+3,TPMatrix!$D$6:$E$9,2,0),0)),"")</f>
        <v>0</v>
      </c>
      <c r="P63" s="239">
        <f ca="1">IF(COUNTIF(K62:K66,K63)&gt;=5,IF(J63=5,VLOOKUP(K63+4,TPMatrix!$A$6:$B$10,2,0),IF(J63=4,VLOOKUP(K63+4,TPMatrix!$D$6:$E$9,2,0),0)),"")</f>
        <v>0</v>
      </c>
      <c r="Q63" s="239">
        <f t="shared" ca="1" si="16"/>
        <v>0</v>
      </c>
      <c r="R63" s="240">
        <f t="shared" ca="1" si="17"/>
        <v>5</v>
      </c>
      <c r="S63" s="238">
        <f t="shared" ca="1" si="18"/>
        <v>0</v>
      </c>
      <c r="T63" s="239">
        <f t="shared" si="19"/>
        <v>0</v>
      </c>
      <c r="U63" s="240">
        <f t="shared" ca="1" si="20"/>
        <v>0</v>
      </c>
      <c r="W63" s="36" t="str">
        <f t="shared" ca="1" si="21"/>
        <v/>
      </c>
      <c r="X63" s="36" t="str">
        <f ca="1">IF(ISNUMBER($A63),$W63*(Methuselahs!$A$4+1)+$A63,"")</f>
        <v/>
      </c>
      <c r="Y63" s="36" t="str">
        <f t="shared" ca="1" si="22"/>
        <v/>
      </c>
      <c r="Z63" s="36" t="str">
        <f ca="1">IF(ISNUMBER($A63),VLOOKUP($A63,Methuselahs!$A$7:$X$206,5),"")</f>
        <v/>
      </c>
      <c r="AA63" s="36" t="str">
        <f t="shared" ca="1" si="23"/>
        <v/>
      </c>
    </row>
    <row r="64" spans="1:27" ht="12.95" customHeight="1" x14ac:dyDescent="0.2">
      <c r="A64" s="137" t="str">
        <f ca="1">IF(OR(ISBLANK('Tournament Info'!$B$11),'Tournament Info'!$B$11&lt;&gt;4),"",INDIRECT(ADDRESS(ROW(),3,1,1,"Optimal Seating "&amp;'Tournament Info'!$B$11-1&amp;"R+F")))</f>
        <v/>
      </c>
      <c r="B64" s="143" t="str">
        <f ca="1">IF(ISNUMBER(A64),VLOOKUP(A64,Methuselahs!$A$7:$E$206,2,0),"")</f>
        <v/>
      </c>
      <c r="C64" s="241" t="str">
        <f ca="1">IF(ISNUMBER(A64),VLOOKUP(A64,Methuselahs!$A$7:$E$206,3,0),"")</f>
        <v/>
      </c>
      <c r="D64" s="242" t="str">
        <f t="shared" ca="1" si="12"/>
        <v/>
      </c>
      <c r="E64" s="243"/>
      <c r="F64" s="144">
        <f t="shared" si="13"/>
        <v>0</v>
      </c>
      <c r="G64" s="244" t="str">
        <f t="shared" ca="1" si="14"/>
        <v/>
      </c>
      <c r="H64" s="245" t="str">
        <f ca="1">IF(ISNUMBER(A64),IF(OR($S64=$U64,NOT(ISNA(MATCH($D64*5+$V$4,Override!$C$6:$C$125,0)))),$Q64,0),"")</f>
        <v/>
      </c>
      <c r="I64" s="147" t="str">
        <f t="shared" ca="1" si="15"/>
        <v/>
      </c>
      <c r="J64" s="246">
        <f ca="1">COUNT(A62:A66)</f>
        <v>0</v>
      </c>
      <c r="K64" s="247" t="str">
        <f ca="1">IF(ISNUMBER(A64),RANK(F64,F62:F66),"")</f>
        <v/>
      </c>
      <c r="L64" s="142">
        <f ca="1">IF(J64=5,VLOOKUP(K64,TPMatrix!$A$6:$B$10,2,0),IF(J64=4,VLOOKUP(K64,TPMatrix!$D$6:$E$9,2,0),0))</f>
        <v>0</v>
      </c>
      <c r="M64" s="142">
        <f ca="1">IF(COUNTIF(K62:K66,K64)&gt;=2,IF(J64=5,VLOOKUP(K64+1,TPMatrix!$A$6:$B$10,2,0),IF(J64=4,VLOOKUP(K64+1,TPMatrix!$D$6:$E$9,2,0),0)),"")</f>
        <v>0</v>
      </c>
      <c r="N64" s="142">
        <f ca="1">IF(COUNTIF(K62:K66,K64)&gt;=3,IF(J64=5,VLOOKUP(K64+2,TPMatrix!$A$6:$B$10,2,0),IF(J64=4,VLOOKUP(K64+2,TPMatrix!$D$6:$E$9,2,0),0)),"")</f>
        <v>0</v>
      </c>
      <c r="O64" s="142">
        <f ca="1">IF(COUNTIF(K62:K66,K64)&gt;=4,IF(J64=5,VLOOKUP(K64+3,TPMatrix!$A$6:$B$10,2,0),IF(J64=4,VLOOKUP(K64+3,TPMatrix!$D$6:$E$9,2,0),0)),"")</f>
        <v>0</v>
      </c>
      <c r="P64" s="142">
        <f ca="1">IF(COUNTIF(K62:K66,K64)&gt;=5,IF(J64=5,VLOOKUP(K64+4,TPMatrix!$A$6:$B$10,2,0),IF(J64=4,VLOOKUP(K64+4,TPMatrix!$D$6:$E$9,2,0),0)),"")</f>
        <v>0</v>
      </c>
      <c r="Q64" s="142">
        <f t="shared" ca="1" si="16"/>
        <v>0</v>
      </c>
      <c r="R64" s="248">
        <f t="shared" ca="1" si="17"/>
        <v>5</v>
      </c>
      <c r="S64" s="247">
        <f t="shared" ca="1" si="18"/>
        <v>0</v>
      </c>
      <c r="T64" s="142">
        <f t="shared" si="19"/>
        <v>0</v>
      </c>
      <c r="U64" s="248">
        <f t="shared" ca="1" si="20"/>
        <v>0</v>
      </c>
      <c r="W64" s="36" t="str">
        <f t="shared" ca="1" si="21"/>
        <v/>
      </c>
      <c r="X64" s="36" t="str">
        <f ca="1">IF(ISNUMBER($A64),$W64*(Methuselahs!$A$4+1)+$A64,"")</f>
        <v/>
      </c>
      <c r="Y64" s="36" t="str">
        <f t="shared" ca="1" si="22"/>
        <v/>
      </c>
      <c r="Z64" s="36" t="str">
        <f ca="1">IF(ISNUMBER($A64),VLOOKUP($A64,Methuselahs!$A$7:$X$206,5),"")</f>
        <v/>
      </c>
      <c r="AA64" s="36" t="str">
        <f t="shared" ca="1" si="23"/>
        <v/>
      </c>
    </row>
    <row r="65" spans="1:27" ht="12.95" customHeight="1" x14ac:dyDescent="0.2">
      <c r="A65" s="249" t="str">
        <f ca="1">IF(OR(ISBLANK('Tournament Info'!$B$11),'Tournament Info'!$B$11&lt;&gt;4),"",INDIRECT(ADDRESS(ROW(),3,1,1,"Optimal Seating "&amp;'Tournament Info'!$B$11-1&amp;"R+F")))</f>
        <v/>
      </c>
      <c r="B65" s="250" t="str">
        <f ca="1">IF(ISNUMBER(A65),VLOOKUP(A65,Methuselahs!$A$7:$E$206,2,0),"")</f>
        <v/>
      </c>
      <c r="C65" s="251" t="str">
        <f ca="1">IF(ISNUMBER(A65),VLOOKUP(A65,Methuselahs!$A$7:$E$206,3,0),"")</f>
        <v/>
      </c>
      <c r="D65" s="252" t="str">
        <f t="shared" ca="1" si="12"/>
        <v/>
      </c>
      <c r="E65" s="253"/>
      <c r="F65" s="397">
        <f t="shared" si="13"/>
        <v>0</v>
      </c>
      <c r="G65" s="235" t="str">
        <f t="shared" ca="1" si="14"/>
        <v/>
      </c>
      <c r="H65" s="236" t="str">
        <f ca="1">IF(ISNUMBER(A65),IF(OR($S65=$U65,NOT(ISNA(MATCH($D65*5+$V$4,Override!$C$6:$C$125,0)))),$Q65,0),"")</f>
        <v/>
      </c>
      <c r="I65" s="121" t="str">
        <f t="shared" ca="1" si="15"/>
        <v/>
      </c>
      <c r="J65" s="254">
        <f ca="1">COUNT(A62:A66)</f>
        <v>0</v>
      </c>
      <c r="K65" s="238" t="str">
        <f ca="1">IF(ISNUMBER(A65),RANK(F65,F62:F66),"")</f>
        <v/>
      </c>
      <c r="L65" s="239">
        <f ca="1">IF(J65=5,VLOOKUP(K65,TPMatrix!$A$6:$B$10,2,0),IF(J65=4,VLOOKUP(K65,TPMatrix!$D$6:$E$9,2,0),0))</f>
        <v>0</v>
      </c>
      <c r="M65" s="239">
        <f ca="1">IF(COUNTIF(K62:K66,K65)&gt;=2,IF(J65=5,VLOOKUP(K65+1,TPMatrix!$A$6:$B$10,2,0),IF(J65=4,VLOOKUP(K65+1,TPMatrix!$D$6:$E$9,2,0),0)),"")</f>
        <v>0</v>
      </c>
      <c r="N65" s="239">
        <f ca="1">IF(COUNTIF(K62:K66,K65)&gt;=3,IF(J65=5,VLOOKUP(K65+2,TPMatrix!$A$6:$B$10,2,0),IF(J65=4,VLOOKUP(K65+2,TPMatrix!$D$6:$E$9,2,0),0)),"")</f>
        <v>0</v>
      </c>
      <c r="O65" s="239">
        <f ca="1">IF(COUNTIF(K62:K66,K65)&gt;=4,IF(J65=5,VLOOKUP(K65+3,TPMatrix!$A$6:$B$10,2,0),IF(J65=4,VLOOKUP(K65+3,TPMatrix!$D$6:$E$9,2,0),0)),"")</f>
        <v>0</v>
      </c>
      <c r="P65" s="239">
        <f ca="1">IF(COUNTIF(K62:K66,K65)&gt;=5,IF(J65=5,VLOOKUP(K65+4,TPMatrix!$A$6:$B$10,2,0),IF(J65=4,VLOOKUP(K65+4,TPMatrix!$D$6:$E$9,2,0),0)),"")</f>
        <v>0</v>
      </c>
      <c r="Q65" s="239">
        <f t="shared" ca="1" si="16"/>
        <v>0</v>
      </c>
      <c r="R65" s="240">
        <f t="shared" ca="1" si="17"/>
        <v>5</v>
      </c>
      <c r="S65" s="238">
        <f t="shared" ca="1" si="18"/>
        <v>0</v>
      </c>
      <c r="T65" s="239">
        <f t="shared" si="19"/>
        <v>0</v>
      </c>
      <c r="U65" s="240">
        <f t="shared" ca="1" si="20"/>
        <v>0</v>
      </c>
      <c r="W65" s="36" t="str">
        <f t="shared" ca="1" si="21"/>
        <v/>
      </c>
      <c r="X65" s="36" t="str">
        <f ca="1">IF(ISNUMBER($A65),$W65*(Methuselahs!$A$4+1)+$A65,"")</f>
        <v/>
      </c>
      <c r="Y65" s="36" t="str">
        <f t="shared" ca="1" si="22"/>
        <v/>
      </c>
      <c r="Z65" s="36" t="str">
        <f ca="1">IF(ISNUMBER($A65),VLOOKUP($A65,Methuselahs!$A$7:$X$206,5),"")</f>
        <v/>
      </c>
      <c r="AA65" s="36" t="str">
        <f t="shared" ca="1" si="23"/>
        <v/>
      </c>
    </row>
    <row r="66" spans="1:27" ht="12.95" customHeight="1" x14ac:dyDescent="0.2">
      <c r="A66" s="255" t="str">
        <f ca="1">IF(OR(ISBLANK('Tournament Info'!$B$11),'Tournament Info'!$B$11&lt;&gt;4),"",INDIRECT(ADDRESS(ROW(),3,1,1,"Optimal Seating "&amp;'Tournament Info'!$B$11-1&amp;"R+F")))</f>
        <v/>
      </c>
      <c r="B66" s="256" t="str">
        <f ca="1">IF(ISNUMBER(A66),VLOOKUP(A66,Methuselahs!$A$7:$E$206,2,0),"")</f>
        <v/>
      </c>
      <c r="C66" s="257" t="str">
        <f ca="1">IF(ISNUMBER(A66),VLOOKUP(A66,Methuselahs!$A$7:$E$206,3,0),"")</f>
        <v/>
      </c>
      <c r="D66" s="258" t="str">
        <f t="shared" ca="1" si="12"/>
        <v/>
      </c>
      <c r="E66" s="259"/>
      <c r="F66" s="398">
        <f t="shared" si="13"/>
        <v>0</v>
      </c>
      <c r="G66" s="244" t="str">
        <f t="shared" ca="1" si="14"/>
        <v/>
      </c>
      <c r="H66" s="245" t="str">
        <f ca="1">IF(ISNUMBER(A66),IF(OR($S66=$U66,NOT(ISNA(MATCH($D66*5+$V$4,Override!$C$6:$C$125,0)))),$Q66,0),"")</f>
        <v/>
      </c>
      <c r="I66" s="147" t="str">
        <f t="shared" ca="1" si="15"/>
        <v/>
      </c>
      <c r="J66" s="260">
        <f ca="1">COUNT(A62:A66)</f>
        <v>0</v>
      </c>
      <c r="K66" s="261" t="str">
        <f ca="1">IF(ISNUMBER(A66),RANK(F66,F62:F66),"")</f>
        <v/>
      </c>
      <c r="L66" s="262">
        <f ca="1">IF(J66=5,VLOOKUP(K66,TPMatrix!$A$6:$B$10,2,0),IF(J66=4,VLOOKUP(K66,TPMatrix!$D$6:$E$9,2,0),0))</f>
        <v>0</v>
      </c>
      <c r="M66" s="262">
        <f ca="1">IF(COUNTIF(K62:K66,K66)&gt;=2,IF(J66=5,VLOOKUP(K66+1,TPMatrix!$A$6:$B$10,2,0),IF(J66=4,VLOOKUP(K66+1,TPMatrix!$D$6:$E$9,2,0),0)),"")</f>
        <v>0</v>
      </c>
      <c r="N66" s="262">
        <f ca="1">IF(COUNTIF(K62:K66,K66)&gt;=3,IF(J66=5,VLOOKUP(K66+2,TPMatrix!$A$6:$B$10,2,0),IF(J66=4,VLOOKUP(K66+2,TPMatrix!$D$6:$E$9,2,0),0)),"")</f>
        <v>0</v>
      </c>
      <c r="O66" s="262">
        <f ca="1">IF(COUNTIF(K62:K66,K66)&gt;=4,IF(J66=5,VLOOKUP(K66+3,TPMatrix!$A$6:$B$10,2,0),IF(J66=4,VLOOKUP(K66+3,TPMatrix!$D$6:$E$9,2,0),0)),"")</f>
        <v>0</v>
      </c>
      <c r="P66" s="262">
        <f ca="1">IF(COUNTIF(K62:K66,K66)&gt;=5,IF(J66=5,VLOOKUP(K66+4,TPMatrix!$A$6:$B$10,2,0),IF(J66=4,VLOOKUP(K66+4,TPMatrix!$D$6:$E$9,2,0),0)),"")</f>
        <v>0</v>
      </c>
      <c r="Q66" s="262">
        <f t="shared" ca="1" si="16"/>
        <v>0</v>
      </c>
      <c r="R66" s="263">
        <f t="shared" ca="1" si="17"/>
        <v>5</v>
      </c>
      <c r="S66" s="261">
        <f t="shared" ca="1" si="18"/>
        <v>0</v>
      </c>
      <c r="T66" s="262">
        <f t="shared" si="19"/>
        <v>0</v>
      </c>
      <c r="U66" s="263">
        <f t="shared" ca="1" si="20"/>
        <v>0</v>
      </c>
      <c r="W66" s="36" t="str">
        <f t="shared" ca="1" si="21"/>
        <v/>
      </c>
      <c r="X66" s="36" t="str">
        <f ca="1">IF(ISNUMBER($A66),$W66*(Methuselahs!$A$4+1)+$A66,"")</f>
        <v/>
      </c>
      <c r="Y66" s="36" t="str">
        <f t="shared" ca="1" si="22"/>
        <v/>
      </c>
      <c r="Z66" s="36" t="str">
        <f ca="1">IF(ISNUMBER($A66),VLOOKUP($A66,Methuselahs!$A$7:$X$206,5),"")</f>
        <v/>
      </c>
      <c r="AA66" s="36" t="str">
        <f t="shared" ca="1" si="23"/>
        <v/>
      </c>
    </row>
    <row r="67" spans="1:27" ht="12.95" customHeight="1" x14ac:dyDescent="0.2">
      <c r="A67" s="219" t="str">
        <f ca="1">IF(OR(ISBLANK('Tournament Info'!$B$11),'Tournament Info'!$B$11&lt;&gt;4),"",INDIRECT(ADDRESS(ROW(),3,1,1,"Optimal Seating "&amp;'Tournament Info'!$B$11-1&amp;"R+F")))</f>
        <v/>
      </c>
      <c r="B67" s="143" t="str">
        <f ca="1">IF(ISNUMBER(A67),VLOOKUP(A67,Methuselahs!$A$7:$E$206,2,0),"")</f>
        <v/>
      </c>
      <c r="C67" s="220" t="str">
        <f ca="1">IF(ISNUMBER(A67),VLOOKUP(A67,Methuselahs!$A$7:$E$206,3,0),"")</f>
        <v/>
      </c>
      <c r="D67" s="221" t="str">
        <f t="shared" ca="1" si="12"/>
        <v/>
      </c>
      <c r="E67" s="222"/>
      <c r="F67" s="393">
        <f t="shared" si="13"/>
        <v>0</v>
      </c>
      <c r="G67" s="223" t="str">
        <f t="shared" ca="1" si="14"/>
        <v/>
      </c>
      <c r="H67" s="224" t="str">
        <f ca="1">IF(ISNUMBER(A67),IF(OR($S67=$U67,NOT(ISNA(MATCH($D67*5+$V$4,Override!$C$6:$C$125,0)))),$Q67,0),"")</f>
        <v/>
      </c>
      <c r="I67" s="406" t="str">
        <f t="shared" ca="1" si="15"/>
        <v/>
      </c>
      <c r="J67" s="225">
        <f ca="1">COUNT(A67:A71)</f>
        <v>0</v>
      </c>
      <c r="K67" s="226" t="str">
        <f ca="1">IF(ISNUMBER(A67),RANK(F67,F67:F71),"")</f>
        <v/>
      </c>
      <c r="L67" s="227">
        <f ca="1">IF(J67=5,VLOOKUP(K67,TPMatrix!$A$6:$B$10,2,0),IF(J67=4,VLOOKUP(K67,TPMatrix!$D$6:$E$9,2,0),0))</f>
        <v>0</v>
      </c>
      <c r="M67" s="227">
        <f ca="1">IF(COUNTIF(K67:K71,K67)&gt;=2,IF(J67=5,VLOOKUP(K67+1,TPMatrix!$A$6:$B$10,2,0),IF(J67=4,VLOOKUP(K67+1,TPMatrix!$D$6:$E$9,2,0),0)),"")</f>
        <v>0</v>
      </c>
      <c r="N67" s="227">
        <f ca="1">IF(COUNTIF(K67:K71,K67)&gt;=3,IF(J67=5,VLOOKUP(K67+2,TPMatrix!$A$6:$B$10,2,0),IF(J67=4,VLOOKUP(K67+2,TPMatrix!$D$6:$E$9,2,0),0)),"")</f>
        <v>0</v>
      </c>
      <c r="O67" s="227">
        <f ca="1">IF(COUNTIF(K67:K71,K67)&gt;=4,IF(J67=5,VLOOKUP(K67+3,TPMatrix!$A$6:$B$10,2,0),IF(J67=4,VLOOKUP(K67+3,TPMatrix!$D$6:$E$9,2,0),0)),"")</f>
        <v>0</v>
      </c>
      <c r="P67" s="227">
        <f ca="1">IF(COUNTIF(K67:K71,K67)&gt;=5,IF(J67=5,VLOOKUP(K67+4,TPMatrix!$A$6:$B$10,2,0),IF(J67=4,VLOOKUP(K67+4,TPMatrix!$D$6:$E$9,2,0),0)),"")</f>
        <v>0</v>
      </c>
      <c r="Q67" s="227">
        <f t="shared" ca="1" si="16"/>
        <v>0</v>
      </c>
      <c r="R67" s="228">
        <f t="shared" ca="1" si="17"/>
        <v>5</v>
      </c>
      <c r="S67" s="229">
        <f t="shared" ca="1" si="18"/>
        <v>0</v>
      </c>
      <c r="T67" s="230">
        <f t="shared" si="19"/>
        <v>0</v>
      </c>
      <c r="U67" s="231">
        <f t="shared" ca="1" si="20"/>
        <v>0</v>
      </c>
      <c r="W67" s="36" t="str">
        <f t="shared" ca="1" si="21"/>
        <v/>
      </c>
      <c r="X67" s="36" t="str">
        <f ca="1">IF(ISNUMBER($A67),$W67*(Methuselahs!$A$4+1)+$A67,"")</f>
        <v/>
      </c>
      <c r="Y67" s="36" t="str">
        <f t="shared" ca="1" si="22"/>
        <v/>
      </c>
      <c r="Z67" s="36" t="str">
        <f ca="1">IF(ISNUMBER($A67),VLOOKUP($A67,Methuselahs!$A$7:$X$206,5),"")</f>
        <v/>
      </c>
      <c r="AA67" s="36" t="str">
        <f t="shared" ca="1" si="23"/>
        <v/>
      </c>
    </row>
    <row r="68" spans="1:27" ht="12.95" customHeight="1" x14ac:dyDescent="0.2">
      <c r="A68" s="111" t="str">
        <f ca="1">IF(OR(ISBLANK('Tournament Info'!$B$11),'Tournament Info'!$B$11&lt;&gt;4),"",INDIRECT(ADDRESS(ROW(),3,1,1,"Optimal Seating "&amp;'Tournament Info'!$B$11-1&amp;"R+F")))</f>
        <v/>
      </c>
      <c r="B68" s="117" t="str">
        <f ca="1">IF(ISNUMBER(A68),VLOOKUP(A68,Methuselahs!$A$7:$E$206,2,0),"")</f>
        <v/>
      </c>
      <c r="C68" s="232" t="str">
        <f ca="1">IF(ISNUMBER(A68),VLOOKUP(A68,Methuselahs!$A$7:$E$206,3,0),"")</f>
        <v/>
      </c>
      <c r="D68" s="233" t="str">
        <f t="shared" ca="1" si="12"/>
        <v/>
      </c>
      <c r="E68" s="234"/>
      <c r="F68" s="118">
        <f t="shared" si="13"/>
        <v>0</v>
      </c>
      <c r="G68" s="235" t="str">
        <f t="shared" ca="1" si="14"/>
        <v/>
      </c>
      <c r="H68" s="236" t="str">
        <f ca="1">IF(ISNUMBER(A68),IF(OR($S68=$U68,NOT(ISNA(MATCH($D68*5+$V$4,Override!$C$6:$C$125,0)))),$Q68,0),"")</f>
        <v/>
      </c>
      <c r="I68" s="121" t="str">
        <f t="shared" ca="1" si="15"/>
        <v/>
      </c>
      <c r="J68" s="237">
        <f ca="1">COUNT(A67:A71)</f>
        <v>0</v>
      </c>
      <c r="K68" s="238" t="str">
        <f ca="1">IF(ISNUMBER(A68),RANK(F68,F67:F71),"")</f>
        <v/>
      </c>
      <c r="L68" s="239">
        <f ca="1">IF(J68=5,VLOOKUP(K68,TPMatrix!$A$6:$B$10,2,0),IF(J68=4,VLOOKUP(K68,TPMatrix!$D$6:$E$9,2,0),0))</f>
        <v>0</v>
      </c>
      <c r="M68" s="239">
        <f ca="1">IF(COUNTIF(K67:K71,K68)&gt;=2,IF(J68=5,VLOOKUP(K68+1,TPMatrix!$A$6:$B$10,2,0),IF(J68=4,VLOOKUP(K68+1,TPMatrix!$D$6:$E$9,2,0),0)),"")</f>
        <v>0</v>
      </c>
      <c r="N68" s="239">
        <f ca="1">IF(COUNTIF(K67:K71,K68)&gt;=3,IF(J68=5,VLOOKUP(K68+2,TPMatrix!$A$6:$B$10,2,0),IF(J68=4,VLOOKUP(K68+2,TPMatrix!$D$6:$E$9,2,0),0)),"")</f>
        <v>0</v>
      </c>
      <c r="O68" s="239">
        <f ca="1">IF(COUNTIF(K67:K71,K68)&gt;=4,IF(J68=5,VLOOKUP(K68+3,TPMatrix!$A$6:$B$10,2,0),IF(J68=4,VLOOKUP(K68+3,TPMatrix!$D$6:$E$9,2,0),0)),"")</f>
        <v>0</v>
      </c>
      <c r="P68" s="239">
        <f ca="1">IF(COUNTIF(K67:K71,K68)&gt;=5,IF(J68=5,VLOOKUP(K68+4,TPMatrix!$A$6:$B$10,2,0),IF(J68=4,VLOOKUP(K68+4,TPMatrix!$D$6:$E$9,2,0),0)),"")</f>
        <v>0</v>
      </c>
      <c r="Q68" s="239">
        <f t="shared" ca="1" si="16"/>
        <v>0</v>
      </c>
      <c r="R68" s="240">
        <f t="shared" ca="1" si="17"/>
        <v>5</v>
      </c>
      <c r="S68" s="238">
        <f t="shared" ca="1" si="18"/>
        <v>0</v>
      </c>
      <c r="T68" s="239">
        <f t="shared" si="19"/>
        <v>0</v>
      </c>
      <c r="U68" s="240">
        <f t="shared" ca="1" si="20"/>
        <v>0</v>
      </c>
      <c r="W68" s="36" t="str">
        <f t="shared" ca="1" si="21"/>
        <v/>
      </c>
      <c r="X68" s="36" t="str">
        <f ca="1">IF(ISNUMBER($A68),$W68*(Methuselahs!$A$4+1)+$A68,"")</f>
        <v/>
      </c>
      <c r="Y68" s="36" t="str">
        <f t="shared" ca="1" si="22"/>
        <v/>
      </c>
      <c r="Z68" s="36" t="str">
        <f ca="1">IF(ISNUMBER($A68),VLOOKUP($A68,Methuselahs!$A$7:$X$206,5),"")</f>
        <v/>
      </c>
      <c r="AA68" s="36" t="str">
        <f t="shared" ca="1" si="23"/>
        <v/>
      </c>
    </row>
    <row r="69" spans="1:27" ht="12.95" customHeight="1" x14ac:dyDescent="0.2">
      <c r="A69" s="137" t="str">
        <f ca="1">IF(OR(ISBLANK('Tournament Info'!$B$11),'Tournament Info'!$B$11&lt;&gt;4),"",INDIRECT(ADDRESS(ROW(),3,1,1,"Optimal Seating "&amp;'Tournament Info'!$B$11-1&amp;"R+F")))</f>
        <v/>
      </c>
      <c r="B69" s="143" t="str">
        <f ca="1">IF(ISNUMBER(A69),VLOOKUP(A69,Methuselahs!$A$7:$E$206,2,0),"")</f>
        <v/>
      </c>
      <c r="C69" s="241" t="str">
        <f ca="1">IF(ISNUMBER(A69),VLOOKUP(A69,Methuselahs!$A$7:$E$206,3,0),"")</f>
        <v/>
      </c>
      <c r="D69" s="242" t="str">
        <f t="shared" ca="1" si="12"/>
        <v/>
      </c>
      <c r="E69" s="243"/>
      <c r="F69" s="144">
        <f t="shared" si="13"/>
        <v>0</v>
      </c>
      <c r="G69" s="244" t="str">
        <f t="shared" ca="1" si="14"/>
        <v/>
      </c>
      <c r="H69" s="245" t="str">
        <f ca="1">IF(ISNUMBER(A69),IF(OR($S69=$U69,NOT(ISNA(MATCH($D69*5+$V$4,Override!$C$6:$C$125,0)))),$Q69,0),"")</f>
        <v/>
      </c>
      <c r="I69" s="147" t="str">
        <f t="shared" ca="1" si="15"/>
        <v/>
      </c>
      <c r="J69" s="246">
        <f ca="1">COUNT(A67:A71)</f>
        <v>0</v>
      </c>
      <c r="K69" s="247" t="str">
        <f ca="1">IF(ISNUMBER(A69),RANK(F69,F67:F71),"")</f>
        <v/>
      </c>
      <c r="L69" s="142">
        <f ca="1">IF(J69=5,VLOOKUP(K69,TPMatrix!$A$6:$B$10,2,0),IF(J69=4,VLOOKUP(K69,TPMatrix!$D$6:$E$9,2,0),0))</f>
        <v>0</v>
      </c>
      <c r="M69" s="142">
        <f ca="1">IF(COUNTIF(K67:K71,K69)&gt;=2,IF(J69=5,VLOOKUP(K69+1,TPMatrix!$A$6:$B$10,2,0),IF(J69=4,VLOOKUP(K69+1,TPMatrix!$D$6:$E$9,2,0),0)),"")</f>
        <v>0</v>
      </c>
      <c r="N69" s="142">
        <f ca="1">IF(COUNTIF(K67:K71,K69)&gt;=3,IF(J69=5,VLOOKUP(K69+2,TPMatrix!$A$6:$B$10,2,0),IF(J69=4,VLOOKUP(K69+2,TPMatrix!$D$6:$E$9,2,0),0)),"")</f>
        <v>0</v>
      </c>
      <c r="O69" s="142">
        <f ca="1">IF(COUNTIF(K67:K71,K69)&gt;=4,IF(J69=5,VLOOKUP(K69+3,TPMatrix!$A$6:$B$10,2,0),IF(J69=4,VLOOKUP(K69+3,TPMatrix!$D$6:$E$9,2,0),0)),"")</f>
        <v>0</v>
      </c>
      <c r="P69" s="142">
        <f ca="1">IF(COUNTIF(K67:K71,K69)&gt;=5,IF(J69=5,VLOOKUP(K69+4,TPMatrix!$A$6:$B$10,2,0),IF(J69=4,VLOOKUP(K69+4,TPMatrix!$D$6:$E$9,2,0),0)),"")</f>
        <v>0</v>
      </c>
      <c r="Q69" s="142">
        <f t="shared" ca="1" si="16"/>
        <v>0</v>
      </c>
      <c r="R69" s="248">
        <f t="shared" ca="1" si="17"/>
        <v>5</v>
      </c>
      <c r="S69" s="247">
        <f t="shared" ca="1" si="18"/>
        <v>0</v>
      </c>
      <c r="T69" s="142">
        <f t="shared" si="19"/>
        <v>0</v>
      </c>
      <c r="U69" s="248">
        <f t="shared" ca="1" si="20"/>
        <v>0</v>
      </c>
      <c r="W69" s="36" t="str">
        <f t="shared" ca="1" si="21"/>
        <v/>
      </c>
      <c r="X69" s="36" t="str">
        <f ca="1">IF(ISNUMBER($A69),$W69*(Methuselahs!$A$4+1)+$A69,"")</f>
        <v/>
      </c>
      <c r="Y69" s="36" t="str">
        <f t="shared" ca="1" si="22"/>
        <v/>
      </c>
      <c r="Z69" s="36" t="str">
        <f ca="1">IF(ISNUMBER($A69),VLOOKUP($A69,Methuselahs!$A$7:$X$206,5),"")</f>
        <v/>
      </c>
      <c r="AA69" s="36" t="str">
        <f t="shared" ca="1" si="23"/>
        <v/>
      </c>
    </row>
    <row r="70" spans="1:27" ht="12.95" customHeight="1" x14ac:dyDescent="0.2">
      <c r="A70" s="249" t="str">
        <f ca="1">IF(OR(ISBLANK('Tournament Info'!$B$11),'Tournament Info'!$B$11&lt;&gt;4),"",INDIRECT(ADDRESS(ROW(),3,1,1,"Optimal Seating "&amp;'Tournament Info'!$B$11-1&amp;"R+F")))</f>
        <v/>
      </c>
      <c r="B70" s="250" t="str">
        <f ca="1">IF(ISNUMBER(A70),VLOOKUP(A70,Methuselahs!$A$7:$E$206,2,0),"")</f>
        <v/>
      </c>
      <c r="C70" s="251" t="str">
        <f ca="1">IF(ISNUMBER(A70),VLOOKUP(A70,Methuselahs!$A$7:$E$206,3,0),"")</f>
        <v/>
      </c>
      <c r="D70" s="252" t="str">
        <f t="shared" ca="1" si="12"/>
        <v/>
      </c>
      <c r="E70" s="253"/>
      <c r="F70" s="397">
        <f t="shared" si="13"/>
        <v>0</v>
      </c>
      <c r="G70" s="235" t="str">
        <f t="shared" ca="1" si="14"/>
        <v/>
      </c>
      <c r="H70" s="236" t="str">
        <f ca="1">IF(ISNUMBER(A70),IF(OR($S70=$U70,NOT(ISNA(MATCH($D70*5+$V$4,Override!$C$6:$C$125,0)))),$Q70,0),"")</f>
        <v/>
      </c>
      <c r="I70" s="121" t="str">
        <f t="shared" ca="1" si="15"/>
        <v/>
      </c>
      <c r="J70" s="254">
        <f ca="1">COUNT(A67:A71)</f>
        <v>0</v>
      </c>
      <c r="K70" s="238" t="str">
        <f ca="1">IF(ISNUMBER(A70),RANK(F70,F67:F71),"")</f>
        <v/>
      </c>
      <c r="L70" s="239">
        <f ca="1">IF(J70=5,VLOOKUP(K70,TPMatrix!$A$6:$B$10,2,0),IF(J70=4,VLOOKUP(K70,TPMatrix!$D$6:$E$9,2,0),0))</f>
        <v>0</v>
      </c>
      <c r="M70" s="239">
        <f ca="1">IF(COUNTIF(K67:K71,K70)&gt;=2,IF(J70=5,VLOOKUP(K70+1,TPMatrix!$A$6:$B$10,2,0),IF(J70=4,VLOOKUP(K70+1,TPMatrix!$D$6:$E$9,2,0),0)),"")</f>
        <v>0</v>
      </c>
      <c r="N70" s="239">
        <f ca="1">IF(COUNTIF(K67:K71,K70)&gt;=3,IF(J70=5,VLOOKUP(K70+2,TPMatrix!$A$6:$B$10,2,0),IF(J70=4,VLOOKUP(K70+2,TPMatrix!$D$6:$E$9,2,0),0)),"")</f>
        <v>0</v>
      </c>
      <c r="O70" s="239">
        <f ca="1">IF(COUNTIF(K67:K71,K70)&gt;=4,IF(J70=5,VLOOKUP(K70+3,TPMatrix!$A$6:$B$10,2,0),IF(J70=4,VLOOKUP(K70+3,TPMatrix!$D$6:$E$9,2,0),0)),"")</f>
        <v>0</v>
      </c>
      <c r="P70" s="239">
        <f ca="1">IF(COUNTIF(K67:K71,K70)&gt;=5,IF(J70=5,VLOOKUP(K70+4,TPMatrix!$A$6:$B$10,2,0),IF(J70=4,VLOOKUP(K70+4,TPMatrix!$D$6:$E$9,2,0),0)),"")</f>
        <v>0</v>
      </c>
      <c r="Q70" s="239">
        <f t="shared" ca="1" si="16"/>
        <v>0</v>
      </c>
      <c r="R70" s="240">
        <f t="shared" ca="1" si="17"/>
        <v>5</v>
      </c>
      <c r="S70" s="238">
        <f t="shared" ca="1" si="18"/>
        <v>0</v>
      </c>
      <c r="T70" s="239">
        <f t="shared" si="19"/>
        <v>0</v>
      </c>
      <c r="U70" s="240">
        <f t="shared" ca="1" si="20"/>
        <v>0</v>
      </c>
      <c r="W70" s="36" t="str">
        <f t="shared" ca="1" si="21"/>
        <v/>
      </c>
      <c r="X70" s="36" t="str">
        <f ca="1">IF(ISNUMBER($A70),$W70*(Methuselahs!$A$4+1)+$A70,"")</f>
        <v/>
      </c>
      <c r="Y70" s="36" t="str">
        <f t="shared" ca="1" si="22"/>
        <v/>
      </c>
      <c r="Z70" s="36" t="str">
        <f ca="1">IF(ISNUMBER($A70),VLOOKUP($A70,Methuselahs!$A$7:$X$206,5),"")</f>
        <v/>
      </c>
      <c r="AA70" s="36" t="str">
        <f t="shared" ca="1" si="23"/>
        <v/>
      </c>
    </row>
    <row r="71" spans="1:27" ht="12.95" customHeight="1" x14ac:dyDescent="0.2">
      <c r="A71" s="255" t="str">
        <f ca="1">IF(OR(ISBLANK('Tournament Info'!$B$11),'Tournament Info'!$B$11&lt;&gt;4),"",INDIRECT(ADDRESS(ROW(),3,1,1,"Optimal Seating "&amp;'Tournament Info'!$B$11-1&amp;"R+F")))</f>
        <v/>
      </c>
      <c r="B71" s="256" t="str">
        <f ca="1">IF(ISNUMBER(A71),VLOOKUP(A71,Methuselahs!$A$7:$E$206,2,0),"")</f>
        <v/>
      </c>
      <c r="C71" s="257" t="str">
        <f ca="1">IF(ISNUMBER(A71),VLOOKUP(A71,Methuselahs!$A$7:$E$206,3,0),"")</f>
        <v/>
      </c>
      <c r="D71" s="258" t="str">
        <f t="shared" ref="D71:D102" ca="1" si="24">IF(ISNUMBER(A71),FLOOR((ROW()-ROW($A$7))/5,1)+1,"")</f>
        <v/>
      </c>
      <c r="E71" s="259"/>
      <c r="F71" s="398">
        <f t="shared" ref="F71:F102" si="25">IF(ISNUMBER(E71),E71,0)</f>
        <v>0</v>
      </c>
      <c r="G71" s="244" t="str">
        <f t="shared" ref="G71:G102" ca="1" si="26">IF(ISNUMBER($A71),IF(AND($F71&gt;=2,$H71=60),1,0),"")</f>
        <v/>
      </c>
      <c r="H71" s="245" t="str">
        <f ca="1">IF(ISNUMBER(A71),IF(OR($S71=$U71,NOT(ISNA(MATCH($D71*5+$V$4,Override!$C$6:$C$125,0)))),$Q71,0),"")</f>
        <v/>
      </c>
      <c r="I71" s="147" t="str">
        <f t="shared" ref="I71:I102" ca="1" si="27">IF(ISNUMBER(A71),IF(J71=5,K71,IF(AND(J71=4,OR(K71=4,K71=3)),K71+1,K71)),"")</f>
        <v/>
      </c>
      <c r="J71" s="260">
        <f ca="1">COUNT(A67:A71)</f>
        <v>0</v>
      </c>
      <c r="K71" s="261" t="str">
        <f ca="1">IF(ISNUMBER(A71),RANK(F71,F67:F71),"")</f>
        <v/>
      </c>
      <c r="L71" s="262">
        <f ca="1">IF(J71=5,VLOOKUP(K71,TPMatrix!$A$6:$B$10,2,0),IF(J71=4,VLOOKUP(K71,TPMatrix!$D$6:$E$9,2,0),0))</f>
        <v>0</v>
      </c>
      <c r="M71" s="262">
        <f ca="1">IF(COUNTIF(K67:K71,K71)&gt;=2,IF(J71=5,VLOOKUP(K71+1,TPMatrix!$A$6:$B$10,2,0),IF(J71=4,VLOOKUP(K71+1,TPMatrix!$D$6:$E$9,2,0),0)),"")</f>
        <v>0</v>
      </c>
      <c r="N71" s="262">
        <f ca="1">IF(COUNTIF(K67:K71,K71)&gt;=3,IF(J71=5,VLOOKUP(K71+2,TPMatrix!$A$6:$B$10,2,0),IF(J71=4,VLOOKUP(K71+2,TPMatrix!$D$6:$E$9,2,0),0)),"")</f>
        <v>0</v>
      </c>
      <c r="O71" s="262">
        <f ca="1">IF(COUNTIF(K67:K71,K71)&gt;=4,IF(J71=5,VLOOKUP(K71+3,TPMatrix!$A$6:$B$10,2,0),IF(J71=4,VLOOKUP(K71+3,TPMatrix!$D$6:$E$9,2,0),0)),"")</f>
        <v>0</v>
      </c>
      <c r="P71" s="262">
        <f ca="1">IF(COUNTIF(K67:K71,K71)&gt;=5,IF(J71=5,VLOOKUP(K71+4,TPMatrix!$A$6:$B$10,2,0),IF(J71=4,VLOOKUP(K71+4,TPMatrix!$D$6:$E$9,2,0),0)),"")</f>
        <v>0</v>
      </c>
      <c r="Q71" s="262">
        <f t="shared" ref="Q71:Q102" ca="1" si="28">SUM(L71:P71)/COUNT(L71:P71)</f>
        <v>0</v>
      </c>
      <c r="R71" s="263">
        <f t="shared" ref="R71:R102" ca="1" si="29">COUNT(L71:P71)</f>
        <v>5</v>
      </c>
      <c r="S71" s="261">
        <f t="shared" ref="S71:S102" ca="1" si="30">IF(ISNUMBER($A71),COUNTIF($D$7:$D$206,$D71),0)</f>
        <v>0</v>
      </c>
      <c r="T71" s="262">
        <f t="shared" ref="T71:T102" si="31">CEILING($F71,1)</f>
        <v>0</v>
      </c>
      <c r="U71" s="263">
        <f t="shared" ref="U71:U102" ca="1" si="32">SUM(OFFSET(T71,-MOD(ROW()-ROW($U$7),5),0,5,1))</f>
        <v>0</v>
      </c>
      <c r="W71" s="36" t="str">
        <f t="shared" ref="W71:W102" ca="1" si="33">$I71</f>
        <v/>
      </c>
      <c r="X71" s="36" t="str">
        <f ca="1">IF(ISNUMBER($A71),$W71*(Methuselahs!$A$4+1)+$A71,"")</f>
        <v/>
      </c>
      <c r="Y71" s="36" t="str">
        <f t="shared" ref="Y71:Y102" ca="1" si="34">IF(ISNUMBER($A71),RANK($X71,$X71:$X75,1),"")</f>
        <v/>
      </c>
      <c r="Z71" s="36" t="str">
        <f ca="1">IF(ISNUMBER($A71),VLOOKUP($A71,Methuselahs!$A$7:$X$206,5),"")</f>
        <v/>
      </c>
      <c r="AA71" s="36" t="str">
        <f t="shared" ref="AA71:AA102" ca="1" si="35">$I71</f>
        <v/>
      </c>
    </row>
    <row r="72" spans="1:27" ht="12.95" customHeight="1" x14ac:dyDescent="0.2">
      <c r="A72" s="219" t="str">
        <f ca="1">IF(OR(ISBLANK('Tournament Info'!$B$11),'Tournament Info'!$B$11&lt;&gt;4),"",INDIRECT(ADDRESS(ROW(),3,1,1,"Optimal Seating "&amp;'Tournament Info'!$B$11-1&amp;"R+F")))</f>
        <v/>
      </c>
      <c r="B72" s="143" t="str">
        <f ca="1">IF(ISNUMBER(A72),VLOOKUP(A72,Methuselahs!$A$7:$E$206,2,0),"")</f>
        <v/>
      </c>
      <c r="C72" s="220" t="str">
        <f ca="1">IF(ISNUMBER(A72),VLOOKUP(A72,Methuselahs!$A$7:$E$206,3,0),"")</f>
        <v/>
      </c>
      <c r="D72" s="221" t="str">
        <f t="shared" ca="1" si="24"/>
        <v/>
      </c>
      <c r="E72" s="222"/>
      <c r="F72" s="393">
        <f t="shared" si="25"/>
        <v>0</v>
      </c>
      <c r="G72" s="223" t="str">
        <f t="shared" ca="1" si="26"/>
        <v/>
      </c>
      <c r="H72" s="224" t="str">
        <f ca="1">IF(ISNUMBER(A72),IF(OR($S72=$U72,NOT(ISNA(MATCH($D72*5+$V$4,Override!$C$6:$C$125,0)))),$Q72,0),"")</f>
        <v/>
      </c>
      <c r="I72" s="406" t="str">
        <f t="shared" ca="1" si="27"/>
        <v/>
      </c>
      <c r="J72" s="225">
        <f ca="1">COUNT(A72:A76)</f>
        <v>0</v>
      </c>
      <c r="K72" s="226" t="str">
        <f ca="1">IF(ISNUMBER(A72),RANK(F72,F72:F76),"")</f>
        <v/>
      </c>
      <c r="L72" s="227">
        <f ca="1">IF(J72=5,VLOOKUP(K72,TPMatrix!$A$6:$B$10,2,0),IF(J72=4,VLOOKUP(K72,TPMatrix!$D$6:$E$9,2,0),0))</f>
        <v>0</v>
      </c>
      <c r="M72" s="227">
        <f ca="1">IF(COUNTIF(K72:K76,K72)&gt;=2,IF(J72=5,VLOOKUP(K72+1,TPMatrix!$A$6:$B$10,2,0),IF(J72=4,VLOOKUP(K72+1,TPMatrix!$D$6:$E$9,2,0),0)),"")</f>
        <v>0</v>
      </c>
      <c r="N72" s="227">
        <f ca="1">IF(COUNTIF(K72:K76,K72)&gt;=3,IF(J72=5,VLOOKUP(K72+2,TPMatrix!$A$6:$B$10,2,0),IF(J72=4,VLOOKUP(K72+2,TPMatrix!$D$6:$E$9,2,0),0)),"")</f>
        <v>0</v>
      </c>
      <c r="O72" s="227">
        <f ca="1">IF(COUNTIF(K72:K76,K72)&gt;=4,IF(J72=5,VLOOKUP(K72+3,TPMatrix!$A$6:$B$10,2,0),IF(J72=4,VLOOKUP(K72+3,TPMatrix!$D$6:$E$9,2,0),0)),"")</f>
        <v>0</v>
      </c>
      <c r="P72" s="227">
        <f ca="1">IF(COUNTIF(K72:K76,K72)&gt;=5,IF(J72=5,VLOOKUP(K72+4,TPMatrix!$A$6:$B$10,2,0),IF(J72=4,VLOOKUP(K72+4,TPMatrix!$D$6:$E$9,2,0),0)),"")</f>
        <v>0</v>
      </c>
      <c r="Q72" s="227">
        <f t="shared" ca="1" si="28"/>
        <v>0</v>
      </c>
      <c r="R72" s="228">
        <f t="shared" ca="1" si="29"/>
        <v>5</v>
      </c>
      <c r="S72" s="229">
        <f t="shared" ca="1" si="30"/>
        <v>0</v>
      </c>
      <c r="T72" s="230">
        <f t="shared" si="31"/>
        <v>0</v>
      </c>
      <c r="U72" s="231">
        <f t="shared" ca="1" si="32"/>
        <v>0</v>
      </c>
      <c r="W72" s="36" t="str">
        <f t="shared" ca="1" si="33"/>
        <v/>
      </c>
      <c r="X72" s="36" t="str">
        <f ca="1">IF(ISNUMBER($A72),$W72*(Methuselahs!$A$4+1)+$A72,"")</f>
        <v/>
      </c>
      <c r="Y72" s="36" t="str">
        <f t="shared" ca="1" si="34"/>
        <v/>
      </c>
      <c r="Z72" s="36" t="str">
        <f ca="1">IF(ISNUMBER($A72),VLOOKUP($A72,Methuselahs!$A$7:$X$206,5),"")</f>
        <v/>
      </c>
      <c r="AA72" s="36" t="str">
        <f t="shared" ca="1" si="35"/>
        <v/>
      </c>
    </row>
    <row r="73" spans="1:27" ht="12.95" customHeight="1" x14ac:dyDescent="0.2">
      <c r="A73" s="111" t="str">
        <f ca="1">IF(OR(ISBLANK('Tournament Info'!$B$11),'Tournament Info'!$B$11&lt;&gt;4),"",INDIRECT(ADDRESS(ROW(),3,1,1,"Optimal Seating "&amp;'Tournament Info'!$B$11-1&amp;"R+F")))</f>
        <v/>
      </c>
      <c r="B73" s="117" t="str">
        <f ca="1">IF(ISNUMBER(A73),VLOOKUP(A73,Methuselahs!$A$7:$E$206,2,0),"")</f>
        <v/>
      </c>
      <c r="C73" s="232" t="str">
        <f ca="1">IF(ISNUMBER(A73),VLOOKUP(A73,Methuselahs!$A$7:$E$206,3,0),"")</f>
        <v/>
      </c>
      <c r="D73" s="233" t="str">
        <f t="shared" ca="1" si="24"/>
        <v/>
      </c>
      <c r="E73" s="234"/>
      <c r="F73" s="118">
        <f t="shared" si="25"/>
        <v>0</v>
      </c>
      <c r="G73" s="235" t="str">
        <f t="shared" ca="1" si="26"/>
        <v/>
      </c>
      <c r="H73" s="236" t="str">
        <f ca="1">IF(ISNUMBER(A73),IF(OR($S73=$U73,NOT(ISNA(MATCH($D73*5+$V$4,Override!$C$6:$C$125,0)))),$Q73,0),"")</f>
        <v/>
      </c>
      <c r="I73" s="121" t="str">
        <f t="shared" ca="1" si="27"/>
        <v/>
      </c>
      <c r="J73" s="237">
        <f ca="1">COUNT(A72:A76)</f>
        <v>0</v>
      </c>
      <c r="K73" s="238" t="str">
        <f ca="1">IF(ISNUMBER(A73),RANK(F73,F72:F76),"")</f>
        <v/>
      </c>
      <c r="L73" s="239">
        <f ca="1">IF(J73=5,VLOOKUP(K73,TPMatrix!$A$6:$B$10,2,0),IF(J73=4,VLOOKUP(K73,TPMatrix!$D$6:$E$9,2,0),0))</f>
        <v>0</v>
      </c>
      <c r="M73" s="239">
        <f ca="1">IF(COUNTIF(K72:K76,K73)&gt;=2,IF(J73=5,VLOOKUP(K73+1,TPMatrix!$A$6:$B$10,2,0),IF(J73=4,VLOOKUP(K73+1,TPMatrix!$D$6:$E$9,2,0),0)),"")</f>
        <v>0</v>
      </c>
      <c r="N73" s="239">
        <f ca="1">IF(COUNTIF(K72:K76,K73)&gt;=3,IF(J73=5,VLOOKUP(K73+2,TPMatrix!$A$6:$B$10,2,0),IF(J73=4,VLOOKUP(K73+2,TPMatrix!$D$6:$E$9,2,0),0)),"")</f>
        <v>0</v>
      </c>
      <c r="O73" s="239">
        <f ca="1">IF(COUNTIF(K72:K76,K73)&gt;=4,IF(J73=5,VLOOKUP(K73+3,TPMatrix!$A$6:$B$10,2,0),IF(J73=4,VLOOKUP(K73+3,TPMatrix!$D$6:$E$9,2,0),0)),"")</f>
        <v>0</v>
      </c>
      <c r="P73" s="239">
        <f ca="1">IF(COUNTIF(K72:K76,K73)&gt;=5,IF(J73=5,VLOOKUP(K73+4,TPMatrix!$A$6:$B$10,2,0),IF(J73=4,VLOOKUP(K73+4,TPMatrix!$D$6:$E$9,2,0),0)),"")</f>
        <v>0</v>
      </c>
      <c r="Q73" s="239">
        <f t="shared" ca="1" si="28"/>
        <v>0</v>
      </c>
      <c r="R73" s="240">
        <f t="shared" ca="1" si="29"/>
        <v>5</v>
      </c>
      <c r="S73" s="238">
        <f t="shared" ca="1" si="30"/>
        <v>0</v>
      </c>
      <c r="T73" s="239">
        <f t="shared" si="31"/>
        <v>0</v>
      </c>
      <c r="U73" s="240">
        <f t="shared" ca="1" si="32"/>
        <v>0</v>
      </c>
      <c r="W73" s="36" t="str">
        <f t="shared" ca="1" si="33"/>
        <v/>
      </c>
      <c r="X73" s="36" t="str">
        <f ca="1">IF(ISNUMBER($A73),$W73*(Methuselahs!$A$4+1)+$A73,"")</f>
        <v/>
      </c>
      <c r="Y73" s="36" t="str">
        <f t="shared" ca="1" si="34"/>
        <v/>
      </c>
      <c r="Z73" s="36" t="str">
        <f ca="1">IF(ISNUMBER($A73),VLOOKUP($A73,Methuselahs!$A$7:$X$206,5),"")</f>
        <v/>
      </c>
      <c r="AA73" s="36" t="str">
        <f t="shared" ca="1" si="35"/>
        <v/>
      </c>
    </row>
    <row r="74" spans="1:27" ht="12.95" customHeight="1" x14ac:dyDescent="0.2">
      <c r="A74" s="137" t="str">
        <f ca="1">IF(OR(ISBLANK('Tournament Info'!$B$11),'Tournament Info'!$B$11&lt;&gt;4),"",INDIRECT(ADDRESS(ROW(),3,1,1,"Optimal Seating "&amp;'Tournament Info'!$B$11-1&amp;"R+F")))</f>
        <v/>
      </c>
      <c r="B74" s="143" t="str">
        <f ca="1">IF(ISNUMBER(A74),VLOOKUP(A74,Methuselahs!$A$7:$E$206,2,0),"")</f>
        <v/>
      </c>
      <c r="C74" s="241" t="str">
        <f ca="1">IF(ISNUMBER(A74),VLOOKUP(A74,Methuselahs!$A$7:$E$206,3,0),"")</f>
        <v/>
      </c>
      <c r="D74" s="242" t="str">
        <f t="shared" ca="1" si="24"/>
        <v/>
      </c>
      <c r="E74" s="243"/>
      <c r="F74" s="144">
        <f t="shared" si="25"/>
        <v>0</v>
      </c>
      <c r="G74" s="244" t="str">
        <f t="shared" ca="1" si="26"/>
        <v/>
      </c>
      <c r="H74" s="245" t="str">
        <f ca="1">IF(ISNUMBER(A74),IF(OR($S74=$U74,NOT(ISNA(MATCH($D74*5+$V$4,Override!$C$6:$C$125,0)))),$Q74,0),"")</f>
        <v/>
      </c>
      <c r="I74" s="147" t="str">
        <f t="shared" ca="1" si="27"/>
        <v/>
      </c>
      <c r="J74" s="246">
        <f ca="1">COUNT(A72:A76)</f>
        <v>0</v>
      </c>
      <c r="K74" s="247" t="str">
        <f ca="1">IF(ISNUMBER(A74),RANK(F74,F72:F76),"")</f>
        <v/>
      </c>
      <c r="L74" s="142">
        <f ca="1">IF(J74=5,VLOOKUP(K74,TPMatrix!$A$6:$B$10,2,0),IF(J74=4,VLOOKUP(K74,TPMatrix!$D$6:$E$9,2,0),0))</f>
        <v>0</v>
      </c>
      <c r="M74" s="142">
        <f ca="1">IF(COUNTIF(K72:K76,K74)&gt;=2,IF(J74=5,VLOOKUP(K74+1,TPMatrix!$A$6:$B$10,2,0),IF(J74=4,VLOOKUP(K74+1,TPMatrix!$D$6:$E$9,2,0),0)),"")</f>
        <v>0</v>
      </c>
      <c r="N74" s="142">
        <f ca="1">IF(COUNTIF(K72:K76,K74)&gt;=3,IF(J74=5,VLOOKUP(K74+2,TPMatrix!$A$6:$B$10,2,0),IF(J74=4,VLOOKUP(K74+2,TPMatrix!$D$6:$E$9,2,0),0)),"")</f>
        <v>0</v>
      </c>
      <c r="O74" s="142">
        <f ca="1">IF(COUNTIF(K72:K76,K74)&gt;=4,IF(J74=5,VLOOKUP(K74+3,TPMatrix!$A$6:$B$10,2,0),IF(J74=4,VLOOKUP(K74+3,TPMatrix!$D$6:$E$9,2,0),0)),"")</f>
        <v>0</v>
      </c>
      <c r="P74" s="142">
        <f ca="1">IF(COUNTIF(K72:K76,K74)&gt;=5,IF(J74=5,VLOOKUP(K74+4,TPMatrix!$A$6:$B$10,2,0),IF(J74=4,VLOOKUP(K74+4,TPMatrix!$D$6:$E$9,2,0),0)),"")</f>
        <v>0</v>
      </c>
      <c r="Q74" s="142">
        <f t="shared" ca="1" si="28"/>
        <v>0</v>
      </c>
      <c r="R74" s="248">
        <f t="shared" ca="1" si="29"/>
        <v>5</v>
      </c>
      <c r="S74" s="247">
        <f t="shared" ca="1" si="30"/>
        <v>0</v>
      </c>
      <c r="T74" s="142">
        <f t="shared" si="31"/>
        <v>0</v>
      </c>
      <c r="U74" s="248">
        <f t="shared" ca="1" si="32"/>
        <v>0</v>
      </c>
      <c r="W74" s="36" t="str">
        <f t="shared" ca="1" si="33"/>
        <v/>
      </c>
      <c r="X74" s="36" t="str">
        <f ca="1">IF(ISNUMBER($A74),$W74*(Methuselahs!$A$4+1)+$A74,"")</f>
        <v/>
      </c>
      <c r="Y74" s="36" t="str">
        <f t="shared" ca="1" si="34"/>
        <v/>
      </c>
      <c r="Z74" s="36" t="str">
        <f ca="1">IF(ISNUMBER($A74),VLOOKUP($A74,Methuselahs!$A$7:$X$206,5),"")</f>
        <v/>
      </c>
      <c r="AA74" s="36" t="str">
        <f t="shared" ca="1" si="35"/>
        <v/>
      </c>
    </row>
    <row r="75" spans="1:27" ht="12.95" customHeight="1" x14ac:dyDescent="0.2">
      <c r="A75" s="249" t="str">
        <f ca="1">IF(OR(ISBLANK('Tournament Info'!$B$11),'Tournament Info'!$B$11&lt;&gt;4),"",INDIRECT(ADDRESS(ROW(),3,1,1,"Optimal Seating "&amp;'Tournament Info'!$B$11-1&amp;"R+F")))</f>
        <v/>
      </c>
      <c r="B75" s="250" t="str">
        <f ca="1">IF(ISNUMBER(A75),VLOOKUP(A75,Methuselahs!$A$7:$E$206,2,0),"")</f>
        <v/>
      </c>
      <c r="C75" s="251" t="str">
        <f ca="1">IF(ISNUMBER(A75),VLOOKUP(A75,Methuselahs!$A$7:$E$206,3,0),"")</f>
        <v/>
      </c>
      <c r="D75" s="252" t="str">
        <f t="shared" ca="1" si="24"/>
        <v/>
      </c>
      <c r="E75" s="253"/>
      <c r="F75" s="397">
        <f t="shared" si="25"/>
        <v>0</v>
      </c>
      <c r="G75" s="235" t="str">
        <f t="shared" ca="1" si="26"/>
        <v/>
      </c>
      <c r="H75" s="236" t="str">
        <f ca="1">IF(ISNUMBER(A75),IF(OR($S75=$U75,NOT(ISNA(MATCH($D75*5+$V$4,Override!$C$6:$C$125,0)))),$Q75,0),"")</f>
        <v/>
      </c>
      <c r="I75" s="121" t="str">
        <f t="shared" ca="1" si="27"/>
        <v/>
      </c>
      <c r="J75" s="254">
        <f ca="1">COUNT(A72:A76)</f>
        <v>0</v>
      </c>
      <c r="K75" s="238" t="str">
        <f ca="1">IF(ISNUMBER(A75),RANK(F75,F72:F76),"")</f>
        <v/>
      </c>
      <c r="L75" s="239">
        <f ca="1">IF(J75=5,VLOOKUP(K75,TPMatrix!$A$6:$B$10,2,0),IF(J75=4,VLOOKUP(K75,TPMatrix!$D$6:$E$9,2,0),0))</f>
        <v>0</v>
      </c>
      <c r="M75" s="239">
        <f ca="1">IF(COUNTIF(K72:K76,K75)&gt;=2,IF(J75=5,VLOOKUP(K75+1,TPMatrix!$A$6:$B$10,2,0),IF(J75=4,VLOOKUP(K75+1,TPMatrix!$D$6:$E$9,2,0),0)),"")</f>
        <v>0</v>
      </c>
      <c r="N75" s="239">
        <f ca="1">IF(COUNTIF(K72:K76,K75)&gt;=3,IF(J75=5,VLOOKUP(K75+2,TPMatrix!$A$6:$B$10,2,0),IF(J75=4,VLOOKUP(K75+2,TPMatrix!$D$6:$E$9,2,0),0)),"")</f>
        <v>0</v>
      </c>
      <c r="O75" s="239">
        <f ca="1">IF(COUNTIF(K72:K76,K75)&gt;=4,IF(J75=5,VLOOKUP(K75+3,TPMatrix!$A$6:$B$10,2,0),IF(J75=4,VLOOKUP(K75+3,TPMatrix!$D$6:$E$9,2,0),0)),"")</f>
        <v>0</v>
      </c>
      <c r="P75" s="239">
        <f ca="1">IF(COUNTIF(K72:K76,K75)&gt;=5,IF(J75=5,VLOOKUP(K75+4,TPMatrix!$A$6:$B$10,2,0),IF(J75=4,VLOOKUP(K75+4,TPMatrix!$D$6:$E$9,2,0),0)),"")</f>
        <v>0</v>
      </c>
      <c r="Q75" s="239">
        <f t="shared" ca="1" si="28"/>
        <v>0</v>
      </c>
      <c r="R75" s="240">
        <f t="shared" ca="1" si="29"/>
        <v>5</v>
      </c>
      <c r="S75" s="238">
        <f t="shared" ca="1" si="30"/>
        <v>0</v>
      </c>
      <c r="T75" s="239">
        <f t="shared" si="31"/>
        <v>0</v>
      </c>
      <c r="U75" s="240">
        <f t="shared" ca="1" si="32"/>
        <v>0</v>
      </c>
      <c r="W75" s="36" t="str">
        <f t="shared" ca="1" si="33"/>
        <v/>
      </c>
      <c r="X75" s="36" t="str">
        <f ca="1">IF(ISNUMBER($A75),$W75*(Methuselahs!$A$4+1)+$A75,"")</f>
        <v/>
      </c>
      <c r="Y75" s="36" t="str">
        <f t="shared" ca="1" si="34"/>
        <v/>
      </c>
      <c r="Z75" s="36" t="str">
        <f ca="1">IF(ISNUMBER($A75),VLOOKUP($A75,Methuselahs!$A$7:$X$206,5),"")</f>
        <v/>
      </c>
      <c r="AA75" s="36" t="str">
        <f t="shared" ca="1" si="35"/>
        <v/>
      </c>
    </row>
    <row r="76" spans="1:27" ht="12.95" customHeight="1" x14ac:dyDescent="0.2">
      <c r="A76" s="255" t="str">
        <f ca="1">IF(OR(ISBLANK('Tournament Info'!$B$11),'Tournament Info'!$B$11&lt;&gt;4),"",INDIRECT(ADDRESS(ROW(),3,1,1,"Optimal Seating "&amp;'Tournament Info'!$B$11-1&amp;"R+F")))</f>
        <v/>
      </c>
      <c r="B76" s="256" t="str">
        <f ca="1">IF(ISNUMBER(A76),VLOOKUP(A76,Methuselahs!$A$7:$E$206,2,0),"")</f>
        <v/>
      </c>
      <c r="C76" s="257" t="str">
        <f ca="1">IF(ISNUMBER(A76),VLOOKUP(A76,Methuselahs!$A$7:$E$206,3,0),"")</f>
        <v/>
      </c>
      <c r="D76" s="258" t="str">
        <f t="shared" ca="1" si="24"/>
        <v/>
      </c>
      <c r="E76" s="259"/>
      <c r="F76" s="398">
        <f t="shared" si="25"/>
        <v>0</v>
      </c>
      <c r="G76" s="244" t="str">
        <f t="shared" ca="1" si="26"/>
        <v/>
      </c>
      <c r="H76" s="245" t="str">
        <f ca="1">IF(ISNUMBER(A76),IF(OR($S76=$U76,NOT(ISNA(MATCH($D76*5+$V$4,Override!$C$6:$C$125,0)))),$Q76,0),"")</f>
        <v/>
      </c>
      <c r="I76" s="147" t="str">
        <f t="shared" ca="1" si="27"/>
        <v/>
      </c>
      <c r="J76" s="260">
        <f ca="1">COUNT(A72:A76)</f>
        <v>0</v>
      </c>
      <c r="K76" s="261" t="str">
        <f ca="1">IF(ISNUMBER(A76),RANK(F76,F72:F76),"")</f>
        <v/>
      </c>
      <c r="L76" s="262">
        <f ca="1">IF(J76=5,VLOOKUP(K76,TPMatrix!$A$6:$B$10,2,0),IF(J76=4,VLOOKUP(K76,TPMatrix!$D$6:$E$9,2,0),0))</f>
        <v>0</v>
      </c>
      <c r="M76" s="262">
        <f ca="1">IF(COUNTIF(K72:K76,K76)&gt;=2,IF(J76=5,VLOOKUP(K76+1,TPMatrix!$A$6:$B$10,2,0),IF(J76=4,VLOOKUP(K76+1,TPMatrix!$D$6:$E$9,2,0),0)),"")</f>
        <v>0</v>
      </c>
      <c r="N76" s="262">
        <f ca="1">IF(COUNTIF(K72:K76,K76)&gt;=3,IF(J76=5,VLOOKUP(K76+2,TPMatrix!$A$6:$B$10,2,0),IF(J76=4,VLOOKUP(K76+2,TPMatrix!$D$6:$E$9,2,0),0)),"")</f>
        <v>0</v>
      </c>
      <c r="O76" s="262">
        <f ca="1">IF(COUNTIF(K72:K76,K76)&gt;=4,IF(J76=5,VLOOKUP(K76+3,TPMatrix!$A$6:$B$10,2,0),IF(J76=4,VLOOKUP(K76+3,TPMatrix!$D$6:$E$9,2,0),0)),"")</f>
        <v>0</v>
      </c>
      <c r="P76" s="262">
        <f ca="1">IF(COUNTIF(K72:K76,K76)&gt;=5,IF(J76=5,VLOOKUP(K76+4,TPMatrix!$A$6:$B$10,2,0),IF(J76=4,VLOOKUP(K76+4,TPMatrix!$D$6:$E$9,2,0),0)),"")</f>
        <v>0</v>
      </c>
      <c r="Q76" s="262">
        <f t="shared" ca="1" si="28"/>
        <v>0</v>
      </c>
      <c r="R76" s="263">
        <f t="shared" ca="1" si="29"/>
        <v>5</v>
      </c>
      <c r="S76" s="261">
        <f t="shared" ca="1" si="30"/>
        <v>0</v>
      </c>
      <c r="T76" s="262">
        <f t="shared" si="31"/>
        <v>0</v>
      </c>
      <c r="U76" s="263">
        <f t="shared" ca="1" si="32"/>
        <v>0</v>
      </c>
      <c r="W76" s="36" t="str">
        <f t="shared" ca="1" si="33"/>
        <v/>
      </c>
      <c r="X76" s="36" t="str">
        <f ca="1">IF(ISNUMBER($A76),$W76*(Methuselahs!$A$4+1)+$A76,"")</f>
        <v/>
      </c>
      <c r="Y76" s="36" t="str">
        <f t="shared" ca="1" si="34"/>
        <v/>
      </c>
      <c r="Z76" s="36" t="str">
        <f ca="1">IF(ISNUMBER($A76),VLOOKUP($A76,Methuselahs!$A$7:$X$206,5),"")</f>
        <v/>
      </c>
      <c r="AA76" s="36" t="str">
        <f t="shared" ca="1" si="35"/>
        <v/>
      </c>
    </row>
    <row r="77" spans="1:27" ht="12.95" customHeight="1" x14ac:dyDescent="0.2">
      <c r="A77" s="219" t="str">
        <f ca="1">IF(OR(ISBLANK('Tournament Info'!$B$11),'Tournament Info'!$B$11&lt;&gt;4),"",INDIRECT(ADDRESS(ROW(),3,1,1,"Optimal Seating "&amp;'Tournament Info'!$B$11-1&amp;"R+F")))</f>
        <v/>
      </c>
      <c r="B77" s="143" t="str">
        <f ca="1">IF(ISNUMBER(A77),VLOOKUP(A77,Methuselahs!$A$7:$E$206,2,0),"")</f>
        <v/>
      </c>
      <c r="C77" s="220" t="str">
        <f ca="1">IF(ISNUMBER(A77),VLOOKUP(A77,Methuselahs!$A$7:$E$206,3,0),"")</f>
        <v/>
      </c>
      <c r="D77" s="221" t="str">
        <f t="shared" ca="1" si="24"/>
        <v/>
      </c>
      <c r="E77" s="222"/>
      <c r="F77" s="393">
        <f t="shared" si="25"/>
        <v>0</v>
      </c>
      <c r="G77" s="223" t="str">
        <f t="shared" ca="1" si="26"/>
        <v/>
      </c>
      <c r="H77" s="224" t="str">
        <f ca="1">IF(ISNUMBER(A77),IF(OR($S77=$U77,NOT(ISNA(MATCH($D77*5+$V$4,Override!$C$6:$C$125,0)))),$Q77,0),"")</f>
        <v/>
      </c>
      <c r="I77" s="406" t="str">
        <f t="shared" ca="1" si="27"/>
        <v/>
      </c>
      <c r="J77" s="225">
        <f ca="1">COUNT(A77:A81)</f>
        <v>0</v>
      </c>
      <c r="K77" s="226" t="str">
        <f ca="1">IF(ISNUMBER(A77),RANK(F77,F77:F81),"")</f>
        <v/>
      </c>
      <c r="L77" s="227">
        <f ca="1">IF(J77=5,VLOOKUP(K77,TPMatrix!$A$6:$B$10,2,0),IF(J77=4,VLOOKUP(K77,TPMatrix!$D$6:$E$9,2,0),0))</f>
        <v>0</v>
      </c>
      <c r="M77" s="227">
        <f ca="1">IF(COUNTIF(K77:K81,K77)&gt;=2,IF(J77=5,VLOOKUP(K77+1,TPMatrix!$A$6:$B$10,2,0),IF(J77=4,VLOOKUP(K77+1,TPMatrix!$D$6:$E$9,2,0),0)),"")</f>
        <v>0</v>
      </c>
      <c r="N77" s="227">
        <f ca="1">IF(COUNTIF(K77:K81,K77)&gt;=3,IF(J77=5,VLOOKUP(K77+2,TPMatrix!$A$6:$B$10,2,0),IF(J77=4,VLOOKUP(K77+2,TPMatrix!$D$6:$E$9,2,0),0)),"")</f>
        <v>0</v>
      </c>
      <c r="O77" s="227">
        <f ca="1">IF(COUNTIF(K77:K81,K77)&gt;=4,IF(J77=5,VLOOKUP(K77+3,TPMatrix!$A$6:$B$10,2,0),IF(J77=4,VLOOKUP(K77+3,TPMatrix!$D$6:$E$9,2,0),0)),"")</f>
        <v>0</v>
      </c>
      <c r="P77" s="227">
        <f ca="1">IF(COUNTIF(K77:K81,K77)&gt;=5,IF(J77=5,VLOOKUP(K77+4,TPMatrix!$A$6:$B$10,2,0),IF(J77=4,VLOOKUP(K77+4,TPMatrix!$D$6:$E$9,2,0),0)),"")</f>
        <v>0</v>
      </c>
      <c r="Q77" s="227">
        <f t="shared" ca="1" si="28"/>
        <v>0</v>
      </c>
      <c r="R77" s="228">
        <f t="shared" ca="1" si="29"/>
        <v>5</v>
      </c>
      <c r="S77" s="229">
        <f t="shared" ca="1" si="30"/>
        <v>0</v>
      </c>
      <c r="T77" s="230">
        <f t="shared" si="31"/>
        <v>0</v>
      </c>
      <c r="U77" s="231">
        <f t="shared" ca="1" si="32"/>
        <v>0</v>
      </c>
      <c r="W77" s="36" t="str">
        <f t="shared" ca="1" si="33"/>
        <v/>
      </c>
      <c r="X77" s="36" t="str">
        <f ca="1">IF(ISNUMBER($A77),$W77*(Methuselahs!$A$4+1)+$A77,"")</f>
        <v/>
      </c>
      <c r="Y77" s="36" t="str">
        <f t="shared" ca="1" si="34"/>
        <v/>
      </c>
      <c r="Z77" s="36" t="str">
        <f ca="1">IF(ISNUMBER($A77),VLOOKUP($A77,Methuselahs!$A$7:$X$206,5),"")</f>
        <v/>
      </c>
      <c r="AA77" s="36" t="str">
        <f t="shared" ca="1" si="35"/>
        <v/>
      </c>
    </row>
    <row r="78" spans="1:27" ht="12.95" customHeight="1" x14ac:dyDescent="0.2">
      <c r="A78" s="111" t="str">
        <f ca="1">IF(OR(ISBLANK('Tournament Info'!$B$11),'Tournament Info'!$B$11&lt;&gt;4),"",INDIRECT(ADDRESS(ROW(),3,1,1,"Optimal Seating "&amp;'Tournament Info'!$B$11-1&amp;"R+F")))</f>
        <v/>
      </c>
      <c r="B78" s="117" t="str">
        <f ca="1">IF(ISNUMBER(A78),VLOOKUP(A78,Methuselahs!$A$7:$E$206,2,0),"")</f>
        <v/>
      </c>
      <c r="C78" s="232" t="str">
        <f ca="1">IF(ISNUMBER(A78),VLOOKUP(A78,Methuselahs!$A$7:$E$206,3,0),"")</f>
        <v/>
      </c>
      <c r="D78" s="233" t="str">
        <f t="shared" ca="1" si="24"/>
        <v/>
      </c>
      <c r="E78" s="234"/>
      <c r="F78" s="118">
        <f t="shared" si="25"/>
        <v>0</v>
      </c>
      <c r="G78" s="235" t="str">
        <f t="shared" ca="1" si="26"/>
        <v/>
      </c>
      <c r="H78" s="236" t="str">
        <f ca="1">IF(ISNUMBER(A78),IF(OR($S78=$U78,NOT(ISNA(MATCH($D78*5+$V$4,Override!$C$6:$C$125,0)))),$Q78,0),"")</f>
        <v/>
      </c>
      <c r="I78" s="121" t="str">
        <f t="shared" ca="1" si="27"/>
        <v/>
      </c>
      <c r="J78" s="237">
        <f ca="1">COUNT(A77:A81)</f>
        <v>0</v>
      </c>
      <c r="K78" s="238" t="str">
        <f ca="1">IF(ISNUMBER(A78),RANK(F78,F77:F81),"")</f>
        <v/>
      </c>
      <c r="L78" s="239">
        <f ca="1">IF(J78=5,VLOOKUP(K78,TPMatrix!$A$6:$B$10,2,0),IF(J78=4,VLOOKUP(K78,TPMatrix!$D$6:$E$9,2,0),0))</f>
        <v>0</v>
      </c>
      <c r="M78" s="239">
        <f ca="1">IF(COUNTIF(K77:K81,K78)&gt;=2,IF(J78=5,VLOOKUP(K78+1,TPMatrix!$A$6:$B$10,2,0),IF(J78=4,VLOOKUP(K78+1,TPMatrix!$D$6:$E$9,2,0),0)),"")</f>
        <v>0</v>
      </c>
      <c r="N78" s="239">
        <f ca="1">IF(COUNTIF(K77:K81,K78)&gt;=3,IF(J78=5,VLOOKUP(K78+2,TPMatrix!$A$6:$B$10,2,0),IF(J78=4,VLOOKUP(K78+2,TPMatrix!$D$6:$E$9,2,0),0)),"")</f>
        <v>0</v>
      </c>
      <c r="O78" s="239">
        <f ca="1">IF(COUNTIF(K77:K81,K78)&gt;=4,IF(J78=5,VLOOKUP(K78+3,TPMatrix!$A$6:$B$10,2,0),IF(J78=4,VLOOKUP(K78+3,TPMatrix!$D$6:$E$9,2,0),0)),"")</f>
        <v>0</v>
      </c>
      <c r="P78" s="239">
        <f ca="1">IF(COUNTIF(K77:K81,K78)&gt;=5,IF(J78=5,VLOOKUP(K78+4,TPMatrix!$A$6:$B$10,2,0),IF(J78=4,VLOOKUP(K78+4,TPMatrix!$D$6:$E$9,2,0),0)),"")</f>
        <v>0</v>
      </c>
      <c r="Q78" s="239">
        <f t="shared" ca="1" si="28"/>
        <v>0</v>
      </c>
      <c r="R78" s="240">
        <f t="shared" ca="1" si="29"/>
        <v>5</v>
      </c>
      <c r="S78" s="238">
        <f t="shared" ca="1" si="30"/>
        <v>0</v>
      </c>
      <c r="T78" s="239">
        <f t="shared" si="31"/>
        <v>0</v>
      </c>
      <c r="U78" s="240">
        <f t="shared" ca="1" si="32"/>
        <v>0</v>
      </c>
      <c r="W78" s="36" t="str">
        <f t="shared" ca="1" si="33"/>
        <v/>
      </c>
      <c r="X78" s="36" t="str">
        <f ca="1">IF(ISNUMBER($A78),$W78*(Methuselahs!$A$4+1)+$A78,"")</f>
        <v/>
      </c>
      <c r="Y78" s="36" t="str">
        <f t="shared" ca="1" si="34"/>
        <v/>
      </c>
      <c r="Z78" s="36" t="str">
        <f ca="1">IF(ISNUMBER($A78),VLOOKUP($A78,Methuselahs!$A$7:$X$206,5),"")</f>
        <v/>
      </c>
      <c r="AA78" s="36" t="str">
        <f t="shared" ca="1" si="35"/>
        <v/>
      </c>
    </row>
    <row r="79" spans="1:27" ht="12.95" customHeight="1" x14ac:dyDescent="0.2">
      <c r="A79" s="137" t="str">
        <f ca="1">IF(OR(ISBLANK('Tournament Info'!$B$11),'Tournament Info'!$B$11&lt;&gt;4),"",INDIRECT(ADDRESS(ROW(),3,1,1,"Optimal Seating "&amp;'Tournament Info'!$B$11-1&amp;"R+F")))</f>
        <v/>
      </c>
      <c r="B79" s="143" t="str">
        <f ca="1">IF(ISNUMBER(A79),VLOOKUP(A79,Methuselahs!$A$7:$E$206,2,0),"")</f>
        <v/>
      </c>
      <c r="C79" s="241" t="str">
        <f ca="1">IF(ISNUMBER(A79),VLOOKUP(A79,Methuselahs!$A$7:$E$206,3,0),"")</f>
        <v/>
      </c>
      <c r="D79" s="242" t="str">
        <f t="shared" ca="1" si="24"/>
        <v/>
      </c>
      <c r="E79" s="243"/>
      <c r="F79" s="144">
        <f t="shared" si="25"/>
        <v>0</v>
      </c>
      <c r="G79" s="244" t="str">
        <f t="shared" ca="1" si="26"/>
        <v/>
      </c>
      <c r="H79" s="245" t="str">
        <f ca="1">IF(ISNUMBER(A79),IF(OR($S79=$U79,NOT(ISNA(MATCH($D79*5+$V$4,Override!$C$6:$C$125,0)))),$Q79,0),"")</f>
        <v/>
      </c>
      <c r="I79" s="147" t="str">
        <f t="shared" ca="1" si="27"/>
        <v/>
      </c>
      <c r="J79" s="246">
        <f ca="1">COUNT(A77:A81)</f>
        <v>0</v>
      </c>
      <c r="K79" s="247" t="str">
        <f ca="1">IF(ISNUMBER(A79),RANK(F79,F77:F81),"")</f>
        <v/>
      </c>
      <c r="L79" s="142">
        <f ca="1">IF(J79=5,VLOOKUP(K79,TPMatrix!$A$6:$B$10,2,0),IF(J79=4,VLOOKUP(K79,TPMatrix!$D$6:$E$9,2,0),0))</f>
        <v>0</v>
      </c>
      <c r="M79" s="142">
        <f ca="1">IF(COUNTIF(K77:K81,K79)&gt;=2,IF(J79=5,VLOOKUP(K79+1,TPMatrix!$A$6:$B$10,2,0),IF(J79=4,VLOOKUP(K79+1,TPMatrix!$D$6:$E$9,2,0),0)),"")</f>
        <v>0</v>
      </c>
      <c r="N79" s="142">
        <f ca="1">IF(COUNTIF(K77:K81,K79)&gt;=3,IF(J79=5,VLOOKUP(K79+2,TPMatrix!$A$6:$B$10,2,0),IF(J79=4,VLOOKUP(K79+2,TPMatrix!$D$6:$E$9,2,0),0)),"")</f>
        <v>0</v>
      </c>
      <c r="O79" s="142">
        <f ca="1">IF(COUNTIF(K77:K81,K79)&gt;=4,IF(J79=5,VLOOKUP(K79+3,TPMatrix!$A$6:$B$10,2,0),IF(J79=4,VLOOKUP(K79+3,TPMatrix!$D$6:$E$9,2,0),0)),"")</f>
        <v>0</v>
      </c>
      <c r="P79" s="142">
        <f ca="1">IF(COUNTIF(K77:K81,K79)&gt;=5,IF(J79=5,VLOOKUP(K79+4,TPMatrix!$A$6:$B$10,2,0),IF(J79=4,VLOOKUP(K79+4,TPMatrix!$D$6:$E$9,2,0),0)),"")</f>
        <v>0</v>
      </c>
      <c r="Q79" s="142">
        <f t="shared" ca="1" si="28"/>
        <v>0</v>
      </c>
      <c r="R79" s="248">
        <f t="shared" ca="1" si="29"/>
        <v>5</v>
      </c>
      <c r="S79" s="247">
        <f t="shared" ca="1" si="30"/>
        <v>0</v>
      </c>
      <c r="T79" s="142">
        <f t="shared" si="31"/>
        <v>0</v>
      </c>
      <c r="U79" s="248">
        <f t="shared" ca="1" si="32"/>
        <v>0</v>
      </c>
      <c r="W79" s="36" t="str">
        <f t="shared" ca="1" si="33"/>
        <v/>
      </c>
      <c r="X79" s="36" t="str">
        <f ca="1">IF(ISNUMBER($A79),$W79*(Methuselahs!$A$4+1)+$A79,"")</f>
        <v/>
      </c>
      <c r="Y79" s="36" t="str">
        <f t="shared" ca="1" si="34"/>
        <v/>
      </c>
      <c r="Z79" s="36" t="str">
        <f ca="1">IF(ISNUMBER($A79),VLOOKUP($A79,Methuselahs!$A$7:$X$206,5),"")</f>
        <v/>
      </c>
      <c r="AA79" s="36" t="str">
        <f t="shared" ca="1" si="35"/>
        <v/>
      </c>
    </row>
    <row r="80" spans="1:27" ht="12.95" customHeight="1" x14ac:dyDescent="0.2">
      <c r="A80" s="249" t="str">
        <f ca="1">IF(OR(ISBLANK('Tournament Info'!$B$11),'Tournament Info'!$B$11&lt;&gt;4),"",INDIRECT(ADDRESS(ROW(),3,1,1,"Optimal Seating "&amp;'Tournament Info'!$B$11-1&amp;"R+F")))</f>
        <v/>
      </c>
      <c r="B80" s="250" t="str">
        <f ca="1">IF(ISNUMBER(A80),VLOOKUP(A80,Methuselahs!$A$7:$E$206,2,0),"")</f>
        <v/>
      </c>
      <c r="C80" s="251" t="str">
        <f ca="1">IF(ISNUMBER(A80),VLOOKUP(A80,Methuselahs!$A$7:$E$206,3,0),"")</f>
        <v/>
      </c>
      <c r="D80" s="252" t="str">
        <f t="shared" ca="1" si="24"/>
        <v/>
      </c>
      <c r="E80" s="253"/>
      <c r="F80" s="397">
        <f t="shared" si="25"/>
        <v>0</v>
      </c>
      <c r="G80" s="235" t="str">
        <f t="shared" ca="1" si="26"/>
        <v/>
      </c>
      <c r="H80" s="236" t="str">
        <f ca="1">IF(ISNUMBER(A80),IF(OR($S80=$U80,NOT(ISNA(MATCH($D80*5+$V$4,Override!$C$6:$C$125,0)))),$Q80,0),"")</f>
        <v/>
      </c>
      <c r="I80" s="121" t="str">
        <f t="shared" ca="1" si="27"/>
        <v/>
      </c>
      <c r="J80" s="254">
        <f ca="1">COUNT(A77:A81)</f>
        <v>0</v>
      </c>
      <c r="K80" s="238" t="str">
        <f ca="1">IF(ISNUMBER(A80),RANK(F80,F77:F81),"")</f>
        <v/>
      </c>
      <c r="L80" s="239">
        <f ca="1">IF(J80=5,VLOOKUP(K80,TPMatrix!$A$6:$B$10,2,0),IF(J80=4,VLOOKUP(K80,TPMatrix!$D$6:$E$9,2,0),0))</f>
        <v>0</v>
      </c>
      <c r="M80" s="239">
        <f ca="1">IF(COUNTIF(K77:K81,K80)&gt;=2,IF(J80=5,VLOOKUP(K80+1,TPMatrix!$A$6:$B$10,2,0),IF(J80=4,VLOOKUP(K80+1,TPMatrix!$D$6:$E$9,2,0),0)),"")</f>
        <v>0</v>
      </c>
      <c r="N80" s="239">
        <f ca="1">IF(COUNTIF(K77:K81,K80)&gt;=3,IF(J80=5,VLOOKUP(K80+2,TPMatrix!$A$6:$B$10,2,0),IF(J80=4,VLOOKUP(K80+2,TPMatrix!$D$6:$E$9,2,0),0)),"")</f>
        <v>0</v>
      </c>
      <c r="O80" s="239">
        <f ca="1">IF(COUNTIF(K77:K81,K80)&gt;=4,IF(J80=5,VLOOKUP(K80+3,TPMatrix!$A$6:$B$10,2,0),IF(J80=4,VLOOKUP(K80+3,TPMatrix!$D$6:$E$9,2,0),0)),"")</f>
        <v>0</v>
      </c>
      <c r="P80" s="239">
        <f ca="1">IF(COUNTIF(K77:K81,K80)&gt;=5,IF(J80=5,VLOOKUP(K80+4,TPMatrix!$A$6:$B$10,2,0),IF(J80=4,VLOOKUP(K80+4,TPMatrix!$D$6:$E$9,2,0),0)),"")</f>
        <v>0</v>
      </c>
      <c r="Q80" s="239">
        <f t="shared" ca="1" si="28"/>
        <v>0</v>
      </c>
      <c r="R80" s="240">
        <f t="shared" ca="1" si="29"/>
        <v>5</v>
      </c>
      <c r="S80" s="238">
        <f t="shared" ca="1" si="30"/>
        <v>0</v>
      </c>
      <c r="T80" s="239">
        <f t="shared" si="31"/>
        <v>0</v>
      </c>
      <c r="U80" s="240">
        <f t="shared" ca="1" si="32"/>
        <v>0</v>
      </c>
      <c r="W80" s="36" t="str">
        <f t="shared" ca="1" si="33"/>
        <v/>
      </c>
      <c r="X80" s="36" t="str">
        <f ca="1">IF(ISNUMBER($A80),$W80*(Methuselahs!$A$4+1)+$A80,"")</f>
        <v/>
      </c>
      <c r="Y80" s="36" t="str">
        <f t="shared" ca="1" si="34"/>
        <v/>
      </c>
      <c r="Z80" s="36" t="str">
        <f ca="1">IF(ISNUMBER($A80),VLOOKUP($A80,Methuselahs!$A$7:$X$206,5),"")</f>
        <v/>
      </c>
      <c r="AA80" s="36" t="str">
        <f t="shared" ca="1" si="35"/>
        <v/>
      </c>
    </row>
    <row r="81" spans="1:27" ht="12.95" customHeight="1" x14ac:dyDescent="0.2">
      <c r="A81" s="255" t="str">
        <f ca="1">IF(OR(ISBLANK('Tournament Info'!$B$11),'Tournament Info'!$B$11&lt;&gt;4),"",INDIRECT(ADDRESS(ROW(),3,1,1,"Optimal Seating "&amp;'Tournament Info'!$B$11-1&amp;"R+F")))</f>
        <v/>
      </c>
      <c r="B81" s="256" t="str">
        <f ca="1">IF(ISNUMBER(A81),VLOOKUP(A81,Methuselahs!$A$7:$E$206,2,0),"")</f>
        <v/>
      </c>
      <c r="C81" s="257" t="str">
        <f ca="1">IF(ISNUMBER(A81),VLOOKUP(A81,Methuselahs!$A$7:$E$206,3,0),"")</f>
        <v/>
      </c>
      <c r="D81" s="258" t="str">
        <f t="shared" ca="1" si="24"/>
        <v/>
      </c>
      <c r="E81" s="259"/>
      <c r="F81" s="398">
        <f t="shared" si="25"/>
        <v>0</v>
      </c>
      <c r="G81" s="244" t="str">
        <f t="shared" ca="1" si="26"/>
        <v/>
      </c>
      <c r="H81" s="245" t="str">
        <f ca="1">IF(ISNUMBER(A81),IF(OR($S81=$U81,NOT(ISNA(MATCH($D81*5+$V$4,Override!$C$6:$C$125,0)))),$Q81,0),"")</f>
        <v/>
      </c>
      <c r="I81" s="147" t="str">
        <f t="shared" ca="1" si="27"/>
        <v/>
      </c>
      <c r="J81" s="260">
        <f ca="1">COUNT(A77:A81)</f>
        <v>0</v>
      </c>
      <c r="K81" s="261" t="str">
        <f ca="1">IF(ISNUMBER(A81),RANK(F81,F77:F81),"")</f>
        <v/>
      </c>
      <c r="L81" s="262">
        <f ca="1">IF(J81=5,VLOOKUP(K81,TPMatrix!$A$6:$B$10,2,0),IF(J81=4,VLOOKUP(K81,TPMatrix!$D$6:$E$9,2,0),0))</f>
        <v>0</v>
      </c>
      <c r="M81" s="262">
        <f ca="1">IF(COUNTIF(K77:K81,K81)&gt;=2,IF(J81=5,VLOOKUP(K81+1,TPMatrix!$A$6:$B$10,2,0),IF(J81=4,VLOOKUP(K81+1,TPMatrix!$D$6:$E$9,2,0),0)),"")</f>
        <v>0</v>
      </c>
      <c r="N81" s="262">
        <f ca="1">IF(COUNTIF(K77:K81,K81)&gt;=3,IF(J81=5,VLOOKUP(K81+2,TPMatrix!$A$6:$B$10,2,0),IF(J81=4,VLOOKUP(K81+2,TPMatrix!$D$6:$E$9,2,0),0)),"")</f>
        <v>0</v>
      </c>
      <c r="O81" s="262">
        <f ca="1">IF(COUNTIF(K77:K81,K81)&gt;=4,IF(J81=5,VLOOKUP(K81+3,TPMatrix!$A$6:$B$10,2,0),IF(J81=4,VLOOKUP(K81+3,TPMatrix!$D$6:$E$9,2,0),0)),"")</f>
        <v>0</v>
      </c>
      <c r="P81" s="262">
        <f ca="1">IF(COUNTIF(K77:K81,K81)&gt;=5,IF(J81=5,VLOOKUP(K81+4,TPMatrix!$A$6:$B$10,2,0),IF(J81=4,VLOOKUP(K81+4,TPMatrix!$D$6:$E$9,2,0),0)),"")</f>
        <v>0</v>
      </c>
      <c r="Q81" s="262">
        <f t="shared" ca="1" si="28"/>
        <v>0</v>
      </c>
      <c r="R81" s="263">
        <f t="shared" ca="1" si="29"/>
        <v>5</v>
      </c>
      <c r="S81" s="261">
        <f t="shared" ca="1" si="30"/>
        <v>0</v>
      </c>
      <c r="T81" s="262">
        <f t="shared" si="31"/>
        <v>0</v>
      </c>
      <c r="U81" s="263">
        <f t="shared" ca="1" si="32"/>
        <v>0</v>
      </c>
      <c r="W81" s="36" t="str">
        <f t="shared" ca="1" si="33"/>
        <v/>
      </c>
      <c r="X81" s="36" t="str">
        <f ca="1">IF(ISNUMBER($A81),$W81*(Methuselahs!$A$4+1)+$A81,"")</f>
        <v/>
      </c>
      <c r="Y81" s="36" t="str">
        <f t="shared" ca="1" si="34"/>
        <v/>
      </c>
      <c r="Z81" s="36" t="str">
        <f ca="1">IF(ISNUMBER($A81),VLOOKUP($A81,Methuselahs!$A$7:$X$206,5),"")</f>
        <v/>
      </c>
      <c r="AA81" s="36" t="str">
        <f t="shared" ca="1" si="35"/>
        <v/>
      </c>
    </row>
    <row r="82" spans="1:27" ht="12.95" customHeight="1" x14ac:dyDescent="0.2">
      <c r="A82" s="219" t="str">
        <f ca="1">IF(OR(ISBLANK('Tournament Info'!$B$11),'Tournament Info'!$B$11&lt;&gt;4),"",INDIRECT(ADDRESS(ROW(),3,1,1,"Optimal Seating "&amp;'Tournament Info'!$B$11-1&amp;"R+F")))</f>
        <v/>
      </c>
      <c r="B82" s="143" t="str">
        <f ca="1">IF(ISNUMBER(A82),VLOOKUP(A82,Methuselahs!$A$7:$E$206,2,0),"")</f>
        <v/>
      </c>
      <c r="C82" s="220" t="str">
        <f ca="1">IF(ISNUMBER(A82),VLOOKUP(A82,Methuselahs!$A$7:$E$206,3,0),"")</f>
        <v/>
      </c>
      <c r="D82" s="221" t="str">
        <f t="shared" ca="1" si="24"/>
        <v/>
      </c>
      <c r="E82" s="222"/>
      <c r="F82" s="393">
        <f t="shared" si="25"/>
        <v>0</v>
      </c>
      <c r="G82" s="223" t="str">
        <f t="shared" ca="1" si="26"/>
        <v/>
      </c>
      <c r="H82" s="224" t="str">
        <f ca="1">IF(ISNUMBER(A82),IF(OR($S82=$U82,NOT(ISNA(MATCH($D82*5+$V$4,Override!$C$6:$C$125,0)))),$Q82,0),"")</f>
        <v/>
      </c>
      <c r="I82" s="406" t="str">
        <f t="shared" ca="1" si="27"/>
        <v/>
      </c>
      <c r="J82" s="225">
        <f ca="1">COUNT(A82:A86)</f>
        <v>0</v>
      </c>
      <c r="K82" s="226" t="str">
        <f ca="1">IF(ISNUMBER(A82),RANK(F82,F82:F86),"")</f>
        <v/>
      </c>
      <c r="L82" s="227">
        <f ca="1">IF(J82=5,VLOOKUP(K82,TPMatrix!$A$6:$B$10,2,0),IF(J82=4,VLOOKUP(K82,TPMatrix!$D$6:$E$9,2,0),0))</f>
        <v>0</v>
      </c>
      <c r="M82" s="227">
        <f ca="1">IF(COUNTIF(K82:K86,K82)&gt;=2,IF(J82=5,VLOOKUP(K82+1,TPMatrix!$A$6:$B$10,2,0),IF(J82=4,VLOOKUP(K82+1,TPMatrix!$D$6:$E$9,2,0),0)),"")</f>
        <v>0</v>
      </c>
      <c r="N82" s="227">
        <f ca="1">IF(COUNTIF(K82:K86,K82)&gt;=3,IF(J82=5,VLOOKUP(K82+2,TPMatrix!$A$6:$B$10,2,0),IF(J82=4,VLOOKUP(K82+2,TPMatrix!$D$6:$E$9,2,0),0)),"")</f>
        <v>0</v>
      </c>
      <c r="O82" s="227">
        <f ca="1">IF(COUNTIF(K82:K86,K82)&gt;=4,IF(J82=5,VLOOKUP(K82+3,TPMatrix!$A$6:$B$10,2,0),IF(J82=4,VLOOKUP(K82+3,TPMatrix!$D$6:$E$9,2,0),0)),"")</f>
        <v>0</v>
      </c>
      <c r="P82" s="227">
        <f ca="1">IF(COUNTIF(K82:K86,K82)&gt;=5,IF(J82=5,VLOOKUP(K82+4,TPMatrix!$A$6:$B$10,2,0),IF(J82=4,VLOOKUP(K82+4,TPMatrix!$D$6:$E$9,2,0),0)),"")</f>
        <v>0</v>
      </c>
      <c r="Q82" s="227">
        <f t="shared" ca="1" si="28"/>
        <v>0</v>
      </c>
      <c r="R82" s="228">
        <f t="shared" ca="1" si="29"/>
        <v>5</v>
      </c>
      <c r="S82" s="229">
        <f t="shared" ca="1" si="30"/>
        <v>0</v>
      </c>
      <c r="T82" s="230">
        <f t="shared" si="31"/>
        <v>0</v>
      </c>
      <c r="U82" s="231">
        <f t="shared" ca="1" si="32"/>
        <v>0</v>
      </c>
      <c r="W82" s="36" t="str">
        <f t="shared" ca="1" si="33"/>
        <v/>
      </c>
      <c r="X82" s="36" t="str">
        <f ca="1">IF(ISNUMBER($A82),$W82*(Methuselahs!$A$4+1)+$A82,"")</f>
        <v/>
      </c>
      <c r="Y82" s="36" t="str">
        <f t="shared" ca="1" si="34"/>
        <v/>
      </c>
      <c r="Z82" s="36" t="str">
        <f ca="1">IF(ISNUMBER($A82),VLOOKUP($A82,Methuselahs!$A$7:$X$206,5),"")</f>
        <v/>
      </c>
      <c r="AA82" s="36" t="str">
        <f t="shared" ca="1" si="35"/>
        <v/>
      </c>
    </row>
    <row r="83" spans="1:27" ht="12.95" customHeight="1" x14ac:dyDescent="0.2">
      <c r="A83" s="111" t="str">
        <f ca="1">IF(OR(ISBLANK('Tournament Info'!$B$11),'Tournament Info'!$B$11&lt;&gt;4),"",INDIRECT(ADDRESS(ROW(),3,1,1,"Optimal Seating "&amp;'Tournament Info'!$B$11-1&amp;"R+F")))</f>
        <v/>
      </c>
      <c r="B83" s="117" t="str">
        <f ca="1">IF(ISNUMBER(A83),VLOOKUP(A83,Methuselahs!$A$7:$E$206,2,0),"")</f>
        <v/>
      </c>
      <c r="C83" s="232" t="str">
        <f ca="1">IF(ISNUMBER(A83),VLOOKUP(A83,Methuselahs!$A$7:$E$206,3,0),"")</f>
        <v/>
      </c>
      <c r="D83" s="233" t="str">
        <f t="shared" ca="1" si="24"/>
        <v/>
      </c>
      <c r="E83" s="234"/>
      <c r="F83" s="118">
        <f t="shared" si="25"/>
        <v>0</v>
      </c>
      <c r="G83" s="235" t="str">
        <f t="shared" ca="1" si="26"/>
        <v/>
      </c>
      <c r="H83" s="236" t="str">
        <f ca="1">IF(ISNUMBER(A83),IF(OR($S83=$U83,NOT(ISNA(MATCH($D83*5+$V$4,Override!$C$6:$C$125,0)))),$Q83,0),"")</f>
        <v/>
      </c>
      <c r="I83" s="121" t="str">
        <f t="shared" ca="1" si="27"/>
        <v/>
      </c>
      <c r="J83" s="237">
        <f ca="1">COUNT(A82:A86)</f>
        <v>0</v>
      </c>
      <c r="K83" s="238" t="str">
        <f ca="1">IF(ISNUMBER(A83),RANK(F83,F82:F86),"")</f>
        <v/>
      </c>
      <c r="L83" s="239">
        <f ca="1">IF(J83=5,VLOOKUP(K83,TPMatrix!$A$6:$B$10,2,0),IF(J83=4,VLOOKUP(K83,TPMatrix!$D$6:$E$9,2,0),0))</f>
        <v>0</v>
      </c>
      <c r="M83" s="239">
        <f ca="1">IF(COUNTIF(K82:K86,K83)&gt;=2,IF(J83=5,VLOOKUP(K83+1,TPMatrix!$A$6:$B$10,2,0),IF(J83=4,VLOOKUP(K83+1,TPMatrix!$D$6:$E$9,2,0),0)),"")</f>
        <v>0</v>
      </c>
      <c r="N83" s="239">
        <f ca="1">IF(COUNTIF(K82:K86,K83)&gt;=3,IF(J83=5,VLOOKUP(K83+2,TPMatrix!$A$6:$B$10,2,0),IF(J83=4,VLOOKUP(K83+2,TPMatrix!$D$6:$E$9,2,0),0)),"")</f>
        <v>0</v>
      </c>
      <c r="O83" s="239">
        <f ca="1">IF(COUNTIF(K82:K86,K83)&gt;=4,IF(J83=5,VLOOKUP(K83+3,TPMatrix!$A$6:$B$10,2,0),IF(J83=4,VLOOKUP(K83+3,TPMatrix!$D$6:$E$9,2,0),0)),"")</f>
        <v>0</v>
      </c>
      <c r="P83" s="239">
        <f ca="1">IF(COUNTIF(K82:K86,K83)&gt;=5,IF(J83=5,VLOOKUP(K83+4,TPMatrix!$A$6:$B$10,2,0),IF(J83=4,VLOOKUP(K83+4,TPMatrix!$D$6:$E$9,2,0),0)),"")</f>
        <v>0</v>
      </c>
      <c r="Q83" s="239">
        <f t="shared" ca="1" si="28"/>
        <v>0</v>
      </c>
      <c r="R83" s="240">
        <f t="shared" ca="1" si="29"/>
        <v>5</v>
      </c>
      <c r="S83" s="238">
        <f t="shared" ca="1" si="30"/>
        <v>0</v>
      </c>
      <c r="T83" s="239">
        <f t="shared" si="31"/>
        <v>0</v>
      </c>
      <c r="U83" s="240">
        <f t="shared" ca="1" si="32"/>
        <v>0</v>
      </c>
      <c r="W83" s="36" t="str">
        <f t="shared" ca="1" si="33"/>
        <v/>
      </c>
      <c r="X83" s="36" t="str">
        <f ca="1">IF(ISNUMBER($A83),$W83*(Methuselahs!$A$4+1)+$A83,"")</f>
        <v/>
      </c>
      <c r="Y83" s="36" t="str">
        <f t="shared" ca="1" si="34"/>
        <v/>
      </c>
      <c r="Z83" s="36" t="str">
        <f ca="1">IF(ISNUMBER($A83),VLOOKUP($A83,Methuselahs!$A$7:$X$206,5),"")</f>
        <v/>
      </c>
      <c r="AA83" s="36" t="str">
        <f t="shared" ca="1" si="35"/>
        <v/>
      </c>
    </row>
    <row r="84" spans="1:27" ht="12.95" customHeight="1" x14ac:dyDescent="0.2">
      <c r="A84" s="137" t="str">
        <f ca="1">IF(OR(ISBLANK('Tournament Info'!$B$11),'Tournament Info'!$B$11&lt;&gt;4),"",INDIRECT(ADDRESS(ROW(),3,1,1,"Optimal Seating "&amp;'Tournament Info'!$B$11-1&amp;"R+F")))</f>
        <v/>
      </c>
      <c r="B84" s="143" t="str">
        <f ca="1">IF(ISNUMBER(A84),VLOOKUP(A84,Methuselahs!$A$7:$E$206,2,0),"")</f>
        <v/>
      </c>
      <c r="C84" s="241" t="str">
        <f ca="1">IF(ISNUMBER(A84),VLOOKUP(A84,Methuselahs!$A$7:$E$206,3,0),"")</f>
        <v/>
      </c>
      <c r="D84" s="242" t="str">
        <f t="shared" ca="1" si="24"/>
        <v/>
      </c>
      <c r="E84" s="243"/>
      <c r="F84" s="144">
        <f t="shared" si="25"/>
        <v>0</v>
      </c>
      <c r="G84" s="244" t="str">
        <f t="shared" ca="1" si="26"/>
        <v/>
      </c>
      <c r="H84" s="245" t="str">
        <f ca="1">IF(ISNUMBER(A84),IF(OR($S84=$U84,NOT(ISNA(MATCH($D84*5+$V$4,Override!$C$6:$C$125,0)))),$Q84,0),"")</f>
        <v/>
      </c>
      <c r="I84" s="147" t="str">
        <f t="shared" ca="1" si="27"/>
        <v/>
      </c>
      <c r="J84" s="246">
        <f ca="1">COUNT(A82:A86)</f>
        <v>0</v>
      </c>
      <c r="K84" s="247" t="str">
        <f ca="1">IF(ISNUMBER(A84),RANK(F84,F82:F86),"")</f>
        <v/>
      </c>
      <c r="L84" s="142">
        <f ca="1">IF(J84=5,VLOOKUP(K84,TPMatrix!$A$6:$B$10,2,0),IF(J84=4,VLOOKUP(K84,TPMatrix!$D$6:$E$9,2,0),0))</f>
        <v>0</v>
      </c>
      <c r="M84" s="142">
        <f ca="1">IF(COUNTIF(K82:K86,K84)&gt;=2,IF(J84=5,VLOOKUP(K84+1,TPMatrix!$A$6:$B$10,2,0),IF(J84=4,VLOOKUP(K84+1,TPMatrix!$D$6:$E$9,2,0),0)),"")</f>
        <v>0</v>
      </c>
      <c r="N84" s="142">
        <f ca="1">IF(COUNTIF(K82:K86,K84)&gt;=3,IF(J84=5,VLOOKUP(K84+2,TPMatrix!$A$6:$B$10,2,0),IF(J84=4,VLOOKUP(K84+2,TPMatrix!$D$6:$E$9,2,0),0)),"")</f>
        <v>0</v>
      </c>
      <c r="O84" s="142">
        <f ca="1">IF(COUNTIF(K82:K86,K84)&gt;=4,IF(J84=5,VLOOKUP(K84+3,TPMatrix!$A$6:$B$10,2,0),IF(J84=4,VLOOKUP(K84+3,TPMatrix!$D$6:$E$9,2,0),0)),"")</f>
        <v>0</v>
      </c>
      <c r="P84" s="142">
        <f ca="1">IF(COUNTIF(K82:K86,K84)&gt;=5,IF(J84=5,VLOOKUP(K84+4,TPMatrix!$A$6:$B$10,2,0),IF(J84=4,VLOOKUP(K84+4,TPMatrix!$D$6:$E$9,2,0),0)),"")</f>
        <v>0</v>
      </c>
      <c r="Q84" s="142">
        <f t="shared" ca="1" si="28"/>
        <v>0</v>
      </c>
      <c r="R84" s="248">
        <f t="shared" ca="1" si="29"/>
        <v>5</v>
      </c>
      <c r="S84" s="247">
        <f t="shared" ca="1" si="30"/>
        <v>0</v>
      </c>
      <c r="T84" s="142">
        <f t="shared" si="31"/>
        <v>0</v>
      </c>
      <c r="U84" s="248">
        <f t="shared" ca="1" si="32"/>
        <v>0</v>
      </c>
      <c r="W84" s="36" t="str">
        <f t="shared" ca="1" si="33"/>
        <v/>
      </c>
      <c r="X84" s="36" t="str">
        <f ca="1">IF(ISNUMBER($A84),$W84*(Methuselahs!$A$4+1)+$A84,"")</f>
        <v/>
      </c>
      <c r="Y84" s="36" t="str">
        <f t="shared" ca="1" si="34"/>
        <v/>
      </c>
      <c r="Z84" s="36" t="str">
        <f ca="1">IF(ISNUMBER($A84),VLOOKUP($A84,Methuselahs!$A$7:$X$206,5),"")</f>
        <v/>
      </c>
      <c r="AA84" s="36" t="str">
        <f t="shared" ca="1" si="35"/>
        <v/>
      </c>
    </row>
    <row r="85" spans="1:27" ht="12.95" customHeight="1" x14ac:dyDescent="0.2">
      <c r="A85" s="249" t="str">
        <f ca="1">IF(OR(ISBLANK('Tournament Info'!$B$11),'Tournament Info'!$B$11&lt;&gt;4),"",INDIRECT(ADDRESS(ROW(),3,1,1,"Optimal Seating "&amp;'Tournament Info'!$B$11-1&amp;"R+F")))</f>
        <v/>
      </c>
      <c r="B85" s="250" t="str">
        <f ca="1">IF(ISNUMBER(A85),VLOOKUP(A85,Methuselahs!$A$7:$E$206,2,0),"")</f>
        <v/>
      </c>
      <c r="C85" s="251" t="str">
        <f ca="1">IF(ISNUMBER(A85),VLOOKUP(A85,Methuselahs!$A$7:$E$206,3,0),"")</f>
        <v/>
      </c>
      <c r="D85" s="252" t="str">
        <f t="shared" ca="1" si="24"/>
        <v/>
      </c>
      <c r="E85" s="253"/>
      <c r="F85" s="397">
        <f t="shared" si="25"/>
        <v>0</v>
      </c>
      <c r="G85" s="235" t="str">
        <f t="shared" ca="1" si="26"/>
        <v/>
      </c>
      <c r="H85" s="236" t="str">
        <f ca="1">IF(ISNUMBER(A85),IF(OR($S85=$U85,NOT(ISNA(MATCH($D85*5+$V$4,Override!$C$6:$C$125,0)))),$Q85,0),"")</f>
        <v/>
      </c>
      <c r="I85" s="121" t="str">
        <f t="shared" ca="1" si="27"/>
        <v/>
      </c>
      <c r="J85" s="254">
        <f ca="1">COUNT(A82:A86)</f>
        <v>0</v>
      </c>
      <c r="K85" s="238" t="str">
        <f ca="1">IF(ISNUMBER(A85),RANK(F85,F82:F86),"")</f>
        <v/>
      </c>
      <c r="L85" s="239">
        <f ca="1">IF(J85=5,VLOOKUP(K85,TPMatrix!$A$6:$B$10,2,0),IF(J85=4,VLOOKUP(K85,TPMatrix!$D$6:$E$9,2,0),0))</f>
        <v>0</v>
      </c>
      <c r="M85" s="239">
        <f ca="1">IF(COUNTIF(K82:K86,K85)&gt;=2,IF(J85=5,VLOOKUP(K85+1,TPMatrix!$A$6:$B$10,2,0),IF(J85=4,VLOOKUP(K85+1,TPMatrix!$D$6:$E$9,2,0),0)),"")</f>
        <v>0</v>
      </c>
      <c r="N85" s="239">
        <f ca="1">IF(COUNTIF(K82:K86,K85)&gt;=3,IF(J85=5,VLOOKUP(K85+2,TPMatrix!$A$6:$B$10,2,0),IF(J85=4,VLOOKUP(K85+2,TPMatrix!$D$6:$E$9,2,0),0)),"")</f>
        <v>0</v>
      </c>
      <c r="O85" s="239">
        <f ca="1">IF(COUNTIF(K82:K86,K85)&gt;=4,IF(J85=5,VLOOKUP(K85+3,TPMatrix!$A$6:$B$10,2,0),IF(J85=4,VLOOKUP(K85+3,TPMatrix!$D$6:$E$9,2,0),0)),"")</f>
        <v>0</v>
      </c>
      <c r="P85" s="239">
        <f ca="1">IF(COUNTIF(K82:K86,K85)&gt;=5,IF(J85=5,VLOOKUP(K85+4,TPMatrix!$A$6:$B$10,2,0),IF(J85=4,VLOOKUP(K85+4,TPMatrix!$D$6:$E$9,2,0),0)),"")</f>
        <v>0</v>
      </c>
      <c r="Q85" s="239">
        <f t="shared" ca="1" si="28"/>
        <v>0</v>
      </c>
      <c r="R85" s="240">
        <f t="shared" ca="1" si="29"/>
        <v>5</v>
      </c>
      <c r="S85" s="238">
        <f t="shared" ca="1" si="30"/>
        <v>0</v>
      </c>
      <c r="T85" s="239">
        <f t="shared" si="31"/>
        <v>0</v>
      </c>
      <c r="U85" s="240">
        <f t="shared" ca="1" si="32"/>
        <v>0</v>
      </c>
      <c r="W85" s="36" t="str">
        <f t="shared" ca="1" si="33"/>
        <v/>
      </c>
      <c r="X85" s="36" t="str">
        <f ca="1">IF(ISNUMBER($A85),$W85*(Methuselahs!$A$4+1)+$A85,"")</f>
        <v/>
      </c>
      <c r="Y85" s="36" t="str">
        <f t="shared" ca="1" si="34"/>
        <v/>
      </c>
      <c r="Z85" s="36" t="str">
        <f ca="1">IF(ISNUMBER($A85),VLOOKUP($A85,Methuselahs!$A$7:$X$206,5),"")</f>
        <v/>
      </c>
      <c r="AA85" s="36" t="str">
        <f t="shared" ca="1" si="35"/>
        <v/>
      </c>
    </row>
    <row r="86" spans="1:27" ht="12.95" customHeight="1" x14ac:dyDescent="0.2">
      <c r="A86" s="255" t="str">
        <f ca="1">IF(OR(ISBLANK('Tournament Info'!$B$11),'Tournament Info'!$B$11&lt;&gt;4),"",INDIRECT(ADDRESS(ROW(),3,1,1,"Optimal Seating "&amp;'Tournament Info'!$B$11-1&amp;"R+F")))</f>
        <v/>
      </c>
      <c r="B86" s="256" t="str">
        <f ca="1">IF(ISNUMBER(A86),VLOOKUP(A86,Methuselahs!$A$7:$E$206,2,0),"")</f>
        <v/>
      </c>
      <c r="C86" s="257" t="str">
        <f ca="1">IF(ISNUMBER(A86),VLOOKUP(A86,Methuselahs!$A$7:$E$206,3,0),"")</f>
        <v/>
      </c>
      <c r="D86" s="258" t="str">
        <f t="shared" ca="1" si="24"/>
        <v/>
      </c>
      <c r="E86" s="259"/>
      <c r="F86" s="398">
        <f t="shared" si="25"/>
        <v>0</v>
      </c>
      <c r="G86" s="244" t="str">
        <f t="shared" ca="1" si="26"/>
        <v/>
      </c>
      <c r="H86" s="245" t="str">
        <f ca="1">IF(ISNUMBER(A86),IF(OR($S86=$U86,NOT(ISNA(MATCH($D86*5+$V$4,Override!$C$6:$C$125,0)))),$Q86,0),"")</f>
        <v/>
      </c>
      <c r="I86" s="147" t="str">
        <f t="shared" ca="1" si="27"/>
        <v/>
      </c>
      <c r="J86" s="260">
        <f ca="1">COUNT(A82:A86)</f>
        <v>0</v>
      </c>
      <c r="K86" s="261" t="str">
        <f ca="1">IF(ISNUMBER(A86),RANK(F86,F82:F86),"")</f>
        <v/>
      </c>
      <c r="L86" s="262">
        <f ca="1">IF(J86=5,VLOOKUP(K86,TPMatrix!$A$6:$B$10,2,0),IF(J86=4,VLOOKUP(K86,TPMatrix!$D$6:$E$9,2,0),0))</f>
        <v>0</v>
      </c>
      <c r="M86" s="262">
        <f ca="1">IF(COUNTIF(K82:K86,K86)&gt;=2,IF(J86=5,VLOOKUP(K86+1,TPMatrix!$A$6:$B$10,2,0),IF(J86=4,VLOOKUP(K86+1,TPMatrix!$D$6:$E$9,2,0),0)),"")</f>
        <v>0</v>
      </c>
      <c r="N86" s="262">
        <f ca="1">IF(COUNTIF(K82:K86,K86)&gt;=3,IF(J86=5,VLOOKUP(K86+2,TPMatrix!$A$6:$B$10,2,0),IF(J86=4,VLOOKUP(K86+2,TPMatrix!$D$6:$E$9,2,0),0)),"")</f>
        <v>0</v>
      </c>
      <c r="O86" s="262">
        <f ca="1">IF(COUNTIF(K82:K86,K86)&gt;=4,IF(J86=5,VLOOKUP(K86+3,TPMatrix!$A$6:$B$10,2,0),IF(J86=4,VLOOKUP(K86+3,TPMatrix!$D$6:$E$9,2,0),0)),"")</f>
        <v>0</v>
      </c>
      <c r="P86" s="262">
        <f ca="1">IF(COUNTIF(K82:K86,K86)&gt;=5,IF(J86=5,VLOOKUP(K86+4,TPMatrix!$A$6:$B$10,2,0),IF(J86=4,VLOOKUP(K86+4,TPMatrix!$D$6:$E$9,2,0),0)),"")</f>
        <v>0</v>
      </c>
      <c r="Q86" s="262">
        <f t="shared" ca="1" si="28"/>
        <v>0</v>
      </c>
      <c r="R86" s="263">
        <f t="shared" ca="1" si="29"/>
        <v>5</v>
      </c>
      <c r="S86" s="261">
        <f t="shared" ca="1" si="30"/>
        <v>0</v>
      </c>
      <c r="T86" s="262">
        <f t="shared" si="31"/>
        <v>0</v>
      </c>
      <c r="U86" s="263">
        <f t="shared" ca="1" si="32"/>
        <v>0</v>
      </c>
      <c r="W86" s="36" t="str">
        <f t="shared" ca="1" si="33"/>
        <v/>
      </c>
      <c r="X86" s="36" t="str">
        <f ca="1">IF(ISNUMBER($A86),$W86*(Methuselahs!$A$4+1)+$A86,"")</f>
        <v/>
      </c>
      <c r="Y86" s="36" t="str">
        <f t="shared" ca="1" si="34"/>
        <v/>
      </c>
      <c r="Z86" s="36" t="str">
        <f ca="1">IF(ISNUMBER($A86),VLOOKUP($A86,Methuselahs!$A$7:$X$206,5),"")</f>
        <v/>
      </c>
      <c r="AA86" s="36" t="str">
        <f t="shared" ca="1" si="35"/>
        <v/>
      </c>
    </row>
    <row r="87" spans="1:27" ht="12.95" customHeight="1" x14ac:dyDescent="0.2">
      <c r="A87" s="219" t="str">
        <f ca="1">IF(OR(ISBLANK('Tournament Info'!$B$11),'Tournament Info'!$B$11&lt;&gt;4),"",INDIRECT(ADDRESS(ROW(),3,1,1,"Optimal Seating "&amp;'Tournament Info'!$B$11-1&amp;"R+F")))</f>
        <v/>
      </c>
      <c r="B87" s="143" t="str">
        <f ca="1">IF(ISNUMBER(A87),VLOOKUP(A87,Methuselahs!$A$7:$E$206,2,0),"")</f>
        <v/>
      </c>
      <c r="C87" s="220" t="str">
        <f ca="1">IF(ISNUMBER(A87),VLOOKUP(A87,Methuselahs!$A$7:$E$206,3,0),"")</f>
        <v/>
      </c>
      <c r="D87" s="221" t="str">
        <f t="shared" ca="1" si="24"/>
        <v/>
      </c>
      <c r="E87" s="222"/>
      <c r="F87" s="393">
        <f t="shared" si="25"/>
        <v>0</v>
      </c>
      <c r="G87" s="223" t="str">
        <f t="shared" ca="1" si="26"/>
        <v/>
      </c>
      <c r="H87" s="224" t="str">
        <f ca="1">IF(ISNUMBER(A87),IF(OR($S87=$U87,NOT(ISNA(MATCH($D87*5+$V$4,Override!$C$6:$C$125,0)))),$Q87,0),"")</f>
        <v/>
      </c>
      <c r="I87" s="406" t="str">
        <f t="shared" ca="1" si="27"/>
        <v/>
      </c>
      <c r="J87" s="225">
        <f ca="1">COUNT(A87:A91)</f>
        <v>0</v>
      </c>
      <c r="K87" s="226" t="str">
        <f ca="1">IF(ISNUMBER(A87),RANK(F87,F87:F91),"")</f>
        <v/>
      </c>
      <c r="L87" s="227">
        <f ca="1">IF(J87=5,VLOOKUP(K87,TPMatrix!$A$6:$B$10,2,0),IF(J87=4,VLOOKUP(K87,TPMatrix!$D$6:$E$9,2,0),0))</f>
        <v>0</v>
      </c>
      <c r="M87" s="227">
        <f ca="1">IF(COUNTIF(K87:K91,K87)&gt;=2,IF(J87=5,VLOOKUP(K87+1,TPMatrix!$A$6:$B$10,2,0),IF(J87=4,VLOOKUP(K87+1,TPMatrix!$D$6:$E$9,2,0),0)),"")</f>
        <v>0</v>
      </c>
      <c r="N87" s="227">
        <f ca="1">IF(COUNTIF(K87:K91,K87)&gt;=3,IF(J87=5,VLOOKUP(K87+2,TPMatrix!$A$6:$B$10,2,0),IF(J87=4,VLOOKUP(K87+2,TPMatrix!$D$6:$E$9,2,0),0)),"")</f>
        <v>0</v>
      </c>
      <c r="O87" s="227">
        <f ca="1">IF(COUNTIF(K87:K91,K87)&gt;=4,IF(J87=5,VLOOKUP(K87+3,TPMatrix!$A$6:$B$10,2,0),IF(J87=4,VLOOKUP(K87+3,TPMatrix!$D$6:$E$9,2,0),0)),"")</f>
        <v>0</v>
      </c>
      <c r="P87" s="227">
        <f ca="1">IF(COUNTIF(K87:K91,K87)&gt;=5,IF(J87=5,VLOOKUP(K87+4,TPMatrix!$A$6:$B$10,2,0),IF(J87=4,VLOOKUP(K87+4,TPMatrix!$D$6:$E$9,2,0),0)),"")</f>
        <v>0</v>
      </c>
      <c r="Q87" s="227">
        <f t="shared" ca="1" si="28"/>
        <v>0</v>
      </c>
      <c r="R87" s="228">
        <f t="shared" ca="1" si="29"/>
        <v>5</v>
      </c>
      <c r="S87" s="229">
        <f t="shared" ca="1" si="30"/>
        <v>0</v>
      </c>
      <c r="T87" s="230">
        <f t="shared" si="31"/>
        <v>0</v>
      </c>
      <c r="U87" s="231">
        <f t="shared" ca="1" si="32"/>
        <v>0</v>
      </c>
      <c r="W87" s="36" t="str">
        <f t="shared" ca="1" si="33"/>
        <v/>
      </c>
      <c r="X87" s="36" t="str">
        <f ca="1">IF(ISNUMBER($A87),$W87*(Methuselahs!$A$4+1)+$A87,"")</f>
        <v/>
      </c>
      <c r="Y87" s="36" t="str">
        <f t="shared" ca="1" si="34"/>
        <v/>
      </c>
      <c r="Z87" s="36" t="str">
        <f ca="1">IF(ISNUMBER($A87),VLOOKUP($A87,Methuselahs!$A$7:$X$206,5),"")</f>
        <v/>
      </c>
      <c r="AA87" s="36" t="str">
        <f t="shared" ca="1" si="35"/>
        <v/>
      </c>
    </row>
    <row r="88" spans="1:27" ht="12.95" customHeight="1" x14ac:dyDescent="0.2">
      <c r="A88" s="111" t="str">
        <f ca="1">IF(OR(ISBLANK('Tournament Info'!$B$11),'Tournament Info'!$B$11&lt;&gt;4),"",INDIRECT(ADDRESS(ROW(),3,1,1,"Optimal Seating "&amp;'Tournament Info'!$B$11-1&amp;"R+F")))</f>
        <v/>
      </c>
      <c r="B88" s="117" t="str">
        <f ca="1">IF(ISNUMBER(A88),VLOOKUP(A88,Methuselahs!$A$7:$E$206,2,0),"")</f>
        <v/>
      </c>
      <c r="C88" s="232" t="str">
        <f ca="1">IF(ISNUMBER(A88),VLOOKUP(A88,Methuselahs!$A$7:$E$206,3,0),"")</f>
        <v/>
      </c>
      <c r="D88" s="233" t="str">
        <f t="shared" ca="1" si="24"/>
        <v/>
      </c>
      <c r="E88" s="234"/>
      <c r="F88" s="118">
        <f t="shared" si="25"/>
        <v>0</v>
      </c>
      <c r="G88" s="235" t="str">
        <f t="shared" ca="1" si="26"/>
        <v/>
      </c>
      <c r="H88" s="236" t="str">
        <f ca="1">IF(ISNUMBER(A88),IF(OR($S88=$U88,NOT(ISNA(MATCH($D88*5+$V$4,Override!$C$6:$C$125,0)))),$Q88,0),"")</f>
        <v/>
      </c>
      <c r="I88" s="121" t="str">
        <f t="shared" ca="1" si="27"/>
        <v/>
      </c>
      <c r="J88" s="237">
        <f ca="1">COUNT(A87:A91)</f>
        <v>0</v>
      </c>
      <c r="K88" s="238" t="str">
        <f ca="1">IF(ISNUMBER(A88),RANK(F88,F87:F91),"")</f>
        <v/>
      </c>
      <c r="L88" s="239">
        <f ca="1">IF(J88=5,VLOOKUP(K88,TPMatrix!$A$6:$B$10,2,0),IF(J88=4,VLOOKUP(K88,TPMatrix!$D$6:$E$9,2,0),0))</f>
        <v>0</v>
      </c>
      <c r="M88" s="239">
        <f ca="1">IF(COUNTIF(K87:K91,K88)&gt;=2,IF(J88=5,VLOOKUP(K88+1,TPMatrix!$A$6:$B$10,2,0),IF(J88=4,VLOOKUP(K88+1,TPMatrix!$D$6:$E$9,2,0),0)),"")</f>
        <v>0</v>
      </c>
      <c r="N88" s="239">
        <f ca="1">IF(COUNTIF(K87:K91,K88)&gt;=3,IF(J88=5,VLOOKUP(K88+2,TPMatrix!$A$6:$B$10,2,0),IF(J88=4,VLOOKUP(K88+2,TPMatrix!$D$6:$E$9,2,0),0)),"")</f>
        <v>0</v>
      </c>
      <c r="O88" s="239">
        <f ca="1">IF(COUNTIF(K87:K91,K88)&gt;=4,IF(J88=5,VLOOKUP(K88+3,TPMatrix!$A$6:$B$10,2,0),IF(J88=4,VLOOKUP(K88+3,TPMatrix!$D$6:$E$9,2,0),0)),"")</f>
        <v>0</v>
      </c>
      <c r="P88" s="239">
        <f ca="1">IF(COUNTIF(K87:K91,K88)&gt;=5,IF(J88=5,VLOOKUP(K88+4,TPMatrix!$A$6:$B$10,2,0),IF(J88=4,VLOOKUP(K88+4,TPMatrix!$D$6:$E$9,2,0),0)),"")</f>
        <v>0</v>
      </c>
      <c r="Q88" s="239">
        <f t="shared" ca="1" si="28"/>
        <v>0</v>
      </c>
      <c r="R88" s="240">
        <f t="shared" ca="1" si="29"/>
        <v>5</v>
      </c>
      <c r="S88" s="238">
        <f t="shared" ca="1" si="30"/>
        <v>0</v>
      </c>
      <c r="T88" s="239">
        <f t="shared" si="31"/>
        <v>0</v>
      </c>
      <c r="U88" s="240">
        <f t="shared" ca="1" si="32"/>
        <v>0</v>
      </c>
      <c r="W88" s="36" t="str">
        <f t="shared" ca="1" si="33"/>
        <v/>
      </c>
      <c r="X88" s="36" t="str">
        <f ca="1">IF(ISNUMBER($A88),$W88*(Methuselahs!$A$4+1)+$A88,"")</f>
        <v/>
      </c>
      <c r="Y88" s="36" t="str">
        <f t="shared" ca="1" si="34"/>
        <v/>
      </c>
      <c r="Z88" s="36" t="str">
        <f ca="1">IF(ISNUMBER($A88),VLOOKUP($A88,Methuselahs!$A$7:$X$206,5),"")</f>
        <v/>
      </c>
      <c r="AA88" s="36" t="str">
        <f t="shared" ca="1" si="35"/>
        <v/>
      </c>
    </row>
    <row r="89" spans="1:27" ht="12.95" customHeight="1" x14ac:dyDescent="0.2">
      <c r="A89" s="137" t="str">
        <f ca="1">IF(OR(ISBLANK('Tournament Info'!$B$11),'Tournament Info'!$B$11&lt;&gt;4),"",INDIRECT(ADDRESS(ROW(),3,1,1,"Optimal Seating "&amp;'Tournament Info'!$B$11-1&amp;"R+F")))</f>
        <v/>
      </c>
      <c r="B89" s="143" t="str">
        <f ca="1">IF(ISNUMBER(A89),VLOOKUP(A89,Methuselahs!$A$7:$E$206,2,0),"")</f>
        <v/>
      </c>
      <c r="C89" s="241" t="str">
        <f ca="1">IF(ISNUMBER(A89),VLOOKUP(A89,Methuselahs!$A$7:$E$206,3,0),"")</f>
        <v/>
      </c>
      <c r="D89" s="242" t="str">
        <f t="shared" ca="1" si="24"/>
        <v/>
      </c>
      <c r="E89" s="243"/>
      <c r="F89" s="144">
        <f t="shared" si="25"/>
        <v>0</v>
      </c>
      <c r="G89" s="244" t="str">
        <f t="shared" ca="1" si="26"/>
        <v/>
      </c>
      <c r="H89" s="245" t="str">
        <f ca="1">IF(ISNUMBER(A89),IF(OR($S89=$U89,NOT(ISNA(MATCH($D89*5+$V$4,Override!$C$6:$C$125,0)))),$Q89,0),"")</f>
        <v/>
      </c>
      <c r="I89" s="147" t="str">
        <f t="shared" ca="1" si="27"/>
        <v/>
      </c>
      <c r="J89" s="246">
        <f ca="1">COUNT(A87:A91)</f>
        <v>0</v>
      </c>
      <c r="K89" s="247" t="str">
        <f ca="1">IF(ISNUMBER(A89),RANK(F89,F87:F91),"")</f>
        <v/>
      </c>
      <c r="L89" s="142">
        <f ca="1">IF(J89=5,VLOOKUP(K89,TPMatrix!$A$6:$B$10,2,0),IF(J89=4,VLOOKUP(K89,TPMatrix!$D$6:$E$9,2,0),0))</f>
        <v>0</v>
      </c>
      <c r="M89" s="142">
        <f ca="1">IF(COUNTIF(K87:K91,K89)&gt;=2,IF(J89=5,VLOOKUP(K89+1,TPMatrix!$A$6:$B$10,2,0),IF(J89=4,VLOOKUP(K89+1,TPMatrix!$D$6:$E$9,2,0),0)),"")</f>
        <v>0</v>
      </c>
      <c r="N89" s="142">
        <f ca="1">IF(COUNTIF(K87:K91,K89)&gt;=3,IF(J89=5,VLOOKUP(K89+2,TPMatrix!$A$6:$B$10,2,0),IF(J89=4,VLOOKUP(K89+2,TPMatrix!$D$6:$E$9,2,0),0)),"")</f>
        <v>0</v>
      </c>
      <c r="O89" s="142">
        <f ca="1">IF(COUNTIF(K87:K91,K89)&gt;=4,IF(J89=5,VLOOKUP(K89+3,TPMatrix!$A$6:$B$10,2,0),IF(J89=4,VLOOKUP(K89+3,TPMatrix!$D$6:$E$9,2,0),0)),"")</f>
        <v>0</v>
      </c>
      <c r="P89" s="142">
        <f ca="1">IF(COUNTIF(K87:K91,K89)&gt;=5,IF(J89=5,VLOOKUP(K89+4,TPMatrix!$A$6:$B$10,2,0),IF(J89=4,VLOOKUP(K89+4,TPMatrix!$D$6:$E$9,2,0),0)),"")</f>
        <v>0</v>
      </c>
      <c r="Q89" s="142">
        <f t="shared" ca="1" si="28"/>
        <v>0</v>
      </c>
      <c r="R89" s="248">
        <f t="shared" ca="1" si="29"/>
        <v>5</v>
      </c>
      <c r="S89" s="247">
        <f t="shared" ca="1" si="30"/>
        <v>0</v>
      </c>
      <c r="T89" s="142">
        <f t="shared" si="31"/>
        <v>0</v>
      </c>
      <c r="U89" s="248">
        <f t="shared" ca="1" si="32"/>
        <v>0</v>
      </c>
      <c r="W89" s="36" t="str">
        <f t="shared" ca="1" si="33"/>
        <v/>
      </c>
      <c r="X89" s="36" t="str">
        <f ca="1">IF(ISNUMBER($A89),$W89*(Methuselahs!$A$4+1)+$A89,"")</f>
        <v/>
      </c>
      <c r="Y89" s="36" t="str">
        <f t="shared" ca="1" si="34"/>
        <v/>
      </c>
      <c r="Z89" s="36" t="str">
        <f ca="1">IF(ISNUMBER($A89),VLOOKUP($A89,Methuselahs!$A$7:$X$206,5),"")</f>
        <v/>
      </c>
      <c r="AA89" s="36" t="str">
        <f t="shared" ca="1" si="35"/>
        <v/>
      </c>
    </row>
    <row r="90" spans="1:27" ht="12.95" customHeight="1" x14ac:dyDescent="0.2">
      <c r="A90" s="249" t="str">
        <f ca="1">IF(OR(ISBLANK('Tournament Info'!$B$11),'Tournament Info'!$B$11&lt;&gt;4),"",INDIRECT(ADDRESS(ROW(),3,1,1,"Optimal Seating "&amp;'Tournament Info'!$B$11-1&amp;"R+F")))</f>
        <v/>
      </c>
      <c r="B90" s="250" t="str">
        <f ca="1">IF(ISNUMBER(A90),VLOOKUP(A90,Methuselahs!$A$7:$E$206,2,0),"")</f>
        <v/>
      </c>
      <c r="C90" s="251" t="str">
        <f ca="1">IF(ISNUMBER(A90),VLOOKUP(A90,Methuselahs!$A$7:$E$206,3,0),"")</f>
        <v/>
      </c>
      <c r="D90" s="252" t="str">
        <f t="shared" ca="1" si="24"/>
        <v/>
      </c>
      <c r="E90" s="253"/>
      <c r="F90" s="397">
        <f t="shared" si="25"/>
        <v>0</v>
      </c>
      <c r="G90" s="235" t="str">
        <f t="shared" ca="1" si="26"/>
        <v/>
      </c>
      <c r="H90" s="236" t="str">
        <f ca="1">IF(ISNUMBER(A90),IF(OR($S90=$U90,NOT(ISNA(MATCH($D90*5+$V$4,Override!$C$6:$C$125,0)))),$Q90,0),"")</f>
        <v/>
      </c>
      <c r="I90" s="121" t="str">
        <f t="shared" ca="1" si="27"/>
        <v/>
      </c>
      <c r="J90" s="254">
        <f ca="1">COUNT(A87:A91)</f>
        <v>0</v>
      </c>
      <c r="K90" s="238" t="str">
        <f ca="1">IF(ISNUMBER(A90),RANK(F90,F87:F91),"")</f>
        <v/>
      </c>
      <c r="L90" s="239">
        <f ca="1">IF(J90=5,VLOOKUP(K90,TPMatrix!$A$6:$B$10,2,0),IF(J90=4,VLOOKUP(K90,TPMatrix!$D$6:$E$9,2,0),0))</f>
        <v>0</v>
      </c>
      <c r="M90" s="239">
        <f ca="1">IF(COUNTIF(K87:K91,K90)&gt;=2,IF(J90=5,VLOOKUP(K90+1,TPMatrix!$A$6:$B$10,2,0),IF(J90=4,VLOOKUP(K90+1,TPMatrix!$D$6:$E$9,2,0),0)),"")</f>
        <v>0</v>
      </c>
      <c r="N90" s="239">
        <f ca="1">IF(COUNTIF(K87:K91,K90)&gt;=3,IF(J90=5,VLOOKUP(K90+2,TPMatrix!$A$6:$B$10,2,0),IF(J90=4,VLOOKUP(K90+2,TPMatrix!$D$6:$E$9,2,0),0)),"")</f>
        <v>0</v>
      </c>
      <c r="O90" s="239">
        <f ca="1">IF(COUNTIF(K87:K91,K90)&gt;=4,IF(J90=5,VLOOKUP(K90+3,TPMatrix!$A$6:$B$10,2,0),IF(J90=4,VLOOKUP(K90+3,TPMatrix!$D$6:$E$9,2,0),0)),"")</f>
        <v>0</v>
      </c>
      <c r="P90" s="239">
        <f ca="1">IF(COUNTIF(K87:K91,K90)&gt;=5,IF(J90=5,VLOOKUP(K90+4,TPMatrix!$A$6:$B$10,2,0),IF(J90=4,VLOOKUP(K90+4,TPMatrix!$D$6:$E$9,2,0),0)),"")</f>
        <v>0</v>
      </c>
      <c r="Q90" s="239">
        <f t="shared" ca="1" si="28"/>
        <v>0</v>
      </c>
      <c r="R90" s="240">
        <f t="shared" ca="1" si="29"/>
        <v>5</v>
      </c>
      <c r="S90" s="238">
        <f t="shared" ca="1" si="30"/>
        <v>0</v>
      </c>
      <c r="T90" s="239">
        <f t="shared" si="31"/>
        <v>0</v>
      </c>
      <c r="U90" s="240">
        <f t="shared" ca="1" si="32"/>
        <v>0</v>
      </c>
      <c r="W90" s="36" t="str">
        <f t="shared" ca="1" si="33"/>
        <v/>
      </c>
      <c r="X90" s="36" t="str">
        <f ca="1">IF(ISNUMBER($A90),$W90*(Methuselahs!$A$4+1)+$A90,"")</f>
        <v/>
      </c>
      <c r="Y90" s="36" t="str">
        <f t="shared" ca="1" si="34"/>
        <v/>
      </c>
      <c r="Z90" s="36" t="str">
        <f ca="1">IF(ISNUMBER($A90),VLOOKUP($A90,Methuselahs!$A$7:$X$206,5),"")</f>
        <v/>
      </c>
      <c r="AA90" s="36" t="str">
        <f t="shared" ca="1" si="35"/>
        <v/>
      </c>
    </row>
    <row r="91" spans="1:27" ht="12.95" customHeight="1" x14ac:dyDescent="0.2">
      <c r="A91" s="255" t="str">
        <f ca="1">IF(OR(ISBLANK('Tournament Info'!$B$11),'Tournament Info'!$B$11&lt;&gt;4),"",INDIRECT(ADDRESS(ROW(),3,1,1,"Optimal Seating "&amp;'Tournament Info'!$B$11-1&amp;"R+F")))</f>
        <v/>
      </c>
      <c r="B91" s="256" t="str">
        <f ca="1">IF(ISNUMBER(A91),VLOOKUP(A91,Methuselahs!$A$7:$E$206,2,0),"")</f>
        <v/>
      </c>
      <c r="C91" s="257" t="str">
        <f ca="1">IF(ISNUMBER(A91),VLOOKUP(A91,Methuselahs!$A$7:$E$206,3,0),"")</f>
        <v/>
      </c>
      <c r="D91" s="258" t="str">
        <f t="shared" ca="1" si="24"/>
        <v/>
      </c>
      <c r="E91" s="259"/>
      <c r="F91" s="398">
        <f t="shared" si="25"/>
        <v>0</v>
      </c>
      <c r="G91" s="244" t="str">
        <f t="shared" ca="1" si="26"/>
        <v/>
      </c>
      <c r="H91" s="245" t="str">
        <f ca="1">IF(ISNUMBER(A91),IF(OR($S91=$U91,NOT(ISNA(MATCH($D91*5+$V$4,Override!$C$6:$C$125,0)))),$Q91,0),"")</f>
        <v/>
      </c>
      <c r="I91" s="147" t="str">
        <f t="shared" ca="1" si="27"/>
        <v/>
      </c>
      <c r="J91" s="260">
        <f ca="1">COUNT(A87:A91)</f>
        <v>0</v>
      </c>
      <c r="K91" s="261" t="str">
        <f ca="1">IF(ISNUMBER(A91),RANK(F91,F87:F91),"")</f>
        <v/>
      </c>
      <c r="L91" s="262">
        <f ca="1">IF(J91=5,VLOOKUP(K91,TPMatrix!$A$6:$B$10,2,0),IF(J91=4,VLOOKUP(K91,TPMatrix!$D$6:$E$9,2,0),0))</f>
        <v>0</v>
      </c>
      <c r="M91" s="262">
        <f ca="1">IF(COUNTIF(K87:K91,K91)&gt;=2,IF(J91=5,VLOOKUP(K91+1,TPMatrix!$A$6:$B$10,2,0),IF(J91=4,VLOOKUP(K91+1,TPMatrix!$D$6:$E$9,2,0),0)),"")</f>
        <v>0</v>
      </c>
      <c r="N91" s="262">
        <f ca="1">IF(COUNTIF(K87:K91,K91)&gt;=3,IF(J91=5,VLOOKUP(K91+2,TPMatrix!$A$6:$B$10,2,0),IF(J91=4,VLOOKUP(K91+2,TPMatrix!$D$6:$E$9,2,0),0)),"")</f>
        <v>0</v>
      </c>
      <c r="O91" s="262">
        <f ca="1">IF(COUNTIF(K87:K91,K91)&gt;=4,IF(J91=5,VLOOKUP(K91+3,TPMatrix!$A$6:$B$10,2,0),IF(J91=4,VLOOKUP(K91+3,TPMatrix!$D$6:$E$9,2,0),0)),"")</f>
        <v>0</v>
      </c>
      <c r="P91" s="262">
        <f ca="1">IF(COUNTIF(K87:K91,K91)&gt;=5,IF(J91=5,VLOOKUP(K91+4,TPMatrix!$A$6:$B$10,2,0),IF(J91=4,VLOOKUP(K91+4,TPMatrix!$D$6:$E$9,2,0),0)),"")</f>
        <v>0</v>
      </c>
      <c r="Q91" s="262">
        <f t="shared" ca="1" si="28"/>
        <v>0</v>
      </c>
      <c r="R91" s="263">
        <f t="shared" ca="1" si="29"/>
        <v>5</v>
      </c>
      <c r="S91" s="261">
        <f t="shared" ca="1" si="30"/>
        <v>0</v>
      </c>
      <c r="T91" s="262">
        <f t="shared" si="31"/>
        <v>0</v>
      </c>
      <c r="U91" s="263">
        <f t="shared" ca="1" si="32"/>
        <v>0</v>
      </c>
      <c r="W91" s="36" t="str">
        <f t="shared" ca="1" si="33"/>
        <v/>
      </c>
      <c r="X91" s="36" t="str">
        <f ca="1">IF(ISNUMBER($A91),$W91*(Methuselahs!$A$4+1)+$A91,"")</f>
        <v/>
      </c>
      <c r="Y91" s="36" t="str">
        <f t="shared" ca="1" si="34"/>
        <v/>
      </c>
      <c r="Z91" s="36" t="str">
        <f ca="1">IF(ISNUMBER($A91),VLOOKUP($A91,Methuselahs!$A$7:$X$206,5),"")</f>
        <v/>
      </c>
      <c r="AA91" s="36" t="str">
        <f t="shared" ca="1" si="35"/>
        <v/>
      </c>
    </row>
    <row r="92" spans="1:27" ht="12.95" customHeight="1" x14ac:dyDescent="0.2">
      <c r="A92" s="219" t="str">
        <f ca="1">IF(OR(ISBLANK('Tournament Info'!$B$11),'Tournament Info'!$B$11&lt;&gt;4),"",INDIRECT(ADDRESS(ROW(),3,1,1,"Optimal Seating "&amp;'Tournament Info'!$B$11-1&amp;"R+F")))</f>
        <v/>
      </c>
      <c r="B92" s="143" t="str">
        <f ca="1">IF(ISNUMBER(A92),VLOOKUP(A92,Methuselahs!$A$7:$E$206,2,0),"")</f>
        <v/>
      </c>
      <c r="C92" s="220" t="str">
        <f ca="1">IF(ISNUMBER(A92),VLOOKUP(A92,Methuselahs!$A$7:$E$206,3,0),"")</f>
        <v/>
      </c>
      <c r="D92" s="221" t="str">
        <f t="shared" ca="1" si="24"/>
        <v/>
      </c>
      <c r="E92" s="222"/>
      <c r="F92" s="393">
        <f t="shared" si="25"/>
        <v>0</v>
      </c>
      <c r="G92" s="223" t="str">
        <f t="shared" ca="1" si="26"/>
        <v/>
      </c>
      <c r="H92" s="224" t="str">
        <f ca="1">IF(ISNUMBER(A92),IF(OR($S92=$U92,NOT(ISNA(MATCH($D92*5+$V$4,Override!$C$6:$C$125,0)))),$Q92,0),"")</f>
        <v/>
      </c>
      <c r="I92" s="406" t="str">
        <f t="shared" ca="1" si="27"/>
        <v/>
      </c>
      <c r="J92" s="225">
        <f ca="1">COUNT(A92:A96)</f>
        <v>0</v>
      </c>
      <c r="K92" s="226" t="str">
        <f ca="1">IF(ISNUMBER(A92),RANK(F92,F92:F96),"")</f>
        <v/>
      </c>
      <c r="L92" s="227">
        <f ca="1">IF(J92=5,VLOOKUP(K92,TPMatrix!$A$6:$B$10,2,0),IF(J92=4,VLOOKUP(K92,TPMatrix!$D$6:$E$9,2,0),0))</f>
        <v>0</v>
      </c>
      <c r="M92" s="227">
        <f ca="1">IF(COUNTIF(K92:K96,K92)&gt;=2,IF(J92=5,VLOOKUP(K92+1,TPMatrix!$A$6:$B$10,2,0),IF(J92=4,VLOOKUP(K92+1,TPMatrix!$D$6:$E$9,2,0),0)),"")</f>
        <v>0</v>
      </c>
      <c r="N92" s="227">
        <f ca="1">IF(COUNTIF(K92:K96,K92)&gt;=3,IF(J92=5,VLOOKUP(K92+2,TPMatrix!$A$6:$B$10,2,0),IF(J92=4,VLOOKUP(K92+2,TPMatrix!$D$6:$E$9,2,0),0)),"")</f>
        <v>0</v>
      </c>
      <c r="O92" s="227">
        <f ca="1">IF(COUNTIF(K92:K96,K92)&gt;=4,IF(J92=5,VLOOKUP(K92+3,TPMatrix!$A$6:$B$10,2,0),IF(J92=4,VLOOKUP(K92+3,TPMatrix!$D$6:$E$9,2,0),0)),"")</f>
        <v>0</v>
      </c>
      <c r="P92" s="227">
        <f ca="1">IF(COUNTIF(K92:K96,K92)&gt;=5,IF(J92=5,VLOOKUP(K92+4,TPMatrix!$A$6:$B$10,2,0),IF(J92=4,VLOOKUP(K92+4,TPMatrix!$D$6:$E$9,2,0),0)),"")</f>
        <v>0</v>
      </c>
      <c r="Q92" s="227">
        <f t="shared" ca="1" si="28"/>
        <v>0</v>
      </c>
      <c r="R92" s="228">
        <f t="shared" ca="1" si="29"/>
        <v>5</v>
      </c>
      <c r="S92" s="229">
        <f t="shared" ca="1" si="30"/>
        <v>0</v>
      </c>
      <c r="T92" s="230">
        <f t="shared" si="31"/>
        <v>0</v>
      </c>
      <c r="U92" s="231">
        <f t="shared" ca="1" si="32"/>
        <v>0</v>
      </c>
      <c r="W92" s="36" t="str">
        <f t="shared" ca="1" si="33"/>
        <v/>
      </c>
      <c r="X92" s="36" t="str">
        <f ca="1">IF(ISNUMBER($A92),$W92*(Methuselahs!$A$4+1)+$A92,"")</f>
        <v/>
      </c>
      <c r="Y92" s="36" t="str">
        <f t="shared" ca="1" si="34"/>
        <v/>
      </c>
      <c r="Z92" s="36" t="str">
        <f ca="1">IF(ISNUMBER($A92),VLOOKUP($A92,Methuselahs!$A$7:$X$206,5),"")</f>
        <v/>
      </c>
      <c r="AA92" s="36" t="str">
        <f t="shared" ca="1" si="35"/>
        <v/>
      </c>
    </row>
    <row r="93" spans="1:27" ht="12.95" customHeight="1" x14ac:dyDescent="0.2">
      <c r="A93" s="111" t="str">
        <f ca="1">IF(OR(ISBLANK('Tournament Info'!$B$11),'Tournament Info'!$B$11&lt;&gt;4),"",INDIRECT(ADDRESS(ROW(),3,1,1,"Optimal Seating "&amp;'Tournament Info'!$B$11-1&amp;"R+F")))</f>
        <v/>
      </c>
      <c r="B93" s="117" t="str">
        <f ca="1">IF(ISNUMBER(A93),VLOOKUP(A93,Methuselahs!$A$7:$E$206,2,0),"")</f>
        <v/>
      </c>
      <c r="C93" s="232" t="str">
        <f ca="1">IF(ISNUMBER(A93),VLOOKUP(A93,Methuselahs!$A$7:$E$206,3,0),"")</f>
        <v/>
      </c>
      <c r="D93" s="233" t="str">
        <f t="shared" ca="1" si="24"/>
        <v/>
      </c>
      <c r="E93" s="234"/>
      <c r="F93" s="118">
        <f t="shared" si="25"/>
        <v>0</v>
      </c>
      <c r="G93" s="235" t="str">
        <f t="shared" ca="1" si="26"/>
        <v/>
      </c>
      <c r="H93" s="236" t="str">
        <f ca="1">IF(ISNUMBER(A93),IF(OR($S93=$U93,NOT(ISNA(MATCH($D93*5+$V$4,Override!$C$6:$C$125,0)))),$Q93,0),"")</f>
        <v/>
      </c>
      <c r="I93" s="121" t="str">
        <f t="shared" ca="1" si="27"/>
        <v/>
      </c>
      <c r="J93" s="237">
        <f ca="1">COUNT(A92:A96)</f>
        <v>0</v>
      </c>
      <c r="K93" s="238" t="str">
        <f ca="1">IF(ISNUMBER(A93),RANK(F93,F92:F96),"")</f>
        <v/>
      </c>
      <c r="L93" s="239">
        <f ca="1">IF(J93=5,VLOOKUP(K93,TPMatrix!$A$6:$B$10,2,0),IF(J93=4,VLOOKUP(K93,TPMatrix!$D$6:$E$9,2,0),0))</f>
        <v>0</v>
      </c>
      <c r="M93" s="239">
        <f ca="1">IF(COUNTIF(K92:K96,K93)&gt;=2,IF(J93=5,VLOOKUP(K93+1,TPMatrix!$A$6:$B$10,2,0),IF(J93=4,VLOOKUP(K93+1,TPMatrix!$D$6:$E$9,2,0),0)),"")</f>
        <v>0</v>
      </c>
      <c r="N93" s="239">
        <f ca="1">IF(COUNTIF(K92:K96,K93)&gt;=3,IF(J93=5,VLOOKUP(K93+2,TPMatrix!$A$6:$B$10,2,0),IF(J93=4,VLOOKUP(K93+2,TPMatrix!$D$6:$E$9,2,0),0)),"")</f>
        <v>0</v>
      </c>
      <c r="O93" s="239">
        <f ca="1">IF(COUNTIF(K92:K96,K93)&gt;=4,IF(J93=5,VLOOKUP(K93+3,TPMatrix!$A$6:$B$10,2,0),IF(J93=4,VLOOKUP(K93+3,TPMatrix!$D$6:$E$9,2,0),0)),"")</f>
        <v>0</v>
      </c>
      <c r="P93" s="239">
        <f ca="1">IF(COUNTIF(K92:K96,K93)&gt;=5,IF(J93=5,VLOOKUP(K93+4,TPMatrix!$A$6:$B$10,2,0),IF(J93=4,VLOOKUP(K93+4,TPMatrix!$D$6:$E$9,2,0),0)),"")</f>
        <v>0</v>
      </c>
      <c r="Q93" s="239">
        <f t="shared" ca="1" si="28"/>
        <v>0</v>
      </c>
      <c r="R93" s="240">
        <f t="shared" ca="1" si="29"/>
        <v>5</v>
      </c>
      <c r="S93" s="238">
        <f t="shared" ca="1" si="30"/>
        <v>0</v>
      </c>
      <c r="T93" s="239">
        <f t="shared" si="31"/>
        <v>0</v>
      </c>
      <c r="U93" s="240">
        <f t="shared" ca="1" si="32"/>
        <v>0</v>
      </c>
      <c r="W93" s="36" t="str">
        <f t="shared" ca="1" si="33"/>
        <v/>
      </c>
      <c r="X93" s="36" t="str">
        <f ca="1">IF(ISNUMBER($A93),$W93*(Methuselahs!$A$4+1)+$A93,"")</f>
        <v/>
      </c>
      <c r="Y93" s="36" t="str">
        <f t="shared" ca="1" si="34"/>
        <v/>
      </c>
      <c r="Z93" s="36" t="str">
        <f ca="1">IF(ISNUMBER($A93),VLOOKUP($A93,Methuselahs!$A$7:$X$206,5),"")</f>
        <v/>
      </c>
      <c r="AA93" s="36" t="str">
        <f t="shared" ca="1" si="35"/>
        <v/>
      </c>
    </row>
    <row r="94" spans="1:27" ht="12.95" customHeight="1" x14ac:dyDescent="0.2">
      <c r="A94" s="137" t="str">
        <f ca="1">IF(OR(ISBLANK('Tournament Info'!$B$11),'Tournament Info'!$B$11&lt;&gt;4),"",INDIRECT(ADDRESS(ROW(),3,1,1,"Optimal Seating "&amp;'Tournament Info'!$B$11-1&amp;"R+F")))</f>
        <v/>
      </c>
      <c r="B94" s="143" t="str">
        <f ca="1">IF(ISNUMBER(A94),VLOOKUP(A94,Methuselahs!$A$7:$E$206,2,0),"")</f>
        <v/>
      </c>
      <c r="C94" s="241" t="str">
        <f ca="1">IF(ISNUMBER(A94),VLOOKUP(A94,Methuselahs!$A$7:$E$206,3,0),"")</f>
        <v/>
      </c>
      <c r="D94" s="242" t="str">
        <f t="shared" ca="1" si="24"/>
        <v/>
      </c>
      <c r="E94" s="243"/>
      <c r="F94" s="144">
        <f t="shared" si="25"/>
        <v>0</v>
      </c>
      <c r="G94" s="244" t="str">
        <f t="shared" ca="1" si="26"/>
        <v/>
      </c>
      <c r="H94" s="245" t="str">
        <f ca="1">IF(ISNUMBER(A94),IF(OR($S94=$U94,NOT(ISNA(MATCH($D94*5+$V$4,Override!$C$6:$C$125,0)))),$Q94,0),"")</f>
        <v/>
      </c>
      <c r="I94" s="147" t="str">
        <f t="shared" ca="1" si="27"/>
        <v/>
      </c>
      <c r="J94" s="246">
        <f ca="1">COUNT(A92:A96)</f>
        <v>0</v>
      </c>
      <c r="K94" s="247" t="str">
        <f ca="1">IF(ISNUMBER(A94),RANK(F94,F92:F96),"")</f>
        <v/>
      </c>
      <c r="L94" s="142">
        <f ca="1">IF(J94=5,VLOOKUP(K94,TPMatrix!$A$6:$B$10,2,0),IF(J94=4,VLOOKUP(K94,TPMatrix!$D$6:$E$9,2,0),0))</f>
        <v>0</v>
      </c>
      <c r="M94" s="142">
        <f ca="1">IF(COUNTIF(K92:K96,K94)&gt;=2,IF(J94=5,VLOOKUP(K94+1,TPMatrix!$A$6:$B$10,2,0),IF(J94=4,VLOOKUP(K94+1,TPMatrix!$D$6:$E$9,2,0),0)),"")</f>
        <v>0</v>
      </c>
      <c r="N94" s="142">
        <f ca="1">IF(COUNTIF(K92:K96,K94)&gt;=3,IF(J94=5,VLOOKUP(K94+2,TPMatrix!$A$6:$B$10,2,0),IF(J94=4,VLOOKUP(K94+2,TPMatrix!$D$6:$E$9,2,0),0)),"")</f>
        <v>0</v>
      </c>
      <c r="O94" s="142">
        <f ca="1">IF(COUNTIF(K92:K96,K94)&gt;=4,IF(J94=5,VLOOKUP(K94+3,TPMatrix!$A$6:$B$10,2,0),IF(J94=4,VLOOKUP(K94+3,TPMatrix!$D$6:$E$9,2,0),0)),"")</f>
        <v>0</v>
      </c>
      <c r="P94" s="142">
        <f ca="1">IF(COUNTIF(K92:K96,K94)&gt;=5,IF(J94=5,VLOOKUP(K94+4,TPMatrix!$A$6:$B$10,2,0),IF(J94=4,VLOOKUP(K94+4,TPMatrix!$D$6:$E$9,2,0),0)),"")</f>
        <v>0</v>
      </c>
      <c r="Q94" s="142">
        <f t="shared" ca="1" si="28"/>
        <v>0</v>
      </c>
      <c r="R94" s="248">
        <f t="shared" ca="1" si="29"/>
        <v>5</v>
      </c>
      <c r="S94" s="247">
        <f t="shared" ca="1" si="30"/>
        <v>0</v>
      </c>
      <c r="T94" s="142">
        <f t="shared" si="31"/>
        <v>0</v>
      </c>
      <c r="U94" s="248">
        <f t="shared" ca="1" si="32"/>
        <v>0</v>
      </c>
      <c r="W94" s="36" t="str">
        <f t="shared" ca="1" si="33"/>
        <v/>
      </c>
      <c r="X94" s="36" t="str">
        <f ca="1">IF(ISNUMBER($A94),$W94*(Methuselahs!$A$4+1)+$A94,"")</f>
        <v/>
      </c>
      <c r="Y94" s="36" t="str">
        <f t="shared" ca="1" si="34"/>
        <v/>
      </c>
      <c r="Z94" s="36" t="str">
        <f ca="1">IF(ISNUMBER($A94),VLOOKUP($A94,Methuselahs!$A$7:$X$206,5),"")</f>
        <v/>
      </c>
      <c r="AA94" s="36" t="str">
        <f t="shared" ca="1" si="35"/>
        <v/>
      </c>
    </row>
    <row r="95" spans="1:27" ht="12.95" customHeight="1" x14ac:dyDescent="0.2">
      <c r="A95" s="249" t="str">
        <f ca="1">IF(OR(ISBLANK('Tournament Info'!$B$11),'Tournament Info'!$B$11&lt;&gt;4),"",INDIRECT(ADDRESS(ROW(),3,1,1,"Optimal Seating "&amp;'Tournament Info'!$B$11-1&amp;"R+F")))</f>
        <v/>
      </c>
      <c r="B95" s="250" t="str">
        <f ca="1">IF(ISNUMBER(A95),VLOOKUP(A95,Methuselahs!$A$7:$E$206,2,0),"")</f>
        <v/>
      </c>
      <c r="C95" s="251" t="str">
        <f ca="1">IF(ISNUMBER(A95),VLOOKUP(A95,Methuselahs!$A$7:$E$206,3,0),"")</f>
        <v/>
      </c>
      <c r="D95" s="252" t="str">
        <f t="shared" ca="1" si="24"/>
        <v/>
      </c>
      <c r="E95" s="253"/>
      <c r="F95" s="397">
        <f t="shared" si="25"/>
        <v>0</v>
      </c>
      <c r="G95" s="235" t="str">
        <f t="shared" ca="1" si="26"/>
        <v/>
      </c>
      <c r="H95" s="236" t="str">
        <f ca="1">IF(ISNUMBER(A95),IF(OR($S95=$U95,NOT(ISNA(MATCH($D95*5+$V$4,Override!$C$6:$C$125,0)))),$Q95,0),"")</f>
        <v/>
      </c>
      <c r="I95" s="121" t="str">
        <f t="shared" ca="1" si="27"/>
        <v/>
      </c>
      <c r="J95" s="254">
        <f ca="1">COUNT(A92:A96)</f>
        <v>0</v>
      </c>
      <c r="K95" s="238" t="str">
        <f ca="1">IF(ISNUMBER(A95),RANK(F95,F92:F96),"")</f>
        <v/>
      </c>
      <c r="L95" s="239">
        <f ca="1">IF(J95=5,VLOOKUP(K95,TPMatrix!$A$6:$B$10,2,0),IF(J95=4,VLOOKUP(K95,TPMatrix!$D$6:$E$9,2,0),0))</f>
        <v>0</v>
      </c>
      <c r="M95" s="239">
        <f ca="1">IF(COUNTIF(K92:K96,K95)&gt;=2,IF(J95=5,VLOOKUP(K95+1,TPMatrix!$A$6:$B$10,2,0),IF(J95=4,VLOOKUP(K95+1,TPMatrix!$D$6:$E$9,2,0),0)),"")</f>
        <v>0</v>
      </c>
      <c r="N95" s="239">
        <f ca="1">IF(COUNTIF(K92:K96,K95)&gt;=3,IF(J95=5,VLOOKUP(K95+2,TPMatrix!$A$6:$B$10,2,0),IF(J95=4,VLOOKUP(K95+2,TPMatrix!$D$6:$E$9,2,0),0)),"")</f>
        <v>0</v>
      </c>
      <c r="O95" s="239">
        <f ca="1">IF(COUNTIF(K92:K96,K95)&gt;=4,IF(J95=5,VLOOKUP(K95+3,TPMatrix!$A$6:$B$10,2,0),IF(J95=4,VLOOKUP(K95+3,TPMatrix!$D$6:$E$9,2,0),0)),"")</f>
        <v>0</v>
      </c>
      <c r="P95" s="239">
        <f ca="1">IF(COUNTIF(K92:K96,K95)&gt;=5,IF(J95=5,VLOOKUP(K95+4,TPMatrix!$A$6:$B$10,2,0),IF(J95=4,VLOOKUP(K95+4,TPMatrix!$D$6:$E$9,2,0),0)),"")</f>
        <v>0</v>
      </c>
      <c r="Q95" s="239">
        <f t="shared" ca="1" si="28"/>
        <v>0</v>
      </c>
      <c r="R95" s="240">
        <f t="shared" ca="1" si="29"/>
        <v>5</v>
      </c>
      <c r="S95" s="238">
        <f t="shared" ca="1" si="30"/>
        <v>0</v>
      </c>
      <c r="T95" s="239">
        <f t="shared" si="31"/>
        <v>0</v>
      </c>
      <c r="U95" s="240">
        <f t="shared" ca="1" si="32"/>
        <v>0</v>
      </c>
      <c r="W95" s="36" t="str">
        <f t="shared" ca="1" si="33"/>
        <v/>
      </c>
      <c r="X95" s="36" t="str">
        <f ca="1">IF(ISNUMBER($A95),$W95*(Methuselahs!$A$4+1)+$A95,"")</f>
        <v/>
      </c>
      <c r="Y95" s="36" t="str">
        <f t="shared" ca="1" si="34"/>
        <v/>
      </c>
      <c r="Z95" s="36" t="str">
        <f ca="1">IF(ISNUMBER($A95),VLOOKUP($A95,Methuselahs!$A$7:$X$206,5),"")</f>
        <v/>
      </c>
      <c r="AA95" s="36" t="str">
        <f t="shared" ca="1" si="35"/>
        <v/>
      </c>
    </row>
    <row r="96" spans="1:27" ht="12.95" customHeight="1" x14ac:dyDescent="0.2">
      <c r="A96" s="255" t="str">
        <f ca="1">IF(OR(ISBLANK('Tournament Info'!$B$11),'Tournament Info'!$B$11&lt;&gt;4),"",INDIRECT(ADDRESS(ROW(),3,1,1,"Optimal Seating "&amp;'Tournament Info'!$B$11-1&amp;"R+F")))</f>
        <v/>
      </c>
      <c r="B96" s="256" t="str">
        <f ca="1">IF(ISNUMBER(A96),VLOOKUP(A96,Methuselahs!$A$7:$E$206,2,0),"")</f>
        <v/>
      </c>
      <c r="C96" s="257" t="str">
        <f ca="1">IF(ISNUMBER(A96),VLOOKUP(A96,Methuselahs!$A$7:$E$206,3,0),"")</f>
        <v/>
      </c>
      <c r="D96" s="258" t="str">
        <f t="shared" ca="1" si="24"/>
        <v/>
      </c>
      <c r="E96" s="259"/>
      <c r="F96" s="398">
        <f t="shared" si="25"/>
        <v>0</v>
      </c>
      <c r="G96" s="244" t="str">
        <f t="shared" ca="1" si="26"/>
        <v/>
      </c>
      <c r="H96" s="245" t="str">
        <f ca="1">IF(ISNUMBER(A96),IF(OR($S96=$U96,NOT(ISNA(MATCH($D96*5+$V$4,Override!$C$6:$C$125,0)))),$Q96,0),"")</f>
        <v/>
      </c>
      <c r="I96" s="147" t="str">
        <f t="shared" ca="1" si="27"/>
        <v/>
      </c>
      <c r="J96" s="260">
        <f ca="1">COUNT(A92:A96)</f>
        <v>0</v>
      </c>
      <c r="K96" s="261" t="str">
        <f ca="1">IF(ISNUMBER(A96),RANK(F96,F92:F96),"")</f>
        <v/>
      </c>
      <c r="L96" s="262">
        <f ca="1">IF(J96=5,VLOOKUP(K96,TPMatrix!$A$6:$B$10,2,0),IF(J96=4,VLOOKUP(K96,TPMatrix!$D$6:$E$9,2,0),0))</f>
        <v>0</v>
      </c>
      <c r="M96" s="262">
        <f ca="1">IF(COUNTIF(K92:K96,K96)&gt;=2,IF(J96=5,VLOOKUP(K96+1,TPMatrix!$A$6:$B$10,2,0),IF(J96=4,VLOOKUP(K96+1,TPMatrix!$D$6:$E$9,2,0),0)),"")</f>
        <v>0</v>
      </c>
      <c r="N96" s="262">
        <f ca="1">IF(COUNTIF(K92:K96,K96)&gt;=3,IF(J96=5,VLOOKUP(K96+2,TPMatrix!$A$6:$B$10,2,0),IF(J96=4,VLOOKUP(K96+2,TPMatrix!$D$6:$E$9,2,0),0)),"")</f>
        <v>0</v>
      </c>
      <c r="O96" s="262">
        <f ca="1">IF(COUNTIF(K92:K96,K96)&gt;=4,IF(J96=5,VLOOKUP(K96+3,TPMatrix!$A$6:$B$10,2,0),IF(J96=4,VLOOKUP(K96+3,TPMatrix!$D$6:$E$9,2,0),0)),"")</f>
        <v>0</v>
      </c>
      <c r="P96" s="262">
        <f ca="1">IF(COUNTIF(K92:K96,K96)&gt;=5,IF(J96=5,VLOOKUP(K96+4,TPMatrix!$A$6:$B$10,2,0),IF(J96=4,VLOOKUP(K96+4,TPMatrix!$D$6:$E$9,2,0),0)),"")</f>
        <v>0</v>
      </c>
      <c r="Q96" s="262">
        <f t="shared" ca="1" si="28"/>
        <v>0</v>
      </c>
      <c r="R96" s="263">
        <f t="shared" ca="1" si="29"/>
        <v>5</v>
      </c>
      <c r="S96" s="261">
        <f t="shared" ca="1" si="30"/>
        <v>0</v>
      </c>
      <c r="T96" s="262">
        <f t="shared" si="31"/>
        <v>0</v>
      </c>
      <c r="U96" s="263">
        <f t="shared" ca="1" si="32"/>
        <v>0</v>
      </c>
      <c r="W96" s="36" t="str">
        <f t="shared" ca="1" si="33"/>
        <v/>
      </c>
      <c r="X96" s="36" t="str">
        <f ca="1">IF(ISNUMBER($A96),$W96*(Methuselahs!$A$4+1)+$A96,"")</f>
        <v/>
      </c>
      <c r="Y96" s="36" t="str">
        <f t="shared" ca="1" si="34"/>
        <v/>
      </c>
      <c r="Z96" s="36" t="str">
        <f ca="1">IF(ISNUMBER($A96),VLOOKUP($A96,Methuselahs!$A$7:$X$206,5),"")</f>
        <v/>
      </c>
      <c r="AA96" s="36" t="str">
        <f t="shared" ca="1" si="35"/>
        <v/>
      </c>
    </row>
    <row r="97" spans="1:27" ht="12.95" customHeight="1" x14ac:dyDescent="0.2">
      <c r="A97" s="219" t="str">
        <f ca="1">IF(OR(ISBLANK('Tournament Info'!$B$11),'Tournament Info'!$B$11&lt;&gt;4),"",INDIRECT(ADDRESS(ROW(),3,1,1,"Optimal Seating "&amp;'Tournament Info'!$B$11-1&amp;"R+F")))</f>
        <v/>
      </c>
      <c r="B97" s="143" t="str">
        <f ca="1">IF(ISNUMBER(A97),VLOOKUP(A97,Methuselahs!$A$7:$E$206,2,0),"")</f>
        <v/>
      </c>
      <c r="C97" s="220" t="str">
        <f ca="1">IF(ISNUMBER(A97),VLOOKUP(A97,Methuselahs!$A$7:$E$206,3,0),"")</f>
        <v/>
      </c>
      <c r="D97" s="221" t="str">
        <f t="shared" ca="1" si="24"/>
        <v/>
      </c>
      <c r="E97" s="222"/>
      <c r="F97" s="393">
        <f t="shared" si="25"/>
        <v>0</v>
      </c>
      <c r="G97" s="223" t="str">
        <f t="shared" ca="1" si="26"/>
        <v/>
      </c>
      <c r="H97" s="224" t="str">
        <f ca="1">IF(ISNUMBER(A97),IF(OR($S97=$U97,NOT(ISNA(MATCH($D97*5+$V$4,Override!$C$6:$C$125,0)))),$Q97,0),"")</f>
        <v/>
      </c>
      <c r="I97" s="406" t="str">
        <f t="shared" ca="1" si="27"/>
        <v/>
      </c>
      <c r="J97" s="225">
        <f ca="1">COUNT(A97:A101)</f>
        <v>0</v>
      </c>
      <c r="K97" s="226" t="str">
        <f ca="1">IF(ISNUMBER(A97),RANK(F97,F97:F101),"")</f>
        <v/>
      </c>
      <c r="L97" s="227">
        <f ca="1">IF(J97=5,VLOOKUP(K97,TPMatrix!$A$6:$B$10,2,0),IF(J97=4,VLOOKUP(K97,TPMatrix!$D$6:$E$9,2,0),0))</f>
        <v>0</v>
      </c>
      <c r="M97" s="227">
        <f ca="1">IF(COUNTIF(K97:K101,K97)&gt;=2,IF(J97=5,VLOOKUP(K97+1,TPMatrix!$A$6:$B$10,2,0),IF(J97=4,VLOOKUP(K97+1,TPMatrix!$D$6:$E$9,2,0),0)),"")</f>
        <v>0</v>
      </c>
      <c r="N97" s="227">
        <f ca="1">IF(COUNTIF(K97:K101,K97)&gt;=3,IF(J97=5,VLOOKUP(K97+2,TPMatrix!$A$6:$B$10,2,0),IF(J97=4,VLOOKUP(K97+2,TPMatrix!$D$6:$E$9,2,0),0)),"")</f>
        <v>0</v>
      </c>
      <c r="O97" s="227">
        <f ca="1">IF(COUNTIF(K97:K101,K97)&gt;=4,IF(J97=5,VLOOKUP(K97+3,TPMatrix!$A$6:$B$10,2,0),IF(J97=4,VLOOKUP(K97+3,TPMatrix!$D$6:$E$9,2,0),0)),"")</f>
        <v>0</v>
      </c>
      <c r="P97" s="227">
        <f ca="1">IF(COUNTIF(K97:K101,K97)&gt;=5,IF(J97=5,VLOOKUP(K97+4,TPMatrix!$A$6:$B$10,2,0),IF(J97=4,VLOOKUP(K97+4,TPMatrix!$D$6:$E$9,2,0),0)),"")</f>
        <v>0</v>
      </c>
      <c r="Q97" s="227">
        <f t="shared" ca="1" si="28"/>
        <v>0</v>
      </c>
      <c r="R97" s="228">
        <f t="shared" ca="1" si="29"/>
        <v>5</v>
      </c>
      <c r="S97" s="229">
        <f t="shared" ca="1" si="30"/>
        <v>0</v>
      </c>
      <c r="T97" s="230">
        <f t="shared" si="31"/>
        <v>0</v>
      </c>
      <c r="U97" s="231">
        <f t="shared" ca="1" si="32"/>
        <v>0</v>
      </c>
      <c r="W97" s="36" t="str">
        <f t="shared" ca="1" si="33"/>
        <v/>
      </c>
      <c r="X97" s="36" t="str">
        <f ca="1">IF(ISNUMBER($A97),$W97*(Methuselahs!$A$4+1)+$A97,"")</f>
        <v/>
      </c>
      <c r="Y97" s="36" t="str">
        <f t="shared" ca="1" si="34"/>
        <v/>
      </c>
      <c r="Z97" s="36" t="str">
        <f ca="1">IF(ISNUMBER($A97),VLOOKUP($A97,Methuselahs!$A$7:$X$206,5),"")</f>
        <v/>
      </c>
      <c r="AA97" s="36" t="str">
        <f t="shared" ca="1" si="35"/>
        <v/>
      </c>
    </row>
    <row r="98" spans="1:27" ht="12.95" customHeight="1" x14ac:dyDescent="0.2">
      <c r="A98" s="111" t="str">
        <f ca="1">IF(OR(ISBLANK('Tournament Info'!$B$11),'Tournament Info'!$B$11&lt;&gt;4),"",INDIRECT(ADDRESS(ROW(),3,1,1,"Optimal Seating "&amp;'Tournament Info'!$B$11-1&amp;"R+F")))</f>
        <v/>
      </c>
      <c r="B98" s="117" t="str">
        <f ca="1">IF(ISNUMBER(A98),VLOOKUP(A98,Methuselahs!$A$7:$E$206,2,0),"")</f>
        <v/>
      </c>
      <c r="C98" s="232" t="str">
        <f ca="1">IF(ISNUMBER(A98),VLOOKUP(A98,Methuselahs!$A$7:$E$206,3,0),"")</f>
        <v/>
      </c>
      <c r="D98" s="233" t="str">
        <f t="shared" ca="1" si="24"/>
        <v/>
      </c>
      <c r="E98" s="234"/>
      <c r="F98" s="118">
        <f t="shared" si="25"/>
        <v>0</v>
      </c>
      <c r="G98" s="235" t="str">
        <f t="shared" ca="1" si="26"/>
        <v/>
      </c>
      <c r="H98" s="236" t="str">
        <f ca="1">IF(ISNUMBER(A98),IF(OR($S98=$U98,NOT(ISNA(MATCH($D98*5+$V$4,Override!$C$6:$C$125,0)))),$Q98,0),"")</f>
        <v/>
      </c>
      <c r="I98" s="121" t="str">
        <f t="shared" ca="1" si="27"/>
        <v/>
      </c>
      <c r="J98" s="237">
        <f ca="1">COUNT(A97:A101)</f>
        <v>0</v>
      </c>
      <c r="K98" s="238" t="str">
        <f ca="1">IF(ISNUMBER(A98),RANK(F98,F97:F101),"")</f>
        <v/>
      </c>
      <c r="L98" s="239">
        <f ca="1">IF(J98=5,VLOOKUP(K98,TPMatrix!$A$6:$B$10,2,0),IF(J98=4,VLOOKUP(K98,TPMatrix!$D$6:$E$9,2,0),0))</f>
        <v>0</v>
      </c>
      <c r="M98" s="239">
        <f ca="1">IF(COUNTIF(K97:K101,K98)&gt;=2,IF(J98=5,VLOOKUP(K98+1,TPMatrix!$A$6:$B$10,2,0),IF(J98=4,VLOOKUP(K98+1,TPMatrix!$D$6:$E$9,2,0),0)),"")</f>
        <v>0</v>
      </c>
      <c r="N98" s="239">
        <f ca="1">IF(COUNTIF(K97:K101,K98)&gt;=3,IF(J98=5,VLOOKUP(K98+2,TPMatrix!$A$6:$B$10,2,0),IF(J98=4,VLOOKUP(K98+2,TPMatrix!$D$6:$E$9,2,0),0)),"")</f>
        <v>0</v>
      </c>
      <c r="O98" s="239">
        <f ca="1">IF(COUNTIF(K97:K101,K98)&gt;=4,IF(J98=5,VLOOKUP(K98+3,TPMatrix!$A$6:$B$10,2,0),IF(J98=4,VLOOKUP(K98+3,TPMatrix!$D$6:$E$9,2,0),0)),"")</f>
        <v>0</v>
      </c>
      <c r="P98" s="239">
        <f ca="1">IF(COUNTIF(K97:K101,K98)&gt;=5,IF(J98=5,VLOOKUP(K98+4,TPMatrix!$A$6:$B$10,2,0),IF(J98=4,VLOOKUP(K98+4,TPMatrix!$D$6:$E$9,2,0),0)),"")</f>
        <v>0</v>
      </c>
      <c r="Q98" s="239">
        <f t="shared" ca="1" si="28"/>
        <v>0</v>
      </c>
      <c r="R98" s="240">
        <f t="shared" ca="1" si="29"/>
        <v>5</v>
      </c>
      <c r="S98" s="238">
        <f t="shared" ca="1" si="30"/>
        <v>0</v>
      </c>
      <c r="T98" s="239">
        <f t="shared" si="31"/>
        <v>0</v>
      </c>
      <c r="U98" s="240">
        <f t="shared" ca="1" si="32"/>
        <v>0</v>
      </c>
      <c r="W98" s="36" t="str">
        <f t="shared" ca="1" si="33"/>
        <v/>
      </c>
      <c r="X98" s="36" t="str">
        <f ca="1">IF(ISNUMBER($A98),$W98*(Methuselahs!$A$4+1)+$A98,"")</f>
        <v/>
      </c>
      <c r="Y98" s="36" t="str">
        <f t="shared" ca="1" si="34"/>
        <v/>
      </c>
      <c r="Z98" s="36" t="str">
        <f ca="1">IF(ISNUMBER($A98),VLOOKUP($A98,Methuselahs!$A$7:$X$206,5),"")</f>
        <v/>
      </c>
      <c r="AA98" s="36" t="str">
        <f t="shared" ca="1" si="35"/>
        <v/>
      </c>
    </row>
    <row r="99" spans="1:27" ht="12.95" customHeight="1" x14ac:dyDescent="0.2">
      <c r="A99" s="137" t="str">
        <f ca="1">IF(OR(ISBLANK('Tournament Info'!$B$11),'Tournament Info'!$B$11&lt;&gt;4),"",INDIRECT(ADDRESS(ROW(),3,1,1,"Optimal Seating "&amp;'Tournament Info'!$B$11-1&amp;"R+F")))</f>
        <v/>
      </c>
      <c r="B99" s="143" t="str">
        <f ca="1">IF(ISNUMBER(A99),VLOOKUP(A99,Methuselahs!$A$7:$E$206,2,0),"")</f>
        <v/>
      </c>
      <c r="C99" s="241" t="str">
        <f ca="1">IF(ISNUMBER(A99),VLOOKUP(A99,Methuselahs!$A$7:$E$206,3,0),"")</f>
        <v/>
      </c>
      <c r="D99" s="242" t="str">
        <f t="shared" ca="1" si="24"/>
        <v/>
      </c>
      <c r="E99" s="243"/>
      <c r="F99" s="144">
        <f t="shared" si="25"/>
        <v>0</v>
      </c>
      <c r="G99" s="244" t="str">
        <f t="shared" ca="1" si="26"/>
        <v/>
      </c>
      <c r="H99" s="245" t="str">
        <f ca="1">IF(ISNUMBER(A99),IF(OR($S99=$U99,NOT(ISNA(MATCH($D99*5+$V$4,Override!$C$6:$C$125,0)))),$Q99,0),"")</f>
        <v/>
      </c>
      <c r="I99" s="147" t="str">
        <f t="shared" ca="1" si="27"/>
        <v/>
      </c>
      <c r="J99" s="246">
        <f ca="1">COUNT(A97:A101)</f>
        <v>0</v>
      </c>
      <c r="K99" s="247" t="str">
        <f ca="1">IF(ISNUMBER(A99),RANK(F99,F97:F101),"")</f>
        <v/>
      </c>
      <c r="L99" s="142">
        <f ca="1">IF(J99=5,VLOOKUP(K99,TPMatrix!$A$6:$B$10,2,0),IF(J99=4,VLOOKUP(K99,TPMatrix!$D$6:$E$9,2,0),0))</f>
        <v>0</v>
      </c>
      <c r="M99" s="142">
        <f ca="1">IF(COUNTIF(K97:K101,K99)&gt;=2,IF(J99=5,VLOOKUP(K99+1,TPMatrix!$A$6:$B$10,2,0),IF(J99=4,VLOOKUP(K99+1,TPMatrix!$D$6:$E$9,2,0),0)),"")</f>
        <v>0</v>
      </c>
      <c r="N99" s="142">
        <f ca="1">IF(COUNTIF(K97:K101,K99)&gt;=3,IF(J99=5,VLOOKUP(K99+2,TPMatrix!$A$6:$B$10,2,0),IF(J99=4,VLOOKUP(K99+2,TPMatrix!$D$6:$E$9,2,0),0)),"")</f>
        <v>0</v>
      </c>
      <c r="O99" s="142">
        <f ca="1">IF(COUNTIF(K97:K101,K99)&gt;=4,IF(J99=5,VLOOKUP(K99+3,TPMatrix!$A$6:$B$10,2,0),IF(J99=4,VLOOKUP(K99+3,TPMatrix!$D$6:$E$9,2,0),0)),"")</f>
        <v>0</v>
      </c>
      <c r="P99" s="142">
        <f ca="1">IF(COUNTIF(K97:K101,K99)&gt;=5,IF(J99=5,VLOOKUP(K99+4,TPMatrix!$A$6:$B$10,2,0),IF(J99=4,VLOOKUP(K99+4,TPMatrix!$D$6:$E$9,2,0),0)),"")</f>
        <v>0</v>
      </c>
      <c r="Q99" s="142">
        <f t="shared" ca="1" si="28"/>
        <v>0</v>
      </c>
      <c r="R99" s="248">
        <f t="shared" ca="1" si="29"/>
        <v>5</v>
      </c>
      <c r="S99" s="247">
        <f t="shared" ca="1" si="30"/>
        <v>0</v>
      </c>
      <c r="T99" s="142">
        <f t="shared" si="31"/>
        <v>0</v>
      </c>
      <c r="U99" s="248">
        <f t="shared" ca="1" si="32"/>
        <v>0</v>
      </c>
      <c r="W99" s="36" t="str">
        <f t="shared" ca="1" si="33"/>
        <v/>
      </c>
      <c r="X99" s="36" t="str">
        <f ca="1">IF(ISNUMBER($A99),$W99*(Methuselahs!$A$4+1)+$A99,"")</f>
        <v/>
      </c>
      <c r="Y99" s="36" t="str">
        <f t="shared" ca="1" si="34"/>
        <v/>
      </c>
      <c r="Z99" s="36" t="str">
        <f ca="1">IF(ISNUMBER($A99),VLOOKUP($A99,Methuselahs!$A$7:$X$206,5),"")</f>
        <v/>
      </c>
      <c r="AA99" s="36" t="str">
        <f t="shared" ca="1" si="35"/>
        <v/>
      </c>
    </row>
    <row r="100" spans="1:27" ht="12.95" customHeight="1" x14ac:dyDescent="0.2">
      <c r="A100" s="249" t="str">
        <f ca="1">IF(OR(ISBLANK('Tournament Info'!$B$11),'Tournament Info'!$B$11&lt;&gt;4),"",INDIRECT(ADDRESS(ROW(),3,1,1,"Optimal Seating "&amp;'Tournament Info'!$B$11-1&amp;"R+F")))</f>
        <v/>
      </c>
      <c r="B100" s="250" t="str">
        <f ca="1">IF(ISNUMBER(A100),VLOOKUP(A100,Methuselahs!$A$7:$E$206,2,0),"")</f>
        <v/>
      </c>
      <c r="C100" s="251" t="str">
        <f ca="1">IF(ISNUMBER(A100),VLOOKUP(A100,Methuselahs!$A$7:$E$206,3,0),"")</f>
        <v/>
      </c>
      <c r="D100" s="252" t="str">
        <f t="shared" ca="1" si="24"/>
        <v/>
      </c>
      <c r="E100" s="253"/>
      <c r="F100" s="397">
        <f t="shared" si="25"/>
        <v>0</v>
      </c>
      <c r="G100" s="235" t="str">
        <f t="shared" ca="1" si="26"/>
        <v/>
      </c>
      <c r="H100" s="236" t="str">
        <f ca="1">IF(ISNUMBER(A100),IF(OR($S100=$U100,NOT(ISNA(MATCH($D100*5+$V$4,Override!$C$6:$C$125,0)))),$Q100,0),"")</f>
        <v/>
      </c>
      <c r="I100" s="121" t="str">
        <f t="shared" ca="1" si="27"/>
        <v/>
      </c>
      <c r="J100" s="254">
        <f ca="1">COUNT(A97:A101)</f>
        <v>0</v>
      </c>
      <c r="K100" s="238" t="str">
        <f ca="1">IF(ISNUMBER(A100),RANK(F100,F97:F101),"")</f>
        <v/>
      </c>
      <c r="L100" s="239">
        <f ca="1">IF(J100=5,VLOOKUP(K100,TPMatrix!$A$6:$B$10,2,0),IF(J100=4,VLOOKUP(K100,TPMatrix!$D$6:$E$9,2,0),0))</f>
        <v>0</v>
      </c>
      <c r="M100" s="239">
        <f ca="1">IF(COUNTIF(K97:K101,K100)&gt;=2,IF(J100=5,VLOOKUP(K100+1,TPMatrix!$A$6:$B$10,2,0),IF(J100=4,VLOOKUP(K100+1,TPMatrix!$D$6:$E$9,2,0),0)),"")</f>
        <v>0</v>
      </c>
      <c r="N100" s="239">
        <f ca="1">IF(COUNTIF(K97:K101,K100)&gt;=3,IF(J100=5,VLOOKUP(K100+2,TPMatrix!$A$6:$B$10,2,0),IF(J100=4,VLOOKUP(K100+2,TPMatrix!$D$6:$E$9,2,0),0)),"")</f>
        <v>0</v>
      </c>
      <c r="O100" s="239">
        <f ca="1">IF(COUNTIF(K97:K101,K100)&gt;=4,IF(J100=5,VLOOKUP(K100+3,TPMatrix!$A$6:$B$10,2,0),IF(J100=4,VLOOKUP(K100+3,TPMatrix!$D$6:$E$9,2,0),0)),"")</f>
        <v>0</v>
      </c>
      <c r="P100" s="239">
        <f ca="1">IF(COUNTIF(K97:K101,K100)&gt;=5,IF(J100=5,VLOOKUP(K100+4,TPMatrix!$A$6:$B$10,2,0),IF(J100=4,VLOOKUP(K100+4,TPMatrix!$D$6:$E$9,2,0),0)),"")</f>
        <v>0</v>
      </c>
      <c r="Q100" s="239">
        <f t="shared" ca="1" si="28"/>
        <v>0</v>
      </c>
      <c r="R100" s="240">
        <f t="shared" ca="1" si="29"/>
        <v>5</v>
      </c>
      <c r="S100" s="238">
        <f t="shared" ca="1" si="30"/>
        <v>0</v>
      </c>
      <c r="T100" s="239">
        <f t="shared" si="31"/>
        <v>0</v>
      </c>
      <c r="U100" s="240">
        <f t="shared" ca="1" si="32"/>
        <v>0</v>
      </c>
      <c r="W100" s="36" t="str">
        <f t="shared" ca="1" si="33"/>
        <v/>
      </c>
      <c r="X100" s="36" t="str">
        <f ca="1">IF(ISNUMBER($A100),$W100*(Methuselahs!$A$4+1)+$A100,"")</f>
        <v/>
      </c>
      <c r="Y100" s="36" t="str">
        <f t="shared" ca="1" si="34"/>
        <v/>
      </c>
      <c r="Z100" s="36" t="str">
        <f ca="1">IF(ISNUMBER($A100),VLOOKUP($A100,Methuselahs!$A$7:$X$206,5),"")</f>
        <v/>
      </c>
      <c r="AA100" s="36" t="str">
        <f t="shared" ca="1" si="35"/>
        <v/>
      </c>
    </row>
    <row r="101" spans="1:27" ht="12.95" customHeight="1" x14ac:dyDescent="0.2">
      <c r="A101" s="255" t="str">
        <f ca="1">IF(OR(ISBLANK('Tournament Info'!$B$11),'Tournament Info'!$B$11&lt;&gt;4),"",INDIRECT(ADDRESS(ROW(),3,1,1,"Optimal Seating "&amp;'Tournament Info'!$B$11-1&amp;"R+F")))</f>
        <v/>
      </c>
      <c r="B101" s="256" t="str">
        <f ca="1">IF(ISNUMBER(A101),VLOOKUP(A101,Methuselahs!$A$7:$E$206,2,0),"")</f>
        <v/>
      </c>
      <c r="C101" s="257" t="str">
        <f ca="1">IF(ISNUMBER(A101),VLOOKUP(A101,Methuselahs!$A$7:$E$206,3,0),"")</f>
        <v/>
      </c>
      <c r="D101" s="258" t="str">
        <f t="shared" ca="1" si="24"/>
        <v/>
      </c>
      <c r="E101" s="259"/>
      <c r="F101" s="398">
        <f t="shared" si="25"/>
        <v>0</v>
      </c>
      <c r="G101" s="244" t="str">
        <f t="shared" ca="1" si="26"/>
        <v/>
      </c>
      <c r="H101" s="245" t="str">
        <f ca="1">IF(ISNUMBER(A101),IF(OR($S101=$U101,NOT(ISNA(MATCH($D101*5+$V$4,Override!$C$6:$C$125,0)))),$Q101,0),"")</f>
        <v/>
      </c>
      <c r="I101" s="147" t="str">
        <f t="shared" ca="1" si="27"/>
        <v/>
      </c>
      <c r="J101" s="260">
        <f ca="1">COUNT(A97:A101)</f>
        <v>0</v>
      </c>
      <c r="K101" s="261" t="str">
        <f ca="1">IF(ISNUMBER(A101),RANK(F101,F97:F101),"")</f>
        <v/>
      </c>
      <c r="L101" s="262">
        <f ca="1">IF(J101=5,VLOOKUP(K101,TPMatrix!$A$6:$B$10,2,0),IF(J101=4,VLOOKUP(K101,TPMatrix!$D$6:$E$9,2,0),0))</f>
        <v>0</v>
      </c>
      <c r="M101" s="262">
        <f ca="1">IF(COUNTIF(K97:K101,K101)&gt;=2,IF(J101=5,VLOOKUP(K101+1,TPMatrix!$A$6:$B$10,2,0),IF(J101=4,VLOOKUP(K101+1,TPMatrix!$D$6:$E$9,2,0),0)),"")</f>
        <v>0</v>
      </c>
      <c r="N101" s="262">
        <f ca="1">IF(COUNTIF(K97:K101,K101)&gt;=3,IF(J101=5,VLOOKUP(K101+2,TPMatrix!$A$6:$B$10,2,0),IF(J101=4,VLOOKUP(K101+2,TPMatrix!$D$6:$E$9,2,0),0)),"")</f>
        <v>0</v>
      </c>
      <c r="O101" s="262">
        <f ca="1">IF(COUNTIF(K97:K101,K101)&gt;=4,IF(J101=5,VLOOKUP(K101+3,TPMatrix!$A$6:$B$10,2,0),IF(J101=4,VLOOKUP(K101+3,TPMatrix!$D$6:$E$9,2,0),0)),"")</f>
        <v>0</v>
      </c>
      <c r="P101" s="262">
        <f ca="1">IF(COUNTIF(K97:K101,K101)&gt;=5,IF(J101=5,VLOOKUP(K101+4,TPMatrix!$A$6:$B$10,2,0),IF(J101=4,VLOOKUP(K101+4,TPMatrix!$D$6:$E$9,2,0),0)),"")</f>
        <v>0</v>
      </c>
      <c r="Q101" s="262">
        <f t="shared" ca="1" si="28"/>
        <v>0</v>
      </c>
      <c r="R101" s="263">
        <f t="shared" ca="1" si="29"/>
        <v>5</v>
      </c>
      <c r="S101" s="261">
        <f t="shared" ca="1" si="30"/>
        <v>0</v>
      </c>
      <c r="T101" s="262">
        <f t="shared" si="31"/>
        <v>0</v>
      </c>
      <c r="U101" s="263">
        <f t="shared" ca="1" si="32"/>
        <v>0</v>
      </c>
      <c r="W101" s="36" t="str">
        <f t="shared" ca="1" si="33"/>
        <v/>
      </c>
      <c r="X101" s="36" t="str">
        <f ca="1">IF(ISNUMBER($A101),$W101*(Methuselahs!$A$4+1)+$A101,"")</f>
        <v/>
      </c>
      <c r="Y101" s="36" t="str">
        <f t="shared" ca="1" si="34"/>
        <v/>
      </c>
      <c r="Z101" s="36" t="str">
        <f ca="1">IF(ISNUMBER($A101),VLOOKUP($A101,Methuselahs!$A$7:$X$206,5),"")</f>
        <v/>
      </c>
      <c r="AA101" s="36" t="str">
        <f t="shared" ca="1" si="35"/>
        <v/>
      </c>
    </row>
    <row r="102" spans="1:27" ht="12.95" customHeight="1" x14ac:dyDescent="0.2">
      <c r="A102" s="219" t="str">
        <f ca="1">IF(OR(ISBLANK('Tournament Info'!$B$11),'Tournament Info'!$B$11&lt;&gt;4),"",INDIRECT(ADDRESS(ROW(),3,1,1,"Optimal Seating "&amp;'Tournament Info'!$B$11-1&amp;"R+F")))</f>
        <v/>
      </c>
      <c r="B102" s="143" t="str">
        <f ca="1">IF(ISNUMBER(A102),VLOOKUP(A102,Methuselahs!$A$7:$E$206,2,0),"")</f>
        <v/>
      </c>
      <c r="C102" s="220" t="str">
        <f ca="1">IF(ISNUMBER(A102),VLOOKUP(A102,Methuselahs!$A$7:$E$206,3,0),"")</f>
        <v/>
      </c>
      <c r="D102" s="221" t="str">
        <f t="shared" ca="1" si="24"/>
        <v/>
      </c>
      <c r="E102" s="222"/>
      <c r="F102" s="393">
        <f t="shared" si="25"/>
        <v>0</v>
      </c>
      <c r="G102" s="223" t="str">
        <f t="shared" ca="1" si="26"/>
        <v/>
      </c>
      <c r="H102" s="224" t="str">
        <f ca="1">IF(ISNUMBER(A102),IF(OR($S102=$U102,NOT(ISNA(MATCH($D102*5+$V$4,Override!$C$6:$C$125,0)))),$Q102,0),"")</f>
        <v/>
      </c>
      <c r="I102" s="406" t="str">
        <f t="shared" ca="1" si="27"/>
        <v/>
      </c>
      <c r="J102" s="225">
        <f ca="1">COUNT(A102:A106)</f>
        <v>0</v>
      </c>
      <c r="K102" s="226" t="str">
        <f ca="1">IF(ISNUMBER(A102),RANK(F102,F102:F106),"")</f>
        <v/>
      </c>
      <c r="L102" s="227">
        <f ca="1">IF(J102=5,VLOOKUP(K102,TPMatrix!$A$6:$B$10,2,0),IF(J102=4,VLOOKUP(K102,TPMatrix!$D$6:$E$9,2,0),0))</f>
        <v>0</v>
      </c>
      <c r="M102" s="227">
        <f ca="1">IF(COUNTIF(K102:K106,K102)&gt;=2,IF(J102=5,VLOOKUP(K102+1,TPMatrix!$A$6:$B$10,2,0),IF(J102=4,VLOOKUP(K102+1,TPMatrix!$D$6:$E$9,2,0),0)),"")</f>
        <v>0</v>
      </c>
      <c r="N102" s="227">
        <f ca="1">IF(COUNTIF(K102:K106,K102)&gt;=3,IF(J102=5,VLOOKUP(K102+2,TPMatrix!$A$6:$B$10,2,0),IF(J102=4,VLOOKUP(K102+2,TPMatrix!$D$6:$E$9,2,0),0)),"")</f>
        <v>0</v>
      </c>
      <c r="O102" s="227">
        <f ca="1">IF(COUNTIF(K102:K106,K102)&gt;=4,IF(J102=5,VLOOKUP(K102+3,TPMatrix!$A$6:$B$10,2,0),IF(J102=4,VLOOKUP(K102+3,TPMatrix!$D$6:$E$9,2,0),0)),"")</f>
        <v>0</v>
      </c>
      <c r="P102" s="227">
        <f ca="1">IF(COUNTIF(K102:K106,K102)&gt;=5,IF(J102=5,VLOOKUP(K102+4,TPMatrix!$A$6:$B$10,2,0),IF(J102=4,VLOOKUP(K102+4,TPMatrix!$D$6:$E$9,2,0),0)),"")</f>
        <v>0</v>
      </c>
      <c r="Q102" s="227">
        <f t="shared" ca="1" si="28"/>
        <v>0</v>
      </c>
      <c r="R102" s="228">
        <f t="shared" ca="1" si="29"/>
        <v>5</v>
      </c>
      <c r="S102" s="229">
        <f t="shared" ca="1" si="30"/>
        <v>0</v>
      </c>
      <c r="T102" s="230">
        <f t="shared" si="31"/>
        <v>0</v>
      </c>
      <c r="U102" s="231">
        <f t="shared" ca="1" si="32"/>
        <v>0</v>
      </c>
      <c r="W102" s="36" t="str">
        <f t="shared" ca="1" si="33"/>
        <v/>
      </c>
      <c r="X102" s="36" t="str">
        <f ca="1">IF(ISNUMBER($A102),$W102*(Methuselahs!$A$4+1)+$A102,"")</f>
        <v/>
      </c>
      <c r="Y102" s="36" t="str">
        <f t="shared" ca="1" si="34"/>
        <v/>
      </c>
      <c r="Z102" s="36" t="str">
        <f ca="1">IF(ISNUMBER($A102),VLOOKUP($A102,Methuselahs!$A$7:$X$206,5),"")</f>
        <v/>
      </c>
      <c r="AA102" s="36" t="str">
        <f t="shared" ca="1" si="35"/>
        <v/>
      </c>
    </row>
    <row r="103" spans="1:27" ht="12.95" customHeight="1" x14ac:dyDescent="0.2">
      <c r="A103" s="111" t="str">
        <f ca="1">IF(OR(ISBLANK('Tournament Info'!$B$11),'Tournament Info'!$B$11&lt;&gt;4),"",INDIRECT(ADDRESS(ROW(),3,1,1,"Optimal Seating "&amp;'Tournament Info'!$B$11-1&amp;"R+F")))</f>
        <v/>
      </c>
      <c r="B103" s="117" t="str">
        <f ca="1">IF(ISNUMBER(A103),VLOOKUP(A103,Methuselahs!$A$7:$E$206,2,0),"")</f>
        <v/>
      </c>
      <c r="C103" s="232" t="str">
        <f ca="1">IF(ISNUMBER(A103),VLOOKUP(A103,Methuselahs!$A$7:$E$206,3,0),"")</f>
        <v/>
      </c>
      <c r="D103" s="233" t="str">
        <f t="shared" ref="D103:D134" ca="1" si="36">IF(ISNUMBER(A103),FLOOR((ROW()-ROW($A$7))/5,1)+1,"")</f>
        <v/>
      </c>
      <c r="E103" s="234"/>
      <c r="F103" s="118">
        <f t="shared" ref="F103:F134" si="37">IF(ISNUMBER(E103),E103,0)</f>
        <v>0</v>
      </c>
      <c r="G103" s="235" t="str">
        <f t="shared" ref="G103:G134" ca="1" si="38">IF(ISNUMBER($A103),IF(AND($F103&gt;=2,$H103=60),1,0),"")</f>
        <v/>
      </c>
      <c r="H103" s="236" t="str">
        <f ca="1">IF(ISNUMBER(A103),IF(OR($S103=$U103,NOT(ISNA(MATCH($D103*5+$V$4,Override!$C$6:$C$125,0)))),$Q103,0),"")</f>
        <v/>
      </c>
      <c r="I103" s="121" t="str">
        <f t="shared" ref="I103:I134" ca="1" si="39">IF(ISNUMBER(A103),IF(J103=5,K103,IF(AND(J103=4,OR(K103=4,K103=3)),K103+1,K103)),"")</f>
        <v/>
      </c>
      <c r="J103" s="237">
        <f ca="1">COUNT(A102:A106)</f>
        <v>0</v>
      </c>
      <c r="K103" s="238" t="str">
        <f ca="1">IF(ISNUMBER(A103),RANK(F103,F102:F106),"")</f>
        <v/>
      </c>
      <c r="L103" s="239">
        <f ca="1">IF(J103=5,VLOOKUP(K103,TPMatrix!$A$6:$B$10,2,0),IF(J103=4,VLOOKUP(K103,TPMatrix!$D$6:$E$9,2,0),0))</f>
        <v>0</v>
      </c>
      <c r="M103" s="239">
        <f ca="1">IF(COUNTIF(K102:K106,K103)&gt;=2,IF(J103=5,VLOOKUP(K103+1,TPMatrix!$A$6:$B$10,2,0),IF(J103=4,VLOOKUP(K103+1,TPMatrix!$D$6:$E$9,2,0),0)),"")</f>
        <v>0</v>
      </c>
      <c r="N103" s="239">
        <f ca="1">IF(COUNTIF(K102:K106,K103)&gt;=3,IF(J103=5,VLOOKUP(K103+2,TPMatrix!$A$6:$B$10,2,0),IF(J103=4,VLOOKUP(K103+2,TPMatrix!$D$6:$E$9,2,0),0)),"")</f>
        <v>0</v>
      </c>
      <c r="O103" s="239">
        <f ca="1">IF(COUNTIF(K102:K106,K103)&gt;=4,IF(J103=5,VLOOKUP(K103+3,TPMatrix!$A$6:$B$10,2,0),IF(J103=4,VLOOKUP(K103+3,TPMatrix!$D$6:$E$9,2,0),0)),"")</f>
        <v>0</v>
      </c>
      <c r="P103" s="239">
        <f ca="1">IF(COUNTIF(K102:K106,K103)&gt;=5,IF(J103=5,VLOOKUP(K103+4,TPMatrix!$A$6:$B$10,2,0),IF(J103=4,VLOOKUP(K103+4,TPMatrix!$D$6:$E$9,2,0),0)),"")</f>
        <v>0</v>
      </c>
      <c r="Q103" s="239">
        <f t="shared" ref="Q103:Q134" ca="1" si="40">SUM(L103:P103)/COUNT(L103:P103)</f>
        <v>0</v>
      </c>
      <c r="R103" s="240">
        <f t="shared" ref="R103:R134" ca="1" si="41">COUNT(L103:P103)</f>
        <v>5</v>
      </c>
      <c r="S103" s="238">
        <f t="shared" ref="S103:S134" ca="1" si="42">IF(ISNUMBER($A103),COUNTIF($D$7:$D$206,$D103),0)</f>
        <v>0</v>
      </c>
      <c r="T103" s="239">
        <f t="shared" ref="T103:T134" si="43">CEILING($F103,1)</f>
        <v>0</v>
      </c>
      <c r="U103" s="240">
        <f t="shared" ref="U103:U134" ca="1" si="44">SUM(OFFSET(T103,-MOD(ROW()-ROW($U$7),5),0,5,1))</f>
        <v>0</v>
      </c>
      <c r="W103" s="36" t="str">
        <f t="shared" ref="W103:W134" ca="1" si="45">$I103</f>
        <v/>
      </c>
      <c r="X103" s="36" t="str">
        <f ca="1">IF(ISNUMBER($A103),$W103*(Methuselahs!$A$4+1)+$A103,"")</f>
        <v/>
      </c>
      <c r="Y103" s="36" t="str">
        <f t="shared" ref="Y103:Y134" ca="1" si="46">IF(ISNUMBER($A103),RANK($X103,$X103:$X107,1),"")</f>
        <v/>
      </c>
      <c r="Z103" s="36" t="str">
        <f ca="1">IF(ISNUMBER($A103),VLOOKUP($A103,Methuselahs!$A$7:$X$206,5),"")</f>
        <v/>
      </c>
      <c r="AA103" s="36" t="str">
        <f t="shared" ref="AA103:AA134" ca="1" si="47">$I103</f>
        <v/>
      </c>
    </row>
    <row r="104" spans="1:27" ht="12.95" customHeight="1" x14ac:dyDescent="0.2">
      <c r="A104" s="137" t="str">
        <f ca="1">IF(OR(ISBLANK('Tournament Info'!$B$11),'Tournament Info'!$B$11&lt;&gt;4),"",INDIRECT(ADDRESS(ROW(),3,1,1,"Optimal Seating "&amp;'Tournament Info'!$B$11-1&amp;"R+F")))</f>
        <v/>
      </c>
      <c r="B104" s="143" t="str">
        <f ca="1">IF(ISNUMBER(A104),VLOOKUP(A104,Methuselahs!$A$7:$E$206,2,0),"")</f>
        <v/>
      </c>
      <c r="C104" s="241" t="str">
        <f ca="1">IF(ISNUMBER(A104),VLOOKUP(A104,Methuselahs!$A$7:$E$206,3,0),"")</f>
        <v/>
      </c>
      <c r="D104" s="242" t="str">
        <f t="shared" ca="1" si="36"/>
        <v/>
      </c>
      <c r="E104" s="243"/>
      <c r="F104" s="144">
        <f t="shared" si="37"/>
        <v>0</v>
      </c>
      <c r="G104" s="244" t="str">
        <f t="shared" ca="1" si="38"/>
        <v/>
      </c>
      <c r="H104" s="245" t="str">
        <f ca="1">IF(ISNUMBER(A104),IF(OR($S104=$U104,NOT(ISNA(MATCH($D104*5+$V$4,Override!$C$6:$C$125,0)))),$Q104,0),"")</f>
        <v/>
      </c>
      <c r="I104" s="147" t="str">
        <f t="shared" ca="1" si="39"/>
        <v/>
      </c>
      <c r="J104" s="246">
        <f ca="1">COUNT(A102:A106)</f>
        <v>0</v>
      </c>
      <c r="K104" s="247" t="str">
        <f ca="1">IF(ISNUMBER(A104),RANK(F104,F102:F106),"")</f>
        <v/>
      </c>
      <c r="L104" s="142">
        <f ca="1">IF(J104=5,VLOOKUP(K104,TPMatrix!$A$6:$B$10,2,0),IF(J104=4,VLOOKUP(K104,TPMatrix!$D$6:$E$9,2,0),0))</f>
        <v>0</v>
      </c>
      <c r="M104" s="142">
        <f ca="1">IF(COUNTIF(K102:K106,K104)&gt;=2,IF(J104=5,VLOOKUP(K104+1,TPMatrix!$A$6:$B$10,2,0),IF(J104=4,VLOOKUP(K104+1,TPMatrix!$D$6:$E$9,2,0),0)),"")</f>
        <v>0</v>
      </c>
      <c r="N104" s="142">
        <f ca="1">IF(COUNTIF(K102:K106,K104)&gt;=3,IF(J104=5,VLOOKUP(K104+2,TPMatrix!$A$6:$B$10,2,0),IF(J104=4,VLOOKUP(K104+2,TPMatrix!$D$6:$E$9,2,0),0)),"")</f>
        <v>0</v>
      </c>
      <c r="O104" s="142">
        <f ca="1">IF(COUNTIF(K102:K106,K104)&gt;=4,IF(J104=5,VLOOKUP(K104+3,TPMatrix!$A$6:$B$10,2,0),IF(J104=4,VLOOKUP(K104+3,TPMatrix!$D$6:$E$9,2,0),0)),"")</f>
        <v>0</v>
      </c>
      <c r="P104" s="142">
        <f ca="1">IF(COUNTIF(K102:K106,K104)&gt;=5,IF(J104=5,VLOOKUP(K104+4,TPMatrix!$A$6:$B$10,2,0),IF(J104=4,VLOOKUP(K104+4,TPMatrix!$D$6:$E$9,2,0),0)),"")</f>
        <v>0</v>
      </c>
      <c r="Q104" s="142">
        <f t="shared" ca="1" si="40"/>
        <v>0</v>
      </c>
      <c r="R104" s="248">
        <f t="shared" ca="1" si="41"/>
        <v>5</v>
      </c>
      <c r="S104" s="247">
        <f t="shared" ca="1" si="42"/>
        <v>0</v>
      </c>
      <c r="T104" s="142">
        <f t="shared" si="43"/>
        <v>0</v>
      </c>
      <c r="U104" s="248">
        <f t="shared" ca="1" si="44"/>
        <v>0</v>
      </c>
      <c r="W104" s="36" t="str">
        <f t="shared" ca="1" si="45"/>
        <v/>
      </c>
      <c r="X104" s="36" t="str">
        <f ca="1">IF(ISNUMBER($A104),$W104*(Methuselahs!$A$4+1)+$A104,"")</f>
        <v/>
      </c>
      <c r="Y104" s="36" t="str">
        <f t="shared" ca="1" si="46"/>
        <v/>
      </c>
      <c r="Z104" s="36" t="str">
        <f ca="1">IF(ISNUMBER($A104),VLOOKUP($A104,Methuselahs!$A$7:$X$206,5),"")</f>
        <v/>
      </c>
      <c r="AA104" s="36" t="str">
        <f t="shared" ca="1" si="47"/>
        <v/>
      </c>
    </row>
    <row r="105" spans="1:27" ht="12.95" customHeight="1" x14ac:dyDescent="0.2">
      <c r="A105" s="249" t="str">
        <f ca="1">IF(OR(ISBLANK('Tournament Info'!$B$11),'Tournament Info'!$B$11&lt;&gt;4),"",INDIRECT(ADDRESS(ROW(),3,1,1,"Optimal Seating "&amp;'Tournament Info'!$B$11-1&amp;"R+F")))</f>
        <v/>
      </c>
      <c r="B105" s="250" t="str">
        <f ca="1">IF(ISNUMBER(A105),VLOOKUP(A105,Methuselahs!$A$7:$E$206,2,0),"")</f>
        <v/>
      </c>
      <c r="C105" s="251" t="str">
        <f ca="1">IF(ISNUMBER(A105),VLOOKUP(A105,Methuselahs!$A$7:$E$206,3,0),"")</f>
        <v/>
      </c>
      <c r="D105" s="252" t="str">
        <f t="shared" ca="1" si="36"/>
        <v/>
      </c>
      <c r="E105" s="253"/>
      <c r="F105" s="397">
        <f t="shared" si="37"/>
        <v>0</v>
      </c>
      <c r="G105" s="235" t="str">
        <f t="shared" ca="1" si="38"/>
        <v/>
      </c>
      <c r="H105" s="236" t="str">
        <f ca="1">IF(ISNUMBER(A105),IF(OR($S105=$U105,NOT(ISNA(MATCH($D105*5+$V$4,Override!$C$6:$C$125,0)))),$Q105,0),"")</f>
        <v/>
      </c>
      <c r="I105" s="121" t="str">
        <f t="shared" ca="1" si="39"/>
        <v/>
      </c>
      <c r="J105" s="254">
        <f ca="1">COUNT(A102:A106)</f>
        <v>0</v>
      </c>
      <c r="K105" s="238" t="str">
        <f ca="1">IF(ISNUMBER(A105),RANK(F105,F102:F106),"")</f>
        <v/>
      </c>
      <c r="L105" s="239">
        <f ca="1">IF(J105=5,VLOOKUP(K105,TPMatrix!$A$6:$B$10,2,0),IF(J105=4,VLOOKUP(K105,TPMatrix!$D$6:$E$9,2,0),0))</f>
        <v>0</v>
      </c>
      <c r="M105" s="239">
        <f ca="1">IF(COUNTIF(K102:K106,K105)&gt;=2,IF(J105=5,VLOOKUP(K105+1,TPMatrix!$A$6:$B$10,2,0),IF(J105=4,VLOOKUP(K105+1,TPMatrix!$D$6:$E$9,2,0),0)),"")</f>
        <v>0</v>
      </c>
      <c r="N105" s="239">
        <f ca="1">IF(COUNTIF(K102:K106,K105)&gt;=3,IF(J105=5,VLOOKUP(K105+2,TPMatrix!$A$6:$B$10,2,0),IF(J105=4,VLOOKUP(K105+2,TPMatrix!$D$6:$E$9,2,0),0)),"")</f>
        <v>0</v>
      </c>
      <c r="O105" s="239">
        <f ca="1">IF(COUNTIF(K102:K106,K105)&gt;=4,IF(J105=5,VLOOKUP(K105+3,TPMatrix!$A$6:$B$10,2,0),IF(J105=4,VLOOKUP(K105+3,TPMatrix!$D$6:$E$9,2,0),0)),"")</f>
        <v>0</v>
      </c>
      <c r="P105" s="239">
        <f ca="1">IF(COUNTIF(K102:K106,K105)&gt;=5,IF(J105=5,VLOOKUP(K105+4,TPMatrix!$A$6:$B$10,2,0),IF(J105=4,VLOOKUP(K105+4,TPMatrix!$D$6:$E$9,2,0),0)),"")</f>
        <v>0</v>
      </c>
      <c r="Q105" s="239">
        <f t="shared" ca="1" si="40"/>
        <v>0</v>
      </c>
      <c r="R105" s="240">
        <f t="shared" ca="1" si="41"/>
        <v>5</v>
      </c>
      <c r="S105" s="238">
        <f t="shared" ca="1" si="42"/>
        <v>0</v>
      </c>
      <c r="T105" s="239">
        <f t="shared" si="43"/>
        <v>0</v>
      </c>
      <c r="U105" s="240">
        <f t="shared" ca="1" si="44"/>
        <v>0</v>
      </c>
      <c r="W105" s="36" t="str">
        <f t="shared" ca="1" si="45"/>
        <v/>
      </c>
      <c r="X105" s="36" t="str">
        <f ca="1">IF(ISNUMBER($A105),$W105*(Methuselahs!$A$4+1)+$A105,"")</f>
        <v/>
      </c>
      <c r="Y105" s="36" t="str">
        <f t="shared" ca="1" si="46"/>
        <v/>
      </c>
      <c r="Z105" s="36" t="str">
        <f ca="1">IF(ISNUMBER($A105),VLOOKUP($A105,Methuselahs!$A$7:$X$206,5),"")</f>
        <v/>
      </c>
      <c r="AA105" s="36" t="str">
        <f t="shared" ca="1" si="47"/>
        <v/>
      </c>
    </row>
    <row r="106" spans="1:27" ht="12.95" customHeight="1" x14ac:dyDescent="0.2">
      <c r="A106" s="255" t="str">
        <f ca="1">IF(OR(ISBLANK('Tournament Info'!$B$11),'Tournament Info'!$B$11&lt;&gt;4),"",INDIRECT(ADDRESS(ROW(),3,1,1,"Optimal Seating "&amp;'Tournament Info'!$B$11-1&amp;"R+F")))</f>
        <v/>
      </c>
      <c r="B106" s="256" t="str">
        <f ca="1">IF(ISNUMBER(A106),VLOOKUP(A106,Methuselahs!$A$7:$E$206,2,0),"")</f>
        <v/>
      </c>
      <c r="C106" s="257" t="str">
        <f ca="1">IF(ISNUMBER(A106),VLOOKUP(A106,Methuselahs!$A$7:$E$206,3,0),"")</f>
        <v/>
      </c>
      <c r="D106" s="258" t="str">
        <f t="shared" ca="1" si="36"/>
        <v/>
      </c>
      <c r="E106" s="259"/>
      <c r="F106" s="398">
        <f t="shared" si="37"/>
        <v>0</v>
      </c>
      <c r="G106" s="244" t="str">
        <f t="shared" ca="1" si="38"/>
        <v/>
      </c>
      <c r="H106" s="245" t="str">
        <f ca="1">IF(ISNUMBER(A106),IF(OR($S106=$U106,NOT(ISNA(MATCH($D106*5+$V$4,Override!$C$6:$C$125,0)))),$Q106,0),"")</f>
        <v/>
      </c>
      <c r="I106" s="147" t="str">
        <f t="shared" ca="1" si="39"/>
        <v/>
      </c>
      <c r="J106" s="260">
        <f ca="1">COUNT(A102:A106)</f>
        <v>0</v>
      </c>
      <c r="K106" s="261" t="str">
        <f ca="1">IF(ISNUMBER(A106),RANK(F106,F102:F106),"")</f>
        <v/>
      </c>
      <c r="L106" s="262">
        <f ca="1">IF(J106=5,VLOOKUP(K106,TPMatrix!$A$6:$B$10,2,0),IF(J106=4,VLOOKUP(K106,TPMatrix!$D$6:$E$9,2,0),0))</f>
        <v>0</v>
      </c>
      <c r="M106" s="262">
        <f ca="1">IF(COUNTIF(K102:K106,K106)&gt;=2,IF(J106=5,VLOOKUP(K106+1,TPMatrix!$A$6:$B$10,2,0),IF(J106=4,VLOOKUP(K106+1,TPMatrix!$D$6:$E$9,2,0),0)),"")</f>
        <v>0</v>
      </c>
      <c r="N106" s="262">
        <f ca="1">IF(COUNTIF(K102:K106,K106)&gt;=3,IF(J106=5,VLOOKUP(K106+2,TPMatrix!$A$6:$B$10,2,0),IF(J106=4,VLOOKUP(K106+2,TPMatrix!$D$6:$E$9,2,0),0)),"")</f>
        <v>0</v>
      </c>
      <c r="O106" s="262">
        <f ca="1">IF(COUNTIF(K102:K106,K106)&gt;=4,IF(J106=5,VLOOKUP(K106+3,TPMatrix!$A$6:$B$10,2,0),IF(J106=4,VLOOKUP(K106+3,TPMatrix!$D$6:$E$9,2,0),0)),"")</f>
        <v>0</v>
      </c>
      <c r="P106" s="262">
        <f ca="1">IF(COUNTIF(K102:K106,K106)&gt;=5,IF(J106=5,VLOOKUP(K106+4,TPMatrix!$A$6:$B$10,2,0),IF(J106=4,VLOOKUP(K106+4,TPMatrix!$D$6:$E$9,2,0),0)),"")</f>
        <v>0</v>
      </c>
      <c r="Q106" s="262">
        <f t="shared" ca="1" si="40"/>
        <v>0</v>
      </c>
      <c r="R106" s="263">
        <f t="shared" ca="1" si="41"/>
        <v>5</v>
      </c>
      <c r="S106" s="261">
        <f t="shared" ca="1" si="42"/>
        <v>0</v>
      </c>
      <c r="T106" s="262">
        <f t="shared" si="43"/>
        <v>0</v>
      </c>
      <c r="U106" s="263">
        <f t="shared" ca="1" si="44"/>
        <v>0</v>
      </c>
      <c r="W106" s="36" t="str">
        <f t="shared" ca="1" si="45"/>
        <v/>
      </c>
      <c r="X106" s="36" t="str">
        <f ca="1">IF(ISNUMBER($A106),$W106*(Methuselahs!$A$4+1)+$A106,"")</f>
        <v/>
      </c>
      <c r="Y106" s="36" t="str">
        <f t="shared" ca="1" si="46"/>
        <v/>
      </c>
      <c r="Z106" s="36" t="str">
        <f ca="1">IF(ISNUMBER($A106),VLOOKUP($A106,Methuselahs!$A$7:$X$206,5),"")</f>
        <v/>
      </c>
      <c r="AA106" s="36" t="str">
        <f t="shared" ca="1" si="47"/>
        <v/>
      </c>
    </row>
    <row r="107" spans="1:27" ht="12.95" customHeight="1" x14ac:dyDescent="0.2">
      <c r="A107" s="219" t="str">
        <f ca="1">IF(OR(ISBLANK('Tournament Info'!$B$11),'Tournament Info'!$B$11&lt;&gt;4),"",INDIRECT(ADDRESS(ROW(),3,1,1,"Optimal Seating "&amp;'Tournament Info'!$B$11-1&amp;"R+F")))</f>
        <v/>
      </c>
      <c r="B107" s="143" t="str">
        <f ca="1">IF(ISNUMBER(A107),VLOOKUP(A107,Methuselahs!$A$7:$E$206,2,0),"")</f>
        <v/>
      </c>
      <c r="C107" s="220" t="str">
        <f ca="1">IF(ISNUMBER(A107),VLOOKUP(A107,Methuselahs!$A$7:$E$206,3,0),"")</f>
        <v/>
      </c>
      <c r="D107" s="221" t="str">
        <f t="shared" ca="1" si="36"/>
        <v/>
      </c>
      <c r="E107" s="222"/>
      <c r="F107" s="393">
        <f t="shared" si="37"/>
        <v>0</v>
      </c>
      <c r="G107" s="223" t="str">
        <f t="shared" ca="1" si="38"/>
        <v/>
      </c>
      <c r="H107" s="224" t="str">
        <f ca="1">IF(ISNUMBER(A107),IF(OR($S107=$U107,NOT(ISNA(MATCH($D107*5+$V$4,Override!$C$6:$C$125,0)))),$Q107,0),"")</f>
        <v/>
      </c>
      <c r="I107" s="406" t="str">
        <f t="shared" ca="1" si="39"/>
        <v/>
      </c>
      <c r="J107" s="225">
        <f ca="1">COUNT(A107:A111)</f>
        <v>0</v>
      </c>
      <c r="K107" s="226" t="str">
        <f ca="1">IF(ISNUMBER(A107),RANK(F107,F107:F111),"")</f>
        <v/>
      </c>
      <c r="L107" s="227">
        <f ca="1">IF(J107=5,VLOOKUP(K107,TPMatrix!$A$6:$B$10,2,0),IF(J107=4,VLOOKUP(K107,TPMatrix!$D$6:$E$9,2,0),0))</f>
        <v>0</v>
      </c>
      <c r="M107" s="227">
        <f ca="1">IF(COUNTIF(K107:K111,K107)&gt;=2,IF(J107=5,VLOOKUP(K107+1,TPMatrix!$A$6:$B$10,2,0),IF(J107=4,VLOOKUP(K107+1,TPMatrix!$D$6:$E$9,2,0),0)),"")</f>
        <v>0</v>
      </c>
      <c r="N107" s="227">
        <f ca="1">IF(COUNTIF(K107:K111,K107)&gt;=3,IF(J107=5,VLOOKUP(K107+2,TPMatrix!$A$6:$B$10,2,0),IF(J107=4,VLOOKUP(K107+2,TPMatrix!$D$6:$E$9,2,0),0)),"")</f>
        <v>0</v>
      </c>
      <c r="O107" s="227">
        <f ca="1">IF(COUNTIF(K107:K111,K107)&gt;=4,IF(J107=5,VLOOKUP(K107+3,TPMatrix!$A$6:$B$10,2,0),IF(J107=4,VLOOKUP(K107+3,TPMatrix!$D$6:$E$9,2,0),0)),"")</f>
        <v>0</v>
      </c>
      <c r="P107" s="227">
        <f ca="1">IF(COUNTIF(K107:K111,K107)&gt;=5,IF(J107=5,VLOOKUP(K107+4,TPMatrix!$A$6:$B$10,2,0),IF(J107=4,VLOOKUP(K107+4,TPMatrix!$D$6:$E$9,2,0),0)),"")</f>
        <v>0</v>
      </c>
      <c r="Q107" s="227">
        <f t="shared" ca="1" si="40"/>
        <v>0</v>
      </c>
      <c r="R107" s="228">
        <f t="shared" ca="1" si="41"/>
        <v>5</v>
      </c>
      <c r="S107" s="229">
        <f t="shared" ca="1" si="42"/>
        <v>0</v>
      </c>
      <c r="T107" s="230">
        <f t="shared" si="43"/>
        <v>0</v>
      </c>
      <c r="U107" s="231">
        <f t="shared" ca="1" si="44"/>
        <v>0</v>
      </c>
      <c r="W107" s="36" t="str">
        <f t="shared" ca="1" si="45"/>
        <v/>
      </c>
      <c r="X107" s="36" t="str">
        <f ca="1">IF(ISNUMBER($A107),$W107*(Methuselahs!$A$4+1)+$A107,"")</f>
        <v/>
      </c>
      <c r="Y107" s="36" t="str">
        <f t="shared" ca="1" si="46"/>
        <v/>
      </c>
      <c r="Z107" s="36" t="str">
        <f ca="1">IF(ISNUMBER($A107),VLOOKUP($A107,Methuselahs!$A$7:$X$206,5),"")</f>
        <v/>
      </c>
      <c r="AA107" s="36" t="str">
        <f t="shared" ca="1" si="47"/>
        <v/>
      </c>
    </row>
    <row r="108" spans="1:27" ht="12.95" customHeight="1" x14ac:dyDescent="0.2">
      <c r="A108" s="111" t="str">
        <f ca="1">IF(OR(ISBLANK('Tournament Info'!$B$11),'Tournament Info'!$B$11&lt;&gt;4),"",INDIRECT(ADDRESS(ROW(),3,1,1,"Optimal Seating "&amp;'Tournament Info'!$B$11-1&amp;"R+F")))</f>
        <v/>
      </c>
      <c r="B108" s="117" t="str">
        <f ca="1">IF(ISNUMBER(A108),VLOOKUP(A108,Methuselahs!$A$7:$E$206,2,0),"")</f>
        <v/>
      </c>
      <c r="C108" s="232" t="str">
        <f ca="1">IF(ISNUMBER(A108),VLOOKUP(A108,Methuselahs!$A$7:$E$206,3,0),"")</f>
        <v/>
      </c>
      <c r="D108" s="233" t="str">
        <f t="shared" ca="1" si="36"/>
        <v/>
      </c>
      <c r="E108" s="234"/>
      <c r="F108" s="118">
        <f t="shared" si="37"/>
        <v>0</v>
      </c>
      <c r="G108" s="235" t="str">
        <f t="shared" ca="1" si="38"/>
        <v/>
      </c>
      <c r="H108" s="236" t="str">
        <f ca="1">IF(ISNUMBER(A108),IF(OR($S108=$U108,NOT(ISNA(MATCH($D108*5+$V$4,Override!$C$6:$C$125,0)))),$Q108,0),"")</f>
        <v/>
      </c>
      <c r="I108" s="121" t="str">
        <f t="shared" ca="1" si="39"/>
        <v/>
      </c>
      <c r="J108" s="237">
        <f ca="1">COUNT(A107:A111)</f>
        <v>0</v>
      </c>
      <c r="K108" s="238" t="str">
        <f ca="1">IF(ISNUMBER(A108),RANK(F108,F107:F111),"")</f>
        <v/>
      </c>
      <c r="L108" s="239">
        <f ca="1">IF(J108=5,VLOOKUP(K108,TPMatrix!$A$6:$B$10,2,0),IF(J108=4,VLOOKUP(K108,TPMatrix!$D$6:$E$9,2,0),0))</f>
        <v>0</v>
      </c>
      <c r="M108" s="239">
        <f ca="1">IF(COUNTIF(K107:K111,K108)&gt;=2,IF(J108=5,VLOOKUP(K108+1,TPMatrix!$A$6:$B$10,2,0),IF(J108=4,VLOOKUP(K108+1,TPMatrix!$D$6:$E$9,2,0),0)),"")</f>
        <v>0</v>
      </c>
      <c r="N108" s="239">
        <f ca="1">IF(COUNTIF(K107:K111,K108)&gt;=3,IF(J108=5,VLOOKUP(K108+2,TPMatrix!$A$6:$B$10,2,0),IF(J108=4,VLOOKUP(K108+2,TPMatrix!$D$6:$E$9,2,0),0)),"")</f>
        <v>0</v>
      </c>
      <c r="O108" s="239">
        <f ca="1">IF(COUNTIF(K107:K111,K108)&gt;=4,IF(J108=5,VLOOKUP(K108+3,TPMatrix!$A$6:$B$10,2,0),IF(J108=4,VLOOKUP(K108+3,TPMatrix!$D$6:$E$9,2,0),0)),"")</f>
        <v>0</v>
      </c>
      <c r="P108" s="239">
        <f ca="1">IF(COUNTIF(K107:K111,K108)&gt;=5,IF(J108=5,VLOOKUP(K108+4,TPMatrix!$A$6:$B$10,2,0),IF(J108=4,VLOOKUP(K108+4,TPMatrix!$D$6:$E$9,2,0),0)),"")</f>
        <v>0</v>
      </c>
      <c r="Q108" s="239">
        <f t="shared" ca="1" si="40"/>
        <v>0</v>
      </c>
      <c r="R108" s="240">
        <f t="shared" ca="1" si="41"/>
        <v>5</v>
      </c>
      <c r="S108" s="238">
        <f t="shared" ca="1" si="42"/>
        <v>0</v>
      </c>
      <c r="T108" s="239">
        <f t="shared" si="43"/>
        <v>0</v>
      </c>
      <c r="U108" s="240">
        <f t="shared" ca="1" si="44"/>
        <v>0</v>
      </c>
      <c r="W108" s="36" t="str">
        <f t="shared" ca="1" si="45"/>
        <v/>
      </c>
      <c r="X108" s="36" t="str">
        <f ca="1">IF(ISNUMBER($A108),$W108*(Methuselahs!$A$4+1)+$A108,"")</f>
        <v/>
      </c>
      <c r="Y108" s="36" t="str">
        <f t="shared" ca="1" si="46"/>
        <v/>
      </c>
      <c r="Z108" s="36" t="str">
        <f ca="1">IF(ISNUMBER($A108),VLOOKUP($A108,Methuselahs!$A$7:$X$206,5),"")</f>
        <v/>
      </c>
      <c r="AA108" s="36" t="str">
        <f t="shared" ca="1" si="47"/>
        <v/>
      </c>
    </row>
    <row r="109" spans="1:27" ht="12.95" customHeight="1" x14ac:dyDescent="0.2">
      <c r="A109" s="137" t="str">
        <f ca="1">IF(OR(ISBLANK('Tournament Info'!$B$11),'Tournament Info'!$B$11&lt;&gt;4),"",INDIRECT(ADDRESS(ROW(),3,1,1,"Optimal Seating "&amp;'Tournament Info'!$B$11-1&amp;"R+F")))</f>
        <v/>
      </c>
      <c r="B109" s="143" t="str">
        <f ca="1">IF(ISNUMBER(A109),VLOOKUP(A109,Methuselahs!$A$7:$E$206,2,0),"")</f>
        <v/>
      </c>
      <c r="C109" s="241" t="str">
        <f ca="1">IF(ISNUMBER(A109),VLOOKUP(A109,Methuselahs!$A$7:$E$206,3,0),"")</f>
        <v/>
      </c>
      <c r="D109" s="242" t="str">
        <f t="shared" ca="1" si="36"/>
        <v/>
      </c>
      <c r="E109" s="243"/>
      <c r="F109" s="144">
        <f t="shared" si="37"/>
        <v>0</v>
      </c>
      <c r="G109" s="244" t="str">
        <f t="shared" ca="1" si="38"/>
        <v/>
      </c>
      <c r="H109" s="245" t="str">
        <f ca="1">IF(ISNUMBER(A109),IF(OR($S109=$U109,NOT(ISNA(MATCH($D109*5+$V$4,Override!$C$6:$C$125,0)))),$Q109,0),"")</f>
        <v/>
      </c>
      <c r="I109" s="147" t="str">
        <f t="shared" ca="1" si="39"/>
        <v/>
      </c>
      <c r="J109" s="246">
        <f ca="1">COUNT(A107:A111)</f>
        <v>0</v>
      </c>
      <c r="K109" s="247" t="str">
        <f ca="1">IF(ISNUMBER(A109),RANK(F109,F107:F111),"")</f>
        <v/>
      </c>
      <c r="L109" s="142">
        <f ca="1">IF(J109=5,VLOOKUP(K109,TPMatrix!$A$6:$B$10,2,0),IF(J109=4,VLOOKUP(K109,TPMatrix!$D$6:$E$9,2,0),0))</f>
        <v>0</v>
      </c>
      <c r="M109" s="142">
        <f ca="1">IF(COUNTIF(K107:K111,K109)&gt;=2,IF(J109=5,VLOOKUP(K109+1,TPMatrix!$A$6:$B$10,2,0),IF(J109=4,VLOOKUP(K109+1,TPMatrix!$D$6:$E$9,2,0),0)),"")</f>
        <v>0</v>
      </c>
      <c r="N109" s="142">
        <f ca="1">IF(COUNTIF(K107:K111,K109)&gt;=3,IF(J109=5,VLOOKUP(K109+2,TPMatrix!$A$6:$B$10,2,0),IF(J109=4,VLOOKUP(K109+2,TPMatrix!$D$6:$E$9,2,0),0)),"")</f>
        <v>0</v>
      </c>
      <c r="O109" s="142">
        <f ca="1">IF(COUNTIF(K107:K111,K109)&gt;=4,IF(J109=5,VLOOKUP(K109+3,TPMatrix!$A$6:$B$10,2,0),IF(J109=4,VLOOKUP(K109+3,TPMatrix!$D$6:$E$9,2,0),0)),"")</f>
        <v>0</v>
      </c>
      <c r="P109" s="142">
        <f ca="1">IF(COUNTIF(K107:K111,K109)&gt;=5,IF(J109=5,VLOOKUP(K109+4,TPMatrix!$A$6:$B$10,2,0),IF(J109=4,VLOOKUP(K109+4,TPMatrix!$D$6:$E$9,2,0),0)),"")</f>
        <v>0</v>
      </c>
      <c r="Q109" s="142">
        <f t="shared" ca="1" si="40"/>
        <v>0</v>
      </c>
      <c r="R109" s="248">
        <f t="shared" ca="1" si="41"/>
        <v>5</v>
      </c>
      <c r="S109" s="247">
        <f t="shared" ca="1" si="42"/>
        <v>0</v>
      </c>
      <c r="T109" s="142">
        <f t="shared" si="43"/>
        <v>0</v>
      </c>
      <c r="U109" s="248">
        <f t="shared" ca="1" si="44"/>
        <v>0</v>
      </c>
      <c r="W109" s="36" t="str">
        <f t="shared" ca="1" si="45"/>
        <v/>
      </c>
      <c r="X109" s="36" t="str">
        <f ca="1">IF(ISNUMBER($A109),$W109*(Methuselahs!$A$4+1)+$A109,"")</f>
        <v/>
      </c>
      <c r="Y109" s="36" t="str">
        <f t="shared" ca="1" si="46"/>
        <v/>
      </c>
      <c r="Z109" s="36" t="str">
        <f ca="1">IF(ISNUMBER($A109),VLOOKUP($A109,Methuselahs!$A$7:$X$206,5),"")</f>
        <v/>
      </c>
      <c r="AA109" s="36" t="str">
        <f t="shared" ca="1" si="47"/>
        <v/>
      </c>
    </row>
    <row r="110" spans="1:27" ht="12.95" customHeight="1" x14ac:dyDescent="0.2">
      <c r="A110" s="249" t="str">
        <f ca="1">IF(OR(ISBLANK('Tournament Info'!$B$11),'Tournament Info'!$B$11&lt;&gt;4),"",INDIRECT(ADDRESS(ROW(),3,1,1,"Optimal Seating "&amp;'Tournament Info'!$B$11-1&amp;"R+F")))</f>
        <v>Send comments about this system to Vincent Ripoll, the current maintainer of the Archon.</v>
      </c>
      <c r="B110" s="250" t="str">
        <f ca="1">IF(ISNUMBER(A110),VLOOKUP(A110,Methuselahs!$A$7:$E$206,2,0),"")</f>
        <v/>
      </c>
      <c r="C110" s="251" t="str">
        <f ca="1">IF(ISNUMBER(A110),VLOOKUP(A110,Methuselahs!$A$7:$E$206,3,0),"")</f>
        <v/>
      </c>
      <c r="D110" s="252" t="str">
        <f t="shared" ca="1" si="36"/>
        <v/>
      </c>
      <c r="E110" s="253"/>
      <c r="F110" s="397">
        <f t="shared" si="37"/>
        <v>0</v>
      </c>
      <c r="G110" s="235" t="str">
        <f t="shared" ca="1" si="38"/>
        <v/>
      </c>
      <c r="H110" s="236" t="str">
        <f ca="1">IF(ISNUMBER(A110),IF(OR($S110=$U110,NOT(ISNA(MATCH($D110*5+$V$4,Override!$C$6:$C$125,0)))),$Q110,0),"")</f>
        <v/>
      </c>
      <c r="I110" s="121" t="str">
        <f t="shared" ca="1" si="39"/>
        <v/>
      </c>
      <c r="J110" s="254">
        <f ca="1">COUNT(A107:A111)</f>
        <v>0</v>
      </c>
      <c r="K110" s="238" t="str">
        <f ca="1">IF(ISNUMBER(A110),RANK(F110,F107:F111),"")</f>
        <v/>
      </c>
      <c r="L110" s="239">
        <f ca="1">IF(J110=5,VLOOKUP(K110,TPMatrix!$A$6:$B$10,2,0),IF(J110=4,VLOOKUP(K110,TPMatrix!$D$6:$E$9,2,0),0))</f>
        <v>0</v>
      </c>
      <c r="M110" s="239">
        <f ca="1">IF(COUNTIF(K107:K111,K110)&gt;=2,IF(J110=5,VLOOKUP(K110+1,TPMatrix!$A$6:$B$10,2,0),IF(J110=4,VLOOKUP(K110+1,TPMatrix!$D$6:$E$9,2,0),0)),"")</f>
        <v>0</v>
      </c>
      <c r="N110" s="239">
        <f ca="1">IF(COUNTIF(K107:K111,K110)&gt;=3,IF(J110=5,VLOOKUP(K110+2,TPMatrix!$A$6:$B$10,2,0),IF(J110=4,VLOOKUP(K110+2,TPMatrix!$D$6:$E$9,2,0),0)),"")</f>
        <v>0</v>
      </c>
      <c r="O110" s="239">
        <f ca="1">IF(COUNTIF(K107:K111,K110)&gt;=4,IF(J110=5,VLOOKUP(K110+3,TPMatrix!$A$6:$B$10,2,0),IF(J110=4,VLOOKUP(K110+3,TPMatrix!$D$6:$E$9,2,0),0)),"")</f>
        <v>0</v>
      </c>
      <c r="P110" s="239">
        <f ca="1">IF(COUNTIF(K107:K111,K110)&gt;=5,IF(J110=5,VLOOKUP(K110+4,TPMatrix!$A$6:$B$10,2,0),IF(J110=4,VLOOKUP(K110+4,TPMatrix!$D$6:$E$9,2,0),0)),"")</f>
        <v>0</v>
      </c>
      <c r="Q110" s="239">
        <f t="shared" ca="1" si="40"/>
        <v>0</v>
      </c>
      <c r="R110" s="240">
        <f t="shared" ca="1" si="41"/>
        <v>5</v>
      </c>
      <c r="S110" s="238">
        <f t="shared" ca="1" si="42"/>
        <v>0</v>
      </c>
      <c r="T110" s="239">
        <f t="shared" si="43"/>
        <v>0</v>
      </c>
      <c r="U110" s="240">
        <f t="shared" ca="1" si="44"/>
        <v>0</v>
      </c>
      <c r="W110" s="36" t="str">
        <f t="shared" ca="1" si="45"/>
        <v/>
      </c>
      <c r="X110" s="36" t="str">
        <f ca="1">IF(ISNUMBER($A110),$W110*(Methuselahs!$A$4+1)+$A110,"")</f>
        <v/>
      </c>
      <c r="Y110" s="36" t="str">
        <f t="shared" ca="1" si="46"/>
        <v/>
      </c>
      <c r="Z110" s="36" t="str">
        <f ca="1">IF(ISNUMBER($A110),VLOOKUP($A110,Methuselahs!$A$7:$X$206,5),"")</f>
        <v/>
      </c>
      <c r="AA110" s="36" t="str">
        <f t="shared" ca="1" si="47"/>
        <v/>
      </c>
    </row>
    <row r="111" spans="1:27" ht="12.95" customHeight="1" x14ac:dyDescent="0.2">
      <c r="A111" s="255"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56" t="str">
        <f ca="1">IF(ISNUMBER(A111),VLOOKUP(A111,Methuselahs!$A$7:$E$206,2,0),"")</f>
        <v/>
      </c>
      <c r="C111" s="257" t="str">
        <f ca="1">IF(ISNUMBER(A111),VLOOKUP(A111,Methuselahs!$A$7:$E$206,3,0),"")</f>
        <v/>
      </c>
      <c r="D111" s="258" t="str">
        <f t="shared" ca="1" si="36"/>
        <v/>
      </c>
      <c r="E111" s="259"/>
      <c r="F111" s="398">
        <f t="shared" si="37"/>
        <v>0</v>
      </c>
      <c r="G111" s="244" t="str">
        <f t="shared" ca="1" si="38"/>
        <v/>
      </c>
      <c r="H111" s="245" t="str">
        <f ca="1">IF(ISNUMBER(A111),IF(OR($S111=$U111,NOT(ISNA(MATCH($D111*5+$V$4,Override!$C$6:$C$125,0)))),$Q111,0),"")</f>
        <v/>
      </c>
      <c r="I111" s="147" t="str">
        <f t="shared" ca="1" si="39"/>
        <v/>
      </c>
      <c r="J111" s="260">
        <f ca="1">COUNT(A107:A111)</f>
        <v>0</v>
      </c>
      <c r="K111" s="261" t="str">
        <f ca="1">IF(ISNUMBER(A111),RANK(F111,F107:F111),"")</f>
        <v/>
      </c>
      <c r="L111" s="262">
        <f ca="1">IF(J111=5,VLOOKUP(K111,TPMatrix!$A$6:$B$10,2,0),IF(J111=4,VLOOKUP(K111,TPMatrix!$D$6:$E$9,2,0),0))</f>
        <v>0</v>
      </c>
      <c r="M111" s="262">
        <f ca="1">IF(COUNTIF(K107:K111,K111)&gt;=2,IF(J111=5,VLOOKUP(K111+1,TPMatrix!$A$6:$B$10,2,0),IF(J111=4,VLOOKUP(K111+1,TPMatrix!$D$6:$E$9,2,0),0)),"")</f>
        <v>0</v>
      </c>
      <c r="N111" s="262">
        <f ca="1">IF(COUNTIF(K107:K111,K111)&gt;=3,IF(J111=5,VLOOKUP(K111+2,TPMatrix!$A$6:$B$10,2,0),IF(J111=4,VLOOKUP(K111+2,TPMatrix!$D$6:$E$9,2,0),0)),"")</f>
        <v>0</v>
      </c>
      <c r="O111" s="262">
        <f ca="1">IF(COUNTIF(K107:K111,K111)&gt;=4,IF(J111=5,VLOOKUP(K111+3,TPMatrix!$A$6:$B$10,2,0),IF(J111=4,VLOOKUP(K111+3,TPMatrix!$D$6:$E$9,2,0),0)),"")</f>
        <v>0</v>
      </c>
      <c r="P111" s="262">
        <f ca="1">IF(COUNTIF(K107:K111,K111)&gt;=5,IF(J111=5,VLOOKUP(K111+4,TPMatrix!$A$6:$B$10,2,0),IF(J111=4,VLOOKUP(K111+4,TPMatrix!$D$6:$E$9,2,0),0)),"")</f>
        <v>0</v>
      </c>
      <c r="Q111" s="262">
        <f t="shared" ca="1" si="40"/>
        <v>0</v>
      </c>
      <c r="R111" s="263">
        <f t="shared" ca="1" si="41"/>
        <v>5</v>
      </c>
      <c r="S111" s="261">
        <f t="shared" ca="1" si="42"/>
        <v>0</v>
      </c>
      <c r="T111" s="262">
        <f t="shared" si="43"/>
        <v>0</v>
      </c>
      <c r="U111" s="263">
        <f t="shared" ca="1" si="44"/>
        <v>0</v>
      </c>
      <c r="W111" s="36" t="str">
        <f t="shared" ca="1" si="45"/>
        <v/>
      </c>
      <c r="X111" s="36" t="str">
        <f ca="1">IF(ISNUMBER($A111),$W111*(Methuselahs!$A$4+1)+$A111,"")</f>
        <v/>
      </c>
      <c r="Y111" s="36" t="str">
        <f t="shared" ca="1" si="46"/>
        <v/>
      </c>
      <c r="Z111" s="36" t="str">
        <f ca="1">IF(ISNUMBER($A111),VLOOKUP($A111,Methuselahs!$A$7:$X$206,5),"")</f>
        <v/>
      </c>
      <c r="AA111" s="36" t="str">
        <f t="shared" ca="1" si="47"/>
        <v/>
      </c>
    </row>
    <row r="112" spans="1:27" ht="12.95" customHeight="1" x14ac:dyDescent="0.2">
      <c r="A112" s="219" t="str">
        <f ca="1">IF(OR(ISBLANK('Tournament Info'!$B$11),'Tournament Info'!$B$11&lt;&gt;4),"",INDIRECT(ADDRESS(ROW(),3,1,1,"Optimal Seating "&amp;'Tournament Info'!$B$11-1&amp;"R+F")))</f>
        <v/>
      </c>
      <c r="B112" s="143" t="str">
        <f ca="1">IF(ISNUMBER(A112),VLOOKUP(A112,Methuselahs!$A$7:$E$206,2,0),"")</f>
        <v/>
      </c>
      <c r="C112" s="220" t="str">
        <f ca="1">IF(ISNUMBER(A112),VLOOKUP(A112,Methuselahs!$A$7:$E$206,3,0),"")</f>
        <v/>
      </c>
      <c r="D112" s="221" t="str">
        <f t="shared" ca="1" si="36"/>
        <v/>
      </c>
      <c r="E112" s="222"/>
      <c r="F112" s="393">
        <f t="shared" si="37"/>
        <v>0</v>
      </c>
      <c r="G112" s="223" t="str">
        <f t="shared" ca="1" si="38"/>
        <v/>
      </c>
      <c r="H112" s="224" t="str">
        <f ca="1">IF(ISNUMBER(A112),IF(OR($S112=$U112,NOT(ISNA(MATCH($D112*5+$V$4,Override!$C$6:$C$125,0)))),$Q112,0),"")</f>
        <v/>
      </c>
      <c r="I112" s="406" t="str">
        <f t="shared" ca="1" si="39"/>
        <v/>
      </c>
      <c r="J112" s="225">
        <f ca="1">COUNT(A112:A116)</f>
        <v>0</v>
      </c>
      <c r="K112" s="226" t="str">
        <f ca="1">IF(ISNUMBER(A112),RANK(F112,F112:F116),"")</f>
        <v/>
      </c>
      <c r="L112" s="227">
        <f ca="1">IF(J112=5,VLOOKUP(K112,TPMatrix!$A$6:$B$10,2,0),IF(J112=4,VLOOKUP(K112,TPMatrix!$D$6:$E$9,2,0),0))</f>
        <v>0</v>
      </c>
      <c r="M112" s="227">
        <f ca="1">IF(COUNTIF(K112:K116,K112)&gt;=2,IF(J112=5,VLOOKUP(K112+1,TPMatrix!$A$6:$B$10,2,0),IF(J112=4,VLOOKUP(K112+1,TPMatrix!$D$6:$E$9,2,0),0)),"")</f>
        <v>0</v>
      </c>
      <c r="N112" s="227">
        <f ca="1">IF(COUNTIF(K112:K116,K112)&gt;=3,IF(J112=5,VLOOKUP(K112+2,TPMatrix!$A$6:$B$10,2,0),IF(J112=4,VLOOKUP(K112+2,TPMatrix!$D$6:$E$9,2,0),0)),"")</f>
        <v>0</v>
      </c>
      <c r="O112" s="227">
        <f ca="1">IF(COUNTIF(K112:K116,K112)&gt;=4,IF(J112=5,VLOOKUP(K112+3,TPMatrix!$A$6:$B$10,2,0),IF(J112=4,VLOOKUP(K112+3,TPMatrix!$D$6:$E$9,2,0),0)),"")</f>
        <v>0</v>
      </c>
      <c r="P112" s="227">
        <f ca="1">IF(COUNTIF(K112:K116,K112)&gt;=5,IF(J112=5,VLOOKUP(K112+4,TPMatrix!$A$6:$B$10,2,0),IF(J112=4,VLOOKUP(K112+4,TPMatrix!$D$6:$E$9,2,0),0)),"")</f>
        <v>0</v>
      </c>
      <c r="Q112" s="227">
        <f t="shared" ca="1" si="40"/>
        <v>0</v>
      </c>
      <c r="R112" s="228">
        <f t="shared" ca="1" si="41"/>
        <v>5</v>
      </c>
      <c r="S112" s="229">
        <f t="shared" ca="1" si="42"/>
        <v>0</v>
      </c>
      <c r="T112" s="230">
        <f t="shared" si="43"/>
        <v>0</v>
      </c>
      <c r="U112" s="231">
        <f t="shared" ca="1" si="44"/>
        <v>0</v>
      </c>
      <c r="W112" s="36" t="str">
        <f t="shared" ca="1" si="45"/>
        <v/>
      </c>
      <c r="X112" s="36" t="str">
        <f ca="1">IF(ISNUMBER($A112),$W112*(Methuselahs!$A$4+1)+$A112,"")</f>
        <v/>
      </c>
      <c r="Y112" s="36" t="str">
        <f t="shared" ca="1" si="46"/>
        <v/>
      </c>
      <c r="Z112" s="36" t="str">
        <f ca="1">IF(ISNUMBER($A112),VLOOKUP($A112,Methuselahs!$A$7:$X$206,5),"")</f>
        <v/>
      </c>
      <c r="AA112" s="36" t="str">
        <f t="shared" ca="1" si="47"/>
        <v/>
      </c>
    </row>
    <row r="113" spans="1:27" ht="12.95" customHeight="1" x14ac:dyDescent="0.2">
      <c r="A113" s="111" t="str">
        <f ca="1">IF(OR(ISBLANK('Tournament Info'!$B$11),'Tournament Info'!$B$11&lt;&gt;4),"",INDIRECT(ADDRESS(ROW(),3,1,1,"Optimal Seating "&amp;'Tournament Info'!$B$11-1&amp;"R+F")))</f>
        <v/>
      </c>
      <c r="B113" s="117" t="str">
        <f ca="1">IF(ISNUMBER(A113),VLOOKUP(A113,Methuselahs!$A$7:$E$206,2,0),"")</f>
        <v/>
      </c>
      <c r="C113" s="232" t="str">
        <f ca="1">IF(ISNUMBER(A113),VLOOKUP(A113,Methuselahs!$A$7:$E$206,3,0),"")</f>
        <v/>
      </c>
      <c r="D113" s="233" t="str">
        <f t="shared" ca="1" si="36"/>
        <v/>
      </c>
      <c r="E113" s="234"/>
      <c r="F113" s="118">
        <f t="shared" si="37"/>
        <v>0</v>
      </c>
      <c r="G113" s="235" t="str">
        <f t="shared" ca="1" si="38"/>
        <v/>
      </c>
      <c r="H113" s="236" t="str">
        <f ca="1">IF(ISNUMBER(A113),IF(OR($S113=$U113,NOT(ISNA(MATCH($D113*5+$V$4,Override!$C$6:$C$125,0)))),$Q113,0),"")</f>
        <v/>
      </c>
      <c r="I113" s="121" t="str">
        <f t="shared" ca="1" si="39"/>
        <v/>
      </c>
      <c r="J113" s="237">
        <f ca="1">COUNT(A112:A116)</f>
        <v>0</v>
      </c>
      <c r="K113" s="238" t="str">
        <f ca="1">IF(ISNUMBER(A113),RANK(F113,F112:F116),"")</f>
        <v/>
      </c>
      <c r="L113" s="239">
        <f ca="1">IF(J113=5,VLOOKUP(K113,TPMatrix!$A$6:$B$10,2,0),IF(J113=4,VLOOKUP(K113,TPMatrix!$D$6:$E$9,2,0),0))</f>
        <v>0</v>
      </c>
      <c r="M113" s="239">
        <f ca="1">IF(COUNTIF(K112:K116,K113)&gt;=2,IF(J113=5,VLOOKUP(K113+1,TPMatrix!$A$6:$B$10,2,0),IF(J113=4,VLOOKUP(K113+1,TPMatrix!$D$6:$E$9,2,0),0)),"")</f>
        <v>0</v>
      </c>
      <c r="N113" s="239">
        <f ca="1">IF(COUNTIF(K112:K116,K113)&gt;=3,IF(J113=5,VLOOKUP(K113+2,TPMatrix!$A$6:$B$10,2,0),IF(J113=4,VLOOKUP(K113+2,TPMatrix!$D$6:$E$9,2,0),0)),"")</f>
        <v>0</v>
      </c>
      <c r="O113" s="239">
        <f ca="1">IF(COUNTIF(K112:K116,K113)&gt;=4,IF(J113=5,VLOOKUP(K113+3,TPMatrix!$A$6:$B$10,2,0),IF(J113=4,VLOOKUP(K113+3,TPMatrix!$D$6:$E$9,2,0),0)),"")</f>
        <v>0</v>
      </c>
      <c r="P113" s="239">
        <f ca="1">IF(COUNTIF(K112:K116,K113)&gt;=5,IF(J113=5,VLOOKUP(K113+4,TPMatrix!$A$6:$B$10,2,0),IF(J113=4,VLOOKUP(K113+4,TPMatrix!$D$6:$E$9,2,0),0)),"")</f>
        <v>0</v>
      </c>
      <c r="Q113" s="239">
        <f t="shared" ca="1" si="40"/>
        <v>0</v>
      </c>
      <c r="R113" s="240">
        <f t="shared" ca="1" si="41"/>
        <v>5</v>
      </c>
      <c r="S113" s="238">
        <f t="shared" ca="1" si="42"/>
        <v>0</v>
      </c>
      <c r="T113" s="239">
        <f t="shared" si="43"/>
        <v>0</v>
      </c>
      <c r="U113" s="240">
        <f t="shared" ca="1" si="44"/>
        <v>0</v>
      </c>
      <c r="W113" s="36" t="str">
        <f t="shared" ca="1" si="45"/>
        <v/>
      </c>
      <c r="X113" s="36" t="str">
        <f ca="1">IF(ISNUMBER($A113),$W113*(Methuselahs!$A$4+1)+$A113,"")</f>
        <v/>
      </c>
      <c r="Y113" s="36" t="str">
        <f t="shared" ca="1" si="46"/>
        <v/>
      </c>
      <c r="Z113" s="36" t="str">
        <f ca="1">IF(ISNUMBER($A113),VLOOKUP($A113,Methuselahs!$A$7:$X$206,5),"")</f>
        <v/>
      </c>
      <c r="AA113" s="36" t="str">
        <f t="shared" ca="1" si="47"/>
        <v/>
      </c>
    </row>
    <row r="114" spans="1:27" ht="12.95" customHeight="1" x14ac:dyDescent="0.2">
      <c r="A114" s="137" t="str">
        <f ca="1">IF(OR(ISBLANK('Tournament Info'!$B$11),'Tournament Info'!$B$11&lt;&gt;4),"",INDIRECT(ADDRESS(ROW(),3,1,1,"Optimal Seating "&amp;'Tournament Info'!$B$11-1&amp;"R+F")))</f>
        <v/>
      </c>
      <c r="B114" s="143" t="str">
        <f ca="1">IF(ISNUMBER(A114),VLOOKUP(A114,Methuselahs!$A$7:$E$206,2,0),"")</f>
        <v/>
      </c>
      <c r="C114" s="241" t="str">
        <f ca="1">IF(ISNUMBER(A114),VLOOKUP(A114,Methuselahs!$A$7:$E$206,3,0),"")</f>
        <v/>
      </c>
      <c r="D114" s="242" t="str">
        <f t="shared" ca="1" si="36"/>
        <v/>
      </c>
      <c r="E114" s="243"/>
      <c r="F114" s="144">
        <f t="shared" si="37"/>
        <v>0</v>
      </c>
      <c r="G114" s="244" t="str">
        <f t="shared" ca="1" si="38"/>
        <v/>
      </c>
      <c r="H114" s="245" t="str">
        <f ca="1">IF(ISNUMBER(A114),IF(OR($S114=$U114,NOT(ISNA(MATCH($D114*5+$V$4,Override!$C$6:$C$125,0)))),$Q114,0),"")</f>
        <v/>
      </c>
      <c r="I114" s="147" t="str">
        <f t="shared" ca="1" si="39"/>
        <v/>
      </c>
      <c r="J114" s="246">
        <f ca="1">COUNT(A112:A116)</f>
        <v>0</v>
      </c>
      <c r="K114" s="247" t="str">
        <f ca="1">IF(ISNUMBER(A114),RANK(F114,F112:F116),"")</f>
        <v/>
      </c>
      <c r="L114" s="142">
        <f ca="1">IF(J114=5,VLOOKUP(K114,TPMatrix!$A$6:$B$10,2,0),IF(J114=4,VLOOKUP(K114,TPMatrix!$D$6:$E$9,2,0),0))</f>
        <v>0</v>
      </c>
      <c r="M114" s="142">
        <f ca="1">IF(COUNTIF(K112:K116,K114)&gt;=2,IF(J114=5,VLOOKUP(K114+1,TPMatrix!$A$6:$B$10,2,0),IF(J114=4,VLOOKUP(K114+1,TPMatrix!$D$6:$E$9,2,0),0)),"")</f>
        <v>0</v>
      </c>
      <c r="N114" s="142">
        <f ca="1">IF(COUNTIF(K112:K116,K114)&gt;=3,IF(J114=5,VLOOKUP(K114+2,TPMatrix!$A$6:$B$10,2,0),IF(J114=4,VLOOKUP(K114+2,TPMatrix!$D$6:$E$9,2,0),0)),"")</f>
        <v>0</v>
      </c>
      <c r="O114" s="142">
        <f ca="1">IF(COUNTIF(K112:K116,K114)&gt;=4,IF(J114=5,VLOOKUP(K114+3,TPMatrix!$A$6:$B$10,2,0),IF(J114=4,VLOOKUP(K114+3,TPMatrix!$D$6:$E$9,2,0),0)),"")</f>
        <v>0</v>
      </c>
      <c r="P114" s="142">
        <f ca="1">IF(COUNTIF(K112:K116,K114)&gt;=5,IF(J114=5,VLOOKUP(K114+4,TPMatrix!$A$6:$B$10,2,0),IF(J114=4,VLOOKUP(K114+4,TPMatrix!$D$6:$E$9,2,0),0)),"")</f>
        <v>0</v>
      </c>
      <c r="Q114" s="142">
        <f t="shared" ca="1" si="40"/>
        <v>0</v>
      </c>
      <c r="R114" s="248">
        <f t="shared" ca="1" si="41"/>
        <v>5</v>
      </c>
      <c r="S114" s="247">
        <f t="shared" ca="1" si="42"/>
        <v>0</v>
      </c>
      <c r="T114" s="142">
        <f t="shared" si="43"/>
        <v>0</v>
      </c>
      <c r="U114" s="248">
        <f t="shared" ca="1" si="44"/>
        <v>0</v>
      </c>
      <c r="W114" s="36" t="str">
        <f t="shared" ca="1" si="45"/>
        <v/>
      </c>
      <c r="X114" s="36" t="str">
        <f ca="1">IF(ISNUMBER($A114),$W114*(Methuselahs!$A$4+1)+$A114,"")</f>
        <v/>
      </c>
      <c r="Y114" s="36" t="str">
        <f t="shared" ca="1" si="46"/>
        <v/>
      </c>
      <c r="Z114" s="36" t="str">
        <f ca="1">IF(ISNUMBER($A114),VLOOKUP($A114,Methuselahs!$A$7:$X$206,5),"")</f>
        <v/>
      </c>
      <c r="AA114" s="36" t="str">
        <f t="shared" ca="1" si="47"/>
        <v/>
      </c>
    </row>
    <row r="115" spans="1:27" ht="12.95" customHeight="1" x14ac:dyDescent="0.2">
      <c r="A115" s="249" t="str">
        <f ca="1">IF(OR(ISBLANK('Tournament Info'!$B$11),'Tournament Info'!$B$11&lt;&gt;4),"",INDIRECT(ADDRESS(ROW(),3,1,1,"Optimal Seating "&amp;'Tournament Info'!$B$11-1&amp;"R+F")))</f>
        <v/>
      </c>
      <c r="B115" s="250" t="str">
        <f ca="1">IF(ISNUMBER(A115),VLOOKUP(A115,Methuselahs!$A$7:$E$206,2,0),"")</f>
        <v/>
      </c>
      <c r="C115" s="251" t="str">
        <f ca="1">IF(ISNUMBER(A115),VLOOKUP(A115,Methuselahs!$A$7:$E$206,3,0),"")</f>
        <v/>
      </c>
      <c r="D115" s="252" t="str">
        <f t="shared" ca="1" si="36"/>
        <v/>
      </c>
      <c r="E115" s="253"/>
      <c r="F115" s="397">
        <f t="shared" si="37"/>
        <v>0</v>
      </c>
      <c r="G115" s="235" t="str">
        <f t="shared" ca="1" si="38"/>
        <v/>
      </c>
      <c r="H115" s="236" t="str">
        <f ca="1">IF(ISNUMBER(A115),IF(OR($S115=$U115,NOT(ISNA(MATCH($D115*5+$V$4,Override!$C$6:$C$125,0)))),$Q115,0),"")</f>
        <v/>
      </c>
      <c r="I115" s="121" t="str">
        <f t="shared" ca="1" si="39"/>
        <v/>
      </c>
      <c r="J115" s="254">
        <f ca="1">COUNT(A112:A116)</f>
        <v>0</v>
      </c>
      <c r="K115" s="238" t="str">
        <f ca="1">IF(ISNUMBER(A115),RANK(F115,F112:F116),"")</f>
        <v/>
      </c>
      <c r="L115" s="239">
        <f ca="1">IF(J115=5,VLOOKUP(K115,TPMatrix!$A$6:$B$10,2,0),IF(J115=4,VLOOKUP(K115,TPMatrix!$D$6:$E$9,2,0),0))</f>
        <v>0</v>
      </c>
      <c r="M115" s="239">
        <f ca="1">IF(COUNTIF(K112:K116,K115)&gt;=2,IF(J115=5,VLOOKUP(K115+1,TPMatrix!$A$6:$B$10,2,0),IF(J115=4,VLOOKUP(K115+1,TPMatrix!$D$6:$E$9,2,0),0)),"")</f>
        <v>0</v>
      </c>
      <c r="N115" s="239">
        <f ca="1">IF(COUNTIF(K112:K116,K115)&gt;=3,IF(J115=5,VLOOKUP(K115+2,TPMatrix!$A$6:$B$10,2,0),IF(J115=4,VLOOKUP(K115+2,TPMatrix!$D$6:$E$9,2,0),0)),"")</f>
        <v>0</v>
      </c>
      <c r="O115" s="239">
        <f ca="1">IF(COUNTIF(K112:K116,K115)&gt;=4,IF(J115=5,VLOOKUP(K115+3,TPMatrix!$A$6:$B$10,2,0),IF(J115=4,VLOOKUP(K115+3,TPMatrix!$D$6:$E$9,2,0),0)),"")</f>
        <v>0</v>
      </c>
      <c r="P115" s="239">
        <f ca="1">IF(COUNTIF(K112:K116,K115)&gt;=5,IF(J115=5,VLOOKUP(K115+4,TPMatrix!$A$6:$B$10,2,0),IF(J115=4,VLOOKUP(K115+4,TPMatrix!$D$6:$E$9,2,0),0)),"")</f>
        <v>0</v>
      </c>
      <c r="Q115" s="239">
        <f t="shared" ca="1" si="40"/>
        <v>0</v>
      </c>
      <c r="R115" s="240">
        <f t="shared" ca="1" si="41"/>
        <v>5</v>
      </c>
      <c r="S115" s="238">
        <f t="shared" ca="1" si="42"/>
        <v>0</v>
      </c>
      <c r="T115" s="239">
        <f t="shared" si="43"/>
        <v>0</v>
      </c>
      <c r="U115" s="240">
        <f t="shared" ca="1" si="44"/>
        <v>0</v>
      </c>
      <c r="W115" s="36" t="str">
        <f t="shared" ca="1" si="45"/>
        <v/>
      </c>
      <c r="X115" s="36" t="str">
        <f ca="1">IF(ISNUMBER($A115),$W115*(Methuselahs!$A$4+1)+$A115,"")</f>
        <v/>
      </c>
      <c r="Y115" s="36" t="str">
        <f t="shared" ca="1" si="46"/>
        <v/>
      </c>
      <c r="Z115" s="36" t="str">
        <f ca="1">IF(ISNUMBER($A115),VLOOKUP($A115,Methuselahs!$A$7:$X$206,5),"")</f>
        <v/>
      </c>
      <c r="AA115" s="36" t="str">
        <f t="shared" ca="1" si="47"/>
        <v/>
      </c>
    </row>
    <row r="116" spans="1:27" ht="12.95" customHeight="1" x14ac:dyDescent="0.2">
      <c r="A116" s="255" t="str">
        <f ca="1">IF(OR(ISBLANK('Tournament Info'!$B$11),'Tournament Info'!$B$11&lt;&gt;4),"",INDIRECT(ADDRESS(ROW(),3,1,1,"Optimal Seating "&amp;'Tournament Info'!$B$11-1&amp;"R+F")))</f>
        <v/>
      </c>
      <c r="B116" s="256" t="str">
        <f ca="1">IF(ISNUMBER(A116),VLOOKUP(A116,Methuselahs!$A$7:$E$206,2,0),"")</f>
        <v/>
      </c>
      <c r="C116" s="257" t="str">
        <f ca="1">IF(ISNUMBER(A116),VLOOKUP(A116,Methuselahs!$A$7:$E$206,3,0),"")</f>
        <v/>
      </c>
      <c r="D116" s="258" t="str">
        <f t="shared" ca="1" si="36"/>
        <v/>
      </c>
      <c r="E116" s="259"/>
      <c r="F116" s="398">
        <f t="shared" si="37"/>
        <v>0</v>
      </c>
      <c r="G116" s="244" t="str">
        <f t="shared" ca="1" si="38"/>
        <v/>
      </c>
      <c r="H116" s="245" t="str">
        <f ca="1">IF(ISNUMBER(A116),IF(OR($S116=$U116,NOT(ISNA(MATCH($D116*5+$V$4,Override!$C$6:$C$125,0)))),$Q116,0),"")</f>
        <v/>
      </c>
      <c r="I116" s="147" t="str">
        <f t="shared" ca="1" si="39"/>
        <v/>
      </c>
      <c r="J116" s="260">
        <f ca="1">COUNT(A112:A116)</f>
        <v>0</v>
      </c>
      <c r="K116" s="261" t="str">
        <f ca="1">IF(ISNUMBER(A116),RANK(F116,F112:F116),"")</f>
        <v/>
      </c>
      <c r="L116" s="262">
        <f ca="1">IF(J116=5,VLOOKUP(K116,TPMatrix!$A$6:$B$10,2,0),IF(J116=4,VLOOKUP(K116,TPMatrix!$D$6:$E$9,2,0),0))</f>
        <v>0</v>
      </c>
      <c r="M116" s="262">
        <f ca="1">IF(COUNTIF(K112:K116,K116)&gt;=2,IF(J116=5,VLOOKUP(K116+1,TPMatrix!$A$6:$B$10,2,0),IF(J116=4,VLOOKUP(K116+1,TPMatrix!$D$6:$E$9,2,0),0)),"")</f>
        <v>0</v>
      </c>
      <c r="N116" s="262">
        <f ca="1">IF(COUNTIF(K112:K116,K116)&gt;=3,IF(J116=5,VLOOKUP(K116+2,TPMatrix!$A$6:$B$10,2,0),IF(J116=4,VLOOKUP(K116+2,TPMatrix!$D$6:$E$9,2,0),0)),"")</f>
        <v>0</v>
      </c>
      <c r="O116" s="262">
        <f ca="1">IF(COUNTIF(K112:K116,K116)&gt;=4,IF(J116=5,VLOOKUP(K116+3,TPMatrix!$A$6:$B$10,2,0),IF(J116=4,VLOOKUP(K116+3,TPMatrix!$D$6:$E$9,2,0),0)),"")</f>
        <v>0</v>
      </c>
      <c r="P116" s="262">
        <f ca="1">IF(COUNTIF(K112:K116,K116)&gt;=5,IF(J116=5,VLOOKUP(K116+4,TPMatrix!$A$6:$B$10,2,0),IF(J116=4,VLOOKUP(K116+4,TPMatrix!$D$6:$E$9,2,0),0)),"")</f>
        <v>0</v>
      </c>
      <c r="Q116" s="262">
        <f t="shared" ca="1" si="40"/>
        <v>0</v>
      </c>
      <c r="R116" s="263">
        <f t="shared" ca="1" si="41"/>
        <v>5</v>
      </c>
      <c r="S116" s="261">
        <f t="shared" ca="1" si="42"/>
        <v>0</v>
      </c>
      <c r="T116" s="262">
        <f t="shared" si="43"/>
        <v>0</v>
      </c>
      <c r="U116" s="263">
        <f t="shared" ca="1" si="44"/>
        <v>0</v>
      </c>
      <c r="W116" s="36" t="str">
        <f t="shared" ca="1" si="45"/>
        <v/>
      </c>
      <c r="X116" s="36" t="str">
        <f ca="1">IF(ISNUMBER($A116),$W116*(Methuselahs!$A$4+1)+$A116,"")</f>
        <v/>
      </c>
      <c r="Y116" s="36" t="str">
        <f t="shared" ca="1" si="46"/>
        <v/>
      </c>
      <c r="Z116" s="36" t="str">
        <f ca="1">IF(ISNUMBER($A116),VLOOKUP($A116,Methuselahs!$A$7:$X$206,5),"")</f>
        <v/>
      </c>
      <c r="AA116" s="36" t="str">
        <f t="shared" ca="1" si="47"/>
        <v/>
      </c>
    </row>
    <row r="117" spans="1:27" ht="12.95" customHeight="1" x14ac:dyDescent="0.2">
      <c r="A117" s="219" t="str">
        <f ca="1">IF(OR(ISBLANK('Tournament Info'!$B$11),'Tournament Info'!$B$11&lt;&gt;4),"",INDIRECT(ADDRESS(ROW(),3,1,1,"Optimal Seating "&amp;'Tournament Info'!$B$11-1&amp;"R+F")))</f>
        <v/>
      </c>
      <c r="B117" s="143" t="str">
        <f ca="1">IF(ISNUMBER(A117),VLOOKUP(A117,Methuselahs!$A$7:$E$206,2,0),"")</f>
        <v/>
      </c>
      <c r="C117" s="220" t="str">
        <f ca="1">IF(ISNUMBER(A117),VLOOKUP(A117,Methuselahs!$A$7:$E$206,3,0),"")</f>
        <v/>
      </c>
      <c r="D117" s="221" t="str">
        <f t="shared" ca="1" si="36"/>
        <v/>
      </c>
      <c r="E117" s="222"/>
      <c r="F117" s="393">
        <f t="shared" si="37"/>
        <v>0</v>
      </c>
      <c r="G117" s="223" t="str">
        <f t="shared" ca="1" si="38"/>
        <v/>
      </c>
      <c r="H117" s="224" t="str">
        <f ca="1">IF(ISNUMBER(A117),IF(OR($S117=$U117,NOT(ISNA(MATCH($D117*5+$V$4,Override!$C$6:$C$125,0)))),$Q117,0),"")</f>
        <v/>
      </c>
      <c r="I117" s="406" t="str">
        <f t="shared" ca="1" si="39"/>
        <v/>
      </c>
      <c r="J117" s="225">
        <f ca="1">COUNT(A117:A121)</f>
        <v>0</v>
      </c>
      <c r="K117" s="226" t="str">
        <f ca="1">IF(ISNUMBER(A117),RANK(F117,F117:F121),"")</f>
        <v/>
      </c>
      <c r="L117" s="227">
        <f ca="1">IF(J117=5,VLOOKUP(K117,TPMatrix!$A$6:$B$10,2,0),IF(J117=4,VLOOKUP(K117,TPMatrix!$D$6:$E$9,2,0),0))</f>
        <v>0</v>
      </c>
      <c r="M117" s="227">
        <f ca="1">IF(COUNTIF(K117:K121,K117)&gt;=2,IF(J117=5,VLOOKUP(K117+1,TPMatrix!$A$6:$B$10,2,0),IF(J117=4,VLOOKUP(K117+1,TPMatrix!$D$6:$E$9,2,0),0)),"")</f>
        <v>0</v>
      </c>
      <c r="N117" s="227">
        <f ca="1">IF(COUNTIF(K117:K121,K117)&gt;=3,IF(J117=5,VLOOKUP(K117+2,TPMatrix!$A$6:$B$10,2,0),IF(J117=4,VLOOKUP(K117+2,TPMatrix!$D$6:$E$9,2,0),0)),"")</f>
        <v>0</v>
      </c>
      <c r="O117" s="227">
        <f ca="1">IF(COUNTIF(K117:K121,K117)&gt;=4,IF(J117=5,VLOOKUP(K117+3,TPMatrix!$A$6:$B$10,2,0),IF(J117=4,VLOOKUP(K117+3,TPMatrix!$D$6:$E$9,2,0),0)),"")</f>
        <v>0</v>
      </c>
      <c r="P117" s="227">
        <f ca="1">IF(COUNTIF(K117:K121,K117)&gt;=5,IF(J117=5,VLOOKUP(K117+4,TPMatrix!$A$6:$B$10,2,0),IF(J117=4,VLOOKUP(K117+4,TPMatrix!$D$6:$E$9,2,0),0)),"")</f>
        <v>0</v>
      </c>
      <c r="Q117" s="227">
        <f t="shared" ca="1" si="40"/>
        <v>0</v>
      </c>
      <c r="R117" s="228">
        <f t="shared" ca="1" si="41"/>
        <v>5</v>
      </c>
      <c r="S117" s="229">
        <f t="shared" ca="1" si="42"/>
        <v>0</v>
      </c>
      <c r="T117" s="230">
        <f t="shared" si="43"/>
        <v>0</v>
      </c>
      <c r="U117" s="231">
        <f t="shared" ca="1" si="44"/>
        <v>0</v>
      </c>
      <c r="W117" s="36" t="str">
        <f t="shared" ca="1" si="45"/>
        <v/>
      </c>
      <c r="X117" s="36" t="str">
        <f ca="1">IF(ISNUMBER($A117),$W117*(Methuselahs!$A$4+1)+$A117,"")</f>
        <v/>
      </c>
      <c r="Y117" s="36" t="str">
        <f t="shared" ca="1" si="46"/>
        <v/>
      </c>
      <c r="Z117" s="36" t="str">
        <f ca="1">IF(ISNUMBER($A117),VLOOKUP($A117,Methuselahs!$A$7:$X$206,5),"")</f>
        <v/>
      </c>
      <c r="AA117" s="36" t="str">
        <f t="shared" ca="1" si="47"/>
        <v/>
      </c>
    </row>
    <row r="118" spans="1:27" ht="12.95" customHeight="1" x14ac:dyDescent="0.2">
      <c r="A118" s="111" t="str">
        <f ca="1">IF(OR(ISBLANK('Tournament Info'!$B$11),'Tournament Info'!$B$11&lt;&gt;4),"",INDIRECT(ADDRESS(ROW(),3,1,1,"Optimal Seating "&amp;'Tournament Info'!$B$11-1&amp;"R+F")))</f>
        <v/>
      </c>
      <c r="B118" s="117" t="str">
        <f ca="1">IF(ISNUMBER(A118),VLOOKUP(A118,Methuselahs!$A$7:$E$206,2,0),"")</f>
        <v/>
      </c>
      <c r="C118" s="232" t="str">
        <f ca="1">IF(ISNUMBER(A118),VLOOKUP(A118,Methuselahs!$A$7:$E$206,3,0),"")</f>
        <v/>
      </c>
      <c r="D118" s="233" t="str">
        <f t="shared" ca="1" si="36"/>
        <v/>
      </c>
      <c r="E118" s="234"/>
      <c r="F118" s="118">
        <f t="shared" si="37"/>
        <v>0</v>
      </c>
      <c r="G118" s="235" t="str">
        <f t="shared" ca="1" si="38"/>
        <v/>
      </c>
      <c r="H118" s="236" t="str">
        <f ca="1">IF(ISNUMBER(A118),IF(OR($S118=$U118,NOT(ISNA(MATCH($D118*5+$V$4,Override!$C$6:$C$125,0)))),$Q118,0),"")</f>
        <v/>
      </c>
      <c r="I118" s="121" t="str">
        <f t="shared" ca="1" si="39"/>
        <v/>
      </c>
      <c r="J118" s="237">
        <f ca="1">COUNT(A117:A121)</f>
        <v>0</v>
      </c>
      <c r="K118" s="238" t="str">
        <f ca="1">IF(ISNUMBER(A118),RANK(F118,F117:F121),"")</f>
        <v/>
      </c>
      <c r="L118" s="239">
        <f ca="1">IF(J118=5,VLOOKUP(K118,TPMatrix!$A$6:$B$10,2,0),IF(J118=4,VLOOKUP(K118,TPMatrix!$D$6:$E$9,2,0),0))</f>
        <v>0</v>
      </c>
      <c r="M118" s="239">
        <f ca="1">IF(COUNTIF(K117:K121,K118)&gt;=2,IF(J118=5,VLOOKUP(K118+1,TPMatrix!$A$6:$B$10,2,0),IF(J118=4,VLOOKUP(K118+1,TPMatrix!$D$6:$E$9,2,0),0)),"")</f>
        <v>0</v>
      </c>
      <c r="N118" s="239">
        <f ca="1">IF(COUNTIF(K117:K121,K118)&gt;=3,IF(J118=5,VLOOKUP(K118+2,TPMatrix!$A$6:$B$10,2,0),IF(J118=4,VLOOKUP(K118+2,TPMatrix!$D$6:$E$9,2,0),0)),"")</f>
        <v>0</v>
      </c>
      <c r="O118" s="239">
        <f ca="1">IF(COUNTIF(K117:K121,K118)&gt;=4,IF(J118=5,VLOOKUP(K118+3,TPMatrix!$A$6:$B$10,2,0),IF(J118=4,VLOOKUP(K118+3,TPMatrix!$D$6:$E$9,2,0),0)),"")</f>
        <v>0</v>
      </c>
      <c r="P118" s="239">
        <f ca="1">IF(COUNTIF(K117:K121,K118)&gt;=5,IF(J118=5,VLOOKUP(K118+4,TPMatrix!$A$6:$B$10,2,0),IF(J118=4,VLOOKUP(K118+4,TPMatrix!$D$6:$E$9,2,0),0)),"")</f>
        <v>0</v>
      </c>
      <c r="Q118" s="239">
        <f t="shared" ca="1" si="40"/>
        <v>0</v>
      </c>
      <c r="R118" s="240">
        <f t="shared" ca="1" si="41"/>
        <v>5</v>
      </c>
      <c r="S118" s="238">
        <f t="shared" ca="1" si="42"/>
        <v>0</v>
      </c>
      <c r="T118" s="239">
        <f t="shared" si="43"/>
        <v>0</v>
      </c>
      <c r="U118" s="240">
        <f t="shared" ca="1" si="44"/>
        <v>0</v>
      </c>
      <c r="W118" s="36" t="str">
        <f t="shared" ca="1" si="45"/>
        <v/>
      </c>
      <c r="X118" s="36" t="str">
        <f ca="1">IF(ISNUMBER($A118),$W118*(Methuselahs!$A$4+1)+$A118,"")</f>
        <v/>
      </c>
      <c r="Y118" s="36" t="str">
        <f t="shared" ca="1" si="46"/>
        <v/>
      </c>
      <c r="Z118" s="36" t="str">
        <f ca="1">IF(ISNUMBER($A118),VLOOKUP($A118,Methuselahs!$A$7:$X$206,5),"")</f>
        <v/>
      </c>
      <c r="AA118" s="36" t="str">
        <f t="shared" ca="1" si="47"/>
        <v/>
      </c>
    </row>
    <row r="119" spans="1:27" ht="12.95" customHeight="1" x14ac:dyDescent="0.2">
      <c r="A119" s="137" t="str">
        <f ca="1">IF(OR(ISBLANK('Tournament Info'!$B$11),'Tournament Info'!$B$11&lt;&gt;4),"",INDIRECT(ADDRESS(ROW(),3,1,1,"Optimal Seating "&amp;'Tournament Info'!$B$11-1&amp;"R+F")))</f>
        <v/>
      </c>
      <c r="B119" s="143" t="str">
        <f ca="1">IF(ISNUMBER(A119),VLOOKUP(A119,Methuselahs!$A$7:$E$206,2,0),"")</f>
        <v/>
      </c>
      <c r="C119" s="241" t="str">
        <f ca="1">IF(ISNUMBER(A119),VLOOKUP(A119,Methuselahs!$A$7:$E$206,3,0),"")</f>
        <v/>
      </c>
      <c r="D119" s="242" t="str">
        <f t="shared" ca="1" si="36"/>
        <v/>
      </c>
      <c r="E119" s="243"/>
      <c r="F119" s="144">
        <f t="shared" si="37"/>
        <v>0</v>
      </c>
      <c r="G119" s="244" t="str">
        <f t="shared" ca="1" si="38"/>
        <v/>
      </c>
      <c r="H119" s="245" t="str">
        <f ca="1">IF(ISNUMBER(A119),IF(OR($S119=$U119,NOT(ISNA(MATCH($D119*5+$V$4,Override!$C$6:$C$125,0)))),$Q119,0),"")</f>
        <v/>
      </c>
      <c r="I119" s="147" t="str">
        <f t="shared" ca="1" si="39"/>
        <v/>
      </c>
      <c r="J119" s="246">
        <f ca="1">COUNT(A117:A121)</f>
        <v>0</v>
      </c>
      <c r="K119" s="247" t="str">
        <f ca="1">IF(ISNUMBER(A119),RANK(F119,F117:F121),"")</f>
        <v/>
      </c>
      <c r="L119" s="142">
        <f ca="1">IF(J119=5,VLOOKUP(K119,TPMatrix!$A$6:$B$10,2,0),IF(J119=4,VLOOKUP(K119,TPMatrix!$D$6:$E$9,2,0),0))</f>
        <v>0</v>
      </c>
      <c r="M119" s="142">
        <f ca="1">IF(COUNTIF(K117:K121,K119)&gt;=2,IF(J119=5,VLOOKUP(K119+1,TPMatrix!$A$6:$B$10,2,0),IF(J119=4,VLOOKUP(K119+1,TPMatrix!$D$6:$E$9,2,0),0)),"")</f>
        <v>0</v>
      </c>
      <c r="N119" s="142">
        <f ca="1">IF(COUNTIF(K117:K121,K119)&gt;=3,IF(J119=5,VLOOKUP(K119+2,TPMatrix!$A$6:$B$10,2,0),IF(J119=4,VLOOKUP(K119+2,TPMatrix!$D$6:$E$9,2,0),0)),"")</f>
        <v>0</v>
      </c>
      <c r="O119" s="142">
        <f ca="1">IF(COUNTIF(K117:K121,K119)&gt;=4,IF(J119=5,VLOOKUP(K119+3,TPMatrix!$A$6:$B$10,2,0),IF(J119=4,VLOOKUP(K119+3,TPMatrix!$D$6:$E$9,2,0),0)),"")</f>
        <v>0</v>
      </c>
      <c r="P119" s="142">
        <f ca="1">IF(COUNTIF(K117:K121,K119)&gt;=5,IF(J119=5,VLOOKUP(K119+4,TPMatrix!$A$6:$B$10,2,0),IF(J119=4,VLOOKUP(K119+4,TPMatrix!$D$6:$E$9,2,0),0)),"")</f>
        <v>0</v>
      </c>
      <c r="Q119" s="142">
        <f t="shared" ca="1" si="40"/>
        <v>0</v>
      </c>
      <c r="R119" s="248">
        <f t="shared" ca="1" si="41"/>
        <v>5</v>
      </c>
      <c r="S119" s="247">
        <f t="shared" ca="1" si="42"/>
        <v>0</v>
      </c>
      <c r="T119" s="142">
        <f t="shared" si="43"/>
        <v>0</v>
      </c>
      <c r="U119" s="248">
        <f t="shared" ca="1" si="44"/>
        <v>0</v>
      </c>
      <c r="W119" s="36" t="str">
        <f t="shared" ca="1" si="45"/>
        <v/>
      </c>
      <c r="X119" s="36" t="str">
        <f ca="1">IF(ISNUMBER($A119),$W119*(Methuselahs!$A$4+1)+$A119,"")</f>
        <v/>
      </c>
      <c r="Y119" s="36" t="str">
        <f t="shared" ca="1" si="46"/>
        <v/>
      </c>
      <c r="Z119" s="36" t="str">
        <f ca="1">IF(ISNUMBER($A119),VLOOKUP($A119,Methuselahs!$A$7:$X$206,5),"")</f>
        <v/>
      </c>
      <c r="AA119" s="36" t="str">
        <f t="shared" ca="1" si="47"/>
        <v/>
      </c>
    </row>
    <row r="120" spans="1:27" ht="12.95" customHeight="1" x14ac:dyDescent="0.2">
      <c r="A120" s="249" t="str">
        <f ca="1">IF(OR(ISBLANK('Tournament Info'!$B$11),'Tournament Info'!$B$11&lt;&gt;4),"",INDIRECT(ADDRESS(ROW(),3,1,1,"Optimal Seating "&amp;'Tournament Info'!$B$11-1&amp;"R+F")))</f>
        <v/>
      </c>
      <c r="B120" s="250" t="str">
        <f ca="1">IF(ISNUMBER(A120),VLOOKUP(A120,Methuselahs!$A$7:$E$206,2,0),"")</f>
        <v/>
      </c>
      <c r="C120" s="251" t="str">
        <f ca="1">IF(ISNUMBER(A120),VLOOKUP(A120,Methuselahs!$A$7:$E$206,3,0),"")</f>
        <v/>
      </c>
      <c r="D120" s="252" t="str">
        <f t="shared" ca="1" si="36"/>
        <v/>
      </c>
      <c r="E120" s="253"/>
      <c r="F120" s="397">
        <f t="shared" si="37"/>
        <v>0</v>
      </c>
      <c r="G120" s="235" t="str">
        <f t="shared" ca="1" si="38"/>
        <v/>
      </c>
      <c r="H120" s="236" t="str">
        <f ca="1">IF(ISNUMBER(A120),IF(OR($S120=$U120,NOT(ISNA(MATCH($D120*5+$V$4,Override!$C$6:$C$125,0)))),$Q120,0),"")</f>
        <v/>
      </c>
      <c r="I120" s="121" t="str">
        <f t="shared" ca="1" si="39"/>
        <v/>
      </c>
      <c r="J120" s="254">
        <f ca="1">COUNT(A117:A121)</f>
        <v>0</v>
      </c>
      <c r="K120" s="238" t="str">
        <f ca="1">IF(ISNUMBER(A120),RANK(F120,F117:F121),"")</f>
        <v/>
      </c>
      <c r="L120" s="239">
        <f ca="1">IF(J120=5,VLOOKUP(K120,TPMatrix!$A$6:$B$10,2,0),IF(J120=4,VLOOKUP(K120,TPMatrix!$D$6:$E$9,2,0),0))</f>
        <v>0</v>
      </c>
      <c r="M120" s="239">
        <f ca="1">IF(COUNTIF(K117:K121,K120)&gt;=2,IF(J120=5,VLOOKUP(K120+1,TPMatrix!$A$6:$B$10,2,0),IF(J120=4,VLOOKUP(K120+1,TPMatrix!$D$6:$E$9,2,0),0)),"")</f>
        <v>0</v>
      </c>
      <c r="N120" s="239">
        <f ca="1">IF(COUNTIF(K117:K121,K120)&gt;=3,IF(J120=5,VLOOKUP(K120+2,TPMatrix!$A$6:$B$10,2,0),IF(J120=4,VLOOKUP(K120+2,TPMatrix!$D$6:$E$9,2,0),0)),"")</f>
        <v>0</v>
      </c>
      <c r="O120" s="239">
        <f ca="1">IF(COUNTIF(K117:K121,K120)&gt;=4,IF(J120=5,VLOOKUP(K120+3,TPMatrix!$A$6:$B$10,2,0),IF(J120=4,VLOOKUP(K120+3,TPMatrix!$D$6:$E$9,2,0),0)),"")</f>
        <v>0</v>
      </c>
      <c r="P120" s="239">
        <f ca="1">IF(COUNTIF(K117:K121,K120)&gt;=5,IF(J120=5,VLOOKUP(K120+4,TPMatrix!$A$6:$B$10,2,0),IF(J120=4,VLOOKUP(K120+4,TPMatrix!$D$6:$E$9,2,0),0)),"")</f>
        <v>0</v>
      </c>
      <c r="Q120" s="239">
        <f t="shared" ca="1" si="40"/>
        <v>0</v>
      </c>
      <c r="R120" s="240">
        <f t="shared" ca="1" si="41"/>
        <v>5</v>
      </c>
      <c r="S120" s="238">
        <f t="shared" ca="1" si="42"/>
        <v>0</v>
      </c>
      <c r="T120" s="239">
        <f t="shared" si="43"/>
        <v>0</v>
      </c>
      <c r="U120" s="240">
        <f t="shared" ca="1" si="44"/>
        <v>0</v>
      </c>
      <c r="W120" s="36" t="str">
        <f t="shared" ca="1" si="45"/>
        <v/>
      </c>
      <c r="X120" s="36" t="str">
        <f ca="1">IF(ISNUMBER($A120),$W120*(Methuselahs!$A$4+1)+$A120,"")</f>
        <v/>
      </c>
      <c r="Y120" s="36" t="str">
        <f t="shared" ca="1" si="46"/>
        <v/>
      </c>
      <c r="Z120" s="36" t="str">
        <f ca="1">IF(ISNUMBER($A120),VLOOKUP($A120,Methuselahs!$A$7:$X$206,5),"")</f>
        <v/>
      </c>
      <c r="AA120" s="36" t="str">
        <f t="shared" ca="1" si="47"/>
        <v/>
      </c>
    </row>
    <row r="121" spans="1:27" ht="12.95" customHeight="1" x14ac:dyDescent="0.2">
      <c r="A121" s="255" t="str">
        <f ca="1">IF(OR(ISBLANK('Tournament Info'!$B$11),'Tournament Info'!$B$11&lt;&gt;4),"",INDIRECT(ADDRESS(ROW(),3,1,1,"Optimal Seating "&amp;'Tournament Info'!$B$11-1&amp;"R+F")))</f>
        <v/>
      </c>
      <c r="B121" s="256" t="str">
        <f ca="1">IF(ISNUMBER(A121),VLOOKUP(A121,Methuselahs!$A$7:$E$206,2,0),"")</f>
        <v/>
      </c>
      <c r="C121" s="257" t="str">
        <f ca="1">IF(ISNUMBER(A121),VLOOKUP(A121,Methuselahs!$A$7:$E$206,3,0),"")</f>
        <v/>
      </c>
      <c r="D121" s="258" t="str">
        <f t="shared" ca="1" si="36"/>
        <v/>
      </c>
      <c r="E121" s="259"/>
      <c r="F121" s="398">
        <f t="shared" si="37"/>
        <v>0</v>
      </c>
      <c r="G121" s="244" t="str">
        <f t="shared" ca="1" si="38"/>
        <v/>
      </c>
      <c r="H121" s="245" t="str">
        <f ca="1">IF(ISNUMBER(A121),IF(OR($S121=$U121,NOT(ISNA(MATCH($D121*5+$V$4,Override!$C$6:$C$125,0)))),$Q121,0),"")</f>
        <v/>
      </c>
      <c r="I121" s="147" t="str">
        <f t="shared" ca="1" si="39"/>
        <v/>
      </c>
      <c r="J121" s="260">
        <f ca="1">COUNT(A117:A121)</f>
        <v>0</v>
      </c>
      <c r="K121" s="261" t="str">
        <f ca="1">IF(ISNUMBER(A121),RANK(F121,F117:F121),"")</f>
        <v/>
      </c>
      <c r="L121" s="262">
        <f ca="1">IF(J121=5,VLOOKUP(K121,TPMatrix!$A$6:$B$10,2,0),IF(J121=4,VLOOKUP(K121,TPMatrix!$D$6:$E$9,2,0),0))</f>
        <v>0</v>
      </c>
      <c r="M121" s="262">
        <f ca="1">IF(COUNTIF(K117:K121,K121)&gt;=2,IF(J121=5,VLOOKUP(K121+1,TPMatrix!$A$6:$B$10,2,0),IF(J121=4,VLOOKUP(K121+1,TPMatrix!$D$6:$E$9,2,0),0)),"")</f>
        <v>0</v>
      </c>
      <c r="N121" s="262">
        <f ca="1">IF(COUNTIF(K117:K121,K121)&gt;=3,IF(J121=5,VLOOKUP(K121+2,TPMatrix!$A$6:$B$10,2,0),IF(J121=4,VLOOKUP(K121+2,TPMatrix!$D$6:$E$9,2,0),0)),"")</f>
        <v>0</v>
      </c>
      <c r="O121" s="262">
        <f ca="1">IF(COUNTIF(K117:K121,K121)&gt;=4,IF(J121=5,VLOOKUP(K121+3,TPMatrix!$A$6:$B$10,2,0),IF(J121=4,VLOOKUP(K121+3,TPMatrix!$D$6:$E$9,2,0),0)),"")</f>
        <v>0</v>
      </c>
      <c r="P121" s="262">
        <f ca="1">IF(COUNTIF(K117:K121,K121)&gt;=5,IF(J121=5,VLOOKUP(K121+4,TPMatrix!$A$6:$B$10,2,0),IF(J121=4,VLOOKUP(K121+4,TPMatrix!$D$6:$E$9,2,0),0)),"")</f>
        <v>0</v>
      </c>
      <c r="Q121" s="262">
        <f t="shared" ca="1" si="40"/>
        <v>0</v>
      </c>
      <c r="R121" s="263">
        <f t="shared" ca="1" si="41"/>
        <v>5</v>
      </c>
      <c r="S121" s="261">
        <f t="shared" ca="1" si="42"/>
        <v>0</v>
      </c>
      <c r="T121" s="262">
        <f t="shared" si="43"/>
        <v>0</v>
      </c>
      <c r="U121" s="263">
        <f t="shared" ca="1" si="44"/>
        <v>0</v>
      </c>
      <c r="W121" s="36" t="str">
        <f t="shared" ca="1" si="45"/>
        <v/>
      </c>
      <c r="X121" s="36" t="str">
        <f ca="1">IF(ISNUMBER($A121),$W121*(Methuselahs!$A$4+1)+$A121,"")</f>
        <v/>
      </c>
      <c r="Y121" s="36" t="str">
        <f t="shared" ca="1" si="46"/>
        <v/>
      </c>
      <c r="Z121" s="36" t="str">
        <f ca="1">IF(ISNUMBER($A121),VLOOKUP($A121,Methuselahs!$A$7:$X$206,5),"")</f>
        <v/>
      </c>
      <c r="AA121" s="36" t="str">
        <f t="shared" ca="1" si="47"/>
        <v/>
      </c>
    </row>
    <row r="122" spans="1:27" ht="12.95" customHeight="1" x14ac:dyDescent="0.2">
      <c r="A122" s="219" t="str">
        <f ca="1">IF(OR(ISBLANK('Tournament Info'!$B$11),'Tournament Info'!$B$11&lt;&gt;4),"",INDIRECT(ADDRESS(ROW(),3,1,1,"Optimal Seating "&amp;'Tournament Info'!$B$11-1&amp;"R+F")))</f>
        <v/>
      </c>
      <c r="B122" s="143" t="str">
        <f ca="1">IF(ISNUMBER(A122),VLOOKUP(A122,Methuselahs!$A$7:$E$206,2,0),"")</f>
        <v/>
      </c>
      <c r="C122" s="220" t="str">
        <f ca="1">IF(ISNUMBER(A122),VLOOKUP(A122,Methuselahs!$A$7:$E$206,3,0),"")</f>
        <v/>
      </c>
      <c r="D122" s="221" t="str">
        <f t="shared" ca="1" si="36"/>
        <v/>
      </c>
      <c r="E122" s="222"/>
      <c r="F122" s="393">
        <f t="shared" si="37"/>
        <v>0</v>
      </c>
      <c r="G122" s="223" t="str">
        <f t="shared" ca="1" si="38"/>
        <v/>
      </c>
      <c r="H122" s="224" t="str">
        <f ca="1">IF(ISNUMBER(A122),IF(OR($S122=$U122,NOT(ISNA(MATCH($D122*5+$V$4,Override!$C$6:$C$125,0)))),$Q122,0),"")</f>
        <v/>
      </c>
      <c r="I122" s="406" t="str">
        <f t="shared" ca="1" si="39"/>
        <v/>
      </c>
      <c r="J122" s="225">
        <f ca="1">COUNT(A122:A126)</f>
        <v>0</v>
      </c>
      <c r="K122" s="226" t="str">
        <f ca="1">IF(ISNUMBER(A122),RANK(F122,F122:F126),"")</f>
        <v/>
      </c>
      <c r="L122" s="227">
        <f ca="1">IF(J122=5,VLOOKUP(K122,TPMatrix!$A$6:$B$10,2,0),IF(J122=4,VLOOKUP(K122,TPMatrix!$D$6:$E$9,2,0),0))</f>
        <v>0</v>
      </c>
      <c r="M122" s="227">
        <f ca="1">IF(COUNTIF(K122:K126,K122)&gt;=2,IF(J122=5,VLOOKUP(K122+1,TPMatrix!$A$6:$B$10,2,0),IF(J122=4,VLOOKUP(K122+1,TPMatrix!$D$6:$E$9,2,0),0)),"")</f>
        <v>0</v>
      </c>
      <c r="N122" s="227">
        <f ca="1">IF(COUNTIF(K122:K126,K122)&gt;=3,IF(J122=5,VLOOKUP(K122+2,TPMatrix!$A$6:$B$10,2,0),IF(J122=4,VLOOKUP(K122+2,TPMatrix!$D$6:$E$9,2,0),0)),"")</f>
        <v>0</v>
      </c>
      <c r="O122" s="227">
        <f ca="1">IF(COUNTIF(K122:K126,K122)&gt;=4,IF(J122=5,VLOOKUP(K122+3,TPMatrix!$A$6:$B$10,2,0),IF(J122=4,VLOOKUP(K122+3,TPMatrix!$D$6:$E$9,2,0),0)),"")</f>
        <v>0</v>
      </c>
      <c r="P122" s="227">
        <f ca="1">IF(COUNTIF(K122:K126,K122)&gt;=5,IF(J122=5,VLOOKUP(K122+4,TPMatrix!$A$6:$B$10,2,0),IF(J122=4,VLOOKUP(K122+4,TPMatrix!$D$6:$E$9,2,0),0)),"")</f>
        <v>0</v>
      </c>
      <c r="Q122" s="227">
        <f t="shared" ca="1" si="40"/>
        <v>0</v>
      </c>
      <c r="R122" s="228">
        <f t="shared" ca="1" si="41"/>
        <v>5</v>
      </c>
      <c r="S122" s="229">
        <f t="shared" ca="1" si="42"/>
        <v>0</v>
      </c>
      <c r="T122" s="230">
        <f t="shared" si="43"/>
        <v>0</v>
      </c>
      <c r="U122" s="231">
        <f t="shared" ca="1" si="44"/>
        <v>0</v>
      </c>
      <c r="W122" s="36" t="str">
        <f t="shared" ca="1" si="45"/>
        <v/>
      </c>
      <c r="X122" s="36" t="str">
        <f ca="1">IF(ISNUMBER($A122),$W122*(Methuselahs!$A$4+1)+$A122,"")</f>
        <v/>
      </c>
      <c r="Y122" s="36" t="str">
        <f t="shared" ca="1" si="46"/>
        <v/>
      </c>
      <c r="Z122" s="36" t="str">
        <f ca="1">IF(ISNUMBER($A122),VLOOKUP($A122,Methuselahs!$A$7:$X$206,5),"")</f>
        <v/>
      </c>
      <c r="AA122" s="36" t="str">
        <f t="shared" ca="1" si="47"/>
        <v/>
      </c>
    </row>
    <row r="123" spans="1:27" ht="12.95" customHeight="1" x14ac:dyDescent="0.2">
      <c r="A123" s="111" t="str">
        <f ca="1">IF(OR(ISBLANK('Tournament Info'!$B$11),'Tournament Info'!$B$11&lt;&gt;4),"",INDIRECT(ADDRESS(ROW(),3,1,1,"Optimal Seating "&amp;'Tournament Info'!$B$11-1&amp;"R+F")))</f>
        <v/>
      </c>
      <c r="B123" s="117" t="str">
        <f ca="1">IF(ISNUMBER(A123),VLOOKUP(A123,Methuselahs!$A$7:$E$206,2,0),"")</f>
        <v/>
      </c>
      <c r="C123" s="232" t="str">
        <f ca="1">IF(ISNUMBER(A123),VLOOKUP(A123,Methuselahs!$A$7:$E$206,3,0),"")</f>
        <v/>
      </c>
      <c r="D123" s="233" t="str">
        <f t="shared" ca="1" si="36"/>
        <v/>
      </c>
      <c r="E123" s="234"/>
      <c r="F123" s="118">
        <f t="shared" si="37"/>
        <v>0</v>
      </c>
      <c r="G123" s="235" t="str">
        <f t="shared" ca="1" si="38"/>
        <v/>
      </c>
      <c r="H123" s="236" t="str">
        <f ca="1">IF(ISNUMBER(A123),IF(OR($S123=$U123,NOT(ISNA(MATCH($D123*5+$V$4,Override!$C$6:$C$125,0)))),$Q123,0),"")</f>
        <v/>
      </c>
      <c r="I123" s="121" t="str">
        <f t="shared" ca="1" si="39"/>
        <v/>
      </c>
      <c r="J123" s="237">
        <f ca="1">COUNT(A122:A126)</f>
        <v>0</v>
      </c>
      <c r="K123" s="238" t="str">
        <f ca="1">IF(ISNUMBER(A123),RANK(F123,F122:F126),"")</f>
        <v/>
      </c>
      <c r="L123" s="239">
        <f ca="1">IF(J123=5,VLOOKUP(K123,TPMatrix!$A$6:$B$10,2,0),IF(J123=4,VLOOKUP(K123,TPMatrix!$D$6:$E$9,2,0),0))</f>
        <v>0</v>
      </c>
      <c r="M123" s="239">
        <f ca="1">IF(COUNTIF(K122:K126,K123)&gt;=2,IF(J123=5,VLOOKUP(K123+1,TPMatrix!$A$6:$B$10,2,0),IF(J123=4,VLOOKUP(K123+1,TPMatrix!$D$6:$E$9,2,0),0)),"")</f>
        <v>0</v>
      </c>
      <c r="N123" s="239">
        <f ca="1">IF(COUNTIF(K122:K126,K123)&gt;=3,IF(J123=5,VLOOKUP(K123+2,TPMatrix!$A$6:$B$10,2,0),IF(J123=4,VLOOKUP(K123+2,TPMatrix!$D$6:$E$9,2,0),0)),"")</f>
        <v>0</v>
      </c>
      <c r="O123" s="239">
        <f ca="1">IF(COUNTIF(K122:K126,K123)&gt;=4,IF(J123=5,VLOOKUP(K123+3,TPMatrix!$A$6:$B$10,2,0),IF(J123=4,VLOOKUP(K123+3,TPMatrix!$D$6:$E$9,2,0),0)),"")</f>
        <v>0</v>
      </c>
      <c r="P123" s="239">
        <f ca="1">IF(COUNTIF(K122:K126,K123)&gt;=5,IF(J123=5,VLOOKUP(K123+4,TPMatrix!$A$6:$B$10,2,0),IF(J123=4,VLOOKUP(K123+4,TPMatrix!$D$6:$E$9,2,0),0)),"")</f>
        <v>0</v>
      </c>
      <c r="Q123" s="239">
        <f t="shared" ca="1" si="40"/>
        <v>0</v>
      </c>
      <c r="R123" s="240">
        <f t="shared" ca="1" si="41"/>
        <v>5</v>
      </c>
      <c r="S123" s="238">
        <f t="shared" ca="1" si="42"/>
        <v>0</v>
      </c>
      <c r="T123" s="239">
        <f t="shared" si="43"/>
        <v>0</v>
      </c>
      <c r="U123" s="240">
        <f t="shared" ca="1" si="44"/>
        <v>0</v>
      </c>
      <c r="W123" s="36" t="str">
        <f t="shared" ca="1" si="45"/>
        <v/>
      </c>
      <c r="X123" s="36" t="str">
        <f ca="1">IF(ISNUMBER($A123),$W123*(Methuselahs!$A$4+1)+$A123,"")</f>
        <v/>
      </c>
      <c r="Y123" s="36" t="str">
        <f t="shared" ca="1" si="46"/>
        <v/>
      </c>
      <c r="Z123" s="36" t="str">
        <f ca="1">IF(ISNUMBER($A123),VLOOKUP($A123,Methuselahs!$A$7:$X$206,5),"")</f>
        <v/>
      </c>
      <c r="AA123" s="36" t="str">
        <f t="shared" ca="1" si="47"/>
        <v/>
      </c>
    </row>
    <row r="124" spans="1:27" ht="12.95" customHeight="1" x14ac:dyDescent="0.2">
      <c r="A124" s="137" t="str">
        <f ca="1">IF(OR(ISBLANK('Tournament Info'!$B$11),'Tournament Info'!$B$11&lt;&gt;4),"",INDIRECT(ADDRESS(ROW(),3,1,1,"Optimal Seating "&amp;'Tournament Info'!$B$11-1&amp;"R+F")))</f>
        <v/>
      </c>
      <c r="B124" s="143" t="str">
        <f ca="1">IF(ISNUMBER(A124),VLOOKUP(A124,Methuselahs!$A$7:$E$206,2,0),"")</f>
        <v/>
      </c>
      <c r="C124" s="241" t="str">
        <f ca="1">IF(ISNUMBER(A124),VLOOKUP(A124,Methuselahs!$A$7:$E$206,3,0),"")</f>
        <v/>
      </c>
      <c r="D124" s="242" t="str">
        <f t="shared" ca="1" si="36"/>
        <v/>
      </c>
      <c r="E124" s="243"/>
      <c r="F124" s="144">
        <f t="shared" si="37"/>
        <v>0</v>
      </c>
      <c r="G124" s="244" t="str">
        <f t="shared" ca="1" si="38"/>
        <v/>
      </c>
      <c r="H124" s="245" t="str">
        <f ca="1">IF(ISNUMBER(A124),IF(OR($S124=$U124,NOT(ISNA(MATCH($D124*5+$V$4,Override!$C$6:$C$125,0)))),$Q124,0),"")</f>
        <v/>
      </c>
      <c r="I124" s="147" t="str">
        <f t="shared" ca="1" si="39"/>
        <v/>
      </c>
      <c r="J124" s="246">
        <f ca="1">COUNT(A122:A126)</f>
        <v>0</v>
      </c>
      <c r="K124" s="247" t="str">
        <f ca="1">IF(ISNUMBER(A124),RANK(F124,F122:F126),"")</f>
        <v/>
      </c>
      <c r="L124" s="142">
        <f ca="1">IF(J124=5,VLOOKUP(K124,TPMatrix!$A$6:$B$10,2,0),IF(J124=4,VLOOKUP(K124,TPMatrix!$D$6:$E$9,2,0),0))</f>
        <v>0</v>
      </c>
      <c r="M124" s="142">
        <f ca="1">IF(COUNTIF(K122:K126,K124)&gt;=2,IF(J124=5,VLOOKUP(K124+1,TPMatrix!$A$6:$B$10,2,0),IF(J124=4,VLOOKUP(K124+1,TPMatrix!$D$6:$E$9,2,0),0)),"")</f>
        <v>0</v>
      </c>
      <c r="N124" s="142">
        <f ca="1">IF(COUNTIF(K122:K126,K124)&gt;=3,IF(J124=5,VLOOKUP(K124+2,TPMatrix!$A$6:$B$10,2,0),IF(J124=4,VLOOKUP(K124+2,TPMatrix!$D$6:$E$9,2,0),0)),"")</f>
        <v>0</v>
      </c>
      <c r="O124" s="142">
        <f ca="1">IF(COUNTIF(K122:K126,K124)&gt;=4,IF(J124=5,VLOOKUP(K124+3,TPMatrix!$A$6:$B$10,2,0),IF(J124=4,VLOOKUP(K124+3,TPMatrix!$D$6:$E$9,2,0),0)),"")</f>
        <v>0</v>
      </c>
      <c r="P124" s="142">
        <f ca="1">IF(COUNTIF(K122:K126,K124)&gt;=5,IF(J124=5,VLOOKUP(K124+4,TPMatrix!$A$6:$B$10,2,0),IF(J124=4,VLOOKUP(K124+4,TPMatrix!$D$6:$E$9,2,0),0)),"")</f>
        <v>0</v>
      </c>
      <c r="Q124" s="142">
        <f t="shared" ca="1" si="40"/>
        <v>0</v>
      </c>
      <c r="R124" s="248">
        <f t="shared" ca="1" si="41"/>
        <v>5</v>
      </c>
      <c r="S124" s="247">
        <f t="shared" ca="1" si="42"/>
        <v>0</v>
      </c>
      <c r="T124" s="142">
        <f t="shared" si="43"/>
        <v>0</v>
      </c>
      <c r="U124" s="248">
        <f t="shared" ca="1" si="44"/>
        <v>0</v>
      </c>
      <c r="W124" s="36" t="str">
        <f t="shared" ca="1" si="45"/>
        <v/>
      </c>
      <c r="X124" s="36" t="str">
        <f ca="1">IF(ISNUMBER($A124),$W124*(Methuselahs!$A$4+1)+$A124,"")</f>
        <v/>
      </c>
      <c r="Y124" s="36" t="str">
        <f t="shared" ca="1" si="46"/>
        <v/>
      </c>
      <c r="Z124" s="36" t="str">
        <f ca="1">IF(ISNUMBER($A124),VLOOKUP($A124,Methuselahs!$A$7:$X$206,5),"")</f>
        <v/>
      </c>
      <c r="AA124" s="36" t="str">
        <f t="shared" ca="1" si="47"/>
        <v/>
      </c>
    </row>
    <row r="125" spans="1:27" ht="12.95" customHeight="1" x14ac:dyDescent="0.2">
      <c r="A125" s="249" t="str">
        <f ca="1">IF(OR(ISBLANK('Tournament Info'!$B$11),'Tournament Info'!$B$11&lt;&gt;4),"",INDIRECT(ADDRESS(ROW(),3,1,1,"Optimal Seating "&amp;'Tournament Info'!$B$11-1&amp;"R+F")))</f>
        <v/>
      </c>
      <c r="B125" s="250" t="str">
        <f ca="1">IF(ISNUMBER(A125),VLOOKUP(A125,Methuselahs!$A$7:$E$206,2,0),"")</f>
        <v/>
      </c>
      <c r="C125" s="251" t="str">
        <f ca="1">IF(ISNUMBER(A125),VLOOKUP(A125,Methuselahs!$A$7:$E$206,3,0),"")</f>
        <v/>
      </c>
      <c r="D125" s="252" t="str">
        <f t="shared" ca="1" si="36"/>
        <v/>
      </c>
      <c r="E125" s="253"/>
      <c r="F125" s="397">
        <f t="shared" si="37"/>
        <v>0</v>
      </c>
      <c r="G125" s="235" t="str">
        <f t="shared" ca="1" si="38"/>
        <v/>
      </c>
      <c r="H125" s="236" t="str">
        <f ca="1">IF(ISNUMBER(A125),IF(OR($S125=$U125,NOT(ISNA(MATCH($D125*5+$V$4,Override!$C$6:$C$125,0)))),$Q125,0),"")</f>
        <v/>
      </c>
      <c r="I125" s="121" t="str">
        <f t="shared" ca="1" si="39"/>
        <v/>
      </c>
      <c r="J125" s="254">
        <f ca="1">COUNT(A122:A126)</f>
        <v>0</v>
      </c>
      <c r="K125" s="238" t="str">
        <f ca="1">IF(ISNUMBER(A125),RANK(F125,F122:F126),"")</f>
        <v/>
      </c>
      <c r="L125" s="239">
        <f ca="1">IF(J125=5,VLOOKUP(K125,TPMatrix!$A$6:$B$10,2,0),IF(J125=4,VLOOKUP(K125,TPMatrix!$D$6:$E$9,2,0),0))</f>
        <v>0</v>
      </c>
      <c r="M125" s="239">
        <f ca="1">IF(COUNTIF(K122:K126,K125)&gt;=2,IF(J125=5,VLOOKUP(K125+1,TPMatrix!$A$6:$B$10,2,0),IF(J125=4,VLOOKUP(K125+1,TPMatrix!$D$6:$E$9,2,0),0)),"")</f>
        <v>0</v>
      </c>
      <c r="N125" s="239">
        <f ca="1">IF(COUNTIF(K122:K126,K125)&gt;=3,IF(J125=5,VLOOKUP(K125+2,TPMatrix!$A$6:$B$10,2,0),IF(J125=4,VLOOKUP(K125+2,TPMatrix!$D$6:$E$9,2,0),0)),"")</f>
        <v>0</v>
      </c>
      <c r="O125" s="239">
        <f ca="1">IF(COUNTIF(K122:K126,K125)&gt;=4,IF(J125=5,VLOOKUP(K125+3,TPMatrix!$A$6:$B$10,2,0),IF(J125=4,VLOOKUP(K125+3,TPMatrix!$D$6:$E$9,2,0),0)),"")</f>
        <v>0</v>
      </c>
      <c r="P125" s="239">
        <f ca="1">IF(COUNTIF(K122:K126,K125)&gt;=5,IF(J125=5,VLOOKUP(K125+4,TPMatrix!$A$6:$B$10,2,0),IF(J125=4,VLOOKUP(K125+4,TPMatrix!$D$6:$E$9,2,0),0)),"")</f>
        <v>0</v>
      </c>
      <c r="Q125" s="239">
        <f t="shared" ca="1" si="40"/>
        <v>0</v>
      </c>
      <c r="R125" s="240">
        <f t="shared" ca="1" si="41"/>
        <v>5</v>
      </c>
      <c r="S125" s="238">
        <f t="shared" ca="1" si="42"/>
        <v>0</v>
      </c>
      <c r="T125" s="239">
        <f t="shared" si="43"/>
        <v>0</v>
      </c>
      <c r="U125" s="240">
        <f t="shared" ca="1" si="44"/>
        <v>0</v>
      </c>
      <c r="W125" s="36" t="str">
        <f t="shared" ca="1" si="45"/>
        <v/>
      </c>
      <c r="X125" s="36" t="str">
        <f ca="1">IF(ISNUMBER($A125),$W125*(Methuselahs!$A$4+1)+$A125,"")</f>
        <v/>
      </c>
      <c r="Y125" s="36" t="str">
        <f t="shared" ca="1" si="46"/>
        <v/>
      </c>
      <c r="Z125" s="36" t="str">
        <f ca="1">IF(ISNUMBER($A125),VLOOKUP($A125,Methuselahs!$A$7:$X$206,5),"")</f>
        <v/>
      </c>
      <c r="AA125" s="36" t="str">
        <f t="shared" ca="1" si="47"/>
        <v/>
      </c>
    </row>
    <row r="126" spans="1:27" ht="12.95" customHeight="1" x14ac:dyDescent="0.2">
      <c r="A126" s="255" t="str">
        <f ca="1">IF(OR(ISBLANK('Tournament Info'!$B$11),'Tournament Info'!$B$11&lt;&gt;4),"",INDIRECT(ADDRESS(ROW(),3,1,1,"Optimal Seating "&amp;'Tournament Info'!$B$11-1&amp;"R+F")))</f>
        <v/>
      </c>
      <c r="B126" s="256" t="str">
        <f ca="1">IF(ISNUMBER(A126),VLOOKUP(A126,Methuselahs!$A$7:$E$206,2,0),"")</f>
        <v/>
      </c>
      <c r="C126" s="257" t="str">
        <f ca="1">IF(ISNUMBER(A126),VLOOKUP(A126,Methuselahs!$A$7:$E$206,3,0),"")</f>
        <v/>
      </c>
      <c r="D126" s="258" t="str">
        <f t="shared" ca="1" si="36"/>
        <v/>
      </c>
      <c r="E126" s="259"/>
      <c r="F126" s="398">
        <f t="shared" si="37"/>
        <v>0</v>
      </c>
      <c r="G126" s="244" t="str">
        <f t="shared" ca="1" si="38"/>
        <v/>
      </c>
      <c r="H126" s="245" t="str">
        <f ca="1">IF(ISNUMBER(A126),IF(OR($S126=$U126,NOT(ISNA(MATCH($D126*5+$V$4,Override!$C$6:$C$125,0)))),$Q126,0),"")</f>
        <v/>
      </c>
      <c r="I126" s="147" t="str">
        <f t="shared" ca="1" si="39"/>
        <v/>
      </c>
      <c r="J126" s="260">
        <f ca="1">COUNT(A122:A126)</f>
        <v>0</v>
      </c>
      <c r="K126" s="261" t="str">
        <f ca="1">IF(ISNUMBER(A126),RANK(F126,F122:F126),"")</f>
        <v/>
      </c>
      <c r="L126" s="262">
        <f ca="1">IF(J126=5,VLOOKUP(K126,TPMatrix!$A$6:$B$10,2,0),IF(J126=4,VLOOKUP(K126,TPMatrix!$D$6:$E$9,2,0),0))</f>
        <v>0</v>
      </c>
      <c r="M126" s="262">
        <f ca="1">IF(COUNTIF(K122:K126,K126)&gt;=2,IF(J126=5,VLOOKUP(K126+1,TPMatrix!$A$6:$B$10,2,0),IF(J126=4,VLOOKUP(K126+1,TPMatrix!$D$6:$E$9,2,0),0)),"")</f>
        <v>0</v>
      </c>
      <c r="N126" s="262">
        <f ca="1">IF(COUNTIF(K122:K126,K126)&gt;=3,IF(J126=5,VLOOKUP(K126+2,TPMatrix!$A$6:$B$10,2,0),IF(J126=4,VLOOKUP(K126+2,TPMatrix!$D$6:$E$9,2,0),0)),"")</f>
        <v>0</v>
      </c>
      <c r="O126" s="262">
        <f ca="1">IF(COUNTIF(K122:K126,K126)&gt;=4,IF(J126=5,VLOOKUP(K126+3,TPMatrix!$A$6:$B$10,2,0),IF(J126=4,VLOOKUP(K126+3,TPMatrix!$D$6:$E$9,2,0),0)),"")</f>
        <v>0</v>
      </c>
      <c r="P126" s="262">
        <f ca="1">IF(COUNTIF(K122:K126,K126)&gt;=5,IF(J126=5,VLOOKUP(K126+4,TPMatrix!$A$6:$B$10,2,0),IF(J126=4,VLOOKUP(K126+4,TPMatrix!$D$6:$E$9,2,0),0)),"")</f>
        <v>0</v>
      </c>
      <c r="Q126" s="262">
        <f t="shared" ca="1" si="40"/>
        <v>0</v>
      </c>
      <c r="R126" s="263">
        <f t="shared" ca="1" si="41"/>
        <v>5</v>
      </c>
      <c r="S126" s="261">
        <f t="shared" ca="1" si="42"/>
        <v>0</v>
      </c>
      <c r="T126" s="262">
        <f t="shared" si="43"/>
        <v>0</v>
      </c>
      <c r="U126" s="263">
        <f t="shared" ca="1" si="44"/>
        <v>0</v>
      </c>
      <c r="W126" s="36" t="str">
        <f t="shared" ca="1" si="45"/>
        <v/>
      </c>
      <c r="X126" s="36" t="str">
        <f ca="1">IF(ISNUMBER($A126),$W126*(Methuselahs!$A$4+1)+$A126,"")</f>
        <v/>
      </c>
      <c r="Y126" s="36" t="str">
        <f t="shared" ca="1" si="46"/>
        <v/>
      </c>
      <c r="Z126" s="36" t="str">
        <f ca="1">IF(ISNUMBER($A126),VLOOKUP($A126,Methuselahs!$A$7:$X$206,5),"")</f>
        <v/>
      </c>
      <c r="AA126" s="36" t="str">
        <f t="shared" ca="1" si="47"/>
        <v/>
      </c>
    </row>
    <row r="127" spans="1:27" ht="12.95" customHeight="1" x14ac:dyDescent="0.2">
      <c r="A127" s="219" t="str">
        <f ca="1">IF(OR(ISBLANK('Tournament Info'!$B$11),'Tournament Info'!$B$11&lt;&gt;4),"",INDIRECT(ADDRESS(ROW(),3,1,1,"Optimal Seating "&amp;'Tournament Info'!$B$11-1&amp;"R+F")))</f>
        <v/>
      </c>
      <c r="B127" s="143" t="str">
        <f ca="1">IF(ISNUMBER(A127),VLOOKUP(A127,Methuselahs!$A$7:$E$206,2,0),"")</f>
        <v/>
      </c>
      <c r="C127" s="220" t="str">
        <f ca="1">IF(ISNUMBER(A127),VLOOKUP(A127,Methuselahs!$A$7:$E$206,3,0),"")</f>
        <v/>
      </c>
      <c r="D127" s="221" t="str">
        <f t="shared" ca="1" si="36"/>
        <v/>
      </c>
      <c r="E127" s="222"/>
      <c r="F127" s="393">
        <f t="shared" si="37"/>
        <v>0</v>
      </c>
      <c r="G127" s="223" t="str">
        <f t="shared" ca="1" si="38"/>
        <v/>
      </c>
      <c r="H127" s="224" t="str">
        <f ca="1">IF(ISNUMBER(A127),IF(OR($S127=$U127,NOT(ISNA(MATCH($D127*5+$V$4,Override!$C$6:$C$125,0)))),$Q127,0),"")</f>
        <v/>
      </c>
      <c r="I127" s="406" t="str">
        <f t="shared" ca="1" si="39"/>
        <v/>
      </c>
      <c r="J127" s="225">
        <f ca="1">COUNT(A127:A131)</f>
        <v>0</v>
      </c>
      <c r="K127" s="226" t="str">
        <f ca="1">IF(ISNUMBER(A127),RANK(F127,F127:F131),"")</f>
        <v/>
      </c>
      <c r="L127" s="227">
        <f ca="1">IF(J127=5,VLOOKUP(K127,TPMatrix!$A$6:$B$10,2,0),IF(J127=4,VLOOKUP(K127,TPMatrix!$D$6:$E$9,2,0),0))</f>
        <v>0</v>
      </c>
      <c r="M127" s="227">
        <f ca="1">IF(COUNTIF(K127:K131,K127)&gt;=2,IF(J127=5,VLOOKUP(K127+1,TPMatrix!$A$6:$B$10,2,0),IF(J127=4,VLOOKUP(K127+1,TPMatrix!$D$6:$E$9,2,0),0)),"")</f>
        <v>0</v>
      </c>
      <c r="N127" s="227">
        <f ca="1">IF(COUNTIF(K127:K131,K127)&gt;=3,IF(J127=5,VLOOKUP(K127+2,TPMatrix!$A$6:$B$10,2,0),IF(J127=4,VLOOKUP(K127+2,TPMatrix!$D$6:$E$9,2,0),0)),"")</f>
        <v>0</v>
      </c>
      <c r="O127" s="227">
        <f ca="1">IF(COUNTIF(K127:K131,K127)&gt;=4,IF(J127=5,VLOOKUP(K127+3,TPMatrix!$A$6:$B$10,2,0),IF(J127=4,VLOOKUP(K127+3,TPMatrix!$D$6:$E$9,2,0),0)),"")</f>
        <v>0</v>
      </c>
      <c r="P127" s="227">
        <f ca="1">IF(COUNTIF(K127:K131,K127)&gt;=5,IF(J127=5,VLOOKUP(K127+4,TPMatrix!$A$6:$B$10,2,0),IF(J127=4,VLOOKUP(K127+4,TPMatrix!$D$6:$E$9,2,0),0)),"")</f>
        <v>0</v>
      </c>
      <c r="Q127" s="227">
        <f t="shared" ca="1" si="40"/>
        <v>0</v>
      </c>
      <c r="R127" s="228">
        <f t="shared" ca="1" si="41"/>
        <v>5</v>
      </c>
      <c r="S127" s="229">
        <f t="shared" ca="1" si="42"/>
        <v>0</v>
      </c>
      <c r="T127" s="230">
        <f t="shared" si="43"/>
        <v>0</v>
      </c>
      <c r="U127" s="231">
        <f t="shared" ca="1" si="44"/>
        <v>0</v>
      </c>
      <c r="W127" s="36" t="str">
        <f t="shared" ca="1" si="45"/>
        <v/>
      </c>
      <c r="X127" s="36" t="str">
        <f ca="1">IF(ISNUMBER($A127),$W127*(Methuselahs!$A$4+1)+$A127,"")</f>
        <v/>
      </c>
      <c r="Y127" s="36" t="str">
        <f t="shared" ca="1" si="46"/>
        <v/>
      </c>
      <c r="Z127" s="36" t="str">
        <f ca="1">IF(ISNUMBER($A127),VLOOKUP($A127,Methuselahs!$A$7:$X$206,5),"")</f>
        <v/>
      </c>
      <c r="AA127" s="36" t="str">
        <f t="shared" ca="1" si="47"/>
        <v/>
      </c>
    </row>
    <row r="128" spans="1:27" ht="12.95" customHeight="1" x14ac:dyDescent="0.2">
      <c r="A128" s="111" t="str">
        <f ca="1">IF(OR(ISBLANK('Tournament Info'!$B$11),'Tournament Info'!$B$11&lt;&gt;4),"",INDIRECT(ADDRESS(ROW(),3,1,1,"Optimal Seating "&amp;'Tournament Info'!$B$11-1&amp;"R+F")))</f>
        <v/>
      </c>
      <c r="B128" s="117" t="str">
        <f ca="1">IF(ISNUMBER(A128),VLOOKUP(A128,Methuselahs!$A$7:$E$206,2,0),"")</f>
        <v/>
      </c>
      <c r="C128" s="232" t="str">
        <f ca="1">IF(ISNUMBER(A128),VLOOKUP(A128,Methuselahs!$A$7:$E$206,3,0),"")</f>
        <v/>
      </c>
      <c r="D128" s="233" t="str">
        <f t="shared" ca="1" si="36"/>
        <v/>
      </c>
      <c r="E128" s="234"/>
      <c r="F128" s="118">
        <f t="shared" si="37"/>
        <v>0</v>
      </c>
      <c r="G128" s="235" t="str">
        <f t="shared" ca="1" si="38"/>
        <v/>
      </c>
      <c r="H128" s="236" t="str">
        <f ca="1">IF(ISNUMBER(A128),IF(OR($S128=$U128,NOT(ISNA(MATCH($D128*5+$V$4,Override!$C$6:$C$125,0)))),$Q128,0),"")</f>
        <v/>
      </c>
      <c r="I128" s="121" t="str">
        <f t="shared" ca="1" si="39"/>
        <v/>
      </c>
      <c r="J128" s="237">
        <f ca="1">COUNT(A127:A131)</f>
        <v>0</v>
      </c>
      <c r="K128" s="238" t="str">
        <f ca="1">IF(ISNUMBER(A128),RANK(F128,F127:F131),"")</f>
        <v/>
      </c>
      <c r="L128" s="239">
        <f ca="1">IF(J128=5,VLOOKUP(K128,TPMatrix!$A$6:$B$10,2,0),IF(J128=4,VLOOKUP(K128,TPMatrix!$D$6:$E$9,2,0),0))</f>
        <v>0</v>
      </c>
      <c r="M128" s="239">
        <f ca="1">IF(COUNTIF(K127:K131,K128)&gt;=2,IF(J128=5,VLOOKUP(K128+1,TPMatrix!$A$6:$B$10,2,0),IF(J128=4,VLOOKUP(K128+1,TPMatrix!$D$6:$E$9,2,0),0)),"")</f>
        <v>0</v>
      </c>
      <c r="N128" s="239">
        <f ca="1">IF(COUNTIF(K127:K131,K128)&gt;=3,IF(J128=5,VLOOKUP(K128+2,TPMatrix!$A$6:$B$10,2,0),IF(J128=4,VLOOKUP(K128+2,TPMatrix!$D$6:$E$9,2,0),0)),"")</f>
        <v>0</v>
      </c>
      <c r="O128" s="239">
        <f ca="1">IF(COUNTIF(K127:K131,K128)&gt;=4,IF(J128=5,VLOOKUP(K128+3,TPMatrix!$A$6:$B$10,2,0),IF(J128=4,VLOOKUP(K128+3,TPMatrix!$D$6:$E$9,2,0),0)),"")</f>
        <v>0</v>
      </c>
      <c r="P128" s="239">
        <f ca="1">IF(COUNTIF(K127:K131,K128)&gt;=5,IF(J128=5,VLOOKUP(K128+4,TPMatrix!$A$6:$B$10,2,0),IF(J128=4,VLOOKUP(K128+4,TPMatrix!$D$6:$E$9,2,0),0)),"")</f>
        <v>0</v>
      </c>
      <c r="Q128" s="239">
        <f t="shared" ca="1" si="40"/>
        <v>0</v>
      </c>
      <c r="R128" s="240">
        <f t="shared" ca="1" si="41"/>
        <v>5</v>
      </c>
      <c r="S128" s="238">
        <f t="shared" ca="1" si="42"/>
        <v>0</v>
      </c>
      <c r="T128" s="239">
        <f t="shared" si="43"/>
        <v>0</v>
      </c>
      <c r="U128" s="240">
        <f t="shared" ca="1" si="44"/>
        <v>0</v>
      </c>
      <c r="W128" s="36" t="str">
        <f t="shared" ca="1" si="45"/>
        <v/>
      </c>
      <c r="X128" s="36" t="str">
        <f ca="1">IF(ISNUMBER($A128),$W128*(Methuselahs!$A$4+1)+$A128,"")</f>
        <v/>
      </c>
      <c r="Y128" s="36" t="str">
        <f t="shared" ca="1" si="46"/>
        <v/>
      </c>
      <c r="Z128" s="36" t="str">
        <f ca="1">IF(ISNUMBER($A128),VLOOKUP($A128,Methuselahs!$A$7:$X$206,5),"")</f>
        <v/>
      </c>
      <c r="AA128" s="36" t="str">
        <f t="shared" ca="1" si="47"/>
        <v/>
      </c>
    </row>
    <row r="129" spans="1:27" ht="12.95" customHeight="1" x14ac:dyDescent="0.2">
      <c r="A129" s="137" t="str">
        <f ca="1">IF(OR(ISBLANK('Tournament Info'!$B$11),'Tournament Info'!$B$11&lt;&gt;4),"",INDIRECT(ADDRESS(ROW(),3,1,1,"Optimal Seating "&amp;'Tournament Info'!$B$11-1&amp;"R+F")))</f>
        <v/>
      </c>
      <c r="B129" s="143" t="str">
        <f ca="1">IF(ISNUMBER(A129),VLOOKUP(A129,Methuselahs!$A$7:$E$206,2,0),"")</f>
        <v/>
      </c>
      <c r="C129" s="241" t="str">
        <f ca="1">IF(ISNUMBER(A129),VLOOKUP(A129,Methuselahs!$A$7:$E$206,3,0),"")</f>
        <v/>
      </c>
      <c r="D129" s="242" t="str">
        <f t="shared" ca="1" si="36"/>
        <v/>
      </c>
      <c r="E129" s="243"/>
      <c r="F129" s="144">
        <f t="shared" si="37"/>
        <v>0</v>
      </c>
      <c r="G129" s="244" t="str">
        <f t="shared" ca="1" si="38"/>
        <v/>
      </c>
      <c r="H129" s="245" t="str">
        <f ca="1">IF(ISNUMBER(A129),IF(OR($S129=$U129,NOT(ISNA(MATCH($D129*5+$V$4,Override!$C$6:$C$125,0)))),$Q129,0),"")</f>
        <v/>
      </c>
      <c r="I129" s="147" t="str">
        <f t="shared" ca="1" si="39"/>
        <v/>
      </c>
      <c r="J129" s="246">
        <f ca="1">COUNT(A127:A131)</f>
        <v>0</v>
      </c>
      <c r="K129" s="247" t="str">
        <f ca="1">IF(ISNUMBER(A129),RANK(F129,F127:F131),"")</f>
        <v/>
      </c>
      <c r="L129" s="142">
        <f ca="1">IF(J129=5,VLOOKUP(K129,TPMatrix!$A$6:$B$10,2,0),IF(J129=4,VLOOKUP(K129,TPMatrix!$D$6:$E$9,2,0),0))</f>
        <v>0</v>
      </c>
      <c r="M129" s="142">
        <f ca="1">IF(COUNTIF(K127:K131,K129)&gt;=2,IF(J129=5,VLOOKUP(K129+1,TPMatrix!$A$6:$B$10,2,0),IF(J129=4,VLOOKUP(K129+1,TPMatrix!$D$6:$E$9,2,0),0)),"")</f>
        <v>0</v>
      </c>
      <c r="N129" s="142">
        <f ca="1">IF(COUNTIF(K127:K131,K129)&gt;=3,IF(J129=5,VLOOKUP(K129+2,TPMatrix!$A$6:$B$10,2,0),IF(J129=4,VLOOKUP(K129+2,TPMatrix!$D$6:$E$9,2,0),0)),"")</f>
        <v>0</v>
      </c>
      <c r="O129" s="142">
        <f ca="1">IF(COUNTIF(K127:K131,K129)&gt;=4,IF(J129=5,VLOOKUP(K129+3,TPMatrix!$A$6:$B$10,2,0),IF(J129=4,VLOOKUP(K129+3,TPMatrix!$D$6:$E$9,2,0),0)),"")</f>
        <v>0</v>
      </c>
      <c r="P129" s="142">
        <f ca="1">IF(COUNTIF(K127:K131,K129)&gt;=5,IF(J129=5,VLOOKUP(K129+4,TPMatrix!$A$6:$B$10,2,0),IF(J129=4,VLOOKUP(K129+4,TPMatrix!$D$6:$E$9,2,0),0)),"")</f>
        <v>0</v>
      </c>
      <c r="Q129" s="142">
        <f t="shared" ca="1" si="40"/>
        <v>0</v>
      </c>
      <c r="R129" s="248">
        <f t="shared" ca="1" si="41"/>
        <v>5</v>
      </c>
      <c r="S129" s="247">
        <f t="shared" ca="1" si="42"/>
        <v>0</v>
      </c>
      <c r="T129" s="142">
        <f t="shared" si="43"/>
        <v>0</v>
      </c>
      <c r="U129" s="248">
        <f t="shared" ca="1" si="44"/>
        <v>0</v>
      </c>
      <c r="W129" s="36" t="str">
        <f t="shared" ca="1" si="45"/>
        <v/>
      </c>
      <c r="X129" s="36" t="str">
        <f ca="1">IF(ISNUMBER($A129),$W129*(Methuselahs!$A$4+1)+$A129,"")</f>
        <v/>
      </c>
      <c r="Y129" s="36" t="str">
        <f t="shared" ca="1" si="46"/>
        <v/>
      </c>
      <c r="Z129" s="36" t="str">
        <f ca="1">IF(ISNUMBER($A129),VLOOKUP($A129,Methuselahs!$A$7:$X$206,5),"")</f>
        <v/>
      </c>
      <c r="AA129" s="36" t="str">
        <f t="shared" ca="1" si="47"/>
        <v/>
      </c>
    </row>
    <row r="130" spans="1:27" ht="12.95" customHeight="1" x14ac:dyDescent="0.2">
      <c r="A130" s="249" t="str">
        <f ca="1">IF(OR(ISBLANK('Tournament Info'!$B$11),'Tournament Info'!$B$11&lt;&gt;4),"",INDIRECT(ADDRESS(ROW(),3,1,1,"Optimal Seating "&amp;'Tournament Info'!$B$11-1&amp;"R+F")))</f>
        <v/>
      </c>
      <c r="B130" s="250" t="str">
        <f ca="1">IF(ISNUMBER(A130),VLOOKUP(A130,Methuselahs!$A$7:$E$206,2,0),"")</f>
        <v/>
      </c>
      <c r="C130" s="251" t="str">
        <f ca="1">IF(ISNUMBER(A130),VLOOKUP(A130,Methuselahs!$A$7:$E$206,3,0),"")</f>
        <v/>
      </c>
      <c r="D130" s="252" t="str">
        <f t="shared" ca="1" si="36"/>
        <v/>
      </c>
      <c r="E130" s="253"/>
      <c r="F130" s="397">
        <f t="shared" si="37"/>
        <v>0</v>
      </c>
      <c r="G130" s="235" t="str">
        <f t="shared" ca="1" si="38"/>
        <v/>
      </c>
      <c r="H130" s="236" t="str">
        <f ca="1">IF(ISNUMBER(A130),IF(OR($S130=$U130,NOT(ISNA(MATCH($D130*5+$V$4,Override!$C$6:$C$125,0)))),$Q130,0),"")</f>
        <v/>
      </c>
      <c r="I130" s="121" t="str">
        <f t="shared" ca="1" si="39"/>
        <v/>
      </c>
      <c r="J130" s="254">
        <f ca="1">COUNT(A127:A131)</f>
        <v>0</v>
      </c>
      <c r="K130" s="238" t="str">
        <f ca="1">IF(ISNUMBER(A130),RANK(F130,F127:F131),"")</f>
        <v/>
      </c>
      <c r="L130" s="239">
        <f ca="1">IF(J130=5,VLOOKUP(K130,TPMatrix!$A$6:$B$10,2,0),IF(J130=4,VLOOKUP(K130,TPMatrix!$D$6:$E$9,2,0),0))</f>
        <v>0</v>
      </c>
      <c r="M130" s="239">
        <f ca="1">IF(COUNTIF(K127:K131,K130)&gt;=2,IF(J130=5,VLOOKUP(K130+1,TPMatrix!$A$6:$B$10,2,0),IF(J130=4,VLOOKUP(K130+1,TPMatrix!$D$6:$E$9,2,0),0)),"")</f>
        <v>0</v>
      </c>
      <c r="N130" s="239">
        <f ca="1">IF(COUNTIF(K127:K131,K130)&gt;=3,IF(J130=5,VLOOKUP(K130+2,TPMatrix!$A$6:$B$10,2,0),IF(J130=4,VLOOKUP(K130+2,TPMatrix!$D$6:$E$9,2,0),0)),"")</f>
        <v>0</v>
      </c>
      <c r="O130" s="239">
        <f ca="1">IF(COUNTIF(K127:K131,K130)&gt;=4,IF(J130=5,VLOOKUP(K130+3,TPMatrix!$A$6:$B$10,2,0),IF(J130=4,VLOOKUP(K130+3,TPMatrix!$D$6:$E$9,2,0),0)),"")</f>
        <v>0</v>
      </c>
      <c r="P130" s="239">
        <f ca="1">IF(COUNTIF(K127:K131,K130)&gt;=5,IF(J130=5,VLOOKUP(K130+4,TPMatrix!$A$6:$B$10,2,0),IF(J130=4,VLOOKUP(K130+4,TPMatrix!$D$6:$E$9,2,0),0)),"")</f>
        <v>0</v>
      </c>
      <c r="Q130" s="239">
        <f t="shared" ca="1" si="40"/>
        <v>0</v>
      </c>
      <c r="R130" s="240">
        <f t="shared" ca="1" si="41"/>
        <v>5</v>
      </c>
      <c r="S130" s="238">
        <f t="shared" ca="1" si="42"/>
        <v>0</v>
      </c>
      <c r="T130" s="239">
        <f t="shared" si="43"/>
        <v>0</v>
      </c>
      <c r="U130" s="240">
        <f t="shared" ca="1" si="44"/>
        <v>0</v>
      </c>
      <c r="W130" s="36" t="str">
        <f t="shared" ca="1" si="45"/>
        <v/>
      </c>
      <c r="X130" s="36" t="str">
        <f ca="1">IF(ISNUMBER($A130),$W130*(Methuselahs!$A$4+1)+$A130,"")</f>
        <v/>
      </c>
      <c r="Y130" s="36" t="str">
        <f t="shared" ca="1" si="46"/>
        <v/>
      </c>
      <c r="Z130" s="36" t="str">
        <f ca="1">IF(ISNUMBER($A130),VLOOKUP($A130,Methuselahs!$A$7:$X$206,5),"")</f>
        <v/>
      </c>
      <c r="AA130" s="36" t="str">
        <f t="shared" ca="1" si="47"/>
        <v/>
      </c>
    </row>
    <row r="131" spans="1:27" ht="12.95" customHeight="1" x14ac:dyDescent="0.2">
      <c r="A131" s="255" t="str">
        <f ca="1">IF(OR(ISBLANK('Tournament Info'!$B$11),'Tournament Info'!$B$11&lt;&gt;4),"",INDIRECT(ADDRESS(ROW(),3,1,1,"Optimal Seating "&amp;'Tournament Info'!$B$11-1&amp;"R+F")))</f>
        <v/>
      </c>
      <c r="B131" s="256" t="str">
        <f ca="1">IF(ISNUMBER(A131),VLOOKUP(A131,Methuselahs!$A$7:$E$206,2,0),"")</f>
        <v/>
      </c>
      <c r="C131" s="257" t="str">
        <f ca="1">IF(ISNUMBER(A131),VLOOKUP(A131,Methuselahs!$A$7:$E$206,3,0),"")</f>
        <v/>
      </c>
      <c r="D131" s="258" t="str">
        <f t="shared" ca="1" si="36"/>
        <v/>
      </c>
      <c r="E131" s="259"/>
      <c r="F131" s="398">
        <f t="shared" si="37"/>
        <v>0</v>
      </c>
      <c r="G131" s="244" t="str">
        <f t="shared" ca="1" si="38"/>
        <v/>
      </c>
      <c r="H131" s="245" t="str">
        <f ca="1">IF(ISNUMBER(A131),IF(OR($S131=$U131,NOT(ISNA(MATCH($D131*5+$V$4,Override!$C$6:$C$125,0)))),$Q131,0),"")</f>
        <v/>
      </c>
      <c r="I131" s="147" t="str">
        <f t="shared" ca="1" si="39"/>
        <v/>
      </c>
      <c r="J131" s="260">
        <f ca="1">COUNT(A127:A131)</f>
        <v>0</v>
      </c>
      <c r="K131" s="261" t="str">
        <f ca="1">IF(ISNUMBER(A131),RANK(F131,F127:F131),"")</f>
        <v/>
      </c>
      <c r="L131" s="262">
        <f ca="1">IF(J131=5,VLOOKUP(K131,TPMatrix!$A$6:$B$10,2,0),IF(J131=4,VLOOKUP(K131,TPMatrix!$D$6:$E$9,2,0),0))</f>
        <v>0</v>
      </c>
      <c r="M131" s="262">
        <f ca="1">IF(COUNTIF(K127:K131,K131)&gt;=2,IF(J131=5,VLOOKUP(K131+1,TPMatrix!$A$6:$B$10,2,0),IF(J131=4,VLOOKUP(K131+1,TPMatrix!$D$6:$E$9,2,0),0)),"")</f>
        <v>0</v>
      </c>
      <c r="N131" s="262">
        <f ca="1">IF(COUNTIF(K127:K131,K131)&gt;=3,IF(J131=5,VLOOKUP(K131+2,TPMatrix!$A$6:$B$10,2,0),IF(J131=4,VLOOKUP(K131+2,TPMatrix!$D$6:$E$9,2,0),0)),"")</f>
        <v>0</v>
      </c>
      <c r="O131" s="262">
        <f ca="1">IF(COUNTIF(K127:K131,K131)&gt;=4,IF(J131=5,VLOOKUP(K131+3,TPMatrix!$A$6:$B$10,2,0),IF(J131=4,VLOOKUP(K131+3,TPMatrix!$D$6:$E$9,2,0),0)),"")</f>
        <v>0</v>
      </c>
      <c r="P131" s="262">
        <f ca="1">IF(COUNTIF(K127:K131,K131)&gt;=5,IF(J131=5,VLOOKUP(K131+4,TPMatrix!$A$6:$B$10,2,0),IF(J131=4,VLOOKUP(K131+4,TPMatrix!$D$6:$E$9,2,0),0)),"")</f>
        <v>0</v>
      </c>
      <c r="Q131" s="262">
        <f t="shared" ca="1" si="40"/>
        <v>0</v>
      </c>
      <c r="R131" s="263">
        <f t="shared" ca="1" si="41"/>
        <v>5</v>
      </c>
      <c r="S131" s="261">
        <f t="shared" ca="1" si="42"/>
        <v>0</v>
      </c>
      <c r="T131" s="262">
        <f t="shared" si="43"/>
        <v>0</v>
      </c>
      <c r="U131" s="263">
        <f t="shared" ca="1" si="44"/>
        <v>0</v>
      </c>
      <c r="W131" s="36" t="str">
        <f t="shared" ca="1" si="45"/>
        <v/>
      </c>
      <c r="X131" s="36" t="str">
        <f ca="1">IF(ISNUMBER($A131),$W131*(Methuselahs!$A$4+1)+$A131,"")</f>
        <v/>
      </c>
      <c r="Y131" s="36" t="str">
        <f t="shared" ca="1" si="46"/>
        <v/>
      </c>
      <c r="Z131" s="36" t="str">
        <f ca="1">IF(ISNUMBER($A131),VLOOKUP($A131,Methuselahs!$A$7:$X$206,5),"")</f>
        <v/>
      </c>
      <c r="AA131" s="36" t="str">
        <f t="shared" ca="1" si="47"/>
        <v/>
      </c>
    </row>
    <row r="132" spans="1:27" ht="12.95" customHeight="1" x14ac:dyDescent="0.2">
      <c r="A132" s="219" t="str">
        <f ca="1">IF(OR(ISBLANK('Tournament Info'!$B$11),'Tournament Info'!$B$11&lt;&gt;4),"",INDIRECT(ADDRESS(ROW(),3,1,1,"Optimal Seating "&amp;'Tournament Info'!$B$11-1&amp;"R+F")))</f>
        <v/>
      </c>
      <c r="B132" s="143" t="str">
        <f ca="1">IF(ISNUMBER(A132),VLOOKUP(A132,Methuselahs!$A$7:$E$206,2,0),"")</f>
        <v/>
      </c>
      <c r="C132" s="220" t="str">
        <f ca="1">IF(ISNUMBER(A132),VLOOKUP(A132,Methuselahs!$A$7:$E$206,3,0),"")</f>
        <v/>
      </c>
      <c r="D132" s="221" t="str">
        <f t="shared" ca="1" si="36"/>
        <v/>
      </c>
      <c r="E132" s="222"/>
      <c r="F132" s="393">
        <f t="shared" si="37"/>
        <v>0</v>
      </c>
      <c r="G132" s="223" t="str">
        <f t="shared" ca="1" si="38"/>
        <v/>
      </c>
      <c r="H132" s="224" t="str">
        <f ca="1">IF(ISNUMBER(A132),IF(OR($S132=$U132,NOT(ISNA(MATCH($D132*5+$V$4,Override!$C$6:$C$125,0)))),$Q132,0),"")</f>
        <v/>
      </c>
      <c r="I132" s="406" t="str">
        <f t="shared" ca="1" si="39"/>
        <v/>
      </c>
      <c r="J132" s="225">
        <f ca="1">COUNT(A132:A136)</f>
        <v>0</v>
      </c>
      <c r="K132" s="226" t="str">
        <f ca="1">IF(ISNUMBER(A132),RANK(F132,F132:F136),"")</f>
        <v/>
      </c>
      <c r="L132" s="227">
        <f ca="1">IF(J132=5,VLOOKUP(K132,TPMatrix!$A$6:$B$10,2,0),IF(J132=4,VLOOKUP(K132,TPMatrix!$D$6:$E$9,2,0),0))</f>
        <v>0</v>
      </c>
      <c r="M132" s="227">
        <f ca="1">IF(COUNTIF(K132:K136,K132)&gt;=2,IF(J132=5,VLOOKUP(K132+1,TPMatrix!$A$6:$B$10,2,0),IF(J132=4,VLOOKUP(K132+1,TPMatrix!$D$6:$E$9,2,0),0)),"")</f>
        <v>0</v>
      </c>
      <c r="N132" s="227">
        <f ca="1">IF(COUNTIF(K132:K136,K132)&gt;=3,IF(J132=5,VLOOKUP(K132+2,TPMatrix!$A$6:$B$10,2,0),IF(J132=4,VLOOKUP(K132+2,TPMatrix!$D$6:$E$9,2,0),0)),"")</f>
        <v>0</v>
      </c>
      <c r="O132" s="227">
        <f ca="1">IF(COUNTIF(K132:K136,K132)&gt;=4,IF(J132=5,VLOOKUP(K132+3,TPMatrix!$A$6:$B$10,2,0),IF(J132=4,VLOOKUP(K132+3,TPMatrix!$D$6:$E$9,2,0),0)),"")</f>
        <v>0</v>
      </c>
      <c r="P132" s="227">
        <f ca="1">IF(COUNTIF(K132:K136,K132)&gt;=5,IF(J132=5,VLOOKUP(K132+4,TPMatrix!$A$6:$B$10,2,0),IF(J132=4,VLOOKUP(K132+4,TPMatrix!$D$6:$E$9,2,0),0)),"")</f>
        <v>0</v>
      </c>
      <c r="Q132" s="227">
        <f t="shared" ca="1" si="40"/>
        <v>0</v>
      </c>
      <c r="R132" s="228">
        <f t="shared" ca="1" si="41"/>
        <v>5</v>
      </c>
      <c r="S132" s="229">
        <f t="shared" ca="1" si="42"/>
        <v>0</v>
      </c>
      <c r="T132" s="230">
        <f t="shared" si="43"/>
        <v>0</v>
      </c>
      <c r="U132" s="231">
        <f t="shared" ca="1" si="44"/>
        <v>0</v>
      </c>
      <c r="W132" s="36" t="str">
        <f t="shared" ca="1" si="45"/>
        <v/>
      </c>
      <c r="X132" s="36" t="str">
        <f ca="1">IF(ISNUMBER($A132),$W132*(Methuselahs!$A$4+1)+$A132,"")</f>
        <v/>
      </c>
      <c r="Y132" s="36" t="str">
        <f t="shared" ca="1" si="46"/>
        <v/>
      </c>
      <c r="Z132" s="36" t="str">
        <f ca="1">IF(ISNUMBER($A132),VLOOKUP($A132,Methuselahs!$A$7:$X$206,5),"")</f>
        <v/>
      </c>
      <c r="AA132" s="36" t="str">
        <f t="shared" ca="1" si="47"/>
        <v/>
      </c>
    </row>
    <row r="133" spans="1:27" ht="12.95" customHeight="1" x14ac:dyDescent="0.2">
      <c r="A133" s="111" t="str">
        <f ca="1">IF(OR(ISBLANK('Tournament Info'!$B$11),'Tournament Info'!$B$11&lt;&gt;4),"",INDIRECT(ADDRESS(ROW(),3,1,1,"Optimal Seating "&amp;'Tournament Info'!$B$11-1&amp;"R+F")))</f>
        <v/>
      </c>
      <c r="B133" s="117" t="str">
        <f ca="1">IF(ISNUMBER(A133),VLOOKUP(A133,Methuselahs!$A$7:$E$206,2,0),"")</f>
        <v/>
      </c>
      <c r="C133" s="232" t="str">
        <f ca="1">IF(ISNUMBER(A133),VLOOKUP(A133,Methuselahs!$A$7:$E$206,3,0),"")</f>
        <v/>
      </c>
      <c r="D133" s="233" t="str">
        <f t="shared" ca="1" si="36"/>
        <v/>
      </c>
      <c r="E133" s="234"/>
      <c r="F133" s="118">
        <f t="shared" si="37"/>
        <v>0</v>
      </c>
      <c r="G133" s="235" t="str">
        <f t="shared" ca="1" si="38"/>
        <v/>
      </c>
      <c r="H133" s="236" t="str">
        <f ca="1">IF(ISNUMBER(A133),IF(OR($S133=$U133,NOT(ISNA(MATCH($D133*5+$V$4,Override!$C$6:$C$125,0)))),$Q133,0),"")</f>
        <v/>
      </c>
      <c r="I133" s="121" t="str">
        <f t="shared" ca="1" si="39"/>
        <v/>
      </c>
      <c r="J133" s="237">
        <f ca="1">COUNT(A132:A136)</f>
        <v>0</v>
      </c>
      <c r="K133" s="238" t="str">
        <f ca="1">IF(ISNUMBER(A133),RANK(F133,F132:F136),"")</f>
        <v/>
      </c>
      <c r="L133" s="239">
        <f ca="1">IF(J133=5,VLOOKUP(K133,TPMatrix!$A$6:$B$10,2,0),IF(J133=4,VLOOKUP(K133,TPMatrix!$D$6:$E$9,2,0),0))</f>
        <v>0</v>
      </c>
      <c r="M133" s="239">
        <f ca="1">IF(COUNTIF(K132:K136,K133)&gt;=2,IF(J133=5,VLOOKUP(K133+1,TPMatrix!$A$6:$B$10,2,0),IF(J133=4,VLOOKUP(K133+1,TPMatrix!$D$6:$E$9,2,0),0)),"")</f>
        <v>0</v>
      </c>
      <c r="N133" s="239">
        <f ca="1">IF(COUNTIF(K132:K136,K133)&gt;=3,IF(J133=5,VLOOKUP(K133+2,TPMatrix!$A$6:$B$10,2,0),IF(J133=4,VLOOKUP(K133+2,TPMatrix!$D$6:$E$9,2,0),0)),"")</f>
        <v>0</v>
      </c>
      <c r="O133" s="239">
        <f ca="1">IF(COUNTIF(K132:K136,K133)&gt;=4,IF(J133=5,VLOOKUP(K133+3,TPMatrix!$A$6:$B$10,2,0),IF(J133=4,VLOOKUP(K133+3,TPMatrix!$D$6:$E$9,2,0),0)),"")</f>
        <v>0</v>
      </c>
      <c r="P133" s="239">
        <f ca="1">IF(COUNTIF(K132:K136,K133)&gt;=5,IF(J133=5,VLOOKUP(K133+4,TPMatrix!$A$6:$B$10,2,0),IF(J133=4,VLOOKUP(K133+4,TPMatrix!$D$6:$E$9,2,0),0)),"")</f>
        <v>0</v>
      </c>
      <c r="Q133" s="239">
        <f t="shared" ca="1" si="40"/>
        <v>0</v>
      </c>
      <c r="R133" s="240">
        <f t="shared" ca="1" si="41"/>
        <v>5</v>
      </c>
      <c r="S133" s="238">
        <f t="shared" ca="1" si="42"/>
        <v>0</v>
      </c>
      <c r="T133" s="239">
        <f t="shared" si="43"/>
        <v>0</v>
      </c>
      <c r="U133" s="240">
        <f t="shared" ca="1" si="44"/>
        <v>0</v>
      </c>
      <c r="W133" s="36" t="str">
        <f t="shared" ca="1" si="45"/>
        <v/>
      </c>
      <c r="X133" s="36" t="str">
        <f ca="1">IF(ISNUMBER($A133),$W133*(Methuselahs!$A$4+1)+$A133,"")</f>
        <v/>
      </c>
      <c r="Y133" s="36" t="str">
        <f t="shared" ca="1" si="46"/>
        <v/>
      </c>
      <c r="Z133" s="36" t="str">
        <f ca="1">IF(ISNUMBER($A133),VLOOKUP($A133,Methuselahs!$A$7:$X$206,5),"")</f>
        <v/>
      </c>
      <c r="AA133" s="36" t="str">
        <f t="shared" ca="1" si="47"/>
        <v/>
      </c>
    </row>
    <row r="134" spans="1:27" ht="12.95" customHeight="1" x14ac:dyDescent="0.2">
      <c r="A134" s="137" t="str">
        <f ca="1">IF(OR(ISBLANK('Tournament Info'!$B$11),'Tournament Info'!$B$11&lt;&gt;4),"",INDIRECT(ADDRESS(ROW(),3,1,1,"Optimal Seating "&amp;'Tournament Info'!$B$11-1&amp;"R+F")))</f>
        <v/>
      </c>
      <c r="B134" s="143" t="str">
        <f ca="1">IF(ISNUMBER(A134),VLOOKUP(A134,Methuselahs!$A$7:$E$206,2,0),"")</f>
        <v/>
      </c>
      <c r="C134" s="241" t="str">
        <f ca="1">IF(ISNUMBER(A134),VLOOKUP(A134,Methuselahs!$A$7:$E$206,3,0),"")</f>
        <v/>
      </c>
      <c r="D134" s="242" t="str">
        <f t="shared" ca="1" si="36"/>
        <v/>
      </c>
      <c r="E134" s="243"/>
      <c r="F134" s="144">
        <f t="shared" si="37"/>
        <v>0</v>
      </c>
      <c r="G134" s="244" t="str">
        <f t="shared" ca="1" si="38"/>
        <v/>
      </c>
      <c r="H134" s="245" t="str">
        <f ca="1">IF(ISNUMBER(A134),IF(OR($S134=$U134,NOT(ISNA(MATCH($D134*5+$V$4,Override!$C$6:$C$125,0)))),$Q134,0),"")</f>
        <v/>
      </c>
      <c r="I134" s="147" t="str">
        <f t="shared" ca="1" si="39"/>
        <v/>
      </c>
      <c r="J134" s="246">
        <f ca="1">COUNT(A132:A136)</f>
        <v>0</v>
      </c>
      <c r="K134" s="247" t="str">
        <f ca="1">IF(ISNUMBER(A134),RANK(F134,F132:F136),"")</f>
        <v/>
      </c>
      <c r="L134" s="142">
        <f ca="1">IF(J134=5,VLOOKUP(K134,TPMatrix!$A$6:$B$10,2,0),IF(J134=4,VLOOKUP(K134,TPMatrix!$D$6:$E$9,2,0),0))</f>
        <v>0</v>
      </c>
      <c r="M134" s="142">
        <f ca="1">IF(COUNTIF(K132:K136,K134)&gt;=2,IF(J134=5,VLOOKUP(K134+1,TPMatrix!$A$6:$B$10,2,0),IF(J134=4,VLOOKUP(K134+1,TPMatrix!$D$6:$E$9,2,0),0)),"")</f>
        <v>0</v>
      </c>
      <c r="N134" s="142">
        <f ca="1">IF(COUNTIF(K132:K136,K134)&gt;=3,IF(J134=5,VLOOKUP(K134+2,TPMatrix!$A$6:$B$10,2,0),IF(J134=4,VLOOKUP(K134+2,TPMatrix!$D$6:$E$9,2,0),0)),"")</f>
        <v>0</v>
      </c>
      <c r="O134" s="142">
        <f ca="1">IF(COUNTIF(K132:K136,K134)&gt;=4,IF(J134=5,VLOOKUP(K134+3,TPMatrix!$A$6:$B$10,2,0),IF(J134=4,VLOOKUP(K134+3,TPMatrix!$D$6:$E$9,2,0),0)),"")</f>
        <v>0</v>
      </c>
      <c r="P134" s="142">
        <f ca="1">IF(COUNTIF(K132:K136,K134)&gt;=5,IF(J134=5,VLOOKUP(K134+4,TPMatrix!$A$6:$B$10,2,0),IF(J134=4,VLOOKUP(K134+4,TPMatrix!$D$6:$E$9,2,0),0)),"")</f>
        <v>0</v>
      </c>
      <c r="Q134" s="142">
        <f t="shared" ca="1" si="40"/>
        <v>0</v>
      </c>
      <c r="R134" s="248">
        <f t="shared" ca="1" si="41"/>
        <v>5</v>
      </c>
      <c r="S134" s="247">
        <f t="shared" ca="1" si="42"/>
        <v>0</v>
      </c>
      <c r="T134" s="142">
        <f t="shared" si="43"/>
        <v>0</v>
      </c>
      <c r="U134" s="248">
        <f t="shared" ca="1" si="44"/>
        <v>0</v>
      </c>
      <c r="W134" s="36" t="str">
        <f t="shared" ca="1" si="45"/>
        <v/>
      </c>
      <c r="X134" s="36" t="str">
        <f ca="1">IF(ISNUMBER($A134),$W134*(Methuselahs!$A$4+1)+$A134,"")</f>
        <v/>
      </c>
      <c r="Y134" s="36" t="str">
        <f t="shared" ca="1" si="46"/>
        <v/>
      </c>
      <c r="Z134" s="36" t="str">
        <f ca="1">IF(ISNUMBER($A134),VLOOKUP($A134,Methuselahs!$A$7:$X$206,5),"")</f>
        <v/>
      </c>
      <c r="AA134" s="36" t="str">
        <f t="shared" ca="1" si="47"/>
        <v/>
      </c>
    </row>
    <row r="135" spans="1:27" ht="12.95" customHeight="1" x14ac:dyDescent="0.2">
      <c r="A135" s="249" t="str">
        <f ca="1">IF(OR(ISBLANK('Tournament Info'!$B$11),'Tournament Info'!$B$11&lt;&gt;4),"",INDIRECT(ADDRESS(ROW(),3,1,1,"Optimal Seating "&amp;'Tournament Info'!$B$11-1&amp;"R+F")))</f>
        <v/>
      </c>
      <c r="B135" s="250" t="str">
        <f ca="1">IF(ISNUMBER(A135),VLOOKUP(A135,Methuselahs!$A$7:$E$206,2,0),"")</f>
        <v/>
      </c>
      <c r="C135" s="251" t="str">
        <f ca="1">IF(ISNUMBER(A135),VLOOKUP(A135,Methuselahs!$A$7:$E$206,3,0),"")</f>
        <v/>
      </c>
      <c r="D135" s="252" t="str">
        <f t="shared" ref="D135:D166" ca="1" si="48">IF(ISNUMBER(A135),FLOOR((ROW()-ROW($A$7))/5,1)+1,"")</f>
        <v/>
      </c>
      <c r="E135" s="253"/>
      <c r="F135" s="397">
        <f t="shared" ref="F135:F166" si="49">IF(ISNUMBER(E135),E135,0)</f>
        <v>0</v>
      </c>
      <c r="G135" s="235" t="str">
        <f t="shared" ref="G135:G166" ca="1" si="50">IF(ISNUMBER($A135),IF(AND($F135&gt;=2,$H135=60),1,0),"")</f>
        <v/>
      </c>
      <c r="H135" s="236" t="str">
        <f ca="1">IF(ISNUMBER(A135),IF(OR($S135=$U135,NOT(ISNA(MATCH($D135*5+$V$4,Override!$C$6:$C$125,0)))),$Q135,0),"")</f>
        <v/>
      </c>
      <c r="I135" s="121" t="str">
        <f t="shared" ref="I135:I166" ca="1" si="51">IF(ISNUMBER(A135),IF(J135=5,K135,IF(AND(J135=4,OR(K135=4,K135=3)),K135+1,K135)),"")</f>
        <v/>
      </c>
      <c r="J135" s="254">
        <f ca="1">COUNT(A132:A136)</f>
        <v>0</v>
      </c>
      <c r="K135" s="238" t="str">
        <f ca="1">IF(ISNUMBER(A135),RANK(F135,F132:F136),"")</f>
        <v/>
      </c>
      <c r="L135" s="239">
        <f ca="1">IF(J135=5,VLOOKUP(K135,TPMatrix!$A$6:$B$10,2,0),IF(J135=4,VLOOKUP(K135,TPMatrix!$D$6:$E$9,2,0),0))</f>
        <v>0</v>
      </c>
      <c r="M135" s="239">
        <f ca="1">IF(COUNTIF(K132:K136,K135)&gt;=2,IF(J135=5,VLOOKUP(K135+1,TPMatrix!$A$6:$B$10,2,0),IF(J135=4,VLOOKUP(K135+1,TPMatrix!$D$6:$E$9,2,0),0)),"")</f>
        <v>0</v>
      </c>
      <c r="N135" s="239">
        <f ca="1">IF(COUNTIF(K132:K136,K135)&gt;=3,IF(J135=5,VLOOKUP(K135+2,TPMatrix!$A$6:$B$10,2,0),IF(J135=4,VLOOKUP(K135+2,TPMatrix!$D$6:$E$9,2,0),0)),"")</f>
        <v>0</v>
      </c>
      <c r="O135" s="239">
        <f ca="1">IF(COUNTIF(K132:K136,K135)&gt;=4,IF(J135=5,VLOOKUP(K135+3,TPMatrix!$A$6:$B$10,2,0),IF(J135=4,VLOOKUP(K135+3,TPMatrix!$D$6:$E$9,2,0),0)),"")</f>
        <v>0</v>
      </c>
      <c r="P135" s="239">
        <f ca="1">IF(COUNTIF(K132:K136,K135)&gt;=5,IF(J135=5,VLOOKUP(K135+4,TPMatrix!$A$6:$B$10,2,0),IF(J135=4,VLOOKUP(K135+4,TPMatrix!$D$6:$E$9,2,0),0)),"")</f>
        <v>0</v>
      </c>
      <c r="Q135" s="239">
        <f t="shared" ref="Q135:Q166" ca="1" si="52">SUM(L135:P135)/COUNT(L135:P135)</f>
        <v>0</v>
      </c>
      <c r="R135" s="240">
        <f t="shared" ref="R135:R166" ca="1" si="53">COUNT(L135:P135)</f>
        <v>5</v>
      </c>
      <c r="S135" s="238">
        <f t="shared" ref="S135:S166" ca="1" si="54">IF(ISNUMBER($A135),COUNTIF($D$7:$D$206,$D135),0)</f>
        <v>0</v>
      </c>
      <c r="T135" s="239">
        <f t="shared" ref="T135:T166" si="55">CEILING($F135,1)</f>
        <v>0</v>
      </c>
      <c r="U135" s="240">
        <f t="shared" ref="U135:U166" ca="1" si="56">SUM(OFFSET(T135,-MOD(ROW()-ROW($U$7),5),0,5,1))</f>
        <v>0</v>
      </c>
      <c r="W135" s="36" t="str">
        <f t="shared" ref="W135:W166" ca="1" si="57">$I135</f>
        <v/>
      </c>
      <c r="X135" s="36" t="str">
        <f ca="1">IF(ISNUMBER($A135),$W135*(Methuselahs!$A$4+1)+$A135,"")</f>
        <v/>
      </c>
      <c r="Y135" s="36" t="str">
        <f t="shared" ref="Y135:Y166" ca="1" si="58">IF(ISNUMBER($A135),RANK($X135,$X135:$X139,1),"")</f>
        <v/>
      </c>
      <c r="Z135" s="36" t="str">
        <f ca="1">IF(ISNUMBER($A135),VLOOKUP($A135,Methuselahs!$A$7:$X$206,5),"")</f>
        <v/>
      </c>
      <c r="AA135" s="36" t="str">
        <f t="shared" ref="AA135:AA166" ca="1" si="59">$I135</f>
        <v/>
      </c>
    </row>
    <row r="136" spans="1:27" ht="12.95" customHeight="1" x14ac:dyDescent="0.2">
      <c r="A136" s="255" t="str">
        <f ca="1">IF(OR(ISBLANK('Tournament Info'!$B$11),'Tournament Info'!$B$11&lt;&gt;4),"",INDIRECT(ADDRESS(ROW(),3,1,1,"Optimal Seating "&amp;'Tournament Info'!$B$11-1&amp;"R+F")))</f>
        <v/>
      </c>
      <c r="B136" s="256" t="str">
        <f ca="1">IF(ISNUMBER(A136),VLOOKUP(A136,Methuselahs!$A$7:$E$206,2,0),"")</f>
        <v/>
      </c>
      <c r="C136" s="257" t="str">
        <f ca="1">IF(ISNUMBER(A136),VLOOKUP(A136,Methuselahs!$A$7:$E$206,3,0),"")</f>
        <v/>
      </c>
      <c r="D136" s="258" t="str">
        <f t="shared" ca="1" si="48"/>
        <v/>
      </c>
      <c r="E136" s="259"/>
      <c r="F136" s="398">
        <f t="shared" si="49"/>
        <v>0</v>
      </c>
      <c r="G136" s="244" t="str">
        <f t="shared" ca="1" si="50"/>
        <v/>
      </c>
      <c r="H136" s="245" t="str">
        <f ca="1">IF(ISNUMBER(A136),IF(OR($S136=$U136,NOT(ISNA(MATCH($D136*5+$V$4,Override!$C$6:$C$125,0)))),$Q136,0),"")</f>
        <v/>
      </c>
      <c r="I136" s="147" t="str">
        <f t="shared" ca="1" si="51"/>
        <v/>
      </c>
      <c r="J136" s="260">
        <f ca="1">COUNT(A132:A136)</f>
        <v>0</v>
      </c>
      <c r="K136" s="261" t="str">
        <f ca="1">IF(ISNUMBER(A136),RANK(F136,F132:F136),"")</f>
        <v/>
      </c>
      <c r="L136" s="262">
        <f ca="1">IF(J136=5,VLOOKUP(K136,TPMatrix!$A$6:$B$10,2,0),IF(J136=4,VLOOKUP(K136,TPMatrix!$D$6:$E$9,2,0),0))</f>
        <v>0</v>
      </c>
      <c r="M136" s="262">
        <f ca="1">IF(COUNTIF(K132:K136,K136)&gt;=2,IF(J136=5,VLOOKUP(K136+1,TPMatrix!$A$6:$B$10,2,0),IF(J136=4,VLOOKUP(K136+1,TPMatrix!$D$6:$E$9,2,0),0)),"")</f>
        <v>0</v>
      </c>
      <c r="N136" s="262">
        <f ca="1">IF(COUNTIF(K132:K136,K136)&gt;=3,IF(J136=5,VLOOKUP(K136+2,TPMatrix!$A$6:$B$10,2,0),IF(J136=4,VLOOKUP(K136+2,TPMatrix!$D$6:$E$9,2,0),0)),"")</f>
        <v>0</v>
      </c>
      <c r="O136" s="262">
        <f ca="1">IF(COUNTIF(K132:K136,K136)&gt;=4,IF(J136=5,VLOOKUP(K136+3,TPMatrix!$A$6:$B$10,2,0),IF(J136=4,VLOOKUP(K136+3,TPMatrix!$D$6:$E$9,2,0),0)),"")</f>
        <v>0</v>
      </c>
      <c r="P136" s="262">
        <f ca="1">IF(COUNTIF(K132:K136,K136)&gt;=5,IF(J136=5,VLOOKUP(K136+4,TPMatrix!$A$6:$B$10,2,0),IF(J136=4,VLOOKUP(K136+4,TPMatrix!$D$6:$E$9,2,0),0)),"")</f>
        <v>0</v>
      </c>
      <c r="Q136" s="262">
        <f t="shared" ca="1" si="52"/>
        <v>0</v>
      </c>
      <c r="R136" s="263">
        <f t="shared" ca="1" si="53"/>
        <v>5</v>
      </c>
      <c r="S136" s="261">
        <f t="shared" ca="1" si="54"/>
        <v>0</v>
      </c>
      <c r="T136" s="262">
        <f t="shared" si="55"/>
        <v>0</v>
      </c>
      <c r="U136" s="263">
        <f t="shared" ca="1" si="56"/>
        <v>0</v>
      </c>
      <c r="W136" s="36" t="str">
        <f t="shared" ca="1" si="57"/>
        <v/>
      </c>
      <c r="X136" s="36" t="str">
        <f ca="1">IF(ISNUMBER($A136),$W136*(Methuselahs!$A$4+1)+$A136,"")</f>
        <v/>
      </c>
      <c r="Y136" s="36" t="str">
        <f t="shared" ca="1" si="58"/>
        <v/>
      </c>
      <c r="Z136" s="36" t="str">
        <f ca="1">IF(ISNUMBER($A136),VLOOKUP($A136,Methuselahs!$A$7:$X$206,5),"")</f>
        <v/>
      </c>
      <c r="AA136" s="36" t="str">
        <f t="shared" ca="1" si="59"/>
        <v/>
      </c>
    </row>
    <row r="137" spans="1:27" ht="12.95" customHeight="1" x14ac:dyDescent="0.2">
      <c r="A137" s="219" t="str">
        <f ca="1">IF(OR(ISBLANK('Tournament Info'!$B$11),'Tournament Info'!$B$11&lt;&gt;4),"",INDIRECT(ADDRESS(ROW(),3,1,1,"Optimal Seating "&amp;'Tournament Info'!$B$11-1&amp;"R+F")))</f>
        <v/>
      </c>
      <c r="B137" s="143" t="str">
        <f ca="1">IF(ISNUMBER(A137),VLOOKUP(A137,Methuselahs!$A$7:$E$206,2,0),"")</f>
        <v/>
      </c>
      <c r="C137" s="220" t="str">
        <f ca="1">IF(ISNUMBER(A137),VLOOKUP(A137,Methuselahs!$A$7:$E$206,3,0),"")</f>
        <v/>
      </c>
      <c r="D137" s="221" t="str">
        <f t="shared" ca="1" si="48"/>
        <v/>
      </c>
      <c r="E137" s="222"/>
      <c r="F137" s="393">
        <f t="shared" si="49"/>
        <v>0</v>
      </c>
      <c r="G137" s="223" t="str">
        <f t="shared" ca="1" si="50"/>
        <v/>
      </c>
      <c r="H137" s="224" t="str">
        <f ca="1">IF(ISNUMBER(A137),IF(OR($S137=$U137,NOT(ISNA(MATCH($D137*5+$V$4,Override!$C$6:$C$125,0)))),$Q137,0),"")</f>
        <v/>
      </c>
      <c r="I137" s="406" t="str">
        <f t="shared" ca="1" si="51"/>
        <v/>
      </c>
      <c r="J137" s="225">
        <f ca="1">COUNT(A137:A141)</f>
        <v>0</v>
      </c>
      <c r="K137" s="226" t="str">
        <f ca="1">IF(ISNUMBER(A137),RANK(F137,F137:F141),"")</f>
        <v/>
      </c>
      <c r="L137" s="227">
        <f ca="1">IF(J137=5,VLOOKUP(K137,TPMatrix!$A$6:$B$10,2,0),IF(J137=4,VLOOKUP(K137,TPMatrix!$D$6:$E$9,2,0),0))</f>
        <v>0</v>
      </c>
      <c r="M137" s="227">
        <f ca="1">IF(COUNTIF(K137:K141,K137)&gt;=2,IF(J137=5,VLOOKUP(K137+1,TPMatrix!$A$6:$B$10,2,0),IF(J137=4,VLOOKUP(K137+1,TPMatrix!$D$6:$E$9,2,0),0)),"")</f>
        <v>0</v>
      </c>
      <c r="N137" s="227">
        <f ca="1">IF(COUNTIF(K137:K141,K137)&gt;=3,IF(J137=5,VLOOKUP(K137+2,TPMatrix!$A$6:$B$10,2,0),IF(J137=4,VLOOKUP(K137+2,TPMatrix!$D$6:$E$9,2,0),0)),"")</f>
        <v>0</v>
      </c>
      <c r="O137" s="227">
        <f ca="1">IF(COUNTIF(K137:K141,K137)&gt;=4,IF(J137=5,VLOOKUP(K137+3,TPMatrix!$A$6:$B$10,2,0),IF(J137=4,VLOOKUP(K137+3,TPMatrix!$D$6:$E$9,2,0),0)),"")</f>
        <v>0</v>
      </c>
      <c r="P137" s="227">
        <f ca="1">IF(COUNTIF(K137:K141,K137)&gt;=5,IF(J137=5,VLOOKUP(K137+4,TPMatrix!$A$6:$B$10,2,0),IF(J137=4,VLOOKUP(K137+4,TPMatrix!$D$6:$E$9,2,0),0)),"")</f>
        <v>0</v>
      </c>
      <c r="Q137" s="227">
        <f t="shared" ca="1" si="52"/>
        <v>0</v>
      </c>
      <c r="R137" s="228">
        <f t="shared" ca="1" si="53"/>
        <v>5</v>
      </c>
      <c r="S137" s="229">
        <f t="shared" ca="1" si="54"/>
        <v>0</v>
      </c>
      <c r="T137" s="230">
        <f t="shared" si="55"/>
        <v>0</v>
      </c>
      <c r="U137" s="231">
        <f t="shared" ca="1" si="56"/>
        <v>0</v>
      </c>
      <c r="W137" s="36" t="str">
        <f t="shared" ca="1" si="57"/>
        <v/>
      </c>
      <c r="X137" s="36" t="str">
        <f ca="1">IF(ISNUMBER($A137),$W137*(Methuselahs!$A$4+1)+$A137,"")</f>
        <v/>
      </c>
      <c r="Y137" s="36" t="str">
        <f t="shared" ca="1" si="58"/>
        <v/>
      </c>
      <c r="Z137" s="36" t="str">
        <f ca="1">IF(ISNUMBER($A137),VLOOKUP($A137,Methuselahs!$A$7:$X$206,5),"")</f>
        <v/>
      </c>
      <c r="AA137" s="36" t="str">
        <f t="shared" ca="1" si="59"/>
        <v/>
      </c>
    </row>
    <row r="138" spans="1:27" ht="12.95" customHeight="1" x14ac:dyDescent="0.2">
      <c r="A138" s="111" t="str">
        <f ca="1">IF(OR(ISBLANK('Tournament Info'!$B$11),'Tournament Info'!$B$11&lt;&gt;4),"",INDIRECT(ADDRESS(ROW(),3,1,1,"Optimal Seating "&amp;'Tournament Info'!$B$11-1&amp;"R+F")))</f>
        <v/>
      </c>
      <c r="B138" s="117" t="str">
        <f ca="1">IF(ISNUMBER(A138),VLOOKUP(A138,Methuselahs!$A$7:$E$206,2,0),"")</f>
        <v/>
      </c>
      <c r="C138" s="232" t="str">
        <f ca="1">IF(ISNUMBER(A138),VLOOKUP(A138,Methuselahs!$A$7:$E$206,3,0),"")</f>
        <v/>
      </c>
      <c r="D138" s="233" t="str">
        <f t="shared" ca="1" si="48"/>
        <v/>
      </c>
      <c r="E138" s="234"/>
      <c r="F138" s="118">
        <f t="shared" si="49"/>
        <v>0</v>
      </c>
      <c r="G138" s="235" t="str">
        <f t="shared" ca="1" si="50"/>
        <v/>
      </c>
      <c r="H138" s="236" t="str">
        <f ca="1">IF(ISNUMBER(A138),IF(OR($S138=$U138,NOT(ISNA(MATCH($D138*5+$V$4,Override!$C$6:$C$125,0)))),$Q138,0),"")</f>
        <v/>
      </c>
      <c r="I138" s="121" t="str">
        <f t="shared" ca="1" si="51"/>
        <v/>
      </c>
      <c r="J138" s="237">
        <f ca="1">COUNT(A137:A141)</f>
        <v>0</v>
      </c>
      <c r="K138" s="238" t="str">
        <f ca="1">IF(ISNUMBER(A138),RANK(F138,F137:F141),"")</f>
        <v/>
      </c>
      <c r="L138" s="239">
        <f ca="1">IF(J138=5,VLOOKUP(K138,TPMatrix!$A$6:$B$10,2,0),IF(J138=4,VLOOKUP(K138,TPMatrix!$D$6:$E$9,2,0),0))</f>
        <v>0</v>
      </c>
      <c r="M138" s="239">
        <f ca="1">IF(COUNTIF(K137:K141,K138)&gt;=2,IF(J138=5,VLOOKUP(K138+1,TPMatrix!$A$6:$B$10,2,0),IF(J138=4,VLOOKUP(K138+1,TPMatrix!$D$6:$E$9,2,0),0)),"")</f>
        <v>0</v>
      </c>
      <c r="N138" s="239">
        <f ca="1">IF(COUNTIF(K137:K141,K138)&gt;=3,IF(J138=5,VLOOKUP(K138+2,TPMatrix!$A$6:$B$10,2,0),IF(J138=4,VLOOKUP(K138+2,TPMatrix!$D$6:$E$9,2,0),0)),"")</f>
        <v>0</v>
      </c>
      <c r="O138" s="239">
        <f ca="1">IF(COUNTIF(K137:K141,K138)&gt;=4,IF(J138=5,VLOOKUP(K138+3,TPMatrix!$A$6:$B$10,2,0),IF(J138=4,VLOOKUP(K138+3,TPMatrix!$D$6:$E$9,2,0),0)),"")</f>
        <v>0</v>
      </c>
      <c r="P138" s="239">
        <f ca="1">IF(COUNTIF(K137:K141,K138)&gt;=5,IF(J138=5,VLOOKUP(K138+4,TPMatrix!$A$6:$B$10,2,0),IF(J138=4,VLOOKUP(K138+4,TPMatrix!$D$6:$E$9,2,0),0)),"")</f>
        <v>0</v>
      </c>
      <c r="Q138" s="239">
        <f t="shared" ca="1" si="52"/>
        <v>0</v>
      </c>
      <c r="R138" s="240">
        <f t="shared" ca="1" si="53"/>
        <v>5</v>
      </c>
      <c r="S138" s="238">
        <f t="shared" ca="1" si="54"/>
        <v>0</v>
      </c>
      <c r="T138" s="239">
        <f t="shared" si="55"/>
        <v>0</v>
      </c>
      <c r="U138" s="240">
        <f t="shared" ca="1" si="56"/>
        <v>0</v>
      </c>
      <c r="W138" s="36" t="str">
        <f t="shared" ca="1" si="57"/>
        <v/>
      </c>
      <c r="X138" s="36" t="str">
        <f ca="1">IF(ISNUMBER($A138),$W138*(Methuselahs!$A$4+1)+$A138,"")</f>
        <v/>
      </c>
      <c r="Y138" s="36" t="str">
        <f t="shared" ca="1" si="58"/>
        <v/>
      </c>
      <c r="Z138" s="36" t="str">
        <f ca="1">IF(ISNUMBER($A138),VLOOKUP($A138,Methuselahs!$A$7:$X$206,5),"")</f>
        <v/>
      </c>
      <c r="AA138" s="36" t="str">
        <f t="shared" ca="1" si="59"/>
        <v/>
      </c>
    </row>
    <row r="139" spans="1:27" ht="12.95" customHeight="1" x14ac:dyDescent="0.2">
      <c r="A139" s="137" t="str">
        <f ca="1">IF(OR(ISBLANK('Tournament Info'!$B$11),'Tournament Info'!$B$11&lt;&gt;4),"",INDIRECT(ADDRESS(ROW(),3,1,1,"Optimal Seating "&amp;'Tournament Info'!$B$11-1&amp;"R+F")))</f>
        <v/>
      </c>
      <c r="B139" s="143" t="str">
        <f ca="1">IF(ISNUMBER(A139),VLOOKUP(A139,Methuselahs!$A$7:$E$206,2,0),"")</f>
        <v/>
      </c>
      <c r="C139" s="241" t="str">
        <f ca="1">IF(ISNUMBER(A139),VLOOKUP(A139,Methuselahs!$A$7:$E$206,3,0),"")</f>
        <v/>
      </c>
      <c r="D139" s="242" t="str">
        <f t="shared" ca="1" si="48"/>
        <v/>
      </c>
      <c r="E139" s="243"/>
      <c r="F139" s="144">
        <f t="shared" si="49"/>
        <v>0</v>
      </c>
      <c r="G139" s="244" t="str">
        <f t="shared" ca="1" si="50"/>
        <v/>
      </c>
      <c r="H139" s="245" t="str">
        <f ca="1">IF(ISNUMBER(A139),IF(OR($S139=$U139,NOT(ISNA(MATCH($D139*5+$V$4,Override!$C$6:$C$125,0)))),$Q139,0),"")</f>
        <v/>
      </c>
      <c r="I139" s="147" t="str">
        <f t="shared" ca="1" si="51"/>
        <v/>
      </c>
      <c r="J139" s="246">
        <f ca="1">COUNT(A137:A141)</f>
        <v>0</v>
      </c>
      <c r="K139" s="247" t="str">
        <f ca="1">IF(ISNUMBER(A139),RANK(F139,F137:F141),"")</f>
        <v/>
      </c>
      <c r="L139" s="142">
        <f ca="1">IF(J139=5,VLOOKUP(K139,TPMatrix!$A$6:$B$10,2,0),IF(J139=4,VLOOKUP(K139,TPMatrix!$D$6:$E$9,2,0),0))</f>
        <v>0</v>
      </c>
      <c r="M139" s="142">
        <f ca="1">IF(COUNTIF(K137:K141,K139)&gt;=2,IF(J139=5,VLOOKUP(K139+1,TPMatrix!$A$6:$B$10,2,0),IF(J139=4,VLOOKUP(K139+1,TPMatrix!$D$6:$E$9,2,0),0)),"")</f>
        <v>0</v>
      </c>
      <c r="N139" s="142">
        <f ca="1">IF(COUNTIF(K137:K141,K139)&gt;=3,IF(J139=5,VLOOKUP(K139+2,TPMatrix!$A$6:$B$10,2,0),IF(J139=4,VLOOKUP(K139+2,TPMatrix!$D$6:$E$9,2,0),0)),"")</f>
        <v>0</v>
      </c>
      <c r="O139" s="142">
        <f ca="1">IF(COUNTIF(K137:K141,K139)&gt;=4,IF(J139=5,VLOOKUP(K139+3,TPMatrix!$A$6:$B$10,2,0),IF(J139=4,VLOOKUP(K139+3,TPMatrix!$D$6:$E$9,2,0),0)),"")</f>
        <v>0</v>
      </c>
      <c r="P139" s="142">
        <f ca="1">IF(COUNTIF(K137:K141,K139)&gt;=5,IF(J139=5,VLOOKUP(K139+4,TPMatrix!$A$6:$B$10,2,0),IF(J139=4,VLOOKUP(K139+4,TPMatrix!$D$6:$E$9,2,0),0)),"")</f>
        <v>0</v>
      </c>
      <c r="Q139" s="142">
        <f t="shared" ca="1" si="52"/>
        <v>0</v>
      </c>
      <c r="R139" s="248">
        <f t="shared" ca="1" si="53"/>
        <v>5</v>
      </c>
      <c r="S139" s="247">
        <f t="shared" ca="1" si="54"/>
        <v>0</v>
      </c>
      <c r="T139" s="142">
        <f t="shared" si="55"/>
        <v>0</v>
      </c>
      <c r="U139" s="248">
        <f t="shared" ca="1" si="56"/>
        <v>0</v>
      </c>
      <c r="W139" s="36" t="str">
        <f t="shared" ca="1" si="57"/>
        <v/>
      </c>
      <c r="X139" s="36" t="str">
        <f ca="1">IF(ISNUMBER($A139),$W139*(Methuselahs!$A$4+1)+$A139,"")</f>
        <v/>
      </c>
      <c r="Y139" s="36" t="str">
        <f t="shared" ca="1" si="58"/>
        <v/>
      </c>
      <c r="Z139" s="36" t="str">
        <f ca="1">IF(ISNUMBER($A139),VLOOKUP($A139,Methuselahs!$A$7:$X$206,5),"")</f>
        <v/>
      </c>
      <c r="AA139" s="36" t="str">
        <f t="shared" ca="1" si="59"/>
        <v/>
      </c>
    </row>
    <row r="140" spans="1:27" ht="12.95" customHeight="1" x14ac:dyDescent="0.2">
      <c r="A140" s="249" t="str">
        <f ca="1">IF(OR(ISBLANK('Tournament Info'!$B$11),'Tournament Info'!$B$11&lt;&gt;4),"",INDIRECT(ADDRESS(ROW(),3,1,1,"Optimal Seating "&amp;'Tournament Info'!$B$11-1&amp;"R+F")))</f>
        <v/>
      </c>
      <c r="B140" s="250" t="str">
        <f ca="1">IF(ISNUMBER(A140),VLOOKUP(A140,Methuselahs!$A$7:$E$206,2,0),"")</f>
        <v/>
      </c>
      <c r="C140" s="251" t="str">
        <f ca="1">IF(ISNUMBER(A140),VLOOKUP(A140,Methuselahs!$A$7:$E$206,3,0),"")</f>
        <v/>
      </c>
      <c r="D140" s="252" t="str">
        <f t="shared" ca="1" si="48"/>
        <v/>
      </c>
      <c r="E140" s="253"/>
      <c r="F140" s="397">
        <f t="shared" si="49"/>
        <v>0</v>
      </c>
      <c r="G140" s="235" t="str">
        <f t="shared" ca="1" si="50"/>
        <v/>
      </c>
      <c r="H140" s="236" t="str">
        <f ca="1">IF(ISNUMBER(A140),IF(OR($S140=$U140,NOT(ISNA(MATCH($D140*5+$V$4,Override!$C$6:$C$125,0)))),$Q140,0),"")</f>
        <v/>
      </c>
      <c r="I140" s="121" t="str">
        <f t="shared" ca="1" si="51"/>
        <v/>
      </c>
      <c r="J140" s="254">
        <f ca="1">COUNT(A137:A141)</f>
        <v>0</v>
      </c>
      <c r="K140" s="238" t="str">
        <f ca="1">IF(ISNUMBER(A140),RANK(F140,F137:F141),"")</f>
        <v/>
      </c>
      <c r="L140" s="239">
        <f ca="1">IF(J140=5,VLOOKUP(K140,TPMatrix!$A$6:$B$10,2,0),IF(J140=4,VLOOKUP(K140,TPMatrix!$D$6:$E$9,2,0),0))</f>
        <v>0</v>
      </c>
      <c r="M140" s="239">
        <f ca="1">IF(COUNTIF(K137:K141,K140)&gt;=2,IF(J140=5,VLOOKUP(K140+1,TPMatrix!$A$6:$B$10,2,0),IF(J140=4,VLOOKUP(K140+1,TPMatrix!$D$6:$E$9,2,0),0)),"")</f>
        <v>0</v>
      </c>
      <c r="N140" s="239">
        <f ca="1">IF(COUNTIF(K137:K141,K140)&gt;=3,IF(J140=5,VLOOKUP(K140+2,TPMatrix!$A$6:$B$10,2,0),IF(J140=4,VLOOKUP(K140+2,TPMatrix!$D$6:$E$9,2,0),0)),"")</f>
        <v>0</v>
      </c>
      <c r="O140" s="239">
        <f ca="1">IF(COUNTIF(K137:K141,K140)&gt;=4,IF(J140=5,VLOOKUP(K140+3,TPMatrix!$A$6:$B$10,2,0),IF(J140=4,VLOOKUP(K140+3,TPMatrix!$D$6:$E$9,2,0),0)),"")</f>
        <v>0</v>
      </c>
      <c r="P140" s="239">
        <f ca="1">IF(COUNTIF(K137:K141,K140)&gt;=5,IF(J140=5,VLOOKUP(K140+4,TPMatrix!$A$6:$B$10,2,0),IF(J140=4,VLOOKUP(K140+4,TPMatrix!$D$6:$E$9,2,0),0)),"")</f>
        <v>0</v>
      </c>
      <c r="Q140" s="239">
        <f t="shared" ca="1" si="52"/>
        <v>0</v>
      </c>
      <c r="R140" s="240">
        <f t="shared" ca="1" si="53"/>
        <v>5</v>
      </c>
      <c r="S140" s="238">
        <f t="shared" ca="1" si="54"/>
        <v>0</v>
      </c>
      <c r="T140" s="239">
        <f t="shared" si="55"/>
        <v>0</v>
      </c>
      <c r="U140" s="240">
        <f t="shared" ca="1" si="56"/>
        <v>0</v>
      </c>
      <c r="W140" s="36" t="str">
        <f t="shared" ca="1" si="57"/>
        <v/>
      </c>
      <c r="X140" s="36" t="str">
        <f ca="1">IF(ISNUMBER($A140),$W140*(Methuselahs!$A$4+1)+$A140,"")</f>
        <v/>
      </c>
      <c r="Y140" s="36" t="str">
        <f t="shared" ca="1" si="58"/>
        <v/>
      </c>
      <c r="Z140" s="36" t="str">
        <f ca="1">IF(ISNUMBER($A140),VLOOKUP($A140,Methuselahs!$A$7:$X$206,5),"")</f>
        <v/>
      </c>
      <c r="AA140" s="36" t="str">
        <f t="shared" ca="1" si="59"/>
        <v/>
      </c>
    </row>
    <row r="141" spans="1:27" ht="12.95" customHeight="1" x14ac:dyDescent="0.2">
      <c r="A141" s="255" t="str">
        <f ca="1">IF(OR(ISBLANK('Tournament Info'!$B$11),'Tournament Info'!$B$11&lt;&gt;4),"",INDIRECT(ADDRESS(ROW(),3,1,1,"Optimal Seating "&amp;'Tournament Info'!$B$11-1&amp;"R+F")))</f>
        <v/>
      </c>
      <c r="B141" s="256" t="str">
        <f ca="1">IF(ISNUMBER(A141),VLOOKUP(A141,Methuselahs!$A$7:$E$206,2,0),"")</f>
        <v/>
      </c>
      <c r="C141" s="257" t="str">
        <f ca="1">IF(ISNUMBER(A141),VLOOKUP(A141,Methuselahs!$A$7:$E$206,3,0),"")</f>
        <v/>
      </c>
      <c r="D141" s="258" t="str">
        <f t="shared" ca="1" si="48"/>
        <v/>
      </c>
      <c r="E141" s="259"/>
      <c r="F141" s="398">
        <f t="shared" si="49"/>
        <v>0</v>
      </c>
      <c r="G141" s="244" t="str">
        <f t="shared" ca="1" si="50"/>
        <v/>
      </c>
      <c r="H141" s="245" t="str">
        <f ca="1">IF(ISNUMBER(A141),IF(OR($S141=$U141,NOT(ISNA(MATCH($D141*5+$V$4,Override!$C$6:$C$125,0)))),$Q141,0),"")</f>
        <v/>
      </c>
      <c r="I141" s="147" t="str">
        <f t="shared" ca="1" si="51"/>
        <v/>
      </c>
      <c r="J141" s="260">
        <f ca="1">COUNT(A137:A141)</f>
        <v>0</v>
      </c>
      <c r="K141" s="261" t="str">
        <f ca="1">IF(ISNUMBER(A141),RANK(F141,F137:F141),"")</f>
        <v/>
      </c>
      <c r="L141" s="262">
        <f ca="1">IF(J141=5,VLOOKUP(K141,TPMatrix!$A$6:$B$10,2,0),IF(J141=4,VLOOKUP(K141,TPMatrix!$D$6:$E$9,2,0),0))</f>
        <v>0</v>
      </c>
      <c r="M141" s="262">
        <f ca="1">IF(COUNTIF(K137:K141,K141)&gt;=2,IF(J141=5,VLOOKUP(K141+1,TPMatrix!$A$6:$B$10,2,0),IF(J141=4,VLOOKUP(K141+1,TPMatrix!$D$6:$E$9,2,0),0)),"")</f>
        <v>0</v>
      </c>
      <c r="N141" s="262">
        <f ca="1">IF(COUNTIF(K137:K141,K141)&gt;=3,IF(J141=5,VLOOKUP(K141+2,TPMatrix!$A$6:$B$10,2,0),IF(J141=4,VLOOKUP(K141+2,TPMatrix!$D$6:$E$9,2,0),0)),"")</f>
        <v>0</v>
      </c>
      <c r="O141" s="262">
        <f ca="1">IF(COUNTIF(K137:K141,K141)&gt;=4,IF(J141=5,VLOOKUP(K141+3,TPMatrix!$A$6:$B$10,2,0),IF(J141=4,VLOOKUP(K141+3,TPMatrix!$D$6:$E$9,2,0),0)),"")</f>
        <v>0</v>
      </c>
      <c r="P141" s="262">
        <f ca="1">IF(COUNTIF(K137:K141,K141)&gt;=5,IF(J141=5,VLOOKUP(K141+4,TPMatrix!$A$6:$B$10,2,0),IF(J141=4,VLOOKUP(K141+4,TPMatrix!$D$6:$E$9,2,0),0)),"")</f>
        <v>0</v>
      </c>
      <c r="Q141" s="262">
        <f t="shared" ca="1" si="52"/>
        <v>0</v>
      </c>
      <c r="R141" s="263">
        <f t="shared" ca="1" si="53"/>
        <v>5</v>
      </c>
      <c r="S141" s="261">
        <f t="shared" ca="1" si="54"/>
        <v>0</v>
      </c>
      <c r="T141" s="262">
        <f t="shared" si="55"/>
        <v>0</v>
      </c>
      <c r="U141" s="263">
        <f t="shared" ca="1" si="56"/>
        <v>0</v>
      </c>
      <c r="W141" s="36" t="str">
        <f t="shared" ca="1" si="57"/>
        <v/>
      </c>
      <c r="X141" s="36" t="str">
        <f ca="1">IF(ISNUMBER($A141),$W141*(Methuselahs!$A$4+1)+$A141,"")</f>
        <v/>
      </c>
      <c r="Y141" s="36" t="str">
        <f t="shared" ca="1" si="58"/>
        <v/>
      </c>
      <c r="Z141" s="36" t="str">
        <f ca="1">IF(ISNUMBER($A141),VLOOKUP($A141,Methuselahs!$A$7:$X$206,5),"")</f>
        <v/>
      </c>
      <c r="AA141" s="36" t="str">
        <f t="shared" ca="1" si="59"/>
        <v/>
      </c>
    </row>
    <row r="142" spans="1:27" ht="12.95" customHeight="1" x14ac:dyDescent="0.2">
      <c r="A142" s="219" t="str">
        <f ca="1">IF(OR(ISBLANK('Tournament Info'!$B$11),'Tournament Info'!$B$11&lt;&gt;4),"",INDIRECT(ADDRESS(ROW(),3,1,1,"Optimal Seating "&amp;'Tournament Info'!$B$11-1&amp;"R+F")))</f>
        <v/>
      </c>
      <c r="B142" s="143" t="str">
        <f ca="1">IF(ISNUMBER(A142),VLOOKUP(A142,Methuselahs!$A$7:$E$206,2,0),"")</f>
        <v/>
      </c>
      <c r="C142" s="220" t="str">
        <f ca="1">IF(ISNUMBER(A142),VLOOKUP(A142,Methuselahs!$A$7:$E$206,3,0),"")</f>
        <v/>
      </c>
      <c r="D142" s="221" t="str">
        <f t="shared" ca="1" si="48"/>
        <v/>
      </c>
      <c r="E142" s="222"/>
      <c r="F142" s="393">
        <f t="shared" si="49"/>
        <v>0</v>
      </c>
      <c r="G142" s="223" t="str">
        <f t="shared" ca="1" si="50"/>
        <v/>
      </c>
      <c r="H142" s="224" t="str">
        <f ca="1">IF(ISNUMBER(A142),IF(OR($S142=$U142,NOT(ISNA(MATCH($D142*5+$V$4,Override!$C$6:$C$125,0)))),$Q142,0),"")</f>
        <v/>
      </c>
      <c r="I142" s="406" t="str">
        <f t="shared" ca="1" si="51"/>
        <v/>
      </c>
      <c r="J142" s="225">
        <f ca="1">COUNT(A142:A146)</f>
        <v>0</v>
      </c>
      <c r="K142" s="226" t="str">
        <f ca="1">IF(ISNUMBER(A142),RANK(F142,F142:F146),"")</f>
        <v/>
      </c>
      <c r="L142" s="227">
        <f ca="1">IF(J142=5,VLOOKUP(K142,TPMatrix!$A$6:$B$10,2,0),IF(J142=4,VLOOKUP(K142,TPMatrix!$D$6:$E$9,2,0),0))</f>
        <v>0</v>
      </c>
      <c r="M142" s="227">
        <f ca="1">IF(COUNTIF(K142:K146,K142)&gt;=2,IF(J142=5,VLOOKUP(K142+1,TPMatrix!$A$6:$B$10,2,0),IF(J142=4,VLOOKUP(K142+1,TPMatrix!$D$6:$E$9,2,0),0)),"")</f>
        <v>0</v>
      </c>
      <c r="N142" s="227">
        <f ca="1">IF(COUNTIF(K142:K146,K142)&gt;=3,IF(J142=5,VLOOKUP(K142+2,TPMatrix!$A$6:$B$10,2,0),IF(J142=4,VLOOKUP(K142+2,TPMatrix!$D$6:$E$9,2,0),0)),"")</f>
        <v>0</v>
      </c>
      <c r="O142" s="227">
        <f ca="1">IF(COUNTIF(K142:K146,K142)&gt;=4,IF(J142=5,VLOOKUP(K142+3,TPMatrix!$A$6:$B$10,2,0),IF(J142=4,VLOOKUP(K142+3,TPMatrix!$D$6:$E$9,2,0),0)),"")</f>
        <v>0</v>
      </c>
      <c r="P142" s="227">
        <f ca="1">IF(COUNTIF(K142:K146,K142)&gt;=5,IF(J142=5,VLOOKUP(K142+4,TPMatrix!$A$6:$B$10,2,0),IF(J142=4,VLOOKUP(K142+4,TPMatrix!$D$6:$E$9,2,0),0)),"")</f>
        <v>0</v>
      </c>
      <c r="Q142" s="227">
        <f t="shared" ca="1" si="52"/>
        <v>0</v>
      </c>
      <c r="R142" s="228">
        <f t="shared" ca="1" si="53"/>
        <v>5</v>
      </c>
      <c r="S142" s="229">
        <f t="shared" ca="1" si="54"/>
        <v>0</v>
      </c>
      <c r="T142" s="230">
        <f t="shared" si="55"/>
        <v>0</v>
      </c>
      <c r="U142" s="231">
        <f t="shared" ca="1" si="56"/>
        <v>0</v>
      </c>
      <c r="W142" s="36" t="str">
        <f t="shared" ca="1" si="57"/>
        <v/>
      </c>
      <c r="X142" s="36" t="str">
        <f ca="1">IF(ISNUMBER($A142),$W142*(Methuselahs!$A$4+1)+$A142,"")</f>
        <v/>
      </c>
      <c r="Y142" s="36" t="str">
        <f t="shared" ca="1" si="58"/>
        <v/>
      </c>
      <c r="Z142" s="36" t="str">
        <f ca="1">IF(ISNUMBER($A142),VLOOKUP($A142,Methuselahs!$A$7:$X$206,5),"")</f>
        <v/>
      </c>
      <c r="AA142" s="36" t="str">
        <f t="shared" ca="1" si="59"/>
        <v/>
      </c>
    </row>
    <row r="143" spans="1:27" ht="12.95" customHeight="1" x14ac:dyDescent="0.2">
      <c r="A143" s="111" t="str">
        <f ca="1">IF(OR(ISBLANK('Tournament Info'!$B$11),'Tournament Info'!$B$11&lt;&gt;4),"",INDIRECT(ADDRESS(ROW(),3,1,1,"Optimal Seating "&amp;'Tournament Info'!$B$11-1&amp;"R+F")))</f>
        <v/>
      </c>
      <c r="B143" s="117" t="str">
        <f ca="1">IF(ISNUMBER(A143),VLOOKUP(A143,Methuselahs!$A$7:$E$206,2,0),"")</f>
        <v/>
      </c>
      <c r="C143" s="232" t="str">
        <f ca="1">IF(ISNUMBER(A143),VLOOKUP(A143,Methuselahs!$A$7:$E$206,3,0),"")</f>
        <v/>
      </c>
      <c r="D143" s="233" t="str">
        <f t="shared" ca="1" si="48"/>
        <v/>
      </c>
      <c r="E143" s="234"/>
      <c r="F143" s="118">
        <f t="shared" si="49"/>
        <v>0</v>
      </c>
      <c r="G143" s="235" t="str">
        <f t="shared" ca="1" si="50"/>
        <v/>
      </c>
      <c r="H143" s="236" t="str">
        <f ca="1">IF(ISNUMBER(A143),IF(OR($S143=$U143,NOT(ISNA(MATCH($D143*5+$V$4,Override!$C$6:$C$125,0)))),$Q143,0),"")</f>
        <v/>
      </c>
      <c r="I143" s="121" t="str">
        <f t="shared" ca="1" si="51"/>
        <v/>
      </c>
      <c r="J143" s="237">
        <f ca="1">COUNT(A142:A146)</f>
        <v>0</v>
      </c>
      <c r="K143" s="238" t="str">
        <f ca="1">IF(ISNUMBER(A143),RANK(F143,F142:F146),"")</f>
        <v/>
      </c>
      <c r="L143" s="239">
        <f ca="1">IF(J143=5,VLOOKUP(K143,TPMatrix!$A$6:$B$10,2,0),IF(J143=4,VLOOKUP(K143,TPMatrix!$D$6:$E$9,2,0),0))</f>
        <v>0</v>
      </c>
      <c r="M143" s="239">
        <f ca="1">IF(COUNTIF(K142:K146,K143)&gt;=2,IF(J143=5,VLOOKUP(K143+1,TPMatrix!$A$6:$B$10,2,0),IF(J143=4,VLOOKUP(K143+1,TPMatrix!$D$6:$E$9,2,0),0)),"")</f>
        <v>0</v>
      </c>
      <c r="N143" s="239">
        <f ca="1">IF(COUNTIF(K142:K146,K143)&gt;=3,IF(J143=5,VLOOKUP(K143+2,TPMatrix!$A$6:$B$10,2,0),IF(J143=4,VLOOKUP(K143+2,TPMatrix!$D$6:$E$9,2,0),0)),"")</f>
        <v>0</v>
      </c>
      <c r="O143" s="239">
        <f ca="1">IF(COUNTIF(K142:K146,K143)&gt;=4,IF(J143=5,VLOOKUP(K143+3,TPMatrix!$A$6:$B$10,2,0),IF(J143=4,VLOOKUP(K143+3,TPMatrix!$D$6:$E$9,2,0),0)),"")</f>
        <v>0</v>
      </c>
      <c r="P143" s="239">
        <f ca="1">IF(COUNTIF(K142:K146,K143)&gt;=5,IF(J143=5,VLOOKUP(K143+4,TPMatrix!$A$6:$B$10,2,0),IF(J143=4,VLOOKUP(K143+4,TPMatrix!$D$6:$E$9,2,0),0)),"")</f>
        <v>0</v>
      </c>
      <c r="Q143" s="239">
        <f t="shared" ca="1" si="52"/>
        <v>0</v>
      </c>
      <c r="R143" s="240">
        <f t="shared" ca="1" si="53"/>
        <v>5</v>
      </c>
      <c r="S143" s="238">
        <f t="shared" ca="1" si="54"/>
        <v>0</v>
      </c>
      <c r="T143" s="239">
        <f t="shared" si="55"/>
        <v>0</v>
      </c>
      <c r="U143" s="240">
        <f t="shared" ca="1" si="56"/>
        <v>0</v>
      </c>
      <c r="W143" s="36" t="str">
        <f t="shared" ca="1" si="57"/>
        <v/>
      </c>
      <c r="X143" s="36" t="str">
        <f ca="1">IF(ISNUMBER($A143),$W143*(Methuselahs!$A$4+1)+$A143,"")</f>
        <v/>
      </c>
      <c r="Y143" s="36" t="str">
        <f t="shared" ca="1" si="58"/>
        <v/>
      </c>
      <c r="Z143" s="36" t="str">
        <f ca="1">IF(ISNUMBER($A143),VLOOKUP($A143,Methuselahs!$A$7:$X$206,5),"")</f>
        <v/>
      </c>
      <c r="AA143" s="36" t="str">
        <f t="shared" ca="1" si="59"/>
        <v/>
      </c>
    </row>
    <row r="144" spans="1:27" ht="12.95" customHeight="1" x14ac:dyDescent="0.2">
      <c r="A144" s="137" t="str">
        <f ca="1">IF(OR(ISBLANK('Tournament Info'!$B$11),'Tournament Info'!$B$11&lt;&gt;4),"",INDIRECT(ADDRESS(ROW(),3,1,1,"Optimal Seating "&amp;'Tournament Info'!$B$11-1&amp;"R+F")))</f>
        <v/>
      </c>
      <c r="B144" s="143" t="str">
        <f ca="1">IF(ISNUMBER(A144),VLOOKUP(A144,Methuselahs!$A$7:$E$206,2,0),"")</f>
        <v/>
      </c>
      <c r="C144" s="241" t="str">
        <f ca="1">IF(ISNUMBER(A144),VLOOKUP(A144,Methuselahs!$A$7:$E$206,3,0),"")</f>
        <v/>
      </c>
      <c r="D144" s="242" t="str">
        <f t="shared" ca="1" si="48"/>
        <v/>
      </c>
      <c r="E144" s="243"/>
      <c r="F144" s="144">
        <f t="shared" si="49"/>
        <v>0</v>
      </c>
      <c r="G144" s="244" t="str">
        <f t="shared" ca="1" si="50"/>
        <v/>
      </c>
      <c r="H144" s="245" t="str">
        <f ca="1">IF(ISNUMBER(A144),IF(OR($S144=$U144,NOT(ISNA(MATCH($D144*5+$V$4,Override!$C$6:$C$125,0)))),$Q144,0),"")</f>
        <v/>
      </c>
      <c r="I144" s="147" t="str">
        <f t="shared" ca="1" si="51"/>
        <v/>
      </c>
      <c r="J144" s="246">
        <f ca="1">COUNT(A142:A146)</f>
        <v>0</v>
      </c>
      <c r="K144" s="247" t="str">
        <f ca="1">IF(ISNUMBER(A144),RANK(F144,F142:F146),"")</f>
        <v/>
      </c>
      <c r="L144" s="142">
        <f ca="1">IF(J144=5,VLOOKUP(K144,TPMatrix!$A$6:$B$10,2,0),IF(J144=4,VLOOKUP(K144,TPMatrix!$D$6:$E$9,2,0),0))</f>
        <v>0</v>
      </c>
      <c r="M144" s="142">
        <f ca="1">IF(COUNTIF(K142:K146,K144)&gt;=2,IF(J144=5,VLOOKUP(K144+1,TPMatrix!$A$6:$B$10,2,0),IF(J144=4,VLOOKUP(K144+1,TPMatrix!$D$6:$E$9,2,0),0)),"")</f>
        <v>0</v>
      </c>
      <c r="N144" s="142">
        <f ca="1">IF(COUNTIF(K142:K146,K144)&gt;=3,IF(J144=5,VLOOKUP(K144+2,TPMatrix!$A$6:$B$10,2,0),IF(J144=4,VLOOKUP(K144+2,TPMatrix!$D$6:$E$9,2,0),0)),"")</f>
        <v>0</v>
      </c>
      <c r="O144" s="142">
        <f ca="1">IF(COUNTIF(K142:K146,K144)&gt;=4,IF(J144=5,VLOOKUP(K144+3,TPMatrix!$A$6:$B$10,2,0),IF(J144=4,VLOOKUP(K144+3,TPMatrix!$D$6:$E$9,2,0),0)),"")</f>
        <v>0</v>
      </c>
      <c r="P144" s="142">
        <f ca="1">IF(COUNTIF(K142:K146,K144)&gt;=5,IF(J144=5,VLOOKUP(K144+4,TPMatrix!$A$6:$B$10,2,0),IF(J144=4,VLOOKUP(K144+4,TPMatrix!$D$6:$E$9,2,0),0)),"")</f>
        <v>0</v>
      </c>
      <c r="Q144" s="142">
        <f t="shared" ca="1" si="52"/>
        <v>0</v>
      </c>
      <c r="R144" s="248">
        <f t="shared" ca="1" si="53"/>
        <v>5</v>
      </c>
      <c r="S144" s="247">
        <f t="shared" ca="1" si="54"/>
        <v>0</v>
      </c>
      <c r="T144" s="142">
        <f t="shared" si="55"/>
        <v>0</v>
      </c>
      <c r="U144" s="248">
        <f t="shared" ca="1" si="56"/>
        <v>0</v>
      </c>
      <c r="W144" s="36" t="str">
        <f t="shared" ca="1" si="57"/>
        <v/>
      </c>
      <c r="X144" s="36" t="str">
        <f ca="1">IF(ISNUMBER($A144),$W144*(Methuselahs!$A$4+1)+$A144,"")</f>
        <v/>
      </c>
      <c r="Y144" s="36" t="str">
        <f t="shared" ca="1" si="58"/>
        <v/>
      </c>
      <c r="Z144" s="36" t="str">
        <f ca="1">IF(ISNUMBER($A144),VLOOKUP($A144,Methuselahs!$A$7:$X$206,5),"")</f>
        <v/>
      </c>
      <c r="AA144" s="36" t="str">
        <f t="shared" ca="1" si="59"/>
        <v/>
      </c>
    </row>
    <row r="145" spans="1:27" ht="12.95" customHeight="1" x14ac:dyDescent="0.2">
      <c r="A145" s="249" t="str">
        <f ca="1">IF(OR(ISBLANK('Tournament Info'!$B$11),'Tournament Info'!$B$11&lt;&gt;4),"",INDIRECT(ADDRESS(ROW(),3,1,1,"Optimal Seating "&amp;'Tournament Info'!$B$11-1&amp;"R+F")))</f>
        <v/>
      </c>
      <c r="B145" s="250" t="str">
        <f ca="1">IF(ISNUMBER(A145),VLOOKUP(A145,Methuselahs!$A$7:$E$206,2,0),"")</f>
        <v/>
      </c>
      <c r="C145" s="251" t="str">
        <f ca="1">IF(ISNUMBER(A145),VLOOKUP(A145,Methuselahs!$A$7:$E$206,3,0),"")</f>
        <v/>
      </c>
      <c r="D145" s="252" t="str">
        <f t="shared" ca="1" si="48"/>
        <v/>
      </c>
      <c r="E145" s="253"/>
      <c r="F145" s="397">
        <f t="shared" si="49"/>
        <v>0</v>
      </c>
      <c r="G145" s="235" t="str">
        <f t="shared" ca="1" si="50"/>
        <v/>
      </c>
      <c r="H145" s="236" t="str">
        <f ca="1">IF(ISNUMBER(A145),IF(OR($S145=$U145,NOT(ISNA(MATCH($D145*5+$V$4,Override!$C$6:$C$125,0)))),$Q145,0),"")</f>
        <v/>
      </c>
      <c r="I145" s="121" t="str">
        <f t="shared" ca="1" si="51"/>
        <v/>
      </c>
      <c r="J145" s="254">
        <f ca="1">COUNT(A142:A146)</f>
        <v>0</v>
      </c>
      <c r="K145" s="238" t="str">
        <f ca="1">IF(ISNUMBER(A145),RANK(F145,F142:F146),"")</f>
        <v/>
      </c>
      <c r="L145" s="239">
        <f ca="1">IF(J145=5,VLOOKUP(K145,TPMatrix!$A$6:$B$10,2,0),IF(J145=4,VLOOKUP(K145,TPMatrix!$D$6:$E$9,2,0),0))</f>
        <v>0</v>
      </c>
      <c r="M145" s="239">
        <f ca="1">IF(COUNTIF(K142:K146,K145)&gt;=2,IF(J145=5,VLOOKUP(K145+1,TPMatrix!$A$6:$B$10,2,0),IF(J145=4,VLOOKUP(K145+1,TPMatrix!$D$6:$E$9,2,0),0)),"")</f>
        <v>0</v>
      </c>
      <c r="N145" s="239">
        <f ca="1">IF(COUNTIF(K142:K146,K145)&gt;=3,IF(J145=5,VLOOKUP(K145+2,TPMatrix!$A$6:$B$10,2,0),IF(J145=4,VLOOKUP(K145+2,TPMatrix!$D$6:$E$9,2,0),0)),"")</f>
        <v>0</v>
      </c>
      <c r="O145" s="239">
        <f ca="1">IF(COUNTIF(K142:K146,K145)&gt;=4,IF(J145=5,VLOOKUP(K145+3,TPMatrix!$A$6:$B$10,2,0),IF(J145=4,VLOOKUP(K145+3,TPMatrix!$D$6:$E$9,2,0),0)),"")</f>
        <v>0</v>
      </c>
      <c r="P145" s="239">
        <f ca="1">IF(COUNTIF(K142:K146,K145)&gt;=5,IF(J145=5,VLOOKUP(K145+4,TPMatrix!$A$6:$B$10,2,0),IF(J145=4,VLOOKUP(K145+4,TPMatrix!$D$6:$E$9,2,0),0)),"")</f>
        <v>0</v>
      </c>
      <c r="Q145" s="239">
        <f t="shared" ca="1" si="52"/>
        <v>0</v>
      </c>
      <c r="R145" s="240">
        <f t="shared" ca="1" si="53"/>
        <v>5</v>
      </c>
      <c r="S145" s="238">
        <f t="shared" ca="1" si="54"/>
        <v>0</v>
      </c>
      <c r="T145" s="239">
        <f t="shared" si="55"/>
        <v>0</v>
      </c>
      <c r="U145" s="240">
        <f t="shared" ca="1" si="56"/>
        <v>0</v>
      </c>
      <c r="W145" s="36" t="str">
        <f t="shared" ca="1" si="57"/>
        <v/>
      </c>
      <c r="X145" s="36" t="str">
        <f ca="1">IF(ISNUMBER($A145),$W145*(Methuselahs!$A$4+1)+$A145,"")</f>
        <v/>
      </c>
      <c r="Y145" s="36" t="str">
        <f t="shared" ca="1" si="58"/>
        <v/>
      </c>
      <c r="Z145" s="36" t="str">
        <f ca="1">IF(ISNUMBER($A145),VLOOKUP($A145,Methuselahs!$A$7:$X$206,5),"")</f>
        <v/>
      </c>
      <c r="AA145" s="36" t="str">
        <f t="shared" ca="1" si="59"/>
        <v/>
      </c>
    </row>
    <row r="146" spans="1:27" ht="12.95" customHeight="1" x14ac:dyDescent="0.2">
      <c r="A146" s="255" t="str">
        <f ca="1">IF(OR(ISBLANK('Tournament Info'!$B$11),'Tournament Info'!$B$11&lt;&gt;4),"",INDIRECT(ADDRESS(ROW(),3,1,1,"Optimal Seating "&amp;'Tournament Info'!$B$11-1&amp;"R+F")))</f>
        <v/>
      </c>
      <c r="B146" s="256" t="str">
        <f ca="1">IF(ISNUMBER(A146),VLOOKUP(A146,Methuselahs!$A$7:$E$206,2,0),"")</f>
        <v/>
      </c>
      <c r="C146" s="257" t="str">
        <f ca="1">IF(ISNUMBER(A146),VLOOKUP(A146,Methuselahs!$A$7:$E$206,3,0),"")</f>
        <v/>
      </c>
      <c r="D146" s="258" t="str">
        <f t="shared" ca="1" si="48"/>
        <v/>
      </c>
      <c r="E146" s="259"/>
      <c r="F146" s="398">
        <f t="shared" si="49"/>
        <v>0</v>
      </c>
      <c r="G146" s="244" t="str">
        <f t="shared" ca="1" si="50"/>
        <v/>
      </c>
      <c r="H146" s="245" t="str">
        <f ca="1">IF(ISNUMBER(A146),IF(OR($S146=$U146,NOT(ISNA(MATCH($D146*5+$V$4,Override!$C$6:$C$125,0)))),$Q146,0),"")</f>
        <v/>
      </c>
      <c r="I146" s="147" t="str">
        <f t="shared" ca="1" si="51"/>
        <v/>
      </c>
      <c r="J146" s="260">
        <f ca="1">COUNT(A142:A146)</f>
        <v>0</v>
      </c>
      <c r="K146" s="261" t="str">
        <f ca="1">IF(ISNUMBER(A146),RANK(F146,F142:F146),"")</f>
        <v/>
      </c>
      <c r="L146" s="262">
        <f ca="1">IF(J146=5,VLOOKUP(K146,TPMatrix!$A$6:$B$10,2,0),IF(J146=4,VLOOKUP(K146,TPMatrix!$D$6:$E$9,2,0),0))</f>
        <v>0</v>
      </c>
      <c r="M146" s="262">
        <f ca="1">IF(COUNTIF(K142:K146,K146)&gt;=2,IF(J146=5,VLOOKUP(K146+1,TPMatrix!$A$6:$B$10,2,0),IF(J146=4,VLOOKUP(K146+1,TPMatrix!$D$6:$E$9,2,0),0)),"")</f>
        <v>0</v>
      </c>
      <c r="N146" s="262">
        <f ca="1">IF(COUNTIF(K142:K146,K146)&gt;=3,IF(J146=5,VLOOKUP(K146+2,TPMatrix!$A$6:$B$10,2,0),IF(J146=4,VLOOKUP(K146+2,TPMatrix!$D$6:$E$9,2,0),0)),"")</f>
        <v>0</v>
      </c>
      <c r="O146" s="262">
        <f ca="1">IF(COUNTIF(K142:K146,K146)&gt;=4,IF(J146=5,VLOOKUP(K146+3,TPMatrix!$A$6:$B$10,2,0),IF(J146=4,VLOOKUP(K146+3,TPMatrix!$D$6:$E$9,2,0),0)),"")</f>
        <v>0</v>
      </c>
      <c r="P146" s="262">
        <f ca="1">IF(COUNTIF(K142:K146,K146)&gt;=5,IF(J146=5,VLOOKUP(K146+4,TPMatrix!$A$6:$B$10,2,0),IF(J146=4,VLOOKUP(K146+4,TPMatrix!$D$6:$E$9,2,0),0)),"")</f>
        <v>0</v>
      </c>
      <c r="Q146" s="262">
        <f t="shared" ca="1" si="52"/>
        <v>0</v>
      </c>
      <c r="R146" s="263">
        <f t="shared" ca="1" si="53"/>
        <v>5</v>
      </c>
      <c r="S146" s="261">
        <f t="shared" ca="1" si="54"/>
        <v>0</v>
      </c>
      <c r="T146" s="262">
        <f t="shared" si="55"/>
        <v>0</v>
      </c>
      <c r="U146" s="263">
        <f t="shared" ca="1" si="56"/>
        <v>0</v>
      </c>
      <c r="W146" s="36" t="str">
        <f t="shared" ca="1" si="57"/>
        <v/>
      </c>
      <c r="X146" s="36" t="str">
        <f ca="1">IF(ISNUMBER($A146),$W146*(Methuselahs!$A$4+1)+$A146,"")</f>
        <v/>
      </c>
      <c r="Y146" s="36" t="str">
        <f t="shared" ca="1" si="58"/>
        <v/>
      </c>
      <c r="Z146" s="36" t="str">
        <f ca="1">IF(ISNUMBER($A146),VLOOKUP($A146,Methuselahs!$A$7:$X$206,5),"")</f>
        <v/>
      </c>
      <c r="AA146" s="36" t="str">
        <f t="shared" ca="1" si="59"/>
        <v/>
      </c>
    </row>
    <row r="147" spans="1:27" ht="12.95" customHeight="1" x14ac:dyDescent="0.2">
      <c r="A147" s="219" t="str">
        <f ca="1">IF(OR(ISBLANK('Tournament Info'!$B$11),'Tournament Info'!$B$11&lt;&gt;4),"",INDIRECT(ADDRESS(ROW(),3,1,1,"Optimal Seating "&amp;'Tournament Info'!$B$11-1&amp;"R+F")))</f>
        <v/>
      </c>
      <c r="B147" s="143" t="str">
        <f ca="1">IF(ISNUMBER(A147),VLOOKUP(A147,Methuselahs!$A$7:$E$206,2,0),"")</f>
        <v/>
      </c>
      <c r="C147" s="220" t="str">
        <f ca="1">IF(ISNUMBER(A147),VLOOKUP(A147,Methuselahs!$A$7:$E$206,3,0),"")</f>
        <v/>
      </c>
      <c r="D147" s="221" t="str">
        <f t="shared" ca="1" si="48"/>
        <v/>
      </c>
      <c r="E147" s="222"/>
      <c r="F147" s="393">
        <f t="shared" si="49"/>
        <v>0</v>
      </c>
      <c r="G147" s="223" t="str">
        <f t="shared" ca="1" si="50"/>
        <v/>
      </c>
      <c r="H147" s="224" t="str">
        <f ca="1">IF(ISNUMBER(A147),IF(OR($S147=$U147,NOT(ISNA(MATCH($D147*5+$V$4,Override!$C$6:$C$125,0)))),$Q147,0),"")</f>
        <v/>
      </c>
      <c r="I147" s="406" t="str">
        <f t="shared" ca="1" si="51"/>
        <v/>
      </c>
      <c r="J147" s="225">
        <f ca="1">COUNT(A147:A151)</f>
        <v>0</v>
      </c>
      <c r="K147" s="226" t="str">
        <f ca="1">IF(ISNUMBER(A147),RANK(F147,F147:F151),"")</f>
        <v/>
      </c>
      <c r="L147" s="227">
        <f ca="1">IF(J147=5,VLOOKUP(K147,TPMatrix!$A$6:$B$10,2,0),IF(J147=4,VLOOKUP(K147,TPMatrix!$D$6:$E$9,2,0),0))</f>
        <v>0</v>
      </c>
      <c r="M147" s="227">
        <f ca="1">IF(COUNTIF(K147:K151,K147)&gt;=2,IF(J147=5,VLOOKUP(K147+1,TPMatrix!$A$6:$B$10,2,0),IF(J147=4,VLOOKUP(K147+1,TPMatrix!$D$6:$E$9,2,0),0)),"")</f>
        <v>0</v>
      </c>
      <c r="N147" s="227">
        <f ca="1">IF(COUNTIF(K147:K151,K147)&gt;=3,IF(J147=5,VLOOKUP(K147+2,TPMatrix!$A$6:$B$10,2,0),IF(J147=4,VLOOKUP(K147+2,TPMatrix!$D$6:$E$9,2,0),0)),"")</f>
        <v>0</v>
      </c>
      <c r="O147" s="227">
        <f ca="1">IF(COUNTIF(K147:K151,K147)&gt;=4,IF(J147=5,VLOOKUP(K147+3,TPMatrix!$A$6:$B$10,2,0),IF(J147=4,VLOOKUP(K147+3,TPMatrix!$D$6:$E$9,2,0),0)),"")</f>
        <v>0</v>
      </c>
      <c r="P147" s="227">
        <f ca="1">IF(COUNTIF(K147:K151,K147)&gt;=5,IF(J147=5,VLOOKUP(K147+4,TPMatrix!$A$6:$B$10,2,0),IF(J147=4,VLOOKUP(K147+4,TPMatrix!$D$6:$E$9,2,0),0)),"")</f>
        <v>0</v>
      </c>
      <c r="Q147" s="227">
        <f t="shared" ca="1" si="52"/>
        <v>0</v>
      </c>
      <c r="R147" s="228">
        <f t="shared" ca="1" si="53"/>
        <v>5</v>
      </c>
      <c r="S147" s="229">
        <f t="shared" ca="1" si="54"/>
        <v>0</v>
      </c>
      <c r="T147" s="230">
        <f t="shared" si="55"/>
        <v>0</v>
      </c>
      <c r="U147" s="231">
        <f t="shared" ca="1" si="56"/>
        <v>0</v>
      </c>
      <c r="W147" s="36" t="str">
        <f t="shared" ca="1" si="57"/>
        <v/>
      </c>
      <c r="X147" s="36" t="str">
        <f ca="1">IF(ISNUMBER($A147),$W147*(Methuselahs!$A$4+1)+$A147,"")</f>
        <v/>
      </c>
      <c r="Y147" s="36" t="str">
        <f t="shared" ca="1" si="58"/>
        <v/>
      </c>
      <c r="Z147" s="36" t="str">
        <f ca="1">IF(ISNUMBER($A147),VLOOKUP($A147,Methuselahs!$A$7:$X$206,5),"")</f>
        <v/>
      </c>
      <c r="AA147" s="36" t="str">
        <f t="shared" ca="1" si="59"/>
        <v/>
      </c>
    </row>
    <row r="148" spans="1:27" ht="12.95" customHeight="1" x14ac:dyDescent="0.2">
      <c r="A148" s="111" t="str">
        <f ca="1">IF(OR(ISBLANK('Tournament Info'!$B$11),'Tournament Info'!$B$11&lt;&gt;4),"",INDIRECT(ADDRESS(ROW(),3,1,1,"Optimal Seating "&amp;'Tournament Info'!$B$11-1&amp;"R+F")))</f>
        <v/>
      </c>
      <c r="B148" s="117" t="str">
        <f ca="1">IF(ISNUMBER(A148),VLOOKUP(A148,Methuselahs!$A$7:$E$206,2,0),"")</f>
        <v/>
      </c>
      <c r="C148" s="232" t="str">
        <f ca="1">IF(ISNUMBER(A148),VLOOKUP(A148,Methuselahs!$A$7:$E$206,3,0),"")</f>
        <v/>
      </c>
      <c r="D148" s="233" t="str">
        <f t="shared" ca="1" si="48"/>
        <v/>
      </c>
      <c r="E148" s="234"/>
      <c r="F148" s="118">
        <f t="shared" si="49"/>
        <v>0</v>
      </c>
      <c r="G148" s="235" t="str">
        <f t="shared" ca="1" si="50"/>
        <v/>
      </c>
      <c r="H148" s="236" t="str">
        <f ca="1">IF(ISNUMBER(A148),IF(OR($S148=$U148,NOT(ISNA(MATCH($D148*5+$V$4,Override!$C$6:$C$125,0)))),$Q148,0),"")</f>
        <v/>
      </c>
      <c r="I148" s="121" t="str">
        <f t="shared" ca="1" si="51"/>
        <v/>
      </c>
      <c r="J148" s="237">
        <f ca="1">COUNT(A147:A151)</f>
        <v>0</v>
      </c>
      <c r="K148" s="238" t="str">
        <f ca="1">IF(ISNUMBER(A148),RANK(F148,F147:F151),"")</f>
        <v/>
      </c>
      <c r="L148" s="239">
        <f ca="1">IF(J148=5,VLOOKUP(K148,TPMatrix!$A$6:$B$10,2,0),IF(J148=4,VLOOKUP(K148,TPMatrix!$D$6:$E$9,2,0),0))</f>
        <v>0</v>
      </c>
      <c r="M148" s="239">
        <f ca="1">IF(COUNTIF(K147:K151,K148)&gt;=2,IF(J148=5,VLOOKUP(K148+1,TPMatrix!$A$6:$B$10,2,0),IF(J148=4,VLOOKUP(K148+1,TPMatrix!$D$6:$E$9,2,0),0)),"")</f>
        <v>0</v>
      </c>
      <c r="N148" s="239">
        <f ca="1">IF(COUNTIF(K147:K151,K148)&gt;=3,IF(J148=5,VLOOKUP(K148+2,TPMatrix!$A$6:$B$10,2,0),IF(J148=4,VLOOKUP(K148+2,TPMatrix!$D$6:$E$9,2,0),0)),"")</f>
        <v>0</v>
      </c>
      <c r="O148" s="239">
        <f ca="1">IF(COUNTIF(K147:K151,K148)&gt;=4,IF(J148=5,VLOOKUP(K148+3,TPMatrix!$A$6:$B$10,2,0),IF(J148=4,VLOOKUP(K148+3,TPMatrix!$D$6:$E$9,2,0),0)),"")</f>
        <v>0</v>
      </c>
      <c r="P148" s="239">
        <f ca="1">IF(COUNTIF(K147:K151,K148)&gt;=5,IF(J148=5,VLOOKUP(K148+4,TPMatrix!$A$6:$B$10,2,0),IF(J148=4,VLOOKUP(K148+4,TPMatrix!$D$6:$E$9,2,0),0)),"")</f>
        <v>0</v>
      </c>
      <c r="Q148" s="239">
        <f t="shared" ca="1" si="52"/>
        <v>0</v>
      </c>
      <c r="R148" s="240">
        <f t="shared" ca="1" si="53"/>
        <v>5</v>
      </c>
      <c r="S148" s="238">
        <f t="shared" ca="1" si="54"/>
        <v>0</v>
      </c>
      <c r="T148" s="239">
        <f t="shared" si="55"/>
        <v>0</v>
      </c>
      <c r="U148" s="240">
        <f t="shared" ca="1" si="56"/>
        <v>0</v>
      </c>
      <c r="W148" s="36" t="str">
        <f t="shared" ca="1" si="57"/>
        <v/>
      </c>
      <c r="X148" s="36" t="str">
        <f ca="1">IF(ISNUMBER($A148),$W148*(Methuselahs!$A$4+1)+$A148,"")</f>
        <v/>
      </c>
      <c r="Y148" s="36" t="str">
        <f t="shared" ca="1" si="58"/>
        <v/>
      </c>
      <c r="Z148" s="36" t="str">
        <f ca="1">IF(ISNUMBER($A148),VLOOKUP($A148,Methuselahs!$A$7:$X$206,5),"")</f>
        <v/>
      </c>
      <c r="AA148" s="36" t="str">
        <f t="shared" ca="1" si="59"/>
        <v/>
      </c>
    </row>
    <row r="149" spans="1:27" ht="12.95" customHeight="1" x14ac:dyDescent="0.2">
      <c r="A149" s="137" t="str">
        <f ca="1">IF(OR(ISBLANK('Tournament Info'!$B$11),'Tournament Info'!$B$11&lt;&gt;4),"",INDIRECT(ADDRESS(ROW(),3,1,1,"Optimal Seating "&amp;'Tournament Info'!$B$11-1&amp;"R+F")))</f>
        <v/>
      </c>
      <c r="B149" s="143" t="str">
        <f ca="1">IF(ISNUMBER(A149),VLOOKUP(A149,Methuselahs!$A$7:$E$206,2,0),"")</f>
        <v/>
      </c>
      <c r="C149" s="241" t="str">
        <f ca="1">IF(ISNUMBER(A149),VLOOKUP(A149,Methuselahs!$A$7:$E$206,3,0),"")</f>
        <v/>
      </c>
      <c r="D149" s="242" t="str">
        <f t="shared" ca="1" si="48"/>
        <v/>
      </c>
      <c r="E149" s="243"/>
      <c r="F149" s="144">
        <f t="shared" si="49"/>
        <v>0</v>
      </c>
      <c r="G149" s="244" t="str">
        <f t="shared" ca="1" si="50"/>
        <v/>
      </c>
      <c r="H149" s="245" t="str">
        <f ca="1">IF(ISNUMBER(A149),IF(OR($S149=$U149,NOT(ISNA(MATCH($D149*5+$V$4,Override!$C$6:$C$125,0)))),$Q149,0),"")</f>
        <v/>
      </c>
      <c r="I149" s="147" t="str">
        <f t="shared" ca="1" si="51"/>
        <v/>
      </c>
      <c r="J149" s="246">
        <f ca="1">COUNT(A147:A151)</f>
        <v>0</v>
      </c>
      <c r="K149" s="247" t="str">
        <f ca="1">IF(ISNUMBER(A149),RANK(F149,F147:F151),"")</f>
        <v/>
      </c>
      <c r="L149" s="142">
        <f ca="1">IF(J149=5,VLOOKUP(K149,TPMatrix!$A$6:$B$10,2,0),IF(J149=4,VLOOKUP(K149,TPMatrix!$D$6:$E$9,2,0),0))</f>
        <v>0</v>
      </c>
      <c r="M149" s="142">
        <f ca="1">IF(COUNTIF(K147:K151,K149)&gt;=2,IF(J149=5,VLOOKUP(K149+1,TPMatrix!$A$6:$B$10,2,0),IF(J149=4,VLOOKUP(K149+1,TPMatrix!$D$6:$E$9,2,0),0)),"")</f>
        <v>0</v>
      </c>
      <c r="N149" s="142">
        <f ca="1">IF(COUNTIF(K147:K151,K149)&gt;=3,IF(J149=5,VLOOKUP(K149+2,TPMatrix!$A$6:$B$10,2,0),IF(J149=4,VLOOKUP(K149+2,TPMatrix!$D$6:$E$9,2,0),0)),"")</f>
        <v>0</v>
      </c>
      <c r="O149" s="142">
        <f ca="1">IF(COUNTIF(K147:K151,K149)&gt;=4,IF(J149=5,VLOOKUP(K149+3,TPMatrix!$A$6:$B$10,2,0),IF(J149=4,VLOOKUP(K149+3,TPMatrix!$D$6:$E$9,2,0),0)),"")</f>
        <v>0</v>
      </c>
      <c r="P149" s="142">
        <f ca="1">IF(COUNTIF(K147:K151,K149)&gt;=5,IF(J149=5,VLOOKUP(K149+4,TPMatrix!$A$6:$B$10,2,0),IF(J149=4,VLOOKUP(K149+4,TPMatrix!$D$6:$E$9,2,0),0)),"")</f>
        <v>0</v>
      </c>
      <c r="Q149" s="142">
        <f t="shared" ca="1" si="52"/>
        <v>0</v>
      </c>
      <c r="R149" s="248">
        <f t="shared" ca="1" si="53"/>
        <v>5</v>
      </c>
      <c r="S149" s="247">
        <f t="shared" ca="1" si="54"/>
        <v>0</v>
      </c>
      <c r="T149" s="142">
        <f t="shared" si="55"/>
        <v>0</v>
      </c>
      <c r="U149" s="248">
        <f t="shared" ca="1" si="56"/>
        <v>0</v>
      </c>
      <c r="W149" s="36" t="str">
        <f t="shared" ca="1" si="57"/>
        <v/>
      </c>
      <c r="X149" s="36" t="str">
        <f ca="1">IF(ISNUMBER($A149),$W149*(Methuselahs!$A$4+1)+$A149,"")</f>
        <v/>
      </c>
      <c r="Y149" s="36" t="str">
        <f t="shared" ca="1" si="58"/>
        <v/>
      </c>
      <c r="Z149" s="36" t="str">
        <f ca="1">IF(ISNUMBER($A149),VLOOKUP($A149,Methuselahs!$A$7:$X$206,5),"")</f>
        <v/>
      </c>
      <c r="AA149" s="36" t="str">
        <f t="shared" ca="1" si="59"/>
        <v/>
      </c>
    </row>
    <row r="150" spans="1:27" ht="12.95" customHeight="1" x14ac:dyDescent="0.2">
      <c r="A150" s="249" t="str">
        <f ca="1">IF(OR(ISBLANK('Tournament Info'!$B$11),'Tournament Info'!$B$11&lt;&gt;4),"",INDIRECT(ADDRESS(ROW(),3,1,1,"Optimal Seating "&amp;'Tournament Info'!$B$11-1&amp;"R+F")))</f>
        <v/>
      </c>
      <c r="B150" s="250" t="str">
        <f ca="1">IF(ISNUMBER(A150),VLOOKUP(A150,Methuselahs!$A$7:$E$206,2,0),"")</f>
        <v/>
      </c>
      <c r="C150" s="251" t="str">
        <f ca="1">IF(ISNUMBER(A150),VLOOKUP(A150,Methuselahs!$A$7:$E$206,3,0),"")</f>
        <v/>
      </c>
      <c r="D150" s="252" t="str">
        <f t="shared" ca="1" si="48"/>
        <v/>
      </c>
      <c r="E150" s="253"/>
      <c r="F150" s="397">
        <f t="shared" si="49"/>
        <v>0</v>
      </c>
      <c r="G150" s="235" t="str">
        <f t="shared" ca="1" si="50"/>
        <v/>
      </c>
      <c r="H150" s="236" t="str">
        <f ca="1">IF(ISNUMBER(A150),IF(OR($S150=$U150,NOT(ISNA(MATCH($D150*5+$V$4,Override!$C$6:$C$125,0)))),$Q150,0),"")</f>
        <v/>
      </c>
      <c r="I150" s="121" t="str">
        <f t="shared" ca="1" si="51"/>
        <v/>
      </c>
      <c r="J150" s="254">
        <f ca="1">COUNT(A147:A151)</f>
        <v>0</v>
      </c>
      <c r="K150" s="238" t="str">
        <f ca="1">IF(ISNUMBER(A150),RANK(F150,F147:F151),"")</f>
        <v/>
      </c>
      <c r="L150" s="239">
        <f ca="1">IF(J150=5,VLOOKUP(K150,TPMatrix!$A$6:$B$10,2,0),IF(J150=4,VLOOKUP(K150,TPMatrix!$D$6:$E$9,2,0),0))</f>
        <v>0</v>
      </c>
      <c r="M150" s="239">
        <f ca="1">IF(COUNTIF(K147:K151,K150)&gt;=2,IF(J150=5,VLOOKUP(K150+1,TPMatrix!$A$6:$B$10,2,0),IF(J150=4,VLOOKUP(K150+1,TPMatrix!$D$6:$E$9,2,0),0)),"")</f>
        <v>0</v>
      </c>
      <c r="N150" s="239">
        <f ca="1">IF(COUNTIF(K147:K151,K150)&gt;=3,IF(J150=5,VLOOKUP(K150+2,TPMatrix!$A$6:$B$10,2,0),IF(J150=4,VLOOKUP(K150+2,TPMatrix!$D$6:$E$9,2,0),0)),"")</f>
        <v>0</v>
      </c>
      <c r="O150" s="239">
        <f ca="1">IF(COUNTIF(K147:K151,K150)&gt;=4,IF(J150=5,VLOOKUP(K150+3,TPMatrix!$A$6:$B$10,2,0),IF(J150=4,VLOOKUP(K150+3,TPMatrix!$D$6:$E$9,2,0),0)),"")</f>
        <v>0</v>
      </c>
      <c r="P150" s="239">
        <f ca="1">IF(COUNTIF(K147:K151,K150)&gt;=5,IF(J150=5,VLOOKUP(K150+4,TPMatrix!$A$6:$B$10,2,0),IF(J150=4,VLOOKUP(K150+4,TPMatrix!$D$6:$E$9,2,0),0)),"")</f>
        <v>0</v>
      </c>
      <c r="Q150" s="239">
        <f t="shared" ca="1" si="52"/>
        <v>0</v>
      </c>
      <c r="R150" s="240">
        <f t="shared" ca="1" si="53"/>
        <v>5</v>
      </c>
      <c r="S150" s="238">
        <f t="shared" ca="1" si="54"/>
        <v>0</v>
      </c>
      <c r="T150" s="239">
        <f t="shared" si="55"/>
        <v>0</v>
      </c>
      <c r="U150" s="240">
        <f t="shared" ca="1" si="56"/>
        <v>0</v>
      </c>
      <c r="W150" s="36" t="str">
        <f t="shared" ca="1" si="57"/>
        <v/>
      </c>
      <c r="X150" s="36" t="str">
        <f ca="1">IF(ISNUMBER($A150),$W150*(Methuselahs!$A$4+1)+$A150,"")</f>
        <v/>
      </c>
      <c r="Y150" s="36" t="str">
        <f t="shared" ca="1" si="58"/>
        <v/>
      </c>
      <c r="Z150" s="36" t="str">
        <f ca="1">IF(ISNUMBER($A150),VLOOKUP($A150,Methuselahs!$A$7:$X$206,5),"")</f>
        <v/>
      </c>
      <c r="AA150" s="36" t="str">
        <f t="shared" ca="1" si="59"/>
        <v/>
      </c>
    </row>
    <row r="151" spans="1:27" ht="12.95" customHeight="1" x14ac:dyDescent="0.2">
      <c r="A151" s="255" t="str">
        <f ca="1">IF(OR(ISBLANK('Tournament Info'!$B$11),'Tournament Info'!$B$11&lt;&gt;4),"",INDIRECT(ADDRESS(ROW(),3,1,1,"Optimal Seating "&amp;'Tournament Info'!$B$11-1&amp;"R+F")))</f>
        <v/>
      </c>
      <c r="B151" s="256" t="str">
        <f ca="1">IF(ISNUMBER(A151),VLOOKUP(A151,Methuselahs!$A$7:$E$206,2,0),"")</f>
        <v/>
      </c>
      <c r="C151" s="257" t="str">
        <f ca="1">IF(ISNUMBER(A151),VLOOKUP(A151,Methuselahs!$A$7:$E$206,3,0),"")</f>
        <v/>
      </c>
      <c r="D151" s="258" t="str">
        <f t="shared" ca="1" si="48"/>
        <v/>
      </c>
      <c r="E151" s="259"/>
      <c r="F151" s="398">
        <f t="shared" si="49"/>
        <v>0</v>
      </c>
      <c r="G151" s="244" t="str">
        <f t="shared" ca="1" si="50"/>
        <v/>
      </c>
      <c r="H151" s="245" t="str">
        <f ca="1">IF(ISNUMBER(A151),IF(OR($S151=$U151,NOT(ISNA(MATCH($D151*5+$V$4,Override!$C$6:$C$125,0)))),$Q151,0),"")</f>
        <v/>
      </c>
      <c r="I151" s="147" t="str">
        <f t="shared" ca="1" si="51"/>
        <v/>
      </c>
      <c r="J151" s="260">
        <f ca="1">COUNT(A147:A151)</f>
        <v>0</v>
      </c>
      <c r="K151" s="261" t="str">
        <f ca="1">IF(ISNUMBER(A151),RANK(F151,F147:F151),"")</f>
        <v/>
      </c>
      <c r="L151" s="262">
        <f ca="1">IF(J151=5,VLOOKUP(K151,TPMatrix!$A$6:$B$10,2,0),IF(J151=4,VLOOKUP(K151,TPMatrix!$D$6:$E$9,2,0),0))</f>
        <v>0</v>
      </c>
      <c r="M151" s="262">
        <f ca="1">IF(COUNTIF(K147:K151,K151)&gt;=2,IF(J151=5,VLOOKUP(K151+1,TPMatrix!$A$6:$B$10,2,0),IF(J151=4,VLOOKUP(K151+1,TPMatrix!$D$6:$E$9,2,0),0)),"")</f>
        <v>0</v>
      </c>
      <c r="N151" s="262">
        <f ca="1">IF(COUNTIF(K147:K151,K151)&gt;=3,IF(J151=5,VLOOKUP(K151+2,TPMatrix!$A$6:$B$10,2,0),IF(J151=4,VLOOKUP(K151+2,TPMatrix!$D$6:$E$9,2,0),0)),"")</f>
        <v>0</v>
      </c>
      <c r="O151" s="262">
        <f ca="1">IF(COUNTIF(K147:K151,K151)&gt;=4,IF(J151=5,VLOOKUP(K151+3,TPMatrix!$A$6:$B$10,2,0),IF(J151=4,VLOOKUP(K151+3,TPMatrix!$D$6:$E$9,2,0),0)),"")</f>
        <v>0</v>
      </c>
      <c r="P151" s="262">
        <f ca="1">IF(COUNTIF(K147:K151,K151)&gt;=5,IF(J151=5,VLOOKUP(K151+4,TPMatrix!$A$6:$B$10,2,0),IF(J151=4,VLOOKUP(K151+4,TPMatrix!$D$6:$E$9,2,0),0)),"")</f>
        <v>0</v>
      </c>
      <c r="Q151" s="262">
        <f t="shared" ca="1" si="52"/>
        <v>0</v>
      </c>
      <c r="R151" s="263">
        <f t="shared" ca="1" si="53"/>
        <v>5</v>
      </c>
      <c r="S151" s="261">
        <f t="shared" ca="1" si="54"/>
        <v>0</v>
      </c>
      <c r="T151" s="262">
        <f t="shared" si="55"/>
        <v>0</v>
      </c>
      <c r="U151" s="263">
        <f t="shared" ca="1" si="56"/>
        <v>0</v>
      </c>
      <c r="W151" s="36" t="str">
        <f t="shared" ca="1" si="57"/>
        <v/>
      </c>
      <c r="X151" s="36" t="str">
        <f ca="1">IF(ISNUMBER($A151),$W151*(Methuselahs!$A$4+1)+$A151,"")</f>
        <v/>
      </c>
      <c r="Y151" s="36" t="str">
        <f t="shared" ca="1" si="58"/>
        <v/>
      </c>
      <c r="Z151" s="36" t="str">
        <f ca="1">IF(ISNUMBER($A151),VLOOKUP($A151,Methuselahs!$A$7:$X$206,5),"")</f>
        <v/>
      </c>
      <c r="AA151" s="36" t="str">
        <f t="shared" ca="1" si="59"/>
        <v/>
      </c>
    </row>
    <row r="152" spans="1:27" ht="12.95" customHeight="1" x14ac:dyDescent="0.2">
      <c r="A152" s="219" t="str">
        <f ca="1">IF(OR(ISBLANK('Tournament Info'!$B$11),'Tournament Info'!$B$11&lt;&gt;4),"",INDIRECT(ADDRESS(ROW(),3,1,1,"Optimal Seating "&amp;'Tournament Info'!$B$11-1&amp;"R+F")))</f>
        <v/>
      </c>
      <c r="B152" s="143" t="str">
        <f ca="1">IF(ISNUMBER(A152),VLOOKUP(A152,Methuselahs!$A$7:$E$206,2,0),"")</f>
        <v/>
      </c>
      <c r="C152" s="220" t="str">
        <f ca="1">IF(ISNUMBER(A152),VLOOKUP(A152,Methuselahs!$A$7:$E$206,3,0),"")</f>
        <v/>
      </c>
      <c r="D152" s="221" t="str">
        <f t="shared" ca="1" si="48"/>
        <v/>
      </c>
      <c r="E152" s="222"/>
      <c r="F152" s="393">
        <f t="shared" si="49"/>
        <v>0</v>
      </c>
      <c r="G152" s="223" t="str">
        <f t="shared" ca="1" si="50"/>
        <v/>
      </c>
      <c r="H152" s="224" t="str">
        <f ca="1">IF(ISNUMBER(A152),IF(OR($S152=$U152,NOT(ISNA(MATCH($D152*5+$V$4,Override!$C$6:$C$125,0)))),$Q152,0),"")</f>
        <v/>
      </c>
      <c r="I152" s="406" t="str">
        <f t="shared" ca="1" si="51"/>
        <v/>
      </c>
      <c r="J152" s="225">
        <f ca="1">COUNT(A152:A156)</f>
        <v>0</v>
      </c>
      <c r="K152" s="226" t="str">
        <f ca="1">IF(ISNUMBER(A152),RANK(F152,F152:F156),"")</f>
        <v/>
      </c>
      <c r="L152" s="227">
        <f ca="1">IF(J152=5,VLOOKUP(K152,TPMatrix!$A$6:$B$10,2,0),IF(J152=4,VLOOKUP(K152,TPMatrix!$D$6:$E$9,2,0),0))</f>
        <v>0</v>
      </c>
      <c r="M152" s="227">
        <f ca="1">IF(COUNTIF(K152:K156,K152)&gt;=2,IF(J152=5,VLOOKUP(K152+1,TPMatrix!$A$6:$B$10,2,0),IF(J152=4,VLOOKUP(K152+1,TPMatrix!$D$6:$E$9,2,0),0)),"")</f>
        <v>0</v>
      </c>
      <c r="N152" s="227">
        <f ca="1">IF(COUNTIF(K152:K156,K152)&gt;=3,IF(J152=5,VLOOKUP(K152+2,TPMatrix!$A$6:$B$10,2,0),IF(J152=4,VLOOKUP(K152+2,TPMatrix!$D$6:$E$9,2,0),0)),"")</f>
        <v>0</v>
      </c>
      <c r="O152" s="227">
        <f ca="1">IF(COUNTIF(K152:K156,K152)&gt;=4,IF(J152=5,VLOOKUP(K152+3,TPMatrix!$A$6:$B$10,2,0),IF(J152=4,VLOOKUP(K152+3,TPMatrix!$D$6:$E$9,2,0),0)),"")</f>
        <v>0</v>
      </c>
      <c r="P152" s="227">
        <f ca="1">IF(COUNTIF(K152:K156,K152)&gt;=5,IF(J152=5,VLOOKUP(K152+4,TPMatrix!$A$6:$B$10,2,0),IF(J152=4,VLOOKUP(K152+4,TPMatrix!$D$6:$E$9,2,0),0)),"")</f>
        <v>0</v>
      </c>
      <c r="Q152" s="227">
        <f t="shared" ca="1" si="52"/>
        <v>0</v>
      </c>
      <c r="R152" s="228">
        <f t="shared" ca="1" si="53"/>
        <v>5</v>
      </c>
      <c r="S152" s="229">
        <f t="shared" ca="1" si="54"/>
        <v>0</v>
      </c>
      <c r="T152" s="230">
        <f t="shared" si="55"/>
        <v>0</v>
      </c>
      <c r="U152" s="231">
        <f t="shared" ca="1" si="56"/>
        <v>0</v>
      </c>
      <c r="W152" s="36" t="str">
        <f t="shared" ca="1" si="57"/>
        <v/>
      </c>
      <c r="X152" s="36" t="str">
        <f ca="1">IF(ISNUMBER($A152),$W152*(Methuselahs!$A$4+1)+$A152,"")</f>
        <v/>
      </c>
      <c r="Y152" s="36" t="str">
        <f t="shared" ca="1" si="58"/>
        <v/>
      </c>
      <c r="Z152" s="36" t="str">
        <f ca="1">IF(ISNUMBER($A152),VLOOKUP($A152,Methuselahs!$A$7:$X$206,5),"")</f>
        <v/>
      </c>
      <c r="AA152" s="36" t="str">
        <f t="shared" ca="1" si="59"/>
        <v/>
      </c>
    </row>
    <row r="153" spans="1:27" ht="12.95" customHeight="1" x14ac:dyDescent="0.2">
      <c r="A153" s="111" t="str">
        <f ca="1">IF(OR(ISBLANK('Tournament Info'!$B$11),'Tournament Info'!$B$11&lt;&gt;4),"",INDIRECT(ADDRESS(ROW(),3,1,1,"Optimal Seating "&amp;'Tournament Info'!$B$11-1&amp;"R+F")))</f>
        <v/>
      </c>
      <c r="B153" s="117" t="str">
        <f ca="1">IF(ISNUMBER(A153),VLOOKUP(A153,Methuselahs!$A$7:$E$206,2,0),"")</f>
        <v/>
      </c>
      <c r="C153" s="232" t="str">
        <f ca="1">IF(ISNUMBER(A153),VLOOKUP(A153,Methuselahs!$A$7:$E$206,3,0),"")</f>
        <v/>
      </c>
      <c r="D153" s="233" t="str">
        <f t="shared" ca="1" si="48"/>
        <v/>
      </c>
      <c r="E153" s="234"/>
      <c r="F153" s="118">
        <f t="shared" si="49"/>
        <v>0</v>
      </c>
      <c r="G153" s="235" t="str">
        <f t="shared" ca="1" si="50"/>
        <v/>
      </c>
      <c r="H153" s="236" t="str">
        <f ca="1">IF(ISNUMBER(A153),IF(OR($S153=$U153,NOT(ISNA(MATCH($D153*5+$V$4,Override!$C$6:$C$125,0)))),$Q153,0),"")</f>
        <v/>
      </c>
      <c r="I153" s="121" t="str">
        <f t="shared" ca="1" si="51"/>
        <v/>
      </c>
      <c r="J153" s="237">
        <f ca="1">COUNT(A152:A156)</f>
        <v>0</v>
      </c>
      <c r="K153" s="238" t="str">
        <f ca="1">IF(ISNUMBER(A153),RANK(F153,F152:F156),"")</f>
        <v/>
      </c>
      <c r="L153" s="239">
        <f ca="1">IF(J153=5,VLOOKUP(K153,TPMatrix!$A$6:$B$10,2,0),IF(J153=4,VLOOKUP(K153,TPMatrix!$D$6:$E$9,2,0),0))</f>
        <v>0</v>
      </c>
      <c r="M153" s="239">
        <f ca="1">IF(COUNTIF(K152:K156,K153)&gt;=2,IF(J153=5,VLOOKUP(K153+1,TPMatrix!$A$6:$B$10,2,0),IF(J153=4,VLOOKUP(K153+1,TPMatrix!$D$6:$E$9,2,0),0)),"")</f>
        <v>0</v>
      </c>
      <c r="N153" s="239">
        <f ca="1">IF(COUNTIF(K152:K156,K153)&gt;=3,IF(J153=5,VLOOKUP(K153+2,TPMatrix!$A$6:$B$10,2,0),IF(J153=4,VLOOKUP(K153+2,TPMatrix!$D$6:$E$9,2,0),0)),"")</f>
        <v>0</v>
      </c>
      <c r="O153" s="239">
        <f ca="1">IF(COUNTIF(K152:K156,K153)&gt;=4,IF(J153=5,VLOOKUP(K153+3,TPMatrix!$A$6:$B$10,2,0),IF(J153=4,VLOOKUP(K153+3,TPMatrix!$D$6:$E$9,2,0),0)),"")</f>
        <v>0</v>
      </c>
      <c r="P153" s="239">
        <f ca="1">IF(COUNTIF(K152:K156,K153)&gt;=5,IF(J153=5,VLOOKUP(K153+4,TPMatrix!$A$6:$B$10,2,0),IF(J153=4,VLOOKUP(K153+4,TPMatrix!$D$6:$E$9,2,0),0)),"")</f>
        <v>0</v>
      </c>
      <c r="Q153" s="239">
        <f t="shared" ca="1" si="52"/>
        <v>0</v>
      </c>
      <c r="R153" s="240">
        <f t="shared" ca="1" si="53"/>
        <v>5</v>
      </c>
      <c r="S153" s="238">
        <f t="shared" ca="1" si="54"/>
        <v>0</v>
      </c>
      <c r="T153" s="239">
        <f t="shared" si="55"/>
        <v>0</v>
      </c>
      <c r="U153" s="240">
        <f t="shared" ca="1" si="56"/>
        <v>0</v>
      </c>
      <c r="W153" s="36" t="str">
        <f t="shared" ca="1" si="57"/>
        <v/>
      </c>
      <c r="X153" s="36" t="str">
        <f ca="1">IF(ISNUMBER($A153),$W153*(Methuselahs!$A$4+1)+$A153,"")</f>
        <v/>
      </c>
      <c r="Y153" s="36" t="str">
        <f t="shared" ca="1" si="58"/>
        <v/>
      </c>
      <c r="Z153" s="36" t="str">
        <f ca="1">IF(ISNUMBER($A153),VLOOKUP($A153,Methuselahs!$A$7:$X$206,5),"")</f>
        <v/>
      </c>
      <c r="AA153" s="36" t="str">
        <f t="shared" ca="1" si="59"/>
        <v/>
      </c>
    </row>
    <row r="154" spans="1:27" ht="12.95" customHeight="1" x14ac:dyDescent="0.2">
      <c r="A154" s="137" t="str">
        <f ca="1">IF(OR(ISBLANK('Tournament Info'!$B$11),'Tournament Info'!$B$11&lt;&gt;4),"",INDIRECT(ADDRESS(ROW(),3,1,1,"Optimal Seating "&amp;'Tournament Info'!$B$11-1&amp;"R+F")))</f>
        <v/>
      </c>
      <c r="B154" s="143" t="str">
        <f ca="1">IF(ISNUMBER(A154),VLOOKUP(A154,Methuselahs!$A$7:$E$206,2,0),"")</f>
        <v/>
      </c>
      <c r="C154" s="241" t="str">
        <f ca="1">IF(ISNUMBER(A154),VLOOKUP(A154,Methuselahs!$A$7:$E$206,3,0),"")</f>
        <v/>
      </c>
      <c r="D154" s="242" t="str">
        <f t="shared" ca="1" si="48"/>
        <v/>
      </c>
      <c r="E154" s="243"/>
      <c r="F154" s="144">
        <f t="shared" si="49"/>
        <v>0</v>
      </c>
      <c r="G154" s="244" t="str">
        <f t="shared" ca="1" si="50"/>
        <v/>
      </c>
      <c r="H154" s="245" t="str">
        <f ca="1">IF(ISNUMBER(A154),IF(OR($S154=$U154,NOT(ISNA(MATCH($D154*5+$V$4,Override!$C$6:$C$125,0)))),$Q154,0),"")</f>
        <v/>
      </c>
      <c r="I154" s="147" t="str">
        <f t="shared" ca="1" si="51"/>
        <v/>
      </c>
      <c r="J154" s="246">
        <f ca="1">COUNT(A152:A156)</f>
        <v>0</v>
      </c>
      <c r="K154" s="247" t="str">
        <f ca="1">IF(ISNUMBER(A154),RANK(F154,F152:F156),"")</f>
        <v/>
      </c>
      <c r="L154" s="142">
        <f ca="1">IF(J154=5,VLOOKUP(K154,TPMatrix!$A$6:$B$10,2,0),IF(J154=4,VLOOKUP(K154,TPMatrix!$D$6:$E$9,2,0),0))</f>
        <v>0</v>
      </c>
      <c r="M154" s="142">
        <f ca="1">IF(COUNTIF(K152:K156,K154)&gt;=2,IF(J154=5,VLOOKUP(K154+1,TPMatrix!$A$6:$B$10,2,0),IF(J154=4,VLOOKUP(K154+1,TPMatrix!$D$6:$E$9,2,0),0)),"")</f>
        <v>0</v>
      </c>
      <c r="N154" s="142">
        <f ca="1">IF(COUNTIF(K152:K156,K154)&gt;=3,IF(J154=5,VLOOKUP(K154+2,TPMatrix!$A$6:$B$10,2,0),IF(J154=4,VLOOKUP(K154+2,TPMatrix!$D$6:$E$9,2,0),0)),"")</f>
        <v>0</v>
      </c>
      <c r="O154" s="142">
        <f ca="1">IF(COUNTIF(K152:K156,K154)&gt;=4,IF(J154=5,VLOOKUP(K154+3,TPMatrix!$A$6:$B$10,2,0),IF(J154=4,VLOOKUP(K154+3,TPMatrix!$D$6:$E$9,2,0),0)),"")</f>
        <v>0</v>
      </c>
      <c r="P154" s="142">
        <f ca="1">IF(COUNTIF(K152:K156,K154)&gt;=5,IF(J154=5,VLOOKUP(K154+4,TPMatrix!$A$6:$B$10,2,0),IF(J154=4,VLOOKUP(K154+4,TPMatrix!$D$6:$E$9,2,0),0)),"")</f>
        <v>0</v>
      </c>
      <c r="Q154" s="142">
        <f t="shared" ca="1" si="52"/>
        <v>0</v>
      </c>
      <c r="R154" s="248">
        <f t="shared" ca="1" si="53"/>
        <v>5</v>
      </c>
      <c r="S154" s="247">
        <f t="shared" ca="1" si="54"/>
        <v>0</v>
      </c>
      <c r="T154" s="142">
        <f t="shared" si="55"/>
        <v>0</v>
      </c>
      <c r="U154" s="248">
        <f t="shared" ca="1" si="56"/>
        <v>0</v>
      </c>
      <c r="W154" s="36" t="str">
        <f t="shared" ca="1" si="57"/>
        <v/>
      </c>
      <c r="X154" s="36" t="str">
        <f ca="1">IF(ISNUMBER($A154),$W154*(Methuselahs!$A$4+1)+$A154,"")</f>
        <v/>
      </c>
      <c r="Y154" s="36" t="str">
        <f t="shared" ca="1" si="58"/>
        <v/>
      </c>
      <c r="Z154" s="36" t="str">
        <f ca="1">IF(ISNUMBER($A154),VLOOKUP($A154,Methuselahs!$A$7:$X$206,5),"")</f>
        <v/>
      </c>
      <c r="AA154" s="36" t="str">
        <f t="shared" ca="1" si="59"/>
        <v/>
      </c>
    </row>
    <row r="155" spans="1:27" ht="12.95" customHeight="1" x14ac:dyDescent="0.2">
      <c r="A155" s="249" t="str">
        <f ca="1">IF(OR(ISBLANK('Tournament Info'!$B$11),'Tournament Info'!$B$11&lt;&gt;4),"",INDIRECT(ADDRESS(ROW(),3,1,1,"Optimal Seating "&amp;'Tournament Info'!$B$11-1&amp;"R+F")))</f>
        <v/>
      </c>
      <c r="B155" s="250" t="str">
        <f ca="1">IF(ISNUMBER(A155),VLOOKUP(A155,Methuselahs!$A$7:$E$206,2,0),"")</f>
        <v/>
      </c>
      <c r="C155" s="251" t="str">
        <f ca="1">IF(ISNUMBER(A155),VLOOKUP(A155,Methuselahs!$A$7:$E$206,3,0),"")</f>
        <v/>
      </c>
      <c r="D155" s="252" t="str">
        <f t="shared" ca="1" si="48"/>
        <v/>
      </c>
      <c r="E155" s="253"/>
      <c r="F155" s="397">
        <f t="shared" si="49"/>
        <v>0</v>
      </c>
      <c r="G155" s="235" t="str">
        <f t="shared" ca="1" si="50"/>
        <v/>
      </c>
      <c r="H155" s="236" t="str">
        <f ca="1">IF(ISNUMBER(A155),IF(OR($S155=$U155,NOT(ISNA(MATCH($D155*5+$V$4,Override!$C$6:$C$125,0)))),$Q155,0),"")</f>
        <v/>
      </c>
      <c r="I155" s="121" t="str">
        <f t="shared" ca="1" si="51"/>
        <v/>
      </c>
      <c r="J155" s="254">
        <f ca="1">COUNT(A152:A156)</f>
        <v>0</v>
      </c>
      <c r="K155" s="238" t="str">
        <f ca="1">IF(ISNUMBER(A155),RANK(F155,F152:F156),"")</f>
        <v/>
      </c>
      <c r="L155" s="239">
        <f ca="1">IF(J155=5,VLOOKUP(K155,TPMatrix!$A$6:$B$10,2,0),IF(J155=4,VLOOKUP(K155,TPMatrix!$D$6:$E$9,2,0),0))</f>
        <v>0</v>
      </c>
      <c r="M155" s="239">
        <f ca="1">IF(COUNTIF(K152:K156,K155)&gt;=2,IF(J155=5,VLOOKUP(K155+1,TPMatrix!$A$6:$B$10,2,0),IF(J155=4,VLOOKUP(K155+1,TPMatrix!$D$6:$E$9,2,0),0)),"")</f>
        <v>0</v>
      </c>
      <c r="N155" s="239">
        <f ca="1">IF(COUNTIF(K152:K156,K155)&gt;=3,IF(J155=5,VLOOKUP(K155+2,TPMatrix!$A$6:$B$10,2,0),IF(J155=4,VLOOKUP(K155+2,TPMatrix!$D$6:$E$9,2,0),0)),"")</f>
        <v>0</v>
      </c>
      <c r="O155" s="239">
        <f ca="1">IF(COUNTIF(K152:K156,K155)&gt;=4,IF(J155=5,VLOOKUP(K155+3,TPMatrix!$A$6:$B$10,2,0),IF(J155=4,VLOOKUP(K155+3,TPMatrix!$D$6:$E$9,2,0),0)),"")</f>
        <v>0</v>
      </c>
      <c r="P155" s="239">
        <f ca="1">IF(COUNTIF(K152:K156,K155)&gt;=5,IF(J155=5,VLOOKUP(K155+4,TPMatrix!$A$6:$B$10,2,0),IF(J155=4,VLOOKUP(K155+4,TPMatrix!$D$6:$E$9,2,0),0)),"")</f>
        <v>0</v>
      </c>
      <c r="Q155" s="239">
        <f t="shared" ca="1" si="52"/>
        <v>0</v>
      </c>
      <c r="R155" s="240">
        <f t="shared" ca="1" si="53"/>
        <v>5</v>
      </c>
      <c r="S155" s="238">
        <f t="shared" ca="1" si="54"/>
        <v>0</v>
      </c>
      <c r="T155" s="239">
        <f t="shared" si="55"/>
        <v>0</v>
      </c>
      <c r="U155" s="240">
        <f t="shared" ca="1" si="56"/>
        <v>0</v>
      </c>
      <c r="W155" s="36" t="str">
        <f t="shared" ca="1" si="57"/>
        <v/>
      </c>
      <c r="X155" s="36" t="str">
        <f ca="1">IF(ISNUMBER($A155),$W155*(Methuselahs!$A$4+1)+$A155,"")</f>
        <v/>
      </c>
      <c r="Y155" s="36" t="str">
        <f t="shared" ca="1" si="58"/>
        <v/>
      </c>
      <c r="Z155" s="36" t="str">
        <f ca="1">IF(ISNUMBER($A155),VLOOKUP($A155,Methuselahs!$A$7:$X$206,5),"")</f>
        <v/>
      </c>
      <c r="AA155" s="36" t="str">
        <f t="shared" ca="1" si="59"/>
        <v/>
      </c>
    </row>
    <row r="156" spans="1:27" ht="12.95" customHeight="1" x14ac:dyDescent="0.2">
      <c r="A156" s="255" t="str">
        <f ca="1">IF(OR(ISBLANK('Tournament Info'!$B$11),'Tournament Info'!$B$11&lt;&gt;4),"",INDIRECT(ADDRESS(ROW(),3,1,1,"Optimal Seating "&amp;'Tournament Info'!$B$11-1&amp;"R+F")))</f>
        <v/>
      </c>
      <c r="B156" s="256" t="str">
        <f ca="1">IF(ISNUMBER(A156),VLOOKUP(A156,Methuselahs!$A$7:$E$206,2,0),"")</f>
        <v/>
      </c>
      <c r="C156" s="257" t="str">
        <f ca="1">IF(ISNUMBER(A156),VLOOKUP(A156,Methuselahs!$A$7:$E$206,3,0),"")</f>
        <v/>
      </c>
      <c r="D156" s="258" t="str">
        <f t="shared" ca="1" si="48"/>
        <v/>
      </c>
      <c r="E156" s="259"/>
      <c r="F156" s="398">
        <f t="shared" si="49"/>
        <v>0</v>
      </c>
      <c r="G156" s="244" t="str">
        <f t="shared" ca="1" si="50"/>
        <v/>
      </c>
      <c r="H156" s="245" t="str">
        <f ca="1">IF(ISNUMBER(A156),IF(OR($S156=$U156,NOT(ISNA(MATCH($D156*5+$V$4,Override!$C$6:$C$125,0)))),$Q156,0),"")</f>
        <v/>
      </c>
      <c r="I156" s="147" t="str">
        <f t="shared" ca="1" si="51"/>
        <v/>
      </c>
      <c r="J156" s="260">
        <f ca="1">COUNT(A152:A156)</f>
        <v>0</v>
      </c>
      <c r="K156" s="261" t="str">
        <f ca="1">IF(ISNUMBER(A156),RANK(F156,F152:F156),"")</f>
        <v/>
      </c>
      <c r="L156" s="262">
        <f ca="1">IF(J156=5,VLOOKUP(K156,TPMatrix!$A$6:$B$10,2,0),IF(J156=4,VLOOKUP(K156,TPMatrix!$D$6:$E$9,2,0),0))</f>
        <v>0</v>
      </c>
      <c r="M156" s="262">
        <f ca="1">IF(COUNTIF(K152:K156,K156)&gt;=2,IF(J156=5,VLOOKUP(K156+1,TPMatrix!$A$6:$B$10,2,0),IF(J156=4,VLOOKUP(K156+1,TPMatrix!$D$6:$E$9,2,0),0)),"")</f>
        <v>0</v>
      </c>
      <c r="N156" s="262">
        <f ca="1">IF(COUNTIF(K152:K156,K156)&gt;=3,IF(J156=5,VLOOKUP(K156+2,TPMatrix!$A$6:$B$10,2,0),IF(J156=4,VLOOKUP(K156+2,TPMatrix!$D$6:$E$9,2,0),0)),"")</f>
        <v>0</v>
      </c>
      <c r="O156" s="262">
        <f ca="1">IF(COUNTIF(K152:K156,K156)&gt;=4,IF(J156=5,VLOOKUP(K156+3,TPMatrix!$A$6:$B$10,2,0),IF(J156=4,VLOOKUP(K156+3,TPMatrix!$D$6:$E$9,2,0),0)),"")</f>
        <v>0</v>
      </c>
      <c r="P156" s="262">
        <f ca="1">IF(COUNTIF(K152:K156,K156)&gt;=5,IF(J156=5,VLOOKUP(K156+4,TPMatrix!$A$6:$B$10,2,0),IF(J156=4,VLOOKUP(K156+4,TPMatrix!$D$6:$E$9,2,0),0)),"")</f>
        <v>0</v>
      </c>
      <c r="Q156" s="262">
        <f t="shared" ca="1" si="52"/>
        <v>0</v>
      </c>
      <c r="R156" s="263">
        <f t="shared" ca="1" si="53"/>
        <v>5</v>
      </c>
      <c r="S156" s="261">
        <f t="shared" ca="1" si="54"/>
        <v>0</v>
      </c>
      <c r="T156" s="262">
        <f t="shared" si="55"/>
        <v>0</v>
      </c>
      <c r="U156" s="263">
        <f t="shared" ca="1" si="56"/>
        <v>0</v>
      </c>
      <c r="W156" s="36" t="str">
        <f t="shared" ca="1" si="57"/>
        <v/>
      </c>
      <c r="X156" s="36" t="str">
        <f ca="1">IF(ISNUMBER($A156),$W156*(Methuselahs!$A$4+1)+$A156,"")</f>
        <v/>
      </c>
      <c r="Y156" s="36" t="str">
        <f t="shared" ca="1" si="58"/>
        <v/>
      </c>
      <c r="Z156" s="36" t="str">
        <f ca="1">IF(ISNUMBER($A156),VLOOKUP($A156,Methuselahs!$A$7:$X$206,5),"")</f>
        <v/>
      </c>
      <c r="AA156" s="36" t="str">
        <f t="shared" ca="1" si="59"/>
        <v/>
      </c>
    </row>
    <row r="157" spans="1:27" ht="12.95" customHeight="1" x14ac:dyDescent="0.2">
      <c r="A157" s="219" t="str">
        <f ca="1">IF(OR(ISBLANK('Tournament Info'!$B$11),'Tournament Info'!$B$11&lt;&gt;4),"",INDIRECT(ADDRESS(ROW(),3,1,1,"Optimal Seating "&amp;'Tournament Info'!$B$11-1&amp;"R+F")))</f>
        <v/>
      </c>
      <c r="B157" s="143" t="str">
        <f ca="1">IF(ISNUMBER(A157),VLOOKUP(A157,Methuselahs!$A$7:$E$206,2,0),"")</f>
        <v/>
      </c>
      <c r="C157" s="220" t="str">
        <f ca="1">IF(ISNUMBER(A157),VLOOKUP(A157,Methuselahs!$A$7:$E$206,3,0),"")</f>
        <v/>
      </c>
      <c r="D157" s="221" t="str">
        <f t="shared" ca="1" si="48"/>
        <v/>
      </c>
      <c r="E157" s="222"/>
      <c r="F157" s="393">
        <f t="shared" si="49"/>
        <v>0</v>
      </c>
      <c r="G157" s="223" t="str">
        <f t="shared" ca="1" si="50"/>
        <v/>
      </c>
      <c r="H157" s="224" t="str">
        <f ca="1">IF(ISNUMBER(A157),IF(OR($S157=$U157,NOT(ISNA(MATCH($D157*5+$V$4,Override!$C$6:$C$125,0)))),$Q157,0),"")</f>
        <v/>
      </c>
      <c r="I157" s="406" t="str">
        <f t="shared" ca="1" si="51"/>
        <v/>
      </c>
      <c r="J157" s="225">
        <f ca="1">COUNT(A157:A161)</f>
        <v>0</v>
      </c>
      <c r="K157" s="226" t="str">
        <f ca="1">IF(ISNUMBER(A157),RANK(F157,F157:F161),"")</f>
        <v/>
      </c>
      <c r="L157" s="227">
        <f ca="1">IF(J157=5,VLOOKUP(K157,TPMatrix!$A$6:$B$10,2,0),IF(J157=4,VLOOKUP(K157,TPMatrix!$D$6:$E$9,2,0),0))</f>
        <v>0</v>
      </c>
      <c r="M157" s="227">
        <f ca="1">IF(COUNTIF(K157:K161,K157)&gt;=2,IF(J157=5,VLOOKUP(K157+1,TPMatrix!$A$6:$B$10,2,0),IF(J157=4,VLOOKUP(K157+1,TPMatrix!$D$6:$E$9,2,0),0)),"")</f>
        <v>0</v>
      </c>
      <c r="N157" s="227">
        <f ca="1">IF(COUNTIF(K157:K161,K157)&gt;=3,IF(J157=5,VLOOKUP(K157+2,TPMatrix!$A$6:$B$10,2,0),IF(J157=4,VLOOKUP(K157+2,TPMatrix!$D$6:$E$9,2,0),0)),"")</f>
        <v>0</v>
      </c>
      <c r="O157" s="227">
        <f ca="1">IF(COUNTIF(K157:K161,K157)&gt;=4,IF(J157=5,VLOOKUP(K157+3,TPMatrix!$A$6:$B$10,2,0),IF(J157=4,VLOOKUP(K157+3,TPMatrix!$D$6:$E$9,2,0),0)),"")</f>
        <v>0</v>
      </c>
      <c r="P157" s="227">
        <f ca="1">IF(COUNTIF(K157:K161,K157)&gt;=5,IF(J157=5,VLOOKUP(K157+4,TPMatrix!$A$6:$B$10,2,0),IF(J157=4,VLOOKUP(K157+4,TPMatrix!$D$6:$E$9,2,0),0)),"")</f>
        <v>0</v>
      </c>
      <c r="Q157" s="227">
        <f t="shared" ca="1" si="52"/>
        <v>0</v>
      </c>
      <c r="R157" s="228">
        <f t="shared" ca="1" si="53"/>
        <v>5</v>
      </c>
      <c r="S157" s="229">
        <f t="shared" ca="1" si="54"/>
        <v>0</v>
      </c>
      <c r="T157" s="230">
        <f t="shared" si="55"/>
        <v>0</v>
      </c>
      <c r="U157" s="231">
        <f t="shared" ca="1" si="56"/>
        <v>0</v>
      </c>
      <c r="W157" s="36" t="str">
        <f t="shared" ca="1" si="57"/>
        <v/>
      </c>
      <c r="X157" s="36" t="str">
        <f ca="1">IF(ISNUMBER($A157),$W157*(Methuselahs!$A$4+1)+$A157,"")</f>
        <v/>
      </c>
      <c r="Y157" s="36" t="str">
        <f t="shared" ca="1" si="58"/>
        <v/>
      </c>
      <c r="Z157" s="36" t="str">
        <f ca="1">IF(ISNUMBER($A157),VLOOKUP($A157,Methuselahs!$A$7:$X$206,5),"")</f>
        <v/>
      </c>
      <c r="AA157" s="36" t="str">
        <f t="shared" ca="1" si="59"/>
        <v/>
      </c>
    </row>
    <row r="158" spans="1:27" ht="12.95" customHeight="1" x14ac:dyDescent="0.2">
      <c r="A158" s="111" t="str">
        <f ca="1">IF(OR(ISBLANK('Tournament Info'!$B$11),'Tournament Info'!$B$11&lt;&gt;4),"",INDIRECT(ADDRESS(ROW(),3,1,1,"Optimal Seating "&amp;'Tournament Info'!$B$11-1&amp;"R+F")))</f>
        <v/>
      </c>
      <c r="B158" s="117" t="str">
        <f ca="1">IF(ISNUMBER(A158),VLOOKUP(A158,Methuselahs!$A$7:$E$206,2,0),"")</f>
        <v/>
      </c>
      <c r="C158" s="232" t="str">
        <f ca="1">IF(ISNUMBER(A158),VLOOKUP(A158,Methuselahs!$A$7:$E$206,3,0),"")</f>
        <v/>
      </c>
      <c r="D158" s="233" t="str">
        <f t="shared" ca="1" si="48"/>
        <v/>
      </c>
      <c r="E158" s="234"/>
      <c r="F158" s="118">
        <f t="shared" si="49"/>
        <v>0</v>
      </c>
      <c r="G158" s="235" t="str">
        <f t="shared" ca="1" si="50"/>
        <v/>
      </c>
      <c r="H158" s="236" t="str">
        <f ca="1">IF(ISNUMBER(A158),IF(OR($S158=$U158,NOT(ISNA(MATCH($D158*5+$V$4,Override!$C$6:$C$125,0)))),$Q158,0),"")</f>
        <v/>
      </c>
      <c r="I158" s="121" t="str">
        <f t="shared" ca="1" si="51"/>
        <v/>
      </c>
      <c r="J158" s="237">
        <f ca="1">COUNT(A157:A161)</f>
        <v>0</v>
      </c>
      <c r="K158" s="238" t="str">
        <f ca="1">IF(ISNUMBER(A158),RANK(F158,F157:F161),"")</f>
        <v/>
      </c>
      <c r="L158" s="239">
        <f ca="1">IF(J158=5,VLOOKUP(K158,TPMatrix!$A$6:$B$10,2,0),IF(J158=4,VLOOKUP(K158,TPMatrix!$D$6:$E$9,2,0),0))</f>
        <v>0</v>
      </c>
      <c r="M158" s="239">
        <f ca="1">IF(COUNTIF(K157:K161,K158)&gt;=2,IF(J158=5,VLOOKUP(K158+1,TPMatrix!$A$6:$B$10,2,0),IF(J158=4,VLOOKUP(K158+1,TPMatrix!$D$6:$E$9,2,0),0)),"")</f>
        <v>0</v>
      </c>
      <c r="N158" s="239">
        <f ca="1">IF(COUNTIF(K157:K161,K158)&gt;=3,IF(J158=5,VLOOKUP(K158+2,TPMatrix!$A$6:$B$10,2,0),IF(J158=4,VLOOKUP(K158+2,TPMatrix!$D$6:$E$9,2,0),0)),"")</f>
        <v>0</v>
      </c>
      <c r="O158" s="239">
        <f ca="1">IF(COUNTIF(K157:K161,K158)&gt;=4,IF(J158=5,VLOOKUP(K158+3,TPMatrix!$A$6:$B$10,2,0),IF(J158=4,VLOOKUP(K158+3,TPMatrix!$D$6:$E$9,2,0),0)),"")</f>
        <v>0</v>
      </c>
      <c r="P158" s="239">
        <f ca="1">IF(COUNTIF(K157:K161,K158)&gt;=5,IF(J158=5,VLOOKUP(K158+4,TPMatrix!$A$6:$B$10,2,0),IF(J158=4,VLOOKUP(K158+4,TPMatrix!$D$6:$E$9,2,0),0)),"")</f>
        <v>0</v>
      </c>
      <c r="Q158" s="239">
        <f t="shared" ca="1" si="52"/>
        <v>0</v>
      </c>
      <c r="R158" s="240">
        <f t="shared" ca="1" si="53"/>
        <v>5</v>
      </c>
      <c r="S158" s="238">
        <f t="shared" ca="1" si="54"/>
        <v>0</v>
      </c>
      <c r="T158" s="239">
        <f t="shared" si="55"/>
        <v>0</v>
      </c>
      <c r="U158" s="240">
        <f t="shared" ca="1" si="56"/>
        <v>0</v>
      </c>
      <c r="W158" s="36" t="str">
        <f t="shared" ca="1" si="57"/>
        <v/>
      </c>
      <c r="X158" s="36" t="str">
        <f ca="1">IF(ISNUMBER($A158),$W158*(Methuselahs!$A$4+1)+$A158,"")</f>
        <v/>
      </c>
      <c r="Y158" s="36" t="str">
        <f t="shared" ca="1" si="58"/>
        <v/>
      </c>
      <c r="Z158" s="36" t="str">
        <f ca="1">IF(ISNUMBER($A158),VLOOKUP($A158,Methuselahs!$A$7:$X$206,5),"")</f>
        <v/>
      </c>
      <c r="AA158" s="36" t="str">
        <f t="shared" ca="1" si="59"/>
        <v/>
      </c>
    </row>
    <row r="159" spans="1:27" ht="12.95" customHeight="1" x14ac:dyDescent="0.2">
      <c r="A159" s="137" t="str">
        <f ca="1">IF(OR(ISBLANK('Tournament Info'!$B$11),'Tournament Info'!$B$11&lt;&gt;4),"",INDIRECT(ADDRESS(ROW(),3,1,1,"Optimal Seating "&amp;'Tournament Info'!$B$11-1&amp;"R+F")))</f>
        <v/>
      </c>
      <c r="B159" s="143" t="str">
        <f ca="1">IF(ISNUMBER(A159),VLOOKUP(A159,Methuselahs!$A$7:$E$206,2,0),"")</f>
        <v/>
      </c>
      <c r="C159" s="241" t="str">
        <f ca="1">IF(ISNUMBER(A159),VLOOKUP(A159,Methuselahs!$A$7:$E$206,3,0),"")</f>
        <v/>
      </c>
      <c r="D159" s="242" t="str">
        <f t="shared" ca="1" si="48"/>
        <v/>
      </c>
      <c r="E159" s="243"/>
      <c r="F159" s="144">
        <f t="shared" si="49"/>
        <v>0</v>
      </c>
      <c r="G159" s="244" t="str">
        <f t="shared" ca="1" si="50"/>
        <v/>
      </c>
      <c r="H159" s="245" t="str">
        <f ca="1">IF(ISNUMBER(A159),IF(OR($S159=$U159,NOT(ISNA(MATCH($D159*5+$V$4,Override!$C$6:$C$125,0)))),$Q159,0),"")</f>
        <v/>
      </c>
      <c r="I159" s="147" t="str">
        <f t="shared" ca="1" si="51"/>
        <v/>
      </c>
      <c r="J159" s="246">
        <f ca="1">COUNT(A157:A161)</f>
        <v>0</v>
      </c>
      <c r="K159" s="247" t="str">
        <f ca="1">IF(ISNUMBER(A159),RANK(F159,F157:F161),"")</f>
        <v/>
      </c>
      <c r="L159" s="142">
        <f ca="1">IF(J159=5,VLOOKUP(K159,TPMatrix!$A$6:$B$10,2,0),IF(J159=4,VLOOKUP(K159,TPMatrix!$D$6:$E$9,2,0),0))</f>
        <v>0</v>
      </c>
      <c r="M159" s="142">
        <f ca="1">IF(COUNTIF(K157:K161,K159)&gt;=2,IF(J159=5,VLOOKUP(K159+1,TPMatrix!$A$6:$B$10,2,0),IF(J159=4,VLOOKUP(K159+1,TPMatrix!$D$6:$E$9,2,0),0)),"")</f>
        <v>0</v>
      </c>
      <c r="N159" s="142">
        <f ca="1">IF(COUNTIF(K157:K161,K159)&gt;=3,IF(J159=5,VLOOKUP(K159+2,TPMatrix!$A$6:$B$10,2,0),IF(J159=4,VLOOKUP(K159+2,TPMatrix!$D$6:$E$9,2,0),0)),"")</f>
        <v>0</v>
      </c>
      <c r="O159" s="142">
        <f ca="1">IF(COUNTIF(K157:K161,K159)&gt;=4,IF(J159=5,VLOOKUP(K159+3,TPMatrix!$A$6:$B$10,2,0),IF(J159=4,VLOOKUP(K159+3,TPMatrix!$D$6:$E$9,2,0),0)),"")</f>
        <v>0</v>
      </c>
      <c r="P159" s="142">
        <f ca="1">IF(COUNTIF(K157:K161,K159)&gt;=5,IF(J159=5,VLOOKUP(K159+4,TPMatrix!$A$6:$B$10,2,0),IF(J159=4,VLOOKUP(K159+4,TPMatrix!$D$6:$E$9,2,0),0)),"")</f>
        <v>0</v>
      </c>
      <c r="Q159" s="142">
        <f t="shared" ca="1" si="52"/>
        <v>0</v>
      </c>
      <c r="R159" s="248">
        <f t="shared" ca="1" si="53"/>
        <v>5</v>
      </c>
      <c r="S159" s="247">
        <f t="shared" ca="1" si="54"/>
        <v>0</v>
      </c>
      <c r="T159" s="142">
        <f t="shared" si="55"/>
        <v>0</v>
      </c>
      <c r="U159" s="248">
        <f t="shared" ca="1" si="56"/>
        <v>0</v>
      </c>
      <c r="W159" s="36" t="str">
        <f t="shared" ca="1" si="57"/>
        <v/>
      </c>
      <c r="X159" s="36" t="str">
        <f ca="1">IF(ISNUMBER($A159),$W159*(Methuselahs!$A$4+1)+$A159,"")</f>
        <v/>
      </c>
      <c r="Y159" s="36" t="str">
        <f t="shared" ca="1" si="58"/>
        <v/>
      </c>
      <c r="Z159" s="36" t="str">
        <f ca="1">IF(ISNUMBER($A159),VLOOKUP($A159,Methuselahs!$A$7:$X$206,5),"")</f>
        <v/>
      </c>
      <c r="AA159" s="36" t="str">
        <f t="shared" ca="1" si="59"/>
        <v/>
      </c>
    </row>
    <row r="160" spans="1:27" ht="12.95" customHeight="1" x14ac:dyDescent="0.2">
      <c r="A160" s="249" t="str">
        <f ca="1">IF(OR(ISBLANK('Tournament Info'!$B$11),'Tournament Info'!$B$11&lt;&gt;4),"",INDIRECT(ADDRESS(ROW(),3,1,1,"Optimal Seating "&amp;'Tournament Info'!$B$11-1&amp;"R+F")))</f>
        <v/>
      </c>
      <c r="B160" s="250" t="str">
        <f ca="1">IF(ISNUMBER(A160),VLOOKUP(A160,Methuselahs!$A$7:$E$206,2,0),"")</f>
        <v/>
      </c>
      <c r="C160" s="251" t="str">
        <f ca="1">IF(ISNUMBER(A160),VLOOKUP(A160,Methuselahs!$A$7:$E$206,3,0),"")</f>
        <v/>
      </c>
      <c r="D160" s="252" t="str">
        <f t="shared" ca="1" si="48"/>
        <v/>
      </c>
      <c r="E160" s="253"/>
      <c r="F160" s="397">
        <f t="shared" si="49"/>
        <v>0</v>
      </c>
      <c r="G160" s="235" t="str">
        <f t="shared" ca="1" si="50"/>
        <v/>
      </c>
      <c r="H160" s="236" t="str">
        <f ca="1">IF(ISNUMBER(A160),IF(OR($S160=$U160,NOT(ISNA(MATCH($D160*5+$V$4,Override!$C$6:$C$125,0)))),$Q160,0),"")</f>
        <v/>
      </c>
      <c r="I160" s="121" t="str">
        <f t="shared" ca="1" si="51"/>
        <v/>
      </c>
      <c r="J160" s="254">
        <f ca="1">COUNT(A157:A161)</f>
        <v>0</v>
      </c>
      <c r="K160" s="238" t="str">
        <f ca="1">IF(ISNUMBER(A160),RANK(F160,F157:F161),"")</f>
        <v/>
      </c>
      <c r="L160" s="239">
        <f ca="1">IF(J160=5,VLOOKUP(K160,TPMatrix!$A$6:$B$10,2,0),IF(J160=4,VLOOKUP(K160,TPMatrix!$D$6:$E$9,2,0),0))</f>
        <v>0</v>
      </c>
      <c r="M160" s="239">
        <f ca="1">IF(COUNTIF(K157:K161,K160)&gt;=2,IF(J160=5,VLOOKUP(K160+1,TPMatrix!$A$6:$B$10,2,0),IF(J160=4,VLOOKUP(K160+1,TPMatrix!$D$6:$E$9,2,0),0)),"")</f>
        <v>0</v>
      </c>
      <c r="N160" s="239">
        <f ca="1">IF(COUNTIF(K157:K161,K160)&gt;=3,IF(J160=5,VLOOKUP(K160+2,TPMatrix!$A$6:$B$10,2,0),IF(J160=4,VLOOKUP(K160+2,TPMatrix!$D$6:$E$9,2,0),0)),"")</f>
        <v>0</v>
      </c>
      <c r="O160" s="239">
        <f ca="1">IF(COUNTIF(K157:K161,K160)&gt;=4,IF(J160=5,VLOOKUP(K160+3,TPMatrix!$A$6:$B$10,2,0),IF(J160=4,VLOOKUP(K160+3,TPMatrix!$D$6:$E$9,2,0),0)),"")</f>
        <v>0</v>
      </c>
      <c r="P160" s="239">
        <f ca="1">IF(COUNTIF(K157:K161,K160)&gt;=5,IF(J160=5,VLOOKUP(K160+4,TPMatrix!$A$6:$B$10,2,0),IF(J160=4,VLOOKUP(K160+4,TPMatrix!$D$6:$E$9,2,0),0)),"")</f>
        <v>0</v>
      </c>
      <c r="Q160" s="239">
        <f t="shared" ca="1" si="52"/>
        <v>0</v>
      </c>
      <c r="R160" s="240">
        <f t="shared" ca="1" si="53"/>
        <v>5</v>
      </c>
      <c r="S160" s="238">
        <f t="shared" ca="1" si="54"/>
        <v>0</v>
      </c>
      <c r="T160" s="239">
        <f t="shared" si="55"/>
        <v>0</v>
      </c>
      <c r="U160" s="240">
        <f t="shared" ca="1" si="56"/>
        <v>0</v>
      </c>
      <c r="W160" s="36" t="str">
        <f t="shared" ca="1" si="57"/>
        <v/>
      </c>
      <c r="X160" s="36" t="str">
        <f ca="1">IF(ISNUMBER($A160),$W160*(Methuselahs!$A$4+1)+$A160,"")</f>
        <v/>
      </c>
      <c r="Y160" s="36" t="str">
        <f t="shared" ca="1" si="58"/>
        <v/>
      </c>
      <c r="Z160" s="36" t="str">
        <f ca="1">IF(ISNUMBER($A160),VLOOKUP($A160,Methuselahs!$A$7:$X$206,5),"")</f>
        <v/>
      </c>
      <c r="AA160" s="36" t="str">
        <f t="shared" ca="1" si="59"/>
        <v/>
      </c>
    </row>
    <row r="161" spans="1:27" ht="12.95" customHeight="1" x14ac:dyDescent="0.2">
      <c r="A161" s="255" t="str">
        <f ca="1">IF(OR(ISBLANK('Tournament Info'!$B$11),'Tournament Info'!$B$11&lt;&gt;4),"",INDIRECT(ADDRESS(ROW(),3,1,1,"Optimal Seating "&amp;'Tournament Info'!$B$11-1&amp;"R+F")))</f>
        <v/>
      </c>
      <c r="B161" s="256" t="str">
        <f ca="1">IF(ISNUMBER(A161),VLOOKUP(A161,Methuselahs!$A$7:$E$206,2,0),"")</f>
        <v/>
      </c>
      <c r="C161" s="257" t="str">
        <f ca="1">IF(ISNUMBER(A161),VLOOKUP(A161,Methuselahs!$A$7:$E$206,3,0),"")</f>
        <v/>
      </c>
      <c r="D161" s="258" t="str">
        <f t="shared" ca="1" si="48"/>
        <v/>
      </c>
      <c r="E161" s="259"/>
      <c r="F161" s="398">
        <f t="shared" si="49"/>
        <v>0</v>
      </c>
      <c r="G161" s="244" t="str">
        <f t="shared" ca="1" si="50"/>
        <v/>
      </c>
      <c r="H161" s="245" t="str">
        <f ca="1">IF(ISNUMBER(A161),IF(OR($S161=$U161,NOT(ISNA(MATCH($D161*5+$V$4,Override!$C$6:$C$125,0)))),$Q161,0),"")</f>
        <v/>
      </c>
      <c r="I161" s="147" t="str">
        <f t="shared" ca="1" si="51"/>
        <v/>
      </c>
      <c r="J161" s="260">
        <f ca="1">COUNT(A157:A161)</f>
        <v>0</v>
      </c>
      <c r="K161" s="261" t="str">
        <f ca="1">IF(ISNUMBER(A161),RANK(F161,F157:F161),"")</f>
        <v/>
      </c>
      <c r="L161" s="262">
        <f ca="1">IF(J161=5,VLOOKUP(K161,TPMatrix!$A$6:$B$10,2,0),IF(J161=4,VLOOKUP(K161,TPMatrix!$D$6:$E$9,2,0),0))</f>
        <v>0</v>
      </c>
      <c r="M161" s="262">
        <f ca="1">IF(COUNTIF(K157:K161,K161)&gt;=2,IF(J161=5,VLOOKUP(K161+1,TPMatrix!$A$6:$B$10,2,0),IF(J161=4,VLOOKUP(K161+1,TPMatrix!$D$6:$E$9,2,0),0)),"")</f>
        <v>0</v>
      </c>
      <c r="N161" s="262">
        <f ca="1">IF(COUNTIF(K157:K161,K161)&gt;=3,IF(J161=5,VLOOKUP(K161+2,TPMatrix!$A$6:$B$10,2,0),IF(J161=4,VLOOKUP(K161+2,TPMatrix!$D$6:$E$9,2,0),0)),"")</f>
        <v>0</v>
      </c>
      <c r="O161" s="262">
        <f ca="1">IF(COUNTIF(K157:K161,K161)&gt;=4,IF(J161=5,VLOOKUP(K161+3,TPMatrix!$A$6:$B$10,2,0),IF(J161=4,VLOOKUP(K161+3,TPMatrix!$D$6:$E$9,2,0),0)),"")</f>
        <v>0</v>
      </c>
      <c r="P161" s="262">
        <f ca="1">IF(COUNTIF(K157:K161,K161)&gt;=5,IF(J161=5,VLOOKUP(K161+4,TPMatrix!$A$6:$B$10,2,0),IF(J161=4,VLOOKUP(K161+4,TPMatrix!$D$6:$E$9,2,0),0)),"")</f>
        <v>0</v>
      </c>
      <c r="Q161" s="262">
        <f t="shared" ca="1" si="52"/>
        <v>0</v>
      </c>
      <c r="R161" s="263">
        <f t="shared" ca="1" si="53"/>
        <v>5</v>
      </c>
      <c r="S161" s="261">
        <f t="shared" ca="1" si="54"/>
        <v>0</v>
      </c>
      <c r="T161" s="262">
        <f t="shared" si="55"/>
        <v>0</v>
      </c>
      <c r="U161" s="263">
        <f t="shared" ca="1" si="56"/>
        <v>0</v>
      </c>
      <c r="W161" s="36" t="str">
        <f t="shared" ca="1" si="57"/>
        <v/>
      </c>
      <c r="X161" s="36" t="str">
        <f ca="1">IF(ISNUMBER($A161),$W161*(Methuselahs!$A$4+1)+$A161,"")</f>
        <v/>
      </c>
      <c r="Y161" s="36" t="str">
        <f t="shared" ca="1" si="58"/>
        <v/>
      </c>
      <c r="Z161" s="36" t="str">
        <f ca="1">IF(ISNUMBER($A161),VLOOKUP($A161,Methuselahs!$A$7:$X$206,5),"")</f>
        <v/>
      </c>
      <c r="AA161" s="36" t="str">
        <f t="shared" ca="1" si="59"/>
        <v/>
      </c>
    </row>
    <row r="162" spans="1:27" ht="12.95" customHeight="1" x14ac:dyDescent="0.2">
      <c r="A162" s="219" t="str">
        <f ca="1">IF(OR(ISBLANK('Tournament Info'!$B$11),'Tournament Info'!$B$11&lt;&gt;4),"",INDIRECT(ADDRESS(ROW(),3,1,1,"Optimal Seating "&amp;'Tournament Info'!$B$11-1&amp;"R+F")))</f>
        <v/>
      </c>
      <c r="B162" s="143" t="str">
        <f ca="1">IF(ISNUMBER(A162),VLOOKUP(A162,Methuselahs!$A$7:$E$206,2,0),"")</f>
        <v/>
      </c>
      <c r="C162" s="220" t="str">
        <f ca="1">IF(ISNUMBER(A162),VLOOKUP(A162,Methuselahs!$A$7:$E$206,3,0),"")</f>
        <v/>
      </c>
      <c r="D162" s="221" t="str">
        <f t="shared" ca="1" si="48"/>
        <v/>
      </c>
      <c r="E162" s="222"/>
      <c r="F162" s="393">
        <f t="shared" si="49"/>
        <v>0</v>
      </c>
      <c r="G162" s="223" t="str">
        <f t="shared" ca="1" si="50"/>
        <v/>
      </c>
      <c r="H162" s="224" t="str">
        <f ca="1">IF(ISNUMBER(A162),IF(OR($S162=$U162,NOT(ISNA(MATCH($D162*5+$V$4,Override!$C$6:$C$125,0)))),$Q162,0),"")</f>
        <v/>
      </c>
      <c r="I162" s="406" t="str">
        <f t="shared" ca="1" si="51"/>
        <v/>
      </c>
      <c r="J162" s="225">
        <f ca="1">COUNT(A162:A166)</f>
        <v>0</v>
      </c>
      <c r="K162" s="226" t="str">
        <f ca="1">IF(ISNUMBER(A162),RANK(F162,F162:F166),"")</f>
        <v/>
      </c>
      <c r="L162" s="227">
        <f ca="1">IF(J162=5,VLOOKUP(K162,TPMatrix!$A$6:$B$10,2,0),IF(J162=4,VLOOKUP(K162,TPMatrix!$D$6:$E$9,2,0),0))</f>
        <v>0</v>
      </c>
      <c r="M162" s="227">
        <f ca="1">IF(COUNTIF(K162:K166,K162)&gt;=2,IF(J162=5,VLOOKUP(K162+1,TPMatrix!$A$6:$B$10,2,0),IF(J162=4,VLOOKUP(K162+1,TPMatrix!$D$6:$E$9,2,0),0)),"")</f>
        <v>0</v>
      </c>
      <c r="N162" s="227">
        <f ca="1">IF(COUNTIF(K162:K166,K162)&gt;=3,IF(J162=5,VLOOKUP(K162+2,TPMatrix!$A$6:$B$10,2,0),IF(J162=4,VLOOKUP(K162+2,TPMatrix!$D$6:$E$9,2,0),0)),"")</f>
        <v>0</v>
      </c>
      <c r="O162" s="227">
        <f ca="1">IF(COUNTIF(K162:K166,K162)&gt;=4,IF(J162=5,VLOOKUP(K162+3,TPMatrix!$A$6:$B$10,2,0),IF(J162=4,VLOOKUP(K162+3,TPMatrix!$D$6:$E$9,2,0),0)),"")</f>
        <v>0</v>
      </c>
      <c r="P162" s="227">
        <f ca="1">IF(COUNTIF(K162:K166,K162)&gt;=5,IF(J162=5,VLOOKUP(K162+4,TPMatrix!$A$6:$B$10,2,0),IF(J162=4,VLOOKUP(K162+4,TPMatrix!$D$6:$E$9,2,0),0)),"")</f>
        <v>0</v>
      </c>
      <c r="Q162" s="227">
        <f t="shared" ca="1" si="52"/>
        <v>0</v>
      </c>
      <c r="R162" s="228">
        <f t="shared" ca="1" si="53"/>
        <v>5</v>
      </c>
      <c r="S162" s="229">
        <f t="shared" ca="1" si="54"/>
        <v>0</v>
      </c>
      <c r="T162" s="230">
        <f t="shared" si="55"/>
        <v>0</v>
      </c>
      <c r="U162" s="231">
        <f t="shared" ca="1" si="56"/>
        <v>0</v>
      </c>
      <c r="W162" s="36" t="str">
        <f t="shared" ca="1" si="57"/>
        <v/>
      </c>
      <c r="X162" s="36" t="str">
        <f ca="1">IF(ISNUMBER($A162),$W162*(Methuselahs!$A$4+1)+$A162,"")</f>
        <v/>
      </c>
      <c r="Y162" s="36" t="str">
        <f t="shared" ca="1" si="58"/>
        <v/>
      </c>
      <c r="Z162" s="36" t="str">
        <f ca="1">IF(ISNUMBER($A162),VLOOKUP($A162,Methuselahs!$A$7:$X$206,5),"")</f>
        <v/>
      </c>
      <c r="AA162" s="36" t="str">
        <f t="shared" ca="1" si="59"/>
        <v/>
      </c>
    </row>
    <row r="163" spans="1:27" ht="12.95" customHeight="1" x14ac:dyDescent="0.2">
      <c r="A163" s="111" t="str">
        <f ca="1">IF(OR(ISBLANK('Tournament Info'!$B$11),'Tournament Info'!$B$11&lt;&gt;4),"",INDIRECT(ADDRESS(ROW(),3,1,1,"Optimal Seating "&amp;'Tournament Info'!$B$11-1&amp;"R+F")))</f>
        <v/>
      </c>
      <c r="B163" s="117" t="str">
        <f ca="1">IF(ISNUMBER(A163),VLOOKUP(A163,Methuselahs!$A$7:$E$206,2,0),"")</f>
        <v/>
      </c>
      <c r="C163" s="232" t="str">
        <f ca="1">IF(ISNUMBER(A163),VLOOKUP(A163,Methuselahs!$A$7:$E$206,3,0),"")</f>
        <v/>
      </c>
      <c r="D163" s="233" t="str">
        <f t="shared" ca="1" si="48"/>
        <v/>
      </c>
      <c r="E163" s="234"/>
      <c r="F163" s="118">
        <f t="shared" si="49"/>
        <v>0</v>
      </c>
      <c r="G163" s="235" t="str">
        <f t="shared" ca="1" si="50"/>
        <v/>
      </c>
      <c r="H163" s="236" t="str">
        <f ca="1">IF(ISNUMBER(A163),IF(OR($S163=$U163,NOT(ISNA(MATCH($D163*5+$V$4,Override!$C$6:$C$125,0)))),$Q163,0),"")</f>
        <v/>
      </c>
      <c r="I163" s="121" t="str">
        <f t="shared" ca="1" si="51"/>
        <v/>
      </c>
      <c r="J163" s="237">
        <f ca="1">COUNT(A162:A166)</f>
        <v>0</v>
      </c>
      <c r="K163" s="238" t="str">
        <f ca="1">IF(ISNUMBER(A163),RANK(F163,F162:F166),"")</f>
        <v/>
      </c>
      <c r="L163" s="239">
        <f ca="1">IF(J163=5,VLOOKUP(K163,TPMatrix!$A$6:$B$10,2,0),IF(J163=4,VLOOKUP(K163,TPMatrix!$D$6:$E$9,2,0),0))</f>
        <v>0</v>
      </c>
      <c r="M163" s="239">
        <f ca="1">IF(COUNTIF(K162:K166,K163)&gt;=2,IF(J163=5,VLOOKUP(K163+1,TPMatrix!$A$6:$B$10,2,0),IF(J163=4,VLOOKUP(K163+1,TPMatrix!$D$6:$E$9,2,0),0)),"")</f>
        <v>0</v>
      </c>
      <c r="N163" s="239">
        <f ca="1">IF(COUNTIF(K162:K166,K163)&gt;=3,IF(J163=5,VLOOKUP(K163+2,TPMatrix!$A$6:$B$10,2,0),IF(J163=4,VLOOKUP(K163+2,TPMatrix!$D$6:$E$9,2,0),0)),"")</f>
        <v>0</v>
      </c>
      <c r="O163" s="239">
        <f ca="1">IF(COUNTIF(K162:K166,K163)&gt;=4,IF(J163=5,VLOOKUP(K163+3,TPMatrix!$A$6:$B$10,2,0),IF(J163=4,VLOOKUP(K163+3,TPMatrix!$D$6:$E$9,2,0),0)),"")</f>
        <v>0</v>
      </c>
      <c r="P163" s="239">
        <f ca="1">IF(COUNTIF(K162:K166,K163)&gt;=5,IF(J163=5,VLOOKUP(K163+4,TPMatrix!$A$6:$B$10,2,0),IF(J163=4,VLOOKUP(K163+4,TPMatrix!$D$6:$E$9,2,0),0)),"")</f>
        <v>0</v>
      </c>
      <c r="Q163" s="239">
        <f t="shared" ca="1" si="52"/>
        <v>0</v>
      </c>
      <c r="R163" s="240">
        <f t="shared" ca="1" si="53"/>
        <v>5</v>
      </c>
      <c r="S163" s="238">
        <f t="shared" ca="1" si="54"/>
        <v>0</v>
      </c>
      <c r="T163" s="239">
        <f t="shared" si="55"/>
        <v>0</v>
      </c>
      <c r="U163" s="240">
        <f t="shared" ca="1" si="56"/>
        <v>0</v>
      </c>
      <c r="W163" s="36" t="str">
        <f t="shared" ca="1" si="57"/>
        <v/>
      </c>
      <c r="X163" s="36" t="str">
        <f ca="1">IF(ISNUMBER($A163),$W163*(Methuselahs!$A$4+1)+$A163,"")</f>
        <v/>
      </c>
      <c r="Y163" s="36" t="str">
        <f t="shared" ca="1" si="58"/>
        <v/>
      </c>
      <c r="Z163" s="36" t="str">
        <f ca="1">IF(ISNUMBER($A163),VLOOKUP($A163,Methuselahs!$A$7:$X$206,5),"")</f>
        <v/>
      </c>
      <c r="AA163" s="36" t="str">
        <f t="shared" ca="1" si="59"/>
        <v/>
      </c>
    </row>
    <row r="164" spans="1:27" ht="12.95" customHeight="1" x14ac:dyDescent="0.2">
      <c r="A164" s="137" t="str">
        <f ca="1">IF(OR(ISBLANK('Tournament Info'!$B$11),'Tournament Info'!$B$11&lt;&gt;4),"",INDIRECT(ADDRESS(ROW(),3,1,1,"Optimal Seating "&amp;'Tournament Info'!$B$11-1&amp;"R+F")))</f>
        <v/>
      </c>
      <c r="B164" s="143" t="str">
        <f ca="1">IF(ISNUMBER(A164),VLOOKUP(A164,Methuselahs!$A$7:$E$206,2,0),"")</f>
        <v/>
      </c>
      <c r="C164" s="241" t="str">
        <f ca="1">IF(ISNUMBER(A164),VLOOKUP(A164,Methuselahs!$A$7:$E$206,3,0),"")</f>
        <v/>
      </c>
      <c r="D164" s="242" t="str">
        <f t="shared" ca="1" si="48"/>
        <v/>
      </c>
      <c r="E164" s="243"/>
      <c r="F164" s="144">
        <f t="shared" si="49"/>
        <v>0</v>
      </c>
      <c r="G164" s="244" t="str">
        <f t="shared" ca="1" si="50"/>
        <v/>
      </c>
      <c r="H164" s="245" t="str">
        <f ca="1">IF(ISNUMBER(A164),IF(OR($S164=$U164,NOT(ISNA(MATCH($D164*5+$V$4,Override!$C$6:$C$125,0)))),$Q164,0),"")</f>
        <v/>
      </c>
      <c r="I164" s="147" t="str">
        <f t="shared" ca="1" si="51"/>
        <v/>
      </c>
      <c r="J164" s="246">
        <f ca="1">COUNT(A162:A166)</f>
        <v>0</v>
      </c>
      <c r="K164" s="247" t="str">
        <f ca="1">IF(ISNUMBER(A164),RANK(F164,F162:F166),"")</f>
        <v/>
      </c>
      <c r="L164" s="142">
        <f ca="1">IF(J164=5,VLOOKUP(K164,TPMatrix!$A$6:$B$10,2,0),IF(J164=4,VLOOKUP(K164,TPMatrix!$D$6:$E$9,2,0),0))</f>
        <v>0</v>
      </c>
      <c r="M164" s="142">
        <f ca="1">IF(COUNTIF(K162:K166,K164)&gt;=2,IF(J164=5,VLOOKUP(K164+1,TPMatrix!$A$6:$B$10,2,0),IF(J164=4,VLOOKUP(K164+1,TPMatrix!$D$6:$E$9,2,0),0)),"")</f>
        <v>0</v>
      </c>
      <c r="N164" s="142">
        <f ca="1">IF(COUNTIF(K162:K166,K164)&gt;=3,IF(J164=5,VLOOKUP(K164+2,TPMatrix!$A$6:$B$10,2,0),IF(J164=4,VLOOKUP(K164+2,TPMatrix!$D$6:$E$9,2,0),0)),"")</f>
        <v>0</v>
      </c>
      <c r="O164" s="142">
        <f ca="1">IF(COUNTIF(K162:K166,K164)&gt;=4,IF(J164=5,VLOOKUP(K164+3,TPMatrix!$A$6:$B$10,2,0),IF(J164=4,VLOOKUP(K164+3,TPMatrix!$D$6:$E$9,2,0),0)),"")</f>
        <v>0</v>
      </c>
      <c r="P164" s="142">
        <f ca="1">IF(COUNTIF(K162:K166,K164)&gt;=5,IF(J164=5,VLOOKUP(K164+4,TPMatrix!$A$6:$B$10,2,0),IF(J164=4,VLOOKUP(K164+4,TPMatrix!$D$6:$E$9,2,0),0)),"")</f>
        <v>0</v>
      </c>
      <c r="Q164" s="142">
        <f t="shared" ca="1" si="52"/>
        <v>0</v>
      </c>
      <c r="R164" s="248">
        <f t="shared" ca="1" si="53"/>
        <v>5</v>
      </c>
      <c r="S164" s="247">
        <f t="shared" ca="1" si="54"/>
        <v>0</v>
      </c>
      <c r="T164" s="142">
        <f t="shared" si="55"/>
        <v>0</v>
      </c>
      <c r="U164" s="248">
        <f t="shared" ca="1" si="56"/>
        <v>0</v>
      </c>
      <c r="W164" s="36" t="str">
        <f t="shared" ca="1" si="57"/>
        <v/>
      </c>
      <c r="X164" s="36" t="str">
        <f ca="1">IF(ISNUMBER($A164),$W164*(Methuselahs!$A$4+1)+$A164,"")</f>
        <v/>
      </c>
      <c r="Y164" s="36" t="str">
        <f t="shared" ca="1" si="58"/>
        <v/>
      </c>
      <c r="Z164" s="36" t="str">
        <f ca="1">IF(ISNUMBER($A164),VLOOKUP($A164,Methuselahs!$A$7:$X$206,5),"")</f>
        <v/>
      </c>
      <c r="AA164" s="36" t="str">
        <f t="shared" ca="1" si="59"/>
        <v/>
      </c>
    </row>
    <row r="165" spans="1:27" ht="12.95" customHeight="1" x14ac:dyDescent="0.2">
      <c r="A165" s="249" t="str">
        <f ca="1">IF(OR(ISBLANK('Tournament Info'!$B$11),'Tournament Info'!$B$11&lt;&gt;4),"",INDIRECT(ADDRESS(ROW(),3,1,1,"Optimal Seating "&amp;'Tournament Info'!$B$11-1&amp;"R+F")))</f>
        <v/>
      </c>
      <c r="B165" s="250" t="str">
        <f ca="1">IF(ISNUMBER(A165),VLOOKUP(A165,Methuselahs!$A$7:$E$206,2,0),"")</f>
        <v/>
      </c>
      <c r="C165" s="251" t="str">
        <f ca="1">IF(ISNUMBER(A165),VLOOKUP(A165,Methuselahs!$A$7:$E$206,3,0),"")</f>
        <v/>
      </c>
      <c r="D165" s="252" t="str">
        <f t="shared" ca="1" si="48"/>
        <v/>
      </c>
      <c r="E165" s="253"/>
      <c r="F165" s="397">
        <f t="shared" si="49"/>
        <v>0</v>
      </c>
      <c r="G165" s="235" t="str">
        <f t="shared" ca="1" si="50"/>
        <v/>
      </c>
      <c r="H165" s="236" t="str">
        <f ca="1">IF(ISNUMBER(A165),IF(OR($S165=$U165,NOT(ISNA(MATCH($D165*5+$V$4,Override!$C$6:$C$125,0)))),$Q165,0),"")</f>
        <v/>
      </c>
      <c r="I165" s="121" t="str">
        <f t="shared" ca="1" si="51"/>
        <v/>
      </c>
      <c r="J165" s="254">
        <f ca="1">COUNT(A162:A166)</f>
        <v>0</v>
      </c>
      <c r="K165" s="238" t="str">
        <f ca="1">IF(ISNUMBER(A165),RANK(F165,F162:F166),"")</f>
        <v/>
      </c>
      <c r="L165" s="239">
        <f ca="1">IF(J165=5,VLOOKUP(K165,TPMatrix!$A$6:$B$10,2,0),IF(J165=4,VLOOKUP(K165,TPMatrix!$D$6:$E$9,2,0),0))</f>
        <v>0</v>
      </c>
      <c r="M165" s="239">
        <f ca="1">IF(COUNTIF(K162:K166,K165)&gt;=2,IF(J165=5,VLOOKUP(K165+1,TPMatrix!$A$6:$B$10,2,0),IF(J165=4,VLOOKUP(K165+1,TPMatrix!$D$6:$E$9,2,0),0)),"")</f>
        <v>0</v>
      </c>
      <c r="N165" s="239">
        <f ca="1">IF(COUNTIF(K162:K166,K165)&gt;=3,IF(J165=5,VLOOKUP(K165+2,TPMatrix!$A$6:$B$10,2,0),IF(J165=4,VLOOKUP(K165+2,TPMatrix!$D$6:$E$9,2,0),0)),"")</f>
        <v>0</v>
      </c>
      <c r="O165" s="239">
        <f ca="1">IF(COUNTIF(K162:K166,K165)&gt;=4,IF(J165=5,VLOOKUP(K165+3,TPMatrix!$A$6:$B$10,2,0),IF(J165=4,VLOOKUP(K165+3,TPMatrix!$D$6:$E$9,2,0),0)),"")</f>
        <v>0</v>
      </c>
      <c r="P165" s="239">
        <f ca="1">IF(COUNTIF(K162:K166,K165)&gt;=5,IF(J165=5,VLOOKUP(K165+4,TPMatrix!$A$6:$B$10,2,0),IF(J165=4,VLOOKUP(K165+4,TPMatrix!$D$6:$E$9,2,0),0)),"")</f>
        <v>0</v>
      </c>
      <c r="Q165" s="239">
        <f t="shared" ca="1" si="52"/>
        <v>0</v>
      </c>
      <c r="R165" s="240">
        <f t="shared" ca="1" si="53"/>
        <v>5</v>
      </c>
      <c r="S165" s="238">
        <f t="shared" ca="1" si="54"/>
        <v>0</v>
      </c>
      <c r="T165" s="239">
        <f t="shared" si="55"/>
        <v>0</v>
      </c>
      <c r="U165" s="240">
        <f t="shared" ca="1" si="56"/>
        <v>0</v>
      </c>
      <c r="W165" s="36" t="str">
        <f t="shared" ca="1" si="57"/>
        <v/>
      </c>
      <c r="X165" s="36" t="str">
        <f ca="1">IF(ISNUMBER($A165),$W165*(Methuselahs!$A$4+1)+$A165,"")</f>
        <v/>
      </c>
      <c r="Y165" s="36" t="str">
        <f t="shared" ca="1" si="58"/>
        <v/>
      </c>
      <c r="Z165" s="36" t="str">
        <f ca="1">IF(ISNUMBER($A165),VLOOKUP($A165,Methuselahs!$A$7:$X$206,5),"")</f>
        <v/>
      </c>
      <c r="AA165" s="36" t="str">
        <f t="shared" ca="1" si="59"/>
        <v/>
      </c>
    </row>
    <row r="166" spans="1:27" ht="12.95" customHeight="1" x14ac:dyDescent="0.2">
      <c r="A166" s="255" t="str">
        <f ca="1">IF(OR(ISBLANK('Tournament Info'!$B$11),'Tournament Info'!$B$11&lt;&gt;4),"",INDIRECT(ADDRESS(ROW(),3,1,1,"Optimal Seating "&amp;'Tournament Info'!$B$11-1&amp;"R+F")))</f>
        <v/>
      </c>
      <c r="B166" s="256" t="str">
        <f ca="1">IF(ISNUMBER(A166),VLOOKUP(A166,Methuselahs!$A$7:$E$206,2,0),"")</f>
        <v/>
      </c>
      <c r="C166" s="257" t="str">
        <f ca="1">IF(ISNUMBER(A166),VLOOKUP(A166,Methuselahs!$A$7:$E$206,3,0),"")</f>
        <v/>
      </c>
      <c r="D166" s="258" t="str">
        <f t="shared" ca="1" si="48"/>
        <v/>
      </c>
      <c r="E166" s="259"/>
      <c r="F166" s="398">
        <f t="shared" si="49"/>
        <v>0</v>
      </c>
      <c r="G166" s="244" t="str">
        <f t="shared" ca="1" si="50"/>
        <v/>
      </c>
      <c r="H166" s="245" t="str">
        <f ca="1">IF(ISNUMBER(A166),IF(OR($S166=$U166,NOT(ISNA(MATCH($D166*5+$V$4,Override!$C$6:$C$125,0)))),$Q166,0),"")</f>
        <v/>
      </c>
      <c r="I166" s="147" t="str">
        <f t="shared" ca="1" si="51"/>
        <v/>
      </c>
      <c r="J166" s="260">
        <f ca="1">COUNT(A162:A166)</f>
        <v>0</v>
      </c>
      <c r="K166" s="261" t="str">
        <f ca="1">IF(ISNUMBER(A166),RANK(F166,F162:F166),"")</f>
        <v/>
      </c>
      <c r="L166" s="262">
        <f ca="1">IF(J166=5,VLOOKUP(K166,TPMatrix!$A$6:$B$10,2,0),IF(J166=4,VLOOKUP(K166,TPMatrix!$D$6:$E$9,2,0),0))</f>
        <v>0</v>
      </c>
      <c r="M166" s="262">
        <f ca="1">IF(COUNTIF(K162:K166,K166)&gt;=2,IF(J166=5,VLOOKUP(K166+1,TPMatrix!$A$6:$B$10,2,0),IF(J166=4,VLOOKUP(K166+1,TPMatrix!$D$6:$E$9,2,0),0)),"")</f>
        <v>0</v>
      </c>
      <c r="N166" s="262">
        <f ca="1">IF(COUNTIF(K162:K166,K166)&gt;=3,IF(J166=5,VLOOKUP(K166+2,TPMatrix!$A$6:$B$10,2,0),IF(J166=4,VLOOKUP(K166+2,TPMatrix!$D$6:$E$9,2,0),0)),"")</f>
        <v>0</v>
      </c>
      <c r="O166" s="262">
        <f ca="1">IF(COUNTIF(K162:K166,K166)&gt;=4,IF(J166=5,VLOOKUP(K166+3,TPMatrix!$A$6:$B$10,2,0),IF(J166=4,VLOOKUP(K166+3,TPMatrix!$D$6:$E$9,2,0),0)),"")</f>
        <v>0</v>
      </c>
      <c r="P166" s="262">
        <f ca="1">IF(COUNTIF(K162:K166,K166)&gt;=5,IF(J166=5,VLOOKUP(K166+4,TPMatrix!$A$6:$B$10,2,0),IF(J166=4,VLOOKUP(K166+4,TPMatrix!$D$6:$E$9,2,0),0)),"")</f>
        <v>0</v>
      </c>
      <c r="Q166" s="262">
        <f t="shared" ca="1" si="52"/>
        <v>0</v>
      </c>
      <c r="R166" s="263">
        <f t="shared" ca="1" si="53"/>
        <v>5</v>
      </c>
      <c r="S166" s="261">
        <f t="shared" ca="1" si="54"/>
        <v>0</v>
      </c>
      <c r="T166" s="262">
        <f t="shared" si="55"/>
        <v>0</v>
      </c>
      <c r="U166" s="263">
        <f t="shared" ca="1" si="56"/>
        <v>0</v>
      </c>
      <c r="W166" s="36" t="str">
        <f t="shared" ca="1" si="57"/>
        <v/>
      </c>
      <c r="X166" s="36" t="str">
        <f ca="1">IF(ISNUMBER($A166),$W166*(Methuselahs!$A$4+1)+$A166,"")</f>
        <v/>
      </c>
      <c r="Y166" s="36" t="str">
        <f t="shared" ca="1" si="58"/>
        <v/>
      </c>
      <c r="Z166" s="36" t="str">
        <f ca="1">IF(ISNUMBER($A166),VLOOKUP($A166,Methuselahs!$A$7:$X$206,5),"")</f>
        <v/>
      </c>
      <c r="AA166" s="36" t="str">
        <f t="shared" ca="1" si="59"/>
        <v/>
      </c>
    </row>
    <row r="167" spans="1:27" ht="12.95" customHeight="1" x14ac:dyDescent="0.2">
      <c r="A167" s="219" t="str">
        <f ca="1">IF(OR(ISBLANK('Tournament Info'!$B$11),'Tournament Info'!$B$11&lt;&gt;4),"",INDIRECT(ADDRESS(ROW(),3,1,1,"Optimal Seating "&amp;'Tournament Info'!$B$11-1&amp;"R+F")))</f>
        <v/>
      </c>
      <c r="B167" s="143" t="str">
        <f ca="1">IF(ISNUMBER(A167),VLOOKUP(A167,Methuselahs!$A$7:$E$206,2,0),"")</f>
        <v/>
      </c>
      <c r="C167" s="220" t="str">
        <f ca="1">IF(ISNUMBER(A167),VLOOKUP(A167,Methuselahs!$A$7:$E$206,3,0),"")</f>
        <v/>
      </c>
      <c r="D167" s="221" t="str">
        <f t="shared" ref="D167:D198" ca="1" si="60">IF(ISNUMBER(A167),FLOOR((ROW()-ROW($A$7))/5,1)+1,"")</f>
        <v/>
      </c>
      <c r="E167" s="222"/>
      <c r="F167" s="393">
        <f t="shared" ref="F167:F198" si="61">IF(ISNUMBER(E167),E167,0)</f>
        <v>0</v>
      </c>
      <c r="G167" s="223" t="str">
        <f t="shared" ref="G167:G198" ca="1" si="62">IF(ISNUMBER($A167),IF(AND($F167&gt;=2,$H167=60),1,0),"")</f>
        <v/>
      </c>
      <c r="H167" s="224" t="str">
        <f ca="1">IF(ISNUMBER(A167),IF(OR($S167=$U167,NOT(ISNA(MATCH($D167*5+$V$4,Override!$C$6:$C$125,0)))),$Q167,0),"")</f>
        <v/>
      </c>
      <c r="I167" s="406" t="str">
        <f t="shared" ref="I167:I198" ca="1" si="63">IF(ISNUMBER(A167),IF(J167=5,K167,IF(AND(J167=4,OR(K167=4,K167=3)),K167+1,K167)),"")</f>
        <v/>
      </c>
      <c r="J167" s="225">
        <f ca="1">COUNT(A167:A171)</f>
        <v>0</v>
      </c>
      <c r="K167" s="226" t="str">
        <f ca="1">IF(ISNUMBER(A167),RANK(F167,F167:F171),"")</f>
        <v/>
      </c>
      <c r="L167" s="227">
        <f ca="1">IF(J167=5,VLOOKUP(K167,TPMatrix!$A$6:$B$10,2,0),IF(J167=4,VLOOKUP(K167,TPMatrix!$D$6:$E$9,2,0),0))</f>
        <v>0</v>
      </c>
      <c r="M167" s="227">
        <f ca="1">IF(COUNTIF(K167:K171,K167)&gt;=2,IF(J167=5,VLOOKUP(K167+1,TPMatrix!$A$6:$B$10,2,0),IF(J167=4,VLOOKUP(K167+1,TPMatrix!$D$6:$E$9,2,0),0)),"")</f>
        <v>0</v>
      </c>
      <c r="N167" s="227">
        <f ca="1">IF(COUNTIF(K167:K171,K167)&gt;=3,IF(J167=5,VLOOKUP(K167+2,TPMatrix!$A$6:$B$10,2,0),IF(J167=4,VLOOKUP(K167+2,TPMatrix!$D$6:$E$9,2,0),0)),"")</f>
        <v>0</v>
      </c>
      <c r="O167" s="227">
        <f ca="1">IF(COUNTIF(K167:K171,K167)&gt;=4,IF(J167=5,VLOOKUP(K167+3,TPMatrix!$A$6:$B$10,2,0),IF(J167=4,VLOOKUP(K167+3,TPMatrix!$D$6:$E$9,2,0),0)),"")</f>
        <v>0</v>
      </c>
      <c r="P167" s="227">
        <f ca="1">IF(COUNTIF(K167:K171,K167)&gt;=5,IF(J167=5,VLOOKUP(K167+4,TPMatrix!$A$6:$B$10,2,0),IF(J167=4,VLOOKUP(K167+4,TPMatrix!$D$6:$E$9,2,0),0)),"")</f>
        <v>0</v>
      </c>
      <c r="Q167" s="227">
        <f t="shared" ref="Q167:Q198" ca="1" si="64">SUM(L167:P167)/COUNT(L167:P167)</f>
        <v>0</v>
      </c>
      <c r="R167" s="228">
        <f t="shared" ref="R167:R198" ca="1" si="65">COUNT(L167:P167)</f>
        <v>5</v>
      </c>
      <c r="S167" s="229">
        <f t="shared" ref="S167:S198" ca="1" si="66">IF(ISNUMBER($A167),COUNTIF($D$7:$D$206,$D167),0)</f>
        <v>0</v>
      </c>
      <c r="T167" s="230">
        <f t="shared" ref="T167:T198" si="67">CEILING($F167,1)</f>
        <v>0</v>
      </c>
      <c r="U167" s="231">
        <f t="shared" ref="U167:U198" ca="1" si="68">SUM(OFFSET(T167,-MOD(ROW()-ROW($U$7),5),0,5,1))</f>
        <v>0</v>
      </c>
      <c r="W167" s="36" t="str">
        <f t="shared" ref="W167:W198" ca="1" si="69">$I167</f>
        <v/>
      </c>
      <c r="X167" s="36" t="str">
        <f ca="1">IF(ISNUMBER($A167),$W167*(Methuselahs!$A$4+1)+$A167,"")</f>
        <v/>
      </c>
      <c r="Y167" s="36" t="str">
        <f t="shared" ref="Y167:Y198" ca="1" si="70">IF(ISNUMBER($A167),RANK($X167,$X167:$X171,1),"")</f>
        <v/>
      </c>
      <c r="Z167" s="36" t="str">
        <f ca="1">IF(ISNUMBER($A167),VLOOKUP($A167,Methuselahs!$A$7:$X$206,5),"")</f>
        <v/>
      </c>
      <c r="AA167" s="36" t="str">
        <f t="shared" ref="AA167:AA198" ca="1" si="71">$I167</f>
        <v/>
      </c>
    </row>
    <row r="168" spans="1:27" ht="12.95" customHeight="1" x14ac:dyDescent="0.2">
      <c r="A168" s="111" t="str">
        <f ca="1">IF(OR(ISBLANK('Tournament Info'!$B$11),'Tournament Info'!$B$11&lt;&gt;4),"",INDIRECT(ADDRESS(ROW(),3,1,1,"Optimal Seating "&amp;'Tournament Info'!$B$11-1&amp;"R+F")))</f>
        <v/>
      </c>
      <c r="B168" s="117" t="str">
        <f ca="1">IF(ISNUMBER(A168),VLOOKUP(A168,Methuselahs!$A$7:$E$206,2,0),"")</f>
        <v/>
      </c>
      <c r="C168" s="232" t="str">
        <f ca="1">IF(ISNUMBER(A168),VLOOKUP(A168,Methuselahs!$A$7:$E$206,3,0),"")</f>
        <v/>
      </c>
      <c r="D168" s="233" t="str">
        <f t="shared" ca="1" si="60"/>
        <v/>
      </c>
      <c r="E168" s="234"/>
      <c r="F168" s="118">
        <f t="shared" si="61"/>
        <v>0</v>
      </c>
      <c r="G168" s="235" t="str">
        <f t="shared" ca="1" si="62"/>
        <v/>
      </c>
      <c r="H168" s="236" t="str">
        <f ca="1">IF(ISNUMBER(A168),IF(OR($S168=$U168,NOT(ISNA(MATCH($D168*5+$V$4,Override!$C$6:$C$125,0)))),$Q168,0),"")</f>
        <v/>
      </c>
      <c r="I168" s="121" t="str">
        <f t="shared" ca="1" si="63"/>
        <v/>
      </c>
      <c r="J168" s="237">
        <f ca="1">COUNT(A167:A171)</f>
        <v>0</v>
      </c>
      <c r="K168" s="238" t="str">
        <f ca="1">IF(ISNUMBER(A168),RANK(F168,F167:F171),"")</f>
        <v/>
      </c>
      <c r="L168" s="239">
        <f ca="1">IF(J168=5,VLOOKUP(K168,TPMatrix!$A$6:$B$10,2,0),IF(J168=4,VLOOKUP(K168,TPMatrix!$D$6:$E$9,2,0),0))</f>
        <v>0</v>
      </c>
      <c r="M168" s="239">
        <f ca="1">IF(COUNTIF(K167:K171,K168)&gt;=2,IF(J168=5,VLOOKUP(K168+1,TPMatrix!$A$6:$B$10,2,0),IF(J168=4,VLOOKUP(K168+1,TPMatrix!$D$6:$E$9,2,0),0)),"")</f>
        <v>0</v>
      </c>
      <c r="N168" s="239">
        <f ca="1">IF(COUNTIF(K167:K171,K168)&gt;=3,IF(J168=5,VLOOKUP(K168+2,TPMatrix!$A$6:$B$10,2,0),IF(J168=4,VLOOKUP(K168+2,TPMatrix!$D$6:$E$9,2,0),0)),"")</f>
        <v>0</v>
      </c>
      <c r="O168" s="239">
        <f ca="1">IF(COUNTIF(K167:K171,K168)&gt;=4,IF(J168=5,VLOOKUP(K168+3,TPMatrix!$A$6:$B$10,2,0),IF(J168=4,VLOOKUP(K168+3,TPMatrix!$D$6:$E$9,2,0),0)),"")</f>
        <v>0</v>
      </c>
      <c r="P168" s="239">
        <f ca="1">IF(COUNTIF(K167:K171,K168)&gt;=5,IF(J168=5,VLOOKUP(K168+4,TPMatrix!$A$6:$B$10,2,0),IF(J168=4,VLOOKUP(K168+4,TPMatrix!$D$6:$E$9,2,0),0)),"")</f>
        <v>0</v>
      </c>
      <c r="Q168" s="239">
        <f t="shared" ca="1" si="64"/>
        <v>0</v>
      </c>
      <c r="R168" s="240">
        <f t="shared" ca="1" si="65"/>
        <v>5</v>
      </c>
      <c r="S168" s="238">
        <f t="shared" ca="1" si="66"/>
        <v>0</v>
      </c>
      <c r="T168" s="239">
        <f t="shared" si="67"/>
        <v>0</v>
      </c>
      <c r="U168" s="240">
        <f t="shared" ca="1" si="68"/>
        <v>0</v>
      </c>
      <c r="W168" s="36" t="str">
        <f t="shared" ca="1" si="69"/>
        <v/>
      </c>
      <c r="X168" s="36" t="str">
        <f ca="1">IF(ISNUMBER($A168),$W168*(Methuselahs!$A$4+1)+$A168,"")</f>
        <v/>
      </c>
      <c r="Y168" s="36" t="str">
        <f t="shared" ca="1" si="70"/>
        <v/>
      </c>
      <c r="Z168" s="36" t="str">
        <f ca="1">IF(ISNUMBER($A168),VLOOKUP($A168,Methuselahs!$A$7:$X$206,5),"")</f>
        <v/>
      </c>
      <c r="AA168" s="36" t="str">
        <f t="shared" ca="1" si="71"/>
        <v/>
      </c>
    </row>
    <row r="169" spans="1:27" ht="12.95" customHeight="1" x14ac:dyDescent="0.2">
      <c r="A169" s="137" t="str">
        <f ca="1">IF(OR(ISBLANK('Tournament Info'!$B$11),'Tournament Info'!$B$11&lt;&gt;4),"",INDIRECT(ADDRESS(ROW(),3,1,1,"Optimal Seating "&amp;'Tournament Info'!$B$11-1&amp;"R+F")))</f>
        <v/>
      </c>
      <c r="B169" s="143" t="str">
        <f ca="1">IF(ISNUMBER(A169),VLOOKUP(A169,Methuselahs!$A$7:$E$206,2,0),"")</f>
        <v/>
      </c>
      <c r="C169" s="241" t="str">
        <f ca="1">IF(ISNUMBER(A169),VLOOKUP(A169,Methuselahs!$A$7:$E$206,3,0),"")</f>
        <v/>
      </c>
      <c r="D169" s="242" t="str">
        <f t="shared" ca="1" si="60"/>
        <v/>
      </c>
      <c r="E169" s="243"/>
      <c r="F169" s="144">
        <f t="shared" si="61"/>
        <v>0</v>
      </c>
      <c r="G169" s="244" t="str">
        <f t="shared" ca="1" si="62"/>
        <v/>
      </c>
      <c r="H169" s="245" t="str">
        <f ca="1">IF(ISNUMBER(A169),IF(OR($S169=$U169,NOT(ISNA(MATCH($D169*5+$V$4,Override!$C$6:$C$125,0)))),$Q169,0),"")</f>
        <v/>
      </c>
      <c r="I169" s="147" t="str">
        <f t="shared" ca="1" si="63"/>
        <v/>
      </c>
      <c r="J169" s="246">
        <f ca="1">COUNT(A167:A171)</f>
        <v>0</v>
      </c>
      <c r="K169" s="247" t="str">
        <f ca="1">IF(ISNUMBER(A169),RANK(F169,F167:F171),"")</f>
        <v/>
      </c>
      <c r="L169" s="142">
        <f ca="1">IF(J169=5,VLOOKUP(K169,TPMatrix!$A$6:$B$10,2,0),IF(J169=4,VLOOKUP(K169,TPMatrix!$D$6:$E$9,2,0),0))</f>
        <v>0</v>
      </c>
      <c r="M169" s="142">
        <f ca="1">IF(COUNTIF(K167:K171,K169)&gt;=2,IF(J169=5,VLOOKUP(K169+1,TPMatrix!$A$6:$B$10,2,0),IF(J169=4,VLOOKUP(K169+1,TPMatrix!$D$6:$E$9,2,0),0)),"")</f>
        <v>0</v>
      </c>
      <c r="N169" s="142">
        <f ca="1">IF(COUNTIF(K167:K171,K169)&gt;=3,IF(J169=5,VLOOKUP(K169+2,TPMatrix!$A$6:$B$10,2,0),IF(J169=4,VLOOKUP(K169+2,TPMatrix!$D$6:$E$9,2,0),0)),"")</f>
        <v>0</v>
      </c>
      <c r="O169" s="142">
        <f ca="1">IF(COUNTIF(K167:K171,K169)&gt;=4,IF(J169=5,VLOOKUP(K169+3,TPMatrix!$A$6:$B$10,2,0),IF(J169=4,VLOOKUP(K169+3,TPMatrix!$D$6:$E$9,2,0),0)),"")</f>
        <v>0</v>
      </c>
      <c r="P169" s="142">
        <f ca="1">IF(COUNTIF(K167:K171,K169)&gt;=5,IF(J169=5,VLOOKUP(K169+4,TPMatrix!$A$6:$B$10,2,0),IF(J169=4,VLOOKUP(K169+4,TPMatrix!$D$6:$E$9,2,0),0)),"")</f>
        <v>0</v>
      </c>
      <c r="Q169" s="142">
        <f t="shared" ca="1" si="64"/>
        <v>0</v>
      </c>
      <c r="R169" s="248">
        <f t="shared" ca="1" si="65"/>
        <v>5</v>
      </c>
      <c r="S169" s="247">
        <f t="shared" ca="1" si="66"/>
        <v>0</v>
      </c>
      <c r="T169" s="142">
        <f t="shared" si="67"/>
        <v>0</v>
      </c>
      <c r="U169" s="248">
        <f t="shared" ca="1" si="68"/>
        <v>0</v>
      </c>
      <c r="W169" s="36" t="str">
        <f t="shared" ca="1" si="69"/>
        <v/>
      </c>
      <c r="X169" s="36" t="str">
        <f ca="1">IF(ISNUMBER($A169),$W169*(Methuselahs!$A$4+1)+$A169,"")</f>
        <v/>
      </c>
      <c r="Y169" s="36" t="str">
        <f t="shared" ca="1" si="70"/>
        <v/>
      </c>
      <c r="Z169" s="36" t="str">
        <f ca="1">IF(ISNUMBER($A169),VLOOKUP($A169,Methuselahs!$A$7:$X$206,5),"")</f>
        <v/>
      </c>
      <c r="AA169" s="36" t="str">
        <f t="shared" ca="1" si="71"/>
        <v/>
      </c>
    </row>
    <row r="170" spans="1:27" ht="12.95" customHeight="1" x14ac:dyDescent="0.2">
      <c r="A170" s="249" t="str">
        <f ca="1">IF(OR(ISBLANK('Tournament Info'!$B$11),'Tournament Info'!$B$11&lt;&gt;4),"",INDIRECT(ADDRESS(ROW(),3,1,1,"Optimal Seating "&amp;'Tournament Info'!$B$11-1&amp;"R+F")))</f>
        <v/>
      </c>
      <c r="B170" s="250" t="str">
        <f ca="1">IF(ISNUMBER(A170),VLOOKUP(A170,Methuselahs!$A$7:$E$206,2,0),"")</f>
        <v/>
      </c>
      <c r="C170" s="251" t="str">
        <f ca="1">IF(ISNUMBER(A170),VLOOKUP(A170,Methuselahs!$A$7:$E$206,3,0),"")</f>
        <v/>
      </c>
      <c r="D170" s="252" t="str">
        <f t="shared" ca="1" si="60"/>
        <v/>
      </c>
      <c r="E170" s="253"/>
      <c r="F170" s="397">
        <f t="shared" si="61"/>
        <v>0</v>
      </c>
      <c r="G170" s="235" t="str">
        <f t="shared" ca="1" si="62"/>
        <v/>
      </c>
      <c r="H170" s="236" t="str">
        <f ca="1">IF(ISNUMBER(A170),IF(OR($S170=$U170,NOT(ISNA(MATCH($D170*5+$V$4,Override!$C$6:$C$125,0)))),$Q170,0),"")</f>
        <v/>
      </c>
      <c r="I170" s="121" t="str">
        <f t="shared" ca="1" si="63"/>
        <v/>
      </c>
      <c r="J170" s="254">
        <f ca="1">COUNT(A167:A171)</f>
        <v>0</v>
      </c>
      <c r="K170" s="238" t="str">
        <f ca="1">IF(ISNUMBER(A170),RANK(F170,F167:F171),"")</f>
        <v/>
      </c>
      <c r="L170" s="239">
        <f ca="1">IF(J170=5,VLOOKUP(K170,TPMatrix!$A$6:$B$10,2,0),IF(J170=4,VLOOKUP(K170,TPMatrix!$D$6:$E$9,2,0),0))</f>
        <v>0</v>
      </c>
      <c r="M170" s="239">
        <f ca="1">IF(COUNTIF(K167:K171,K170)&gt;=2,IF(J170=5,VLOOKUP(K170+1,TPMatrix!$A$6:$B$10,2,0),IF(J170=4,VLOOKUP(K170+1,TPMatrix!$D$6:$E$9,2,0),0)),"")</f>
        <v>0</v>
      </c>
      <c r="N170" s="239">
        <f ca="1">IF(COUNTIF(K167:K171,K170)&gt;=3,IF(J170=5,VLOOKUP(K170+2,TPMatrix!$A$6:$B$10,2,0),IF(J170=4,VLOOKUP(K170+2,TPMatrix!$D$6:$E$9,2,0),0)),"")</f>
        <v>0</v>
      </c>
      <c r="O170" s="239">
        <f ca="1">IF(COUNTIF(K167:K171,K170)&gt;=4,IF(J170=5,VLOOKUP(K170+3,TPMatrix!$A$6:$B$10,2,0),IF(J170=4,VLOOKUP(K170+3,TPMatrix!$D$6:$E$9,2,0),0)),"")</f>
        <v>0</v>
      </c>
      <c r="P170" s="239">
        <f ca="1">IF(COUNTIF(K167:K171,K170)&gt;=5,IF(J170=5,VLOOKUP(K170+4,TPMatrix!$A$6:$B$10,2,0),IF(J170=4,VLOOKUP(K170+4,TPMatrix!$D$6:$E$9,2,0),0)),"")</f>
        <v>0</v>
      </c>
      <c r="Q170" s="239">
        <f t="shared" ca="1" si="64"/>
        <v>0</v>
      </c>
      <c r="R170" s="240">
        <f t="shared" ca="1" si="65"/>
        <v>5</v>
      </c>
      <c r="S170" s="238">
        <f t="shared" ca="1" si="66"/>
        <v>0</v>
      </c>
      <c r="T170" s="239">
        <f t="shared" si="67"/>
        <v>0</v>
      </c>
      <c r="U170" s="240">
        <f t="shared" ca="1" si="68"/>
        <v>0</v>
      </c>
      <c r="W170" s="36" t="str">
        <f t="shared" ca="1" si="69"/>
        <v/>
      </c>
      <c r="X170" s="36" t="str">
        <f ca="1">IF(ISNUMBER($A170),$W170*(Methuselahs!$A$4+1)+$A170,"")</f>
        <v/>
      </c>
      <c r="Y170" s="36" t="str">
        <f t="shared" ca="1" si="70"/>
        <v/>
      </c>
      <c r="Z170" s="36" t="str">
        <f ca="1">IF(ISNUMBER($A170),VLOOKUP($A170,Methuselahs!$A$7:$X$206,5),"")</f>
        <v/>
      </c>
      <c r="AA170" s="36" t="str">
        <f t="shared" ca="1" si="71"/>
        <v/>
      </c>
    </row>
    <row r="171" spans="1:27" ht="12.95" customHeight="1" x14ac:dyDescent="0.2">
      <c r="A171" s="255" t="str">
        <f ca="1">IF(OR(ISBLANK('Tournament Info'!$B$11),'Tournament Info'!$B$11&lt;&gt;4),"",INDIRECT(ADDRESS(ROW(),3,1,1,"Optimal Seating "&amp;'Tournament Info'!$B$11-1&amp;"R+F")))</f>
        <v/>
      </c>
      <c r="B171" s="256" t="str">
        <f ca="1">IF(ISNUMBER(A171),VLOOKUP(A171,Methuselahs!$A$7:$E$206,2,0),"")</f>
        <v/>
      </c>
      <c r="C171" s="257" t="str">
        <f ca="1">IF(ISNUMBER(A171),VLOOKUP(A171,Methuselahs!$A$7:$E$206,3,0),"")</f>
        <v/>
      </c>
      <c r="D171" s="258" t="str">
        <f t="shared" ca="1" si="60"/>
        <v/>
      </c>
      <c r="E171" s="259"/>
      <c r="F171" s="398">
        <f t="shared" si="61"/>
        <v>0</v>
      </c>
      <c r="G171" s="244" t="str">
        <f t="shared" ca="1" si="62"/>
        <v/>
      </c>
      <c r="H171" s="245" t="str">
        <f ca="1">IF(ISNUMBER(A171),IF(OR($S171=$U171,NOT(ISNA(MATCH($D171*5+$V$4,Override!$C$6:$C$125,0)))),$Q171,0),"")</f>
        <v/>
      </c>
      <c r="I171" s="147" t="str">
        <f t="shared" ca="1" si="63"/>
        <v/>
      </c>
      <c r="J171" s="260">
        <f ca="1">COUNT(A167:A171)</f>
        <v>0</v>
      </c>
      <c r="K171" s="261" t="str">
        <f ca="1">IF(ISNUMBER(A171),RANK(F171,F167:F171),"")</f>
        <v/>
      </c>
      <c r="L171" s="262">
        <f ca="1">IF(J171=5,VLOOKUP(K171,TPMatrix!$A$6:$B$10,2,0),IF(J171=4,VLOOKUP(K171,TPMatrix!$D$6:$E$9,2,0),0))</f>
        <v>0</v>
      </c>
      <c r="M171" s="262">
        <f ca="1">IF(COUNTIF(K167:K171,K171)&gt;=2,IF(J171=5,VLOOKUP(K171+1,TPMatrix!$A$6:$B$10,2,0),IF(J171=4,VLOOKUP(K171+1,TPMatrix!$D$6:$E$9,2,0),0)),"")</f>
        <v>0</v>
      </c>
      <c r="N171" s="262">
        <f ca="1">IF(COUNTIF(K167:K171,K171)&gt;=3,IF(J171=5,VLOOKUP(K171+2,TPMatrix!$A$6:$B$10,2,0),IF(J171=4,VLOOKUP(K171+2,TPMatrix!$D$6:$E$9,2,0),0)),"")</f>
        <v>0</v>
      </c>
      <c r="O171" s="262">
        <f ca="1">IF(COUNTIF(K167:K171,K171)&gt;=4,IF(J171=5,VLOOKUP(K171+3,TPMatrix!$A$6:$B$10,2,0),IF(J171=4,VLOOKUP(K171+3,TPMatrix!$D$6:$E$9,2,0),0)),"")</f>
        <v>0</v>
      </c>
      <c r="P171" s="262">
        <f ca="1">IF(COUNTIF(K167:K171,K171)&gt;=5,IF(J171=5,VLOOKUP(K171+4,TPMatrix!$A$6:$B$10,2,0),IF(J171=4,VLOOKUP(K171+4,TPMatrix!$D$6:$E$9,2,0),0)),"")</f>
        <v>0</v>
      </c>
      <c r="Q171" s="262">
        <f t="shared" ca="1" si="64"/>
        <v>0</v>
      </c>
      <c r="R171" s="263">
        <f t="shared" ca="1" si="65"/>
        <v>5</v>
      </c>
      <c r="S171" s="261">
        <f t="shared" ca="1" si="66"/>
        <v>0</v>
      </c>
      <c r="T171" s="262">
        <f t="shared" si="67"/>
        <v>0</v>
      </c>
      <c r="U171" s="263">
        <f t="shared" ca="1" si="68"/>
        <v>0</v>
      </c>
      <c r="W171" s="36" t="str">
        <f t="shared" ca="1" si="69"/>
        <v/>
      </c>
      <c r="X171" s="36" t="str">
        <f ca="1">IF(ISNUMBER($A171),$W171*(Methuselahs!$A$4+1)+$A171,"")</f>
        <v/>
      </c>
      <c r="Y171" s="36" t="str">
        <f t="shared" ca="1" si="70"/>
        <v/>
      </c>
      <c r="Z171" s="36" t="str">
        <f ca="1">IF(ISNUMBER($A171),VLOOKUP($A171,Methuselahs!$A$7:$X$206,5),"")</f>
        <v/>
      </c>
      <c r="AA171" s="36" t="str">
        <f t="shared" ca="1" si="71"/>
        <v/>
      </c>
    </row>
    <row r="172" spans="1:27" ht="12.95" customHeight="1" x14ac:dyDescent="0.2">
      <c r="A172" s="219" t="str">
        <f ca="1">IF(OR(ISBLANK('Tournament Info'!$B$11),'Tournament Info'!$B$11&lt;&gt;4),"",INDIRECT(ADDRESS(ROW(),3,1,1,"Optimal Seating "&amp;'Tournament Info'!$B$11-1&amp;"R+F")))</f>
        <v/>
      </c>
      <c r="B172" s="143" t="str">
        <f ca="1">IF(ISNUMBER(A172),VLOOKUP(A172,Methuselahs!$A$7:$E$206,2,0),"")</f>
        <v/>
      </c>
      <c r="C172" s="220" t="str">
        <f ca="1">IF(ISNUMBER(A172),VLOOKUP(A172,Methuselahs!$A$7:$E$206,3,0),"")</f>
        <v/>
      </c>
      <c r="D172" s="221" t="str">
        <f t="shared" ca="1" si="60"/>
        <v/>
      </c>
      <c r="E172" s="222"/>
      <c r="F172" s="393">
        <f t="shared" si="61"/>
        <v>0</v>
      </c>
      <c r="G172" s="223" t="str">
        <f t="shared" ca="1" si="62"/>
        <v/>
      </c>
      <c r="H172" s="224" t="str">
        <f ca="1">IF(ISNUMBER(A172),IF(OR($S172=$U172,NOT(ISNA(MATCH($D172*5+$V$4,Override!$C$6:$C$125,0)))),$Q172,0),"")</f>
        <v/>
      </c>
      <c r="I172" s="406" t="str">
        <f t="shared" ca="1" si="63"/>
        <v/>
      </c>
      <c r="J172" s="225">
        <f ca="1">COUNT(A172:A176)</f>
        <v>0</v>
      </c>
      <c r="K172" s="226" t="str">
        <f ca="1">IF(ISNUMBER(A172),RANK(F172,F172:F176),"")</f>
        <v/>
      </c>
      <c r="L172" s="227">
        <f ca="1">IF(J172=5,VLOOKUP(K172,TPMatrix!$A$6:$B$10,2,0),IF(J172=4,VLOOKUP(K172,TPMatrix!$D$6:$E$9,2,0),0))</f>
        <v>0</v>
      </c>
      <c r="M172" s="227">
        <f ca="1">IF(COUNTIF(K172:K176,K172)&gt;=2,IF(J172=5,VLOOKUP(K172+1,TPMatrix!$A$6:$B$10,2,0),IF(J172=4,VLOOKUP(K172+1,TPMatrix!$D$6:$E$9,2,0),0)),"")</f>
        <v>0</v>
      </c>
      <c r="N172" s="227">
        <f ca="1">IF(COUNTIF(K172:K176,K172)&gt;=3,IF(J172=5,VLOOKUP(K172+2,TPMatrix!$A$6:$B$10,2,0),IF(J172=4,VLOOKUP(K172+2,TPMatrix!$D$6:$E$9,2,0),0)),"")</f>
        <v>0</v>
      </c>
      <c r="O172" s="227">
        <f ca="1">IF(COUNTIF(K172:K176,K172)&gt;=4,IF(J172=5,VLOOKUP(K172+3,TPMatrix!$A$6:$B$10,2,0),IF(J172=4,VLOOKUP(K172+3,TPMatrix!$D$6:$E$9,2,0),0)),"")</f>
        <v>0</v>
      </c>
      <c r="P172" s="227">
        <f ca="1">IF(COUNTIF(K172:K176,K172)&gt;=5,IF(J172=5,VLOOKUP(K172+4,TPMatrix!$A$6:$B$10,2,0),IF(J172=4,VLOOKUP(K172+4,TPMatrix!$D$6:$E$9,2,0),0)),"")</f>
        <v>0</v>
      </c>
      <c r="Q172" s="227">
        <f t="shared" ca="1" si="64"/>
        <v>0</v>
      </c>
      <c r="R172" s="228">
        <f t="shared" ca="1" si="65"/>
        <v>5</v>
      </c>
      <c r="S172" s="229">
        <f t="shared" ca="1" si="66"/>
        <v>0</v>
      </c>
      <c r="T172" s="230">
        <f t="shared" si="67"/>
        <v>0</v>
      </c>
      <c r="U172" s="231">
        <f t="shared" ca="1" si="68"/>
        <v>0</v>
      </c>
      <c r="W172" s="36" t="str">
        <f t="shared" ca="1" si="69"/>
        <v/>
      </c>
      <c r="X172" s="36" t="str">
        <f ca="1">IF(ISNUMBER($A172),$W172*(Methuselahs!$A$4+1)+$A172,"")</f>
        <v/>
      </c>
      <c r="Y172" s="36" t="str">
        <f t="shared" ca="1" si="70"/>
        <v/>
      </c>
      <c r="Z172" s="36" t="str">
        <f ca="1">IF(ISNUMBER($A172),VLOOKUP($A172,Methuselahs!$A$7:$X$206,5),"")</f>
        <v/>
      </c>
      <c r="AA172" s="36" t="str">
        <f t="shared" ca="1" si="71"/>
        <v/>
      </c>
    </row>
    <row r="173" spans="1:27" ht="12.95" customHeight="1" x14ac:dyDescent="0.2">
      <c r="A173" s="111" t="str">
        <f ca="1">IF(OR(ISBLANK('Tournament Info'!$B$11),'Tournament Info'!$B$11&lt;&gt;4),"",INDIRECT(ADDRESS(ROW(),3,1,1,"Optimal Seating "&amp;'Tournament Info'!$B$11-1&amp;"R+F")))</f>
        <v/>
      </c>
      <c r="B173" s="117" t="str">
        <f ca="1">IF(ISNUMBER(A173),VLOOKUP(A173,Methuselahs!$A$7:$E$206,2,0),"")</f>
        <v/>
      </c>
      <c r="C173" s="232" t="str">
        <f ca="1">IF(ISNUMBER(A173),VLOOKUP(A173,Methuselahs!$A$7:$E$206,3,0),"")</f>
        <v/>
      </c>
      <c r="D173" s="233" t="str">
        <f t="shared" ca="1" si="60"/>
        <v/>
      </c>
      <c r="E173" s="234"/>
      <c r="F173" s="118">
        <f t="shared" si="61"/>
        <v>0</v>
      </c>
      <c r="G173" s="235" t="str">
        <f t="shared" ca="1" si="62"/>
        <v/>
      </c>
      <c r="H173" s="236" t="str">
        <f ca="1">IF(ISNUMBER(A173),IF(OR($S173=$U173,NOT(ISNA(MATCH($D173*5+$V$4,Override!$C$6:$C$125,0)))),$Q173,0),"")</f>
        <v/>
      </c>
      <c r="I173" s="121" t="str">
        <f t="shared" ca="1" si="63"/>
        <v/>
      </c>
      <c r="J173" s="237">
        <f ca="1">COUNT(A172:A176)</f>
        <v>0</v>
      </c>
      <c r="K173" s="238" t="str">
        <f ca="1">IF(ISNUMBER(A173),RANK(F173,F172:F176),"")</f>
        <v/>
      </c>
      <c r="L173" s="239">
        <f ca="1">IF(J173=5,VLOOKUP(K173,TPMatrix!$A$6:$B$10,2,0),IF(J173=4,VLOOKUP(K173,TPMatrix!$D$6:$E$9,2,0),0))</f>
        <v>0</v>
      </c>
      <c r="M173" s="239">
        <f ca="1">IF(COUNTIF(K172:K176,K173)&gt;=2,IF(J173=5,VLOOKUP(K173+1,TPMatrix!$A$6:$B$10,2,0),IF(J173=4,VLOOKUP(K173+1,TPMatrix!$D$6:$E$9,2,0),0)),"")</f>
        <v>0</v>
      </c>
      <c r="N173" s="239">
        <f ca="1">IF(COUNTIF(K172:K176,K173)&gt;=3,IF(J173=5,VLOOKUP(K173+2,TPMatrix!$A$6:$B$10,2,0),IF(J173=4,VLOOKUP(K173+2,TPMatrix!$D$6:$E$9,2,0),0)),"")</f>
        <v>0</v>
      </c>
      <c r="O173" s="239">
        <f ca="1">IF(COUNTIF(K172:K176,K173)&gt;=4,IF(J173=5,VLOOKUP(K173+3,TPMatrix!$A$6:$B$10,2,0),IF(J173=4,VLOOKUP(K173+3,TPMatrix!$D$6:$E$9,2,0),0)),"")</f>
        <v>0</v>
      </c>
      <c r="P173" s="239">
        <f ca="1">IF(COUNTIF(K172:K176,K173)&gt;=5,IF(J173=5,VLOOKUP(K173+4,TPMatrix!$A$6:$B$10,2,0),IF(J173=4,VLOOKUP(K173+4,TPMatrix!$D$6:$E$9,2,0),0)),"")</f>
        <v>0</v>
      </c>
      <c r="Q173" s="239">
        <f t="shared" ca="1" si="64"/>
        <v>0</v>
      </c>
      <c r="R173" s="240">
        <f t="shared" ca="1" si="65"/>
        <v>5</v>
      </c>
      <c r="S173" s="238">
        <f t="shared" ca="1" si="66"/>
        <v>0</v>
      </c>
      <c r="T173" s="239">
        <f t="shared" si="67"/>
        <v>0</v>
      </c>
      <c r="U173" s="240">
        <f t="shared" ca="1" si="68"/>
        <v>0</v>
      </c>
      <c r="W173" s="36" t="str">
        <f t="shared" ca="1" si="69"/>
        <v/>
      </c>
      <c r="X173" s="36" t="str">
        <f ca="1">IF(ISNUMBER($A173),$W173*(Methuselahs!$A$4+1)+$A173,"")</f>
        <v/>
      </c>
      <c r="Y173" s="36" t="str">
        <f t="shared" ca="1" si="70"/>
        <v/>
      </c>
      <c r="Z173" s="36" t="str">
        <f ca="1">IF(ISNUMBER($A173),VLOOKUP($A173,Methuselahs!$A$7:$X$206,5),"")</f>
        <v/>
      </c>
      <c r="AA173" s="36" t="str">
        <f t="shared" ca="1" si="71"/>
        <v/>
      </c>
    </row>
    <row r="174" spans="1:27" ht="12.95" customHeight="1" x14ac:dyDescent="0.2">
      <c r="A174" s="137" t="str">
        <f ca="1">IF(OR(ISBLANK('Tournament Info'!$B$11),'Tournament Info'!$B$11&lt;&gt;4),"",INDIRECT(ADDRESS(ROW(),3,1,1,"Optimal Seating "&amp;'Tournament Info'!$B$11-1&amp;"R+F")))</f>
        <v/>
      </c>
      <c r="B174" s="143" t="str">
        <f ca="1">IF(ISNUMBER(A174),VLOOKUP(A174,Methuselahs!$A$7:$E$206,2,0),"")</f>
        <v/>
      </c>
      <c r="C174" s="241" t="str">
        <f ca="1">IF(ISNUMBER(A174),VLOOKUP(A174,Methuselahs!$A$7:$E$206,3,0),"")</f>
        <v/>
      </c>
      <c r="D174" s="242" t="str">
        <f t="shared" ca="1" si="60"/>
        <v/>
      </c>
      <c r="E174" s="243"/>
      <c r="F174" s="144">
        <f t="shared" si="61"/>
        <v>0</v>
      </c>
      <c r="G174" s="244" t="str">
        <f t="shared" ca="1" si="62"/>
        <v/>
      </c>
      <c r="H174" s="245" t="str">
        <f ca="1">IF(ISNUMBER(A174),IF(OR($S174=$U174,NOT(ISNA(MATCH($D174*5+$V$4,Override!$C$6:$C$125,0)))),$Q174,0),"")</f>
        <v/>
      </c>
      <c r="I174" s="147" t="str">
        <f t="shared" ca="1" si="63"/>
        <v/>
      </c>
      <c r="J174" s="246">
        <f ca="1">COUNT(A172:A176)</f>
        <v>0</v>
      </c>
      <c r="K174" s="247" t="str">
        <f ca="1">IF(ISNUMBER(A174),RANK(F174,F172:F176),"")</f>
        <v/>
      </c>
      <c r="L174" s="142">
        <f ca="1">IF(J174=5,VLOOKUP(K174,TPMatrix!$A$6:$B$10,2,0),IF(J174=4,VLOOKUP(K174,TPMatrix!$D$6:$E$9,2,0),0))</f>
        <v>0</v>
      </c>
      <c r="M174" s="142">
        <f ca="1">IF(COUNTIF(K172:K176,K174)&gt;=2,IF(J174=5,VLOOKUP(K174+1,TPMatrix!$A$6:$B$10,2,0),IF(J174=4,VLOOKUP(K174+1,TPMatrix!$D$6:$E$9,2,0),0)),"")</f>
        <v>0</v>
      </c>
      <c r="N174" s="142">
        <f ca="1">IF(COUNTIF(K172:K176,K174)&gt;=3,IF(J174=5,VLOOKUP(K174+2,TPMatrix!$A$6:$B$10,2,0),IF(J174=4,VLOOKUP(K174+2,TPMatrix!$D$6:$E$9,2,0),0)),"")</f>
        <v>0</v>
      </c>
      <c r="O174" s="142">
        <f ca="1">IF(COUNTIF(K172:K176,K174)&gt;=4,IF(J174=5,VLOOKUP(K174+3,TPMatrix!$A$6:$B$10,2,0),IF(J174=4,VLOOKUP(K174+3,TPMatrix!$D$6:$E$9,2,0),0)),"")</f>
        <v>0</v>
      </c>
      <c r="P174" s="142">
        <f ca="1">IF(COUNTIF(K172:K176,K174)&gt;=5,IF(J174=5,VLOOKUP(K174+4,TPMatrix!$A$6:$B$10,2,0),IF(J174=4,VLOOKUP(K174+4,TPMatrix!$D$6:$E$9,2,0),0)),"")</f>
        <v>0</v>
      </c>
      <c r="Q174" s="142">
        <f t="shared" ca="1" si="64"/>
        <v>0</v>
      </c>
      <c r="R174" s="248">
        <f t="shared" ca="1" si="65"/>
        <v>5</v>
      </c>
      <c r="S174" s="247">
        <f t="shared" ca="1" si="66"/>
        <v>0</v>
      </c>
      <c r="T174" s="142">
        <f t="shared" si="67"/>
        <v>0</v>
      </c>
      <c r="U174" s="248">
        <f t="shared" ca="1" si="68"/>
        <v>0</v>
      </c>
      <c r="W174" s="36" t="str">
        <f t="shared" ca="1" si="69"/>
        <v/>
      </c>
      <c r="X174" s="36" t="str">
        <f ca="1">IF(ISNUMBER($A174),$W174*(Methuselahs!$A$4+1)+$A174,"")</f>
        <v/>
      </c>
      <c r="Y174" s="36" t="str">
        <f t="shared" ca="1" si="70"/>
        <v/>
      </c>
      <c r="Z174" s="36" t="str">
        <f ca="1">IF(ISNUMBER($A174),VLOOKUP($A174,Methuselahs!$A$7:$X$206,5),"")</f>
        <v/>
      </c>
      <c r="AA174" s="36" t="str">
        <f t="shared" ca="1" si="71"/>
        <v/>
      </c>
    </row>
    <row r="175" spans="1:27" ht="12.95" customHeight="1" x14ac:dyDescent="0.2">
      <c r="A175" s="249" t="str">
        <f ca="1">IF(OR(ISBLANK('Tournament Info'!$B$11),'Tournament Info'!$B$11&lt;&gt;4),"",INDIRECT(ADDRESS(ROW(),3,1,1,"Optimal Seating "&amp;'Tournament Info'!$B$11-1&amp;"R+F")))</f>
        <v/>
      </c>
      <c r="B175" s="250" t="str">
        <f ca="1">IF(ISNUMBER(A175),VLOOKUP(A175,Methuselahs!$A$7:$E$206,2,0),"")</f>
        <v/>
      </c>
      <c r="C175" s="251" t="str">
        <f ca="1">IF(ISNUMBER(A175),VLOOKUP(A175,Methuselahs!$A$7:$E$206,3,0),"")</f>
        <v/>
      </c>
      <c r="D175" s="252" t="str">
        <f t="shared" ca="1" si="60"/>
        <v/>
      </c>
      <c r="E175" s="253"/>
      <c r="F175" s="397">
        <f t="shared" si="61"/>
        <v>0</v>
      </c>
      <c r="G175" s="235" t="str">
        <f t="shared" ca="1" si="62"/>
        <v/>
      </c>
      <c r="H175" s="236" t="str">
        <f ca="1">IF(ISNUMBER(A175),IF(OR($S175=$U175,NOT(ISNA(MATCH($D175*5+$V$4,Override!$C$6:$C$125,0)))),$Q175,0),"")</f>
        <v/>
      </c>
      <c r="I175" s="121" t="str">
        <f t="shared" ca="1" si="63"/>
        <v/>
      </c>
      <c r="J175" s="254">
        <f ca="1">COUNT(A172:A176)</f>
        <v>0</v>
      </c>
      <c r="K175" s="238" t="str">
        <f ca="1">IF(ISNUMBER(A175),RANK(F175,F172:F176),"")</f>
        <v/>
      </c>
      <c r="L175" s="239">
        <f ca="1">IF(J175=5,VLOOKUP(K175,TPMatrix!$A$6:$B$10,2,0),IF(J175=4,VLOOKUP(K175,TPMatrix!$D$6:$E$9,2,0),0))</f>
        <v>0</v>
      </c>
      <c r="M175" s="239">
        <f ca="1">IF(COUNTIF(K172:K176,K175)&gt;=2,IF(J175=5,VLOOKUP(K175+1,TPMatrix!$A$6:$B$10,2,0),IF(J175=4,VLOOKUP(K175+1,TPMatrix!$D$6:$E$9,2,0),0)),"")</f>
        <v>0</v>
      </c>
      <c r="N175" s="239">
        <f ca="1">IF(COUNTIF(K172:K176,K175)&gt;=3,IF(J175=5,VLOOKUP(K175+2,TPMatrix!$A$6:$B$10,2,0),IF(J175=4,VLOOKUP(K175+2,TPMatrix!$D$6:$E$9,2,0),0)),"")</f>
        <v>0</v>
      </c>
      <c r="O175" s="239">
        <f ca="1">IF(COUNTIF(K172:K176,K175)&gt;=4,IF(J175=5,VLOOKUP(K175+3,TPMatrix!$A$6:$B$10,2,0),IF(J175=4,VLOOKUP(K175+3,TPMatrix!$D$6:$E$9,2,0),0)),"")</f>
        <v>0</v>
      </c>
      <c r="P175" s="239">
        <f ca="1">IF(COUNTIF(K172:K176,K175)&gt;=5,IF(J175=5,VLOOKUP(K175+4,TPMatrix!$A$6:$B$10,2,0),IF(J175=4,VLOOKUP(K175+4,TPMatrix!$D$6:$E$9,2,0),0)),"")</f>
        <v>0</v>
      </c>
      <c r="Q175" s="239">
        <f t="shared" ca="1" si="64"/>
        <v>0</v>
      </c>
      <c r="R175" s="240">
        <f t="shared" ca="1" si="65"/>
        <v>5</v>
      </c>
      <c r="S175" s="238">
        <f t="shared" ca="1" si="66"/>
        <v>0</v>
      </c>
      <c r="T175" s="239">
        <f t="shared" si="67"/>
        <v>0</v>
      </c>
      <c r="U175" s="240">
        <f t="shared" ca="1" si="68"/>
        <v>0</v>
      </c>
      <c r="W175" s="36" t="str">
        <f t="shared" ca="1" si="69"/>
        <v/>
      </c>
      <c r="X175" s="36" t="str">
        <f ca="1">IF(ISNUMBER($A175),$W175*(Methuselahs!$A$4+1)+$A175,"")</f>
        <v/>
      </c>
      <c r="Y175" s="36" t="str">
        <f t="shared" ca="1" si="70"/>
        <v/>
      </c>
      <c r="Z175" s="36" t="str">
        <f ca="1">IF(ISNUMBER($A175),VLOOKUP($A175,Methuselahs!$A$7:$X$206,5),"")</f>
        <v/>
      </c>
      <c r="AA175" s="36" t="str">
        <f t="shared" ca="1" si="71"/>
        <v/>
      </c>
    </row>
    <row r="176" spans="1:27" ht="12.95" customHeight="1" x14ac:dyDescent="0.2">
      <c r="A176" s="255" t="str">
        <f ca="1">IF(OR(ISBLANK('Tournament Info'!$B$11),'Tournament Info'!$B$11&lt;&gt;4),"",INDIRECT(ADDRESS(ROW(),3,1,1,"Optimal Seating "&amp;'Tournament Info'!$B$11-1&amp;"R+F")))</f>
        <v/>
      </c>
      <c r="B176" s="256" t="str">
        <f ca="1">IF(ISNUMBER(A176),VLOOKUP(A176,Methuselahs!$A$7:$E$206,2,0),"")</f>
        <v/>
      </c>
      <c r="C176" s="257" t="str">
        <f ca="1">IF(ISNUMBER(A176),VLOOKUP(A176,Methuselahs!$A$7:$E$206,3,0),"")</f>
        <v/>
      </c>
      <c r="D176" s="258" t="str">
        <f t="shared" ca="1" si="60"/>
        <v/>
      </c>
      <c r="E176" s="259"/>
      <c r="F176" s="398">
        <f t="shared" si="61"/>
        <v>0</v>
      </c>
      <c r="G176" s="244" t="str">
        <f t="shared" ca="1" si="62"/>
        <v/>
      </c>
      <c r="H176" s="245" t="str">
        <f ca="1">IF(ISNUMBER(A176),IF(OR($S176=$U176,NOT(ISNA(MATCH($D176*5+$V$4,Override!$C$6:$C$125,0)))),$Q176,0),"")</f>
        <v/>
      </c>
      <c r="I176" s="147" t="str">
        <f t="shared" ca="1" si="63"/>
        <v/>
      </c>
      <c r="J176" s="260">
        <f ca="1">COUNT(A172:A176)</f>
        <v>0</v>
      </c>
      <c r="K176" s="261" t="str">
        <f ca="1">IF(ISNUMBER(A176),RANK(F176,F172:F176),"")</f>
        <v/>
      </c>
      <c r="L176" s="262">
        <f ca="1">IF(J176=5,VLOOKUP(K176,TPMatrix!$A$6:$B$10,2,0),IF(J176=4,VLOOKUP(K176,TPMatrix!$D$6:$E$9,2,0),0))</f>
        <v>0</v>
      </c>
      <c r="M176" s="262">
        <f ca="1">IF(COUNTIF(K172:K176,K176)&gt;=2,IF(J176=5,VLOOKUP(K176+1,TPMatrix!$A$6:$B$10,2,0),IF(J176=4,VLOOKUP(K176+1,TPMatrix!$D$6:$E$9,2,0),0)),"")</f>
        <v>0</v>
      </c>
      <c r="N176" s="262">
        <f ca="1">IF(COUNTIF(K172:K176,K176)&gt;=3,IF(J176=5,VLOOKUP(K176+2,TPMatrix!$A$6:$B$10,2,0),IF(J176=4,VLOOKUP(K176+2,TPMatrix!$D$6:$E$9,2,0),0)),"")</f>
        <v>0</v>
      </c>
      <c r="O176" s="262">
        <f ca="1">IF(COUNTIF(K172:K176,K176)&gt;=4,IF(J176=5,VLOOKUP(K176+3,TPMatrix!$A$6:$B$10,2,0),IF(J176=4,VLOOKUP(K176+3,TPMatrix!$D$6:$E$9,2,0),0)),"")</f>
        <v>0</v>
      </c>
      <c r="P176" s="262">
        <f ca="1">IF(COUNTIF(K172:K176,K176)&gt;=5,IF(J176=5,VLOOKUP(K176+4,TPMatrix!$A$6:$B$10,2,0),IF(J176=4,VLOOKUP(K176+4,TPMatrix!$D$6:$E$9,2,0),0)),"")</f>
        <v>0</v>
      </c>
      <c r="Q176" s="262">
        <f t="shared" ca="1" si="64"/>
        <v>0</v>
      </c>
      <c r="R176" s="263">
        <f t="shared" ca="1" si="65"/>
        <v>5</v>
      </c>
      <c r="S176" s="261">
        <f t="shared" ca="1" si="66"/>
        <v>0</v>
      </c>
      <c r="T176" s="262">
        <f t="shared" si="67"/>
        <v>0</v>
      </c>
      <c r="U176" s="263">
        <f t="shared" ca="1" si="68"/>
        <v>0</v>
      </c>
      <c r="W176" s="36" t="str">
        <f t="shared" ca="1" si="69"/>
        <v/>
      </c>
      <c r="X176" s="36" t="str">
        <f ca="1">IF(ISNUMBER($A176),$W176*(Methuselahs!$A$4+1)+$A176,"")</f>
        <v/>
      </c>
      <c r="Y176" s="36" t="str">
        <f t="shared" ca="1" si="70"/>
        <v/>
      </c>
      <c r="Z176" s="36" t="str">
        <f ca="1">IF(ISNUMBER($A176),VLOOKUP($A176,Methuselahs!$A$7:$X$206,5),"")</f>
        <v/>
      </c>
      <c r="AA176" s="36" t="str">
        <f t="shared" ca="1" si="71"/>
        <v/>
      </c>
    </row>
    <row r="177" spans="1:27" ht="12.95" customHeight="1" x14ac:dyDescent="0.2">
      <c r="A177" s="219" t="str">
        <f ca="1">IF(OR(ISBLANK('Tournament Info'!$B$11),'Tournament Info'!$B$11&lt;&gt;4),"",INDIRECT(ADDRESS(ROW(),3,1,1,"Optimal Seating "&amp;'Tournament Info'!$B$11-1&amp;"R+F")))</f>
        <v/>
      </c>
      <c r="B177" s="143" t="str">
        <f ca="1">IF(ISNUMBER(A177),VLOOKUP(A177,Methuselahs!$A$7:$E$206,2,0),"")</f>
        <v/>
      </c>
      <c r="C177" s="220" t="str">
        <f ca="1">IF(ISNUMBER(A177),VLOOKUP(A177,Methuselahs!$A$7:$E$206,3,0),"")</f>
        <v/>
      </c>
      <c r="D177" s="221" t="str">
        <f t="shared" ca="1" si="60"/>
        <v/>
      </c>
      <c r="E177" s="222"/>
      <c r="F177" s="393">
        <f t="shared" si="61"/>
        <v>0</v>
      </c>
      <c r="G177" s="223" t="str">
        <f t="shared" ca="1" si="62"/>
        <v/>
      </c>
      <c r="H177" s="224" t="str">
        <f ca="1">IF(ISNUMBER(A177),IF(OR($S177=$U177,NOT(ISNA(MATCH($D177*5+$V$4,Override!$C$6:$C$125,0)))),$Q177,0),"")</f>
        <v/>
      </c>
      <c r="I177" s="406" t="str">
        <f t="shared" ca="1" si="63"/>
        <v/>
      </c>
      <c r="J177" s="225">
        <f ca="1">COUNT(A177:A181)</f>
        <v>0</v>
      </c>
      <c r="K177" s="226" t="str">
        <f ca="1">IF(ISNUMBER(A177),RANK(F177,F177:F181),"")</f>
        <v/>
      </c>
      <c r="L177" s="227">
        <f ca="1">IF(J177=5,VLOOKUP(K177,TPMatrix!$A$6:$B$10,2,0),IF(J177=4,VLOOKUP(K177,TPMatrix!$D$6:$E$9,2,0),0))</f>
        <v>0</v>
      </c>
      <c r="M177" s="227">
        <f ca="1">IF(COUNTIF(K177:K181,K177)&gt;=2,IF(J177=5,VLOOKUP(K177+1,TPMatrix!$A$6:$B$10,2,0),IF(J177=4,VLOOKUP(K177+1,TPMatrix!$D$6:$E$9,2,0),0)),"")</f>
        <v>0</v>
      </c>
      <c r="N177" s="227">
        <f ca="1">IF(COUNTIF(K177:K181,K177)&gt;=3,IF(J177=5,VLOOKUP(K177+2,TPMatrix!$A$6:$B$10,2,0),IF(J177=4,VLOOKUP(K177+2,TPMatrix!$D$6:$E$9,2,0),0)),"")</f>
        <v>0</v>
      </c>
      <c r="O177" s="227">
        <f ca="1">IF(COUNTIF(K177:K181,K177)&gt;=4,IF(J177=5,VLOOKUP(K177+3,TPMatrix!$A$6:$B$10,2,0),IF(J177=4,VLOOKUP(K177+3,TPMatrix!$D$6:$E$9,2,0),0)),"")</f>
        <v>0</v>
      </c>
      <c r="P177" s="227">
        <f ca="1">IF(COUNTIF(K177:K181,K177)&gt;=5,IF(J177=5,VLOOKUP(K177+4,TPMatrix!$A$6:$B$10,2,0),IF(J177=4,VLOOKUP(K177+4,TPMatrix!$D$6:$E$9,2,0),0)),"")</f>
        <v>0</v>
      </c>
      <c r="Q177" s="227">
        <f t="shared" ca="1" si="64"/>
        <v>0</v>
      </c>
      <c r="R177" s="228">
        <f t="shared" ca="1" si="65"/>
        <v>5</v>
      </c>
      <c r="S177" s="229">
        <f t="shared" ca="1" si="66"/>
        <v>0</v>
      </c>
      <c r="T177" s="230">
        <f t="shared" si="67"/>
        <v>0</v>
      </c>
      <c r="U177" s="231">
        <f t="shared" ca="1" si="68"/>
        <v>0</v>
      </c>
      <c r="W177" s="36" t="str">
        <f t="shared" ca="1" si="69"/>
        <v/>
      </c>
      <c r="X177" s="36" t="str">
        <f ca="1">IF(ISNUMBER($A177),$W177*(Methuselahs!$A$4+1)+$A177,"")</f>
        <v/>
      </c>
      <c r="Y177" s="36" t="str">
        <f t="shared" ca="1" si="70"/>
        <v/>
      </c>
      <c r="Z177" s="36" t="str">
        <f ca="1">IF(ISNUMBER($A177),VLOOKUP($A177,Methuselahs!$A$7:$X$206,5),"")</f>
        <v/>
      </c>
      <c r="AA177" s="36" t="str">
        <f t="shared" ca="1" si="71"/>
        <v/>
      </c>
    </row>
    <row r="178" spans="1:27" ht="12.95" customHeight="1" x14ac:dyDescent="0.2">
      <c r="A178" s="111" t="str">
        <f ca="1">IF(OR(ISBLANK('Tournament Info'!$B$11),'Tournament Info'!$B$11&lt;&gt;4),"",INDIRECT(ADDRESS(ROW(),3,1,1,"Optimal Seating "&amp;'Tournament Info'!$B$11-1&amp;"R+F")))</f>
        <v/>
      </c>
      <c r="B178" s="117" t="str">
        <f ca="1">IF(ISNUMBER(A178),VLOOKUP(A178,Methuselahs!$A$7:$E$206,2,0),"")</f>
        <v/>
      </c>
      <c r="C178" s="232" t="str">
        <f ca="1">IF(ISNUMBER(A178),VLOOKUP(A178,Methuselahs!$A$7:$E$206,3,0),"")</f>
        <v/>
      </c>
      <c r="D178" s="233" t="str">
        <f t="shared" ca="1" si="60"/>
        <v/>
      </c>
      <c r="E178" s="234"/>
      <c r="F178" s="118">
        <f t="shared" si="61"/>
        <v>0</v>
      </c>
      <c r="G178" s="235" t="str">
        <f t="shared" ca="1" si="62"/>
        <v/>
      </c>
      <c r="H178" s="236" t="str">
        <f ca="1">IF(ISNUMBER(A178),IF(OR($S178=$U178,NOT(ISNA(MATCH($D178*5+$V$4,Override!$C$6:$C$125,0)))),$Q178,0),"")</f>
        <v/>
      </c>
      <c r="I178" s="121" t="str">
        <f t="shared" ca="1" si="63"/>
        <v/>
      </c>
      <c r="J178" s="237">
        <f ca="1">COUNT(A177:A181)</f>
        <v>0</v>
      </c>
      <c r="K178" s="238" t="str">
        <f ca="1">IF(ISNUMBER(A178),RANK(F178,F177:F181),"")</f>
        <v/>
      </c>
      <c r="L178" s="239">
        <f ca="1">IF(J178=5,VLOOKUP(K178,TPMatrix!$A$6:$B$10,2,0),IF(J178=4,VLOOKUP(K178,TPMatrix!$D$6:$E$9,2,0),0))</f>
        <v>0</v>
      </c>
      <c r="M178" s="239">
        <f ca="1">IF(COUNTIF(K177:K181,K178)&gt;=2,IF(J178=5,VLOOKUP(K178+1,TPMatrix!$A$6:$B$10,2,0),IF(J178=4,VLOOKUP(K178+1,TPMatrix!$D$6:$E$9,2,0),0)),"")</f>
        <v>0</v>
      </c>
      <c r="N178" s="239">
        <f ca="1">IF(COUNTIF(K177:K181,K178)&gt;=3,IF(J178=5,VLOOKUP(K178+2,TPMatrix!$A$6:$B$10,2,0),IF(J178=4,VLOOKUP(K178+2,TPMatrix!$D$6:$E$9,2,0),0)),"")</f>
        <v>0</v>
      </c>
      <c r="O178" s="239">
        <f ca="1">IF(COUNTIF(K177:K181,K178)&gt;=4,IF(J178=5,VLOOKUP(K178+3,TPMatrix!$A$6:$B$10,2,0),IF(J178=4,VLOOKUP(K178+3,TPMatrix!$D$6:$E$9,2,0),0)),"")</f>
        <v>0</v>
      </c>
      <c r="P178" s="239">
        <f ca="1">IF(COUNTIF(K177:K181,K178)&gt;=5,IF(J178=5,VLOOKUP(K178+4,TPMatrix!$A$6:$B$10,2,0),IF(J178=4,VLOOKUP(K178+4,TPMatrix!$D$6:$E$9,2,0),0)),"")</f>
        <v>0</v>
      </c>
      <c r="Q178" s="239">
        <f t="shared" ca="1" si="64"/>
        <v>0</v>
      </c>
      <c r="R178" s="240">
        <f t="shared" ca="1" si="65"/>
        <v>5</v>
      </c>
      <c r="S178" s="238">
        <f t="shared" ca="1" si="66"/>
        <v>0</v>
      </c>
      <c r="T178" s="239">
        <f t="shared" si="67"/>
        <v>0</v>
      </c>
      <c r="U178" s="240">
        <f t="shared" ca="1" si="68"/>
        <v>0</v>
      </c>
      <c r="W178" s="36" t="str">
        <f t="shared" ca="1" si="69"/>
        <v/>
      </c>
      <c r="X178" s="36" t="str">
        <f ca="1">IF(ISNUMBER($A178),$W178*(Methuselahs!$A$4+1)+$A178,"")</f>
        <v/>
      </c>
      <c r="Y178" s="36" t="str">
        <f t="shared" ca="1" si="70"/>
        <v/>
      </c>
      <c r="Z178" s="36" t="str">
        <f ca="1">IF(ISNUMBER($A178),VLOOKUP($A178,Methuselahs!$A$7:$X$206,5),"")</f>
        <v/>
      </c>
      <c r="AA178" s="36" t="str">
        <f t="shared" ca="1" si="71"/>
        <v/>
      </c>
    </row>
    <row r="179" spans="1:27" ht="12.95" customHeight="1" x14ac:dyDescent="0.2">
      <c r="A179" s="137" t="str">
        <f ca="1">IF(OR(ISBLANK('Tournament Info'!$B$11),'Tournament Info'!$B$11&lt;&gt;4),"",INDIRECT(ADDRESS(ROW(),3,1,1,"Optimal Seating "&amp;'Tournament Info'!$B$11-1&amp;"R+F")))</f>
        <v/>
      </c>
      <c r="B179" s="143" t="str">
        <f ca="1">IF(ISNUMBER(A179),VLOOKUP(A179,Methuselahs!$A$7:$E$206,2,0),"")</f>
        <v/>
      </c>
      <c r="C179" s="241" t="str">
        <f ca="1">IF(ISNUMBER(A179),VLOOKUP(A179,Methuselahs!$A$7:$E$206,3,0),"")</f>
        <v/>
      </c>
      <c r="D179" s="242" t="str">
        <f t="shared" ca="1" si="60"/>
        <v/>
      </c>
      <c r="E179" s="243"/>
      <c r="F179" s="144">
        <f t="shared" si="61"/>
        <v>0</v>
      </c>
      <c r="G179" s="244" t="str">
        <f t="shared" ca="1" si="62"/>
        <v/>
      </c>
      <c r="H179" s="245" t="str">
        <f ca="1">IF(ISNUMBER(A179),IF(OR($S179=$U179,NOT(ISNA(MATCH($D179*5+$V$4,Override!$C$6:$C$125,0)))),$Q179,0),"")</f>
        <v/>
      </c>
      <c r="I179" s="147" t="str">
        <f t="shared" ca="1" si="63"/>
        <v/>
      </c>
      <c r="J179" s="246">
        <f ca="1">COUNT(A177:A181)</f>
        <v>0</v>
      </c>
      <c r="K179" s="247" t="str">
        <f ca="1">IF(ISNUMBER(A179),RANK(F179,F177:F181),"")</f>
        <v/>
      </c>
      <c r="L179" s="142">
        <f ca="1">IF(J179=5,VLOOKUP(K179,TPMatrix!$A$6:$B$10,2,0),IF(J179=4,VLOOKUP(K179,TPMatrix!$D$6:$E$9,2,0),0))</f>
        <v>0</v>
      </c>
      <c r="M179" s="142">
        <f ca="1">IF(COUNTIF(K177:K181,K179)&gt;=2,IF(J179=5,VLOOKUP(K179+1,TPMatrix!$A$6:$B$10,2,0),IF(J179=4,VLOOKUP(K179+1,TPMatrix!$D$6:$E$9,2,0),0)),"")</f>
        <v>0</v>
      </c>
      <c r="N179" s="142">
        <f ca="1">IF(COUNTIF(K177:K181,K179)&gt;=3,IF(J179=5,VLOOKUP(K179+2,TPMatrix!$A$6:$B$10,2,0),IF(J179=4,VLOOKUP(K179+2,TPMatrix!$D$6:$E$9,2,0),0)),"")</f>
        <v>0</v>
      </c>
      <c r="O179" s="142">
        <f ca="1">IF(COUNTIF(K177:K181,K179)&gt;=4,IF(J179=5,VLOOKUP(K179+3,TPMatrix!$A$6:$B$10,2,0),IF(J179=4,VLOOKUP(K179+3,TPMatrix!$D$6:$E$9,2,0),0)),"")</f>
        <v>0</v>
      </c>
      <c r="P179" s="142">
        <f ca="1">IF(COUNTIF(K177:K181,K179)&gt;=5,IF(J179=5,VLOOKUP(K179+4,TPMatrix!$A$6:$B$10,2,0),IF(J179=4,VLOOKUP(K179+4,TPMatrix!$D$6:$E$9,2,0),0)),"")</f>
        <v>0</v>
      </c>
      <c r="Q179" s="142">
        <f t="shared" ca="1" si="64"/>
        <v>0</v>
      </c>
      <c r="R179" s="248">
        <f t="shared" ca="1" si="65"/>
        <v>5</v>
      </c>
      <c r="S179" s="247">
        <f t="shared" ca="1" si="66"/>
        <v>0</v>
      </c>
      <c r="T179" s="142">
        <f t="shared" si="67"/>
        <v>0</v>
      </c>
      <c r="U179" s="248">
        <f t="shared" ca="1" si="68"/>
        <v>0</v>
      </c>
      <c r="W179" s="36" t="str">
        <f t="shared" ca="1" si="69"/>
        <v/>
      </c>
      <c r="X179" s="36" t="str">
        <f ca="1">IF(ISNUMBER($A179),$W179*(Methuselahs!$A$4+1)+$A179,"")</f>
        <v/>
      </c>
      <c r="Y179" s="36" t="str">
        <f t="shared" ca="1" si="70"/>
        <v/>
      </c>
      <c r="Z179" s="36" t="str">
        <f ca="1">IF(ISNUMBER($A179),VLOOKUP($A179,Methuselahs!$A$7:$X$206,5),"")</f>
        <v/>
      </c>
      <c r="AA179" s="36" t="str">
        <f t="shared" ca="1" si="71"/>
        <v/>
      </c>
    </row>
    <row r="180" spans="1:27" ht="12.95" customHeight="1" x14ac:dyDescent="0.2">
      <c r="A180" s="249" t="str">
        <f ca="1">IF(OR(ISBLANK('Tournament Info'!$B$11),'Tournament Info'!$B$11&lt;&gt;4),"",INDIRECT(ADDRESS(ROW(),3,1,1,"Optimal Seating "&amp;'Tournament Info'!$B$11-1&amp;"R+F")))</f>
        <v/>
      </c>
      <c r="B180" s="250" t="str">
        <f ca="1">IF(ISNUMBER(A180),VLOOKUP(A180,Methuselahs!$A$7:$E$206,2,0),"")</f>
        <v/>
      </c>
      <c r="C180" s="251" t="str">
        <f ca="1">IF(ISNUMBER(A180),VLOOKUP(A180,Methuselahs!$A$7:$E$206,3,0),"")</f>
        <v/>
      </c>
      <c r="D180" s="252" t="str">
        <f t="shared" ca="1" si="60"/>
        <v/>
      </c>
      <c r="E180" s="253"/>
      <c r="F180" s="397">
        <f t="shared" si="61"/>
        <v>0</v>
      </c>
      <c r="G180" s="235" t="str">
        <f t="shared" ca="1" si="62"/>
        <v/>
      </c>
      <c r="H180" s="236" t="str">
        <f ca="1">IF(ISNUMBER(A180),IF(OR($S180=$U180,NOT(ISNA(MATCH($D180*5+$V$4,Override!$C$6:$C$125,0)))),$Q180,0),"")</f>
        <v/>
      </c>
      <c r="I180" s="121" t="str">
        <f t="shared" ca="1" si="63"/>
        <v/>
      </c>
      <c r="J180" s="254">
        <f ca="1">COUNT(A177:A181)</f>
        <v>0</v>
      </c>
      <c r="K180" s="238" t="str">
        <f ca="1">IF(ISNUMBER(A180),RANK(F180,F177:F181),"")</f>
        <v/>
      </c>
      <c r="L180" s="239">
        <f ca="1">IF(J180=5,VLOOKUP(K180,TPMatrix!$A$6:$B$10,2,0),IF(J180=4,VLOOKUP(K180,TPMatrix!$D$6:$E$9,2,0),0))</f>
        <v>0</v>
      </c>
      <c r="M180" s="239">
        <f ca="1">IF(COUNTIF(K177:K181,K180)&gt;=2,IF(J180=5,VLOOKUP(K180+1,TPMatrix!$A$6:$B$10,2,0),IF(J180=4,VLOOKUP(K180+1,TPMatrix!$D$6:$E$9,2,0),0)),"")</f>
        <v>0</v>
      </c>
      <c r="N180" s="239">
        <f ca="1">IF(COUNTIF(K177:K181,K180)&gt;=3,IF(J180=5,VLOOKUP(K180+2,TPMatrix!$A$6:$B$10,2,0),IF(J180=4,VLOOKUP(K180+2,TPMatrix!$D$6:$E$9,2,0),0)),"")</f>
        <v>0</v>
      </c>
      <c r="O180" s="239">
        <f ca="1">IF(COUNTIF(K177:K181,K180)&gt;=4,IF(J180=5,VLOOKUP(K180+3,TPMatrix!$A$6:$B$10,2,0),IF(J180=4,VLOOKUP(K180+3,TPMatrix!$D$6:$E$9,2,0),0)),"")</f>
        <v>0</v>
      </c>
      <c r="P180" s="239">
        <f ca="1">IF(COUNTIF(K177:K181,K180)&gt;=5,IF(J180=5,VLOOKUP(K180+4,TPMatrix!$A$6:$B$10,2,0),IF(J180=4,VLOOKUP(K180+4,TPMatrix!$D$6:$E$9,2,0),0)),"")</f>
        <v>0</v>
      </c>
      <c r="Q180" s="239">
        <f t="shared" ca="1" si="64"/>
        <v>0</v>
      </c>
      <c r="R180" s="240">
        <f t="shared" ca="1" si="65"/>
        <v>5</v>
      </c>
      <c r="S180" s="238">
        <f t="shared" ca="1" si="66"/>
        <v>0</v>
      </c>
      <c r="T180" s="239">
        <f t="shared" si="67"/>
        <v>0</v>
      </c>
      <c r="U180" s="240">
        <f t="shared" ca="1" si="68"/>
        <v>0</v>
      </c>
      <c r="W180" s="36" t="str">
        <f t="shared" ca="1" si="69"/>
        <v/>
      </c>
      <c r="X180" s="36" t="str">
        <f ca="1">IF(ISNUMBER($A180),$W180*(Methuselahs!$A$4+1)+$A180,"")</f>
        <v/>
      </c>
      <c r="Y180" s="36" t="str">
        <f t="shared" ca="1" si="70"/>
        <v/>
      </c>
      <c r="Z180" s="36" t="str">
        <f ca="1">IF(ISNUMBER($A180),VLOOKUP($A180,Methuselahs!$A$7:$X$206,5),"")</f>
        <v/>
      </c>
      <c r="AA180" s="36" t="str">
        <f t="shared" ca="1" si="71"/>
        <v/>
      </c>
    </row>
    <row r="181" spans="1:27" ht="12.95" customHeight="1" x14ac:dyDescent="0.2">
      <c r="A181" s="255" t="str">
        <f ca="1">IF(OR(ISBLANK('Tournament Info'!$B$11),'Tournament Info'!$B$11&lt;&gt;4),"",INDIRECT(ADDRESS(ROW(),3,1,1,"Optimal Seating "&amp;'Tournament Info'!$B$11-1&amp;"R+F")))</f>
        <v/>
      </c>
      <c r="B181" s="256" t="str">
        <f ca="1">IF(ISNUMBER(A181),VLOOKUP(A181,Methuselahs!$A$7:$E$206,2,0),"")</f>
        <v/>
      </c>
      <c r="C181" s="257" t="str">
        <f ca="1">IF(ISNUMBER(A181),VLOOKUP(A181,Methuselahs!$A$7:$E$206,3,0),"")</f>
        <v/>
      </c>
      <c r="D181" s="258" t="str">
        <f t="shared" ca="1" si="60"/>
        <v/>
      </c>
      <c r="E181" s="259"/>
      <c r="F181" s="398">
        <f t="shared" si="61"/>
        <v>0</v>
      </c>
      <c r="G181" s="244" t="str">
        <f t="shared" ca="1" si="62"/>
        <v/>
      </c>
      <c r="H181" s="245" t="str">
        <f ca="1">IF(ISNUMBER(A181),IF(OR($S181=$U181,NOT(ISNA(MATCH($D181*5+$V$4,Override!$C$6:$C$125,0)))),$Q181,0),"")</f>
        <v/>
      </c>
      <c r="I181" s="147" t="str">
        <f t="shared" ca="1" si="63"/>
        <v/>
      </c>
      <c r="J181" s="260">
        <f ca="1">COUNT(A177:A181)</f>
        <v>0</v>
      </c>
      <c r="K181" s="261" t="str">
        <f ca="1">IF(ISNUMBER(A181),RANK(F181,F177:F181),"")</f>
        <v/>
      </c>
      <c r="L181" s="262">
        <f ca="1">IF(J181=5,VLOOKUP(K181,TPMatrix!$A$6:$B$10,2,0),IF(J181=4,VLOOKUP(K181,TPMatrix!$D$6:$E$9,2,0),0))</f>
        <v>0</v>
      </c>
      <c r="M181" s="262">
        <f ca="1">IF(COUNTIF(K177:K181,K181)&gt;=2,IF(J181=5,VLOOKUP(K181+1,TPMatrix!$A$6:$B$10,2,0),IF(J181=4,VLOOKUP(K181+1,TPMatrix!$D$6:$E$9,2,0),0)),"")</f>
        <v>0</v>
      </c>
      <c r="N181" s="262">
        <f ca="1">IF(COUNTIF(K177:K181,K181)&gt;=3,IF(J181=5,VLOOKUP(K181+2,TPMatrix!$A$6:$B$10,2,0),IF(J181=4,VLOOKUP(K181+2,TPMatrix!$D$6:$E$9,2,0),0)),"")</f>
        <v>0</v>
      </c>
      <c r="O181" s="262">
        <f ca="1">IF(COUNTIF(K177:K181,K181)&gt;=4,IF(J181=5,VLOOKUP(K181+3,TPMatrix!$A$6:$B$10,2,0),IF(J181=4,VLOOKUP(K181+3,TPMatrix!$D$6:$E$9,2,0),0)),"")</f>
        <v>0</v>
      </c>
      <c r="P181" s="262">
        <f ca="1">IF(COUNTIF(K177:K181,K181)&gt;=5,IF(J181=5,VLOOKUP(K181+4,TPMatrix!$A$6:$B$10,2,0),IF(J181=4,VLOOKUP(K181+4,TPMatrix!$D$6:$E$9,2,0),0)),"")</f>
        <v>0</v>
      </c>
      <c r="Q181" s="262">
        <f t="shared" ca="1" si="64"/>
        <v>0</v>
      </c>
      <c r="R181" s="263">
        <f t="shared" ca="1" si="65"/>
        <v>5</v>
      </c>
      <c r="S181" s="261">
        <f t="shared" ca="1" si="66"/>
        <v>0</v>
      </c>
      <c r="T181" s="262">
        <f t="shared" si="67"/>
        <v>0</v>
      </c>
      <c r="U181" s="263">
        <f t="shared" ca="1" si="68"/>
        <v>0</v>
      </c>
      <c r="W181" s="36" t="str">
        <f t="shared" ca="1" si="69"/>
        <v/>
      </c>
      <c r="X181" s="36" t="str">
        <f ca="1">IF(ISNUMBER($A181),$W181*(Methuselahs!$A$4+1)+$A181,"")</f>
        <v/>
      </c>
      <c r="Y181" s="36" t="str">
        <f t="shared" ca="1" si="70"/>
        <v/>
      </c>
      <c r="Z181" s="36" t="str">
        <f ca="1">IF(ISNUMBER($A181),VLOOKUP($A181,Methuselahs!$A$7:$X$206,5),"")</f>
        <v/>
      </c>
      <c r="AA181" s="36" t="str">
        <f t="shared" ca="1" si="71"/>
        <v/>
      </c>
    </row>
    <row r="182" spans="1:27" ht="12.95" customHeight="1" x14ac:dyDescent="0.2">
      <c r="A182" s="219" t="str">
        <f ca="1">IF(OR(ISBLANK('Tournament Info'!$B$11),'Tournament Info'!$B$11&lt;&gt;4),"",INDIRECT(ADDRESS(ROW(),3,1,1,"Optimal Seating "&amp;'Tournament Info'!$B$11-1&amp;"R+F")))</f>
        <v/>
      </c>
      <c r="B182" s="143" t="str">
        <f ca="1">IF(ISNUMBER(A182),VLOOKUP(A182,Methuselahs!$A$7:$E$206,2,0),"")</f>
        <v/>
      </c>
      <c r="C182" s="220" t="str">
        <f ca="1">IF(ISNUMBER(A182),VLOOKUP(A182,Methuselahs!$A$7:$E$206,3,0),"")</f>
        <v/>
      </c>
      <c r="D182" s="221" t="str">
        <f t="shared" ca="1" si="60"/>
        <v/>
      </c>
      <c r="E182" s="222"/>
      <c r="F182" s="393">
        <f t="shared" si="61"/>
        <v>0</v>
      </c>
      <c r="G182" s="223" t="str">
        <f t="shared" ca="1" si="62"/>
        <v/>
      </c>
      <c r="H182" s="224" t="str">
        <f ca="1">IF(ISNUMBER(A182),IF(OR($S182=$U182,NOT(ISNA(MATCH($D182*5+$V$4,Override!$C$6:$C$125,0)))),$Q182,0),"")</f>
        <v/>
      </c>
      <c r="I182" s="406" t="str">
        <f t="shared" ca="1" si="63"/>
        <v/>
      </c>
      <c r="J182" s="225">
        <f ca="1">COUNT(A182:A186)</f>
        <v>0</v>
      </c>
      <c r="K182" s="226" t="str">
        <f ca="1">IF(ISNUMBER(A182),RANK(F182,F182:F186),"")</f>
        <v/>
      </c>
      <c r="L182" s="227">
        <f ca="1">IF(J182=5,VLOOKUP(K182,TPMatrix!$A$6:$B$10,2,0),IF(J182=4,VLOOKUP(K182,TPMatrix!$D$6:$E$9,2,0),0))</f>
        <v>0</v>
      </c>
      <c r="M182" s="227">
        <f ca="1">IF(COUNTIF(K182:K186,K182)&gt;=2,IF(J182=5,VLOOKUP(K182+1,TPMatrix!$A$6:$B$10,2,0),IF(J182=4,VLOOKUP(K182+1,TPMatrix!$D$6:$E$9,2,0),0)),"")</f>
        <v>0</v>
      </c>
      <c r="N182" s="227">
        <f ca="1">IF(COUNTIF(K182:K186,K182)&gt;=3,IF(J182=5,VLOOKUP(K182+2,TPMatrix!$A$6:$B$10,2,0),IF(J182=4,VLOOKUP(K182+2,TPMatrix!$D$6:$E$9,2,0),0)),"")</f>
        <v>0</v>
      </c>
      <c r="O182" s="227">
        <f ca="1">IF(COUNTIF(K182:K186,K182)&gt;=4,IF(J182=5,VLOOKUP(K182+3,TPMatrix!$A$6:$B$10,2,0),IF(J182=4,VLOOKUP(K182+3,TPMatrix!$D$6:$E$9,2,0),0)),"")</f>
        <v>0</v>
      </c>
      <c r="P182" s="227">
        <f ca="1">IF(COUNTIF(K182:K186,K182)&gt;=5,IF(J182=5,VLOOKUP(K182+4,TPMatrix!$A$6:$B$10,2,0),IF(J182=4,VLOOKUP(K182+4,TPMatrix!$D$6:$E$9,2,0),0)),"")</f>
        <v>0</v>
      </c>
      <c r="Q182" s="227">
        <f t="shared" ca="1" si="64"/>
        <v>0</v>
      </c>
      <c r="R182" s="228">
        <f t="shared" ca="1" si="65"/>
        <v>5</v>
      </c>
      <c r="S182" s="229">
        <f t="shared" ca="1" si="66"/>
        <v>0</v>
      </c>
      <c r="T182" s="230">
        <f t="shared" si="67"/>
        <v>0</v>
      </c>
      <c r="U182" s="231">
        <f t="shared" ca="1" si="68"/>
        <v>0</v>
      </c>
      <c r="W182" s="36" t="str">
        <f t="shared" ca="1" si="69"/>
        <v/>
      </c>
      <c r="X182" s="36" t="str">
        <f ca="1">IF(ISNUMBER($A182),$W182*(Methuselahs!$A$4+1)+$A182,"")</f>
        <v/>
      </c>
      <c r="Y182" s="36" t="str">
        <f t="shared" ca="1" si="70"/>
        <v/>
      </c>
      <c r="Z182" s="36" t="str">
        <f ca="1">IF(ISNUMBER($A182),VLOOKUP($A182,Methuselahs!$A$7:$X$206,5),"")</f>
        <v/>
      </c>
      <c r="AA182" s="36" t="str">
        <f t="shared" ca="1" si="71"/>
        <v/>
      </c>
    </row>
    <row r="183" spans="1:27" ht="12.95" customHeight="1" x14ac:dyDescent="0.2">
      <c r="A183" s="111" t="str">
        <f ca="1">IF(OR(ISBLANK('Tournament Info'!$B$11),'Tournament Info'!$B$11&lt;&gt;4),"",INDIRECT(ADDRESS(ROW(),3,1,1,"Optimal Seating "&amp;'Tournament Info'!$B$11-1&amp;"R+F")))</f>
        <v/>
      </c>
      <c r="B183" s="117" t="str">
        <f ca="1">IF(ISNUMBER(A183),VLOOKUP(A183,Methuselahs!$A$7:$E$206,2,0),"")</f>
        <v/>
      </c>
      <c r="C183" s="232" t="str">
        <f ca="1">IF(ISNUMBER(A183),VLOOKUP(A183,Methuselahs!$A$7:$E$206,3,0),"")</f>
        <v/>
      </c>
      <c r="D183" s="233" t="str">
        <f t="shared" ca="1" si="60"/>
        <v/>
      </c>
      <c r="E183" s="234"/>
      <c r="F183" s="118">
        <f t="shared" si="61"/>
        <v>0</v>
      </c>
      <c r="G183" s="235" t="str">
        <f t="shared" ca="1" si="62"/>
        <v/>
      </c>
      <c r="H183" s="236" t="str">
        <f ca="1">IF(ISNUMBER(A183),IF(OR($S183=$U183,NOT(ISNA(MATCH($D183*5+$V$4,Override!$C$6:$C$125,0)))),$Q183,0),"")</f>
        <v/>
      </c>
      <c r="I183" s="121" t="str">
        <f t="shared" ca="1" si="63"/>
        <v/>
      </c>
      <c r="J183" s="237">
        <f ca="1">COUNT(A182:A186)</f>
        <v>0</v>
      </c>
      <c r="K183" s="238" t="str">
        <f ca="1">IF(ISNUMBER(A183),RANK(F183,F182:F186),"")</f>
        <v/>
      </c>
      <c r="L183" s="239">
        <f ca="1">IF(J183=5,VLOOKUP(K183,TPMatrix!$A$6:$B$10,2,0),IF(J183=4,VLOOKUP(K183,TPMatrix!$D$6:$E$9,2,0),0))</f>
        <v>0</v>
      </c>
      <c r="M183" s="239">
        <f ca="1">IF(COUNTIF(K182:K186,K183)&gt;=2,IF(J183=5,VLOOKUP(K183+1,TPMatrix!$A$6:$B$10,2,0),IF(J183=4,VLOOKUP(K183+1,TPMatrix!$D$6:$E$9,2,0),0)),"")</f>
        <v>0</v>
      </c>
      <c r="N183" s="239">
        <f ca="1">IF(COUNTIF(K182:K186,K183)&gt;=3,IF(J183=5,VLOOKUP(K183+2,TPMatrix!$A$6:$B$10,2,0),IF(J183=4,VLOOKUP(K183+2,TPMatrix!$D$6:$E$9,2,0),0)),"")</f>
        <v>0</v>
      </c>
      <c r="O183" s="239">
        <f ca="1">IF(COUNTIF(K182:K186,K183)&gt;=4,IF(J183=5,VLOOKUP(K183+3,TPMatrix!$A$6:$B$10,2,0),IF(J183=4,VLOOKUP(K183+3,TPMatrix!$D$6:$E$9,2,0),0)),"")</f>
        <v>0</v>
      </c>
      <c r="P183" s="239">
        <f ca="1">IF(COUNTIF(K182:K186,K183)&gt;=5,IF(J183=5,VLOOKUP(K183+4,TPMatrix!$A$6:$B$10,2,0),IF(J183=4,VLOOKUP(K183+4,TPMatrix!$D$6:$E$9,2,0),0)),"")</f>
        <v>0</v>
      </c>
      <c r="Q183" s="239">
        <f t="shared" ca="1" si="64"/>
        <v>0</v>
      </c>
      <c r="R183" s="240">
        <f t="shared" ca="1" si="65"/>
        <v>5</v>
      </c>
      <c r="S183" s="238">
        <f t="shared" ca="1" si="66"/>
        <v>0</v>
      </c>
      <c r="T183" s="239">
        <f t="shared" si="67"/>
        <v>0</v>
      </c>
      <c r="U183" s="240">
        <f t="shared" ca="1" si="68"/>
        <v>0</v>
      </c>
      <c r="W183" s="36" t="str">
        <f t="shared" ca="1" si="69"/>
        <v/>
      </c>
      <c r="X183" s="36" t="str">
        <f ca="1">IF(ISNUMBER($A183),$W183*(Methuselahs!$A$4+1)+$A183,"")</f>
        <v/>
      </c>
      <c r="Y183" s="36" t="str">
        <f t="shared" ca="1" si="70"/>
        <v/>
      </c>
      <c r="Z183" s="36" t="str">
        <f ca="1">IF(ISNUMBER($A183),VLOOKUP($A183,Methuselahs!$A$7:$X$206,5),"")</f>
        <v/>
      </c>
      <c r="AA183" s="36" t="str">
        <f t="shared" ca="1" si="71"/>
        <v/>
      </c>
    </row>
    <row r="184" spans="1:27" ht="12.95" customHeight="1" x14ac:dyDescent="0.2">
      <c r="A184" s="137" t="str">
        <f ca="1">IF(OR(ISBLANK('Tournament Info'!$B$11),'Tournament Info'!$B$11&lt;&gt;4),"",INDIRECT(ADDRESS(ROW(),3,1,1,"Optimal Seating "&amp;'Tournament Info'!$B$11-1&amp;"R+F")))</f>
        <v/>
      </c>
      <c r="B184" s="143" t="str">
        <f ca="1">IF(ISNUMBER(A184),VLOOKUP(A184,Methuselahs!$A$7:$E$206,2,0),"")</f>
        <v/>
      </c>
      <c r="C184" s="241" t="str">
        <f ca="1">IF(ISNUMBER(A184),VLOOKUP(A184,Methuselahs!$A$7:$E$206,3,0),"")</f>
        <v/>
      </c>
      <c r="D184" s="242" t="str">
        <f t="shared" ca="1" si="60"/>
        <v/>
      </c>
      <c r="E184" s="243"/>
      <c r="F184" s="144">
        <f t="shared" si="61"/>
        <v>0</v>
      </c>
      <c r="G184" s="244" t="str">
        <f t="shared" ca="1" si="62"/>
        <v/>
      </c>
      <c r="H184" s="245" t="str">
        <f ca="1">IF(ISNUMBER(A184),IF(OR($S184=$U184,NOT(ISNA(MATCH($D184*5+$V$4,Override!$C$6:$C$125,0)))),$Q184,0),"")</f>
        <v/>
      </c>
      <c r="I184" s="147" t="str">
        <f t="shared" ca="1" si="63"/>
        <v/>
      </c>
      <c r="J184" s="246">
        <f ca="1">COUNT(A182:A186)</f>
        <v>0</v>
      </c>
      <c r="K184" s="247" t="str">
        <f ca="1">IF(ISNUMBER(A184),RANK(F184,F182:F186),"")</f>
        <v/>
      </c>
      <c r="L184" s="142">
        <f ca="1">IF(J184=5,VLOOKUP(K184,TPMatrix!$A$6:$B$10,2,0),IF(J184=4,VLOOKUP(K184,TPMatrix!$D$6:$E$9,2,0),0))</f>
        <v>0</v>
      </c>
      <c r="M184" s="142">
        <f ca="1">IF(COUNTIF(K182:K186,K184)&gt;=2,IF(J184=5,VLOOKUP(K184+1,TPMatrix!$A$6:$B$10,2,0),IF(J184=4,VLOOKUP(K184+1,TPMatrix!$D$6:$E$9,2,0),0)),"")</f>
        <v>0</v>
      </c>
      <c r="N184" s="142">
        <f ca="1">IF(COUNTIF(K182:K186,K184)&gt;=3,IF(J184=5,VLOOKUP(K184+2,TPMatrix!$A$6:$B$10,2,0),IF(J184=4,VLOOKUP(K184+2,TPMatrix!$D$6:$E$9,2,0),0)),"")</f>
        <v>0</v>
      </c>
      <c r="O184" s="142">
        <f ca="1">IF(COUNTIF(K182:K186,K184)&gt;=4,IF(J184=5,VLOOKUP(K184+3,TPMatrix!$A$6:$B$10,2,0),IF(J184=4,VLOOKUP(K184+3,TPMatrix!$D$6:$E$9,2,0),0)),"")</f>
        <v>0</v>
      </c>
      <c r="P184" s="142">
        <f ca="1">IF(COUNTIF(K182:K186,K184)&gt;=5,IF(J184=5,VLOOKUP(K184+4,TPMatrix!$A$6:$B$10,2,0),IF(J184=4,VLOOKUP(K184+4,TPMatrix!$D$6:$E$9,2,0),0)),"")</f>
        <v>0</v>
      </c>
      <c r="Q184" s="142">
        <f t="shared" ca="1" si="64"/>
        <v>0</v>
      </c>
      <c r="R184" s="248">
        <f t="shared" ca="1" si="65"/>
        <v>5</v>
      </c>
      <c r="S184" s="247">
        <f t="shared" ca="1" si="66"/>
        <v>0</v>
      </c>
      <c r="T184" s="142">
        <f t="shared" si="67"/>
        <v>0</v>
      </c>
      <c r="U184" s="248">
        <f t="shared" ca="1" si="68"/>
        <v>0</v>
      </c>
      <c r="W184" s="36" t="str">
        <f t="shared" ca="1" si="69"/>
        <v/>
      </c>
      <c r="X184" s="36" t="str">
        <f ca="1">IF(ISNUMBER($A184),$W184*(Methuselahs!$A$4+1)+$A184,"")</f>
        <v/>
      </c>
      <c r="Y184" s="36" t="str">
        <f t="shared" ca="1" si="70"/>
        <v/>
      </c>
      <c r="Z184" s="36" t="str">
        <f ca="1">IF(ISNUMBER($A184),VLOOKUP($A184,Methuselahs!$A$7:$X$206,5),"")</f>
        <v/>
      </c>
      <c r="AA184" s="36" t="str">
        <f t="shared" ca="1" si="71"/>
        <v/>
      </c>
    </row>
    <row r="185" spans="1:27" ht="12.95" customHeight="1" x14ac:dyDescent="0.2">
      <c r="A185" s="249" t="str">
        <f ca="1">IF(OR(ISBLANK('Tournament Info'!$B$11),'Tournament Info'!$B$11&lt;&gt;4),"",INDIRECT(ADDRESS(ROW(),3,1,1,"Optimal Seating "&amp;'Tournament Info'!$B$11-1&amp;"R+F")))</f>
        <v/>
      </c>
      <c r="B185" s="250" t="str">
        <f ca="1">IF(ISNUMBER(A185),VLOOKUP(A185,Methuselahs!$A$7:$E$206,2,0),"")</f>
        <v/>
      </c>
      <c r="C185" s="251" t="str">
        <f ca="1">IF(ISNUMBER(A185),VLOOKUP(A185,Methuselahs!$A$7:$E$206,3,0),"")</f>
        <v/>
      </c>
      <c r="D185" s="252" t="str">
        <f t="shared" ca="1" si="60"/>
        <v/>
      </c>
      <c r="E185" s="253"/>
      <c r="F185" s="397">
        <f t="shared" si="61"/>
        <v>0</v>
      </c>
      <c r="G185" s="235" t="str">
        <f t="shared" ca="1" si="62"/>
        <v/>
      </c>
      <c r="H185" s="236" t="str">
        <f ca="1">IF(ISNUMBER(A185),IF(OR($S185=$U185,NOT(ISNA(MATCH($D185*5+$V$4,Override!$C$6:$C$125,0)))),$Q185,0),"")</f>
        <v/>
      </c>
      <c r="I185" s="121" t="str">
        <f t="shared" ca="1" si="63"/>
        <v/>
      </c>
      <c r="J185" s="254">
        <f ca="1">COUNT(A182:A186)</f>
        <v>0</v>
      </c>
      <c r="K185" s="238" t="str">
        <f ca="1">IF(ISNUMBER(A185),RANK(F185,F182:F186),"")</f>
        <v/>
      </c>
      <c r="L185" s="239">
        <f ca="1">IF(J185=5,VLOOKUP(K185,TPMatrix!$A$6:$B$10,2,0),IF(J185=4,VLOOKUP(K185,TPMatrix!$D$6:$E$9,2,0),0))</f>
        <v>0</v>
      </c>
      <c r="M185" s="239">
        <f ca="1">IF(COUNTIF(K182:K186,K185)&gt;=2,IF(J185=5,VLOOKUP(K185+1,TPMatrix!$A$6:$B$10,2,0),IF(J185=4,VLOOKUP(K185+1,TPMatrix!$D$6:$E$9,2,0),0)),"")</f>
        <v>0</v>
      </c>
      <c r="N185" s="239">
        <f ca="1">IF(COUNTIF(K182:K186,K185)&gt;=3,IF(J185=5,VLOOKUP(K185+2,TPMatrix!$A$6:$B$10,2,0),IF(J185=4,VLOOKUP(K185+2,TPMatrix!$D$6:$E$9,2,0),0)),"")</f>
        <v>0</v>
      </c>
      <c r="O185" s="239">
        <f ca="1">IF(COUNTIF(K182:K186,K185)&gt;=4,IF(J185=5,VLOOKUP(K185+3,TPMatrix!$A$6:$B$10,2,0),IF(J185=4,VLOOKUP(K185+3,TPMatrix!$D$6:$E$9,2,0),0)),"")</f>
        <v>0</v>
      </c>
      <c r="P185" s="239">
        <f ca="1">IF(COUNTIF(K182:K186,K185)&gt;=5,IF(J185=5,VLOOKUP(K185+4,TPMatrix!$A$6:$B$10,2,0),IF(J185=4,VLOOKUP(K185+4,TPMatrix!$D$6:$E$9,2,0),0)),"")</f>
        <v>0</v>
      </c>
      <c r="Q185" s="239">
        <f t="shared" ca="1" si="64"/>
        <v>0</v>
      </c>
      <c r="R185" s="240">
        <f t="shared" ca="1" si="65"/>
        <v>5</v>
      </c>
      <c r="S185" s="238">
        <f t="shared" ca="1" si="66"/>
        <v>0</v>
      </c>
      <c r="T185" s="239">
        <f t="shared" si="67"/>
        <v>0</v>
      </c>
      <c r="U185" s="240">
        <f t="shared" ca="1" si="68"/>
        <v>0</v>
      </c>
      <c r="W185" s="36" t="str">
        <f t="shared" ca="1" si="69"/>
        <v/>
      </c>
      <c r="X185" s="36" t="str">
        <f ca="1">IF(ISNUMBER($A185),$W185*(Methuselahs!$A$4+1)+$A185,"")</f>
        <v/>
      </c>
      <c r="Y185" s="36" t="str">
        <f t="shared" ca="1" si="70"/>
        <v/>
      </c>
      <c r="Z185" s="36" t="str">
        <f ca="1">IF(ISNUMBER($A185),VLOOKUP($A185,Methuselahs!$A$7:$X$206,5),"")</f>
        <v/>
      </c>
      <c r="AA185" s="36" t="str">
        <f t="shared" ca="1" si="71"/>
        <v/>
      </c>
    </row>
    <row r="186" spans="1:27" ht="12.95" customHeight="1" x14ac:dyDescent="0.2">
      <c r="A186" s="255" t="str">
        <f ca="1">IF(OR(ISBLANK('Tournament Info'!$B$11),'Tournament Info'!$B$11&lt;&gt;4),"",INDIRECT(ADDRESS(ROW(),3,1,1,"Optimal Seating "&amp;'Tournament Info'!$B$11-1&amp;"R+F")))</f>
        <v/>
      </c>
      <c r="B186" s="256" t="str">
        <f ca="1">IF(ISNUMBER(A186),VLOOKUP(A186,Methuselahs!$A$7:$E$206,2,0),"")</f>
        <v/>
      </c>
      <c r="C186" s="257" t="str">
        <f ca="1">IF(ISNUMBER(A186),VLOOKUP(A186,Methuselahs!$A$7:$E$206,3,0),"")</f>
        <v/>
      </c>
      <c r="D186" s="258" t="str">
        <f t="shared" ca="1" si="60"/>
        <v/>
      </c>
      <c r="E186" s="259"/>
      <c r="F186" s="398">
        <f t="shared" si="61"/>
        <v>0</v>
      </c>
      <c r="G186" s="244" t="str">
        <f t="shared" ca="1" si="62"/>
        <v/>
      </c>
      <c r="H186" s="245" t="str">
        <f ca="1">IF(ISNUMBER(A186),IF(OR($S186=$U186,NOT(ISNA(MATCH($D186*5+$V$4,Override!$C$6:$C$125,0)))),$Q186,0),"")</f>
        <v/>
      </c>
      <c r="I186" s="147" t="str">
        <f t="shared" ca="1" si="63"/>
        <v/>
      </c>
      <c r="J186" s="260">
        <f ca="1">COUNT(A182:A186)</f>
        <v>0</v>
      </c>
      <c r="K186" s="261" t="str">
        <f ca="1">IF(ISNUMBER(A186),RANK(F186,F182:F186),"")</f>
        <v/>
      </c>
      <c r="L186" s="262">
        <f ca="1">IF(J186=5,VLOOKUP(K186,TPMatrix!$A$6:$B$10,2,0),IF(J186=4,VLOOKUP(K186,TPMatrix!$D$6:$E$9,2,0),0))</f>
        <v>0</v>
      </c>
      <c r="M186" s="262">
        <f ca="1">IF(COUNTIF(K182:K186,K186)&gt;=2,IF(J186=5,VLOOKUP(K186+1,TPMatrix!$A$6:$B$10,2,0),IF(J186=4,VLOOKUP(K186+1,TPMatrix!$D$6:$E$9,2,0),0)),"")</f>
        <v>0</v>
      </c>
      <c r="N186" s="262">
        <f ca="1">IF(COUNTIF(K182:K186,K186)&gt;=3,IF(J186=5,VLOOKUP(K186+2,TPMatrix!$A$6:$B$10,2,0),IF(J186=4,VLOOKUP(K186+2,TPMatrix!$D$6:$E$9,2,0),0)),"")</f>
        <v>0</v>
      </c>
      <c r="O186" s="262">
        <f ca="1">IF(COUNTIF(K182:K186,K186)&gt;=4,IF(J186=5,VLOOKUP(K186+3,TPMatrix!$A$6:$B$10,2,0),IF(J186=4,VLOOKUP(K186+3,TPMatrix!$D$6:$E$9,2,0),0)),"")</f>
        <v>0</v>
      </c>
      <c r="P186" s="262">
        <f ca="1">IF(COUNTIF(K182:K186,K186)&gt;=5,IF(J186=5,VLOOKUP(K186+4,TPMatrix!$A$6:$B$10,2,0),IF(J186=4,VLOOKUP(K186+4,TPMatrix!$D$6:$E$9,2,0),0)),"")</f>
        <v>0</v>
      </c>
      <c r="Q186" s="262">
        <f t="shared" ca="1" si="64"/>
        <v>0</v>
      </c>
      <c r="R186" s="263">
        <f t="shared" ca="1" si="65"/>
        <v>5</v>
      </c>
      <c r="S186" s="261">
        <f t="shared" ca="1" si="66"/>
        <v>0</v>
      </c>
      <c r="T186" s="262">
        <f t="shared" si="67"/>
        <v>0</v>
      </c>
      <c r="U186" s="263">
        <f t="shared" ca="1" si="68"/>
        <v>0</v>
      </c>
      <c r="W186" s="36" t="str">
        <f t="shared" ca="1" si="69"/>
        <v/>
      </c>
      <c r="X186" s="36" t="str">
        <f ca="1">IF(ISNUMBER($A186),$W186*(Methuselahs!$A$4+1)+$A186,"")</f>
        <v/>
      </c>
      <c r="Y186" s="36" t="str">
        <f t="shared" ca="1" si="70"/>
        <v/>
      </c>
      <c r="Z186" s="36" t="str">
        <f ca="1">IF(ISNUMBER($A186),VLOOKUP($A186,Methuselahs!$A$7:$X$206,5),"")</f>
        <v/>
      </c>
      <c r="AA186" s="36" t="str">
        <f t="shared" ca="1" si="71"/>
        <v/>
      </c>
    </row>
    <row r="187" spans="1:27" ht="12.95" customHeight="1" x14ac:dyDescent="0.2">
      <c r="A187" s="219" t="str">
        <f ca="1">IF(OR(ISBLANK('Tournament Info'!$B$11),'Tournament Info'!$B$11&lt;&gt;4),"",INDIRECT(ADDRESS(ROW(),3,1,1,"Optimal Seating "&amp;'Tournament Info'!$B$11-1&amp;"R+F")))</f>
        <v/>
      </c>
      <c r="B187" s="143" t="str">
        <f ca="1">IF(ISNUMBER(A187),VLOOKUP(A187,Methuselahs!$A$7:$E$206,2,0),"")</f>
        <v/>
      </c>
      <c r="C187" s="220" t="str">
        <f ca="1">IF(ISNUMBER(A187),VLOOKUP(A187,Methuselahs!$A$7:$E$206,3,0),"")</f>
        <v/>
      </c>
      <c r="D187" s="221" t="str">
        <f t="shared" ca="1" si="60"/>
        <v/>
      </c>
      <c r="E187" s="222"/>
      <c r="F187" s="393">
        <f t="shared" si="61"/>
        <v>0</v>
      </c>
      <c r="G187" s="223" t="str">
        <f t="shared" ca="1" si="62"/>
        <v/>
      </c>
      <c r="H187" s="224" t="str">
        <f ca="1">IF(ISNUMBER(A187),IF(OR($S187=$U187,NOT(ISNA(MATCH($D187*5+$V$4,Override!$C$6:$C$125,0)))),$Q187,0),"")</f>
        <v/>
      </c>
      <c r="I187" s="406" t="str">
        <f t="shared" ca="1" si="63"/>
        <v/>
      </c>
      <c r="J187" s="225">
        <f ca="1">COUNT(A187:A191)</f>
        <v>0</v>
      </c>
      <c r="K187" s="226" t="str">
        <f ca="1">IF(ISNUMBER(A187),RANK(F187,F187:F191),"")</f>
        <v/>
      </c>
      <c r="L187" s="227">
        <f ca="1">IF(J187=5,VLOOKUP(K187,TPMatrix!$A$6:$B$10,2,0),IF(J187=4,VLOOKUP(K187,TPMatrix!$D$6:$E$9,2,0),0))</f>
        <v>0</v>
      </c>
      <c r="M187" s="227">
        <f ca="1">IF(COUNTIF(K187:K191,K187)&gt;=2,IF(J187=5,VLOOKUP(K187+1,TPMatrix!$A$6:$B$10,2,0),IF(J187=4,VLOOKUP(K187+1,TPMatrix!$D$6:$E$9,2,0),0)),"")</f>
        <v>0</v>
      </c>
      <c r="N187" s="227">
        <f ca="1">IF(COUNTIF(K187:K191,K187)&gt;=3,IF(J187=5,VLOOKUP(K187+2,TPMatrix!$A$6:$B$10,2,0),IF(J187=4,VLOOKUP(K187+2,TPMatrix!$D$6:$E$9,2,0),0)),"")</f>
        <v>0</v>
      </c>
      <c r="O187" s="227">
        <f ca="1">IF(COUNTIF(K187:K191,K187)&gt;=4,IF(J187=5,VLOOKUP(K187+3,TPMatrix!$A$6:$B$10,2,0),IF(J187=4,VLOOKUP(K187+3,TPMatrix!$D$6:$E$9,2,0),0)),"")</f>
        <v>0</v>
      </c>
      <c r="P187" s="227">
        <f ca="1">IF(COUNTIF(K187:K191,K187)&gt;=5,IF(J187=5,VLOOKUP(K187+4,TPMatrix!$A$6:$B$10,2,0),IF(J187=4,VLOOKUP(K187+4,TPMatrix!$D$6:$E$9,2,0),0)),"")</f>
        <v>0</v>
      </c>
      <c r="Q187" s="227">
        <f t="shared" ca="1" si="64"/>
        <v>0</v>
      </c>
      <c r="R187" s="228">
        <f t="shared" ca="1" si="65"/>
        <v>5</v>
      </c>
      <c r="S187" s="229">
        <f t="shared" ca="1" si="66"/>
        <v>0</v>
      </c>
      <c r="T187" s="230">
        <f t="shared" si="67"/>
        <v>0</v>
      </c>
      <c r="U187" s="231">
        <f t="shared" ca="1" si="68"/>
        <v>0</v>
      </c>
      <c r="W187" s="36" t="str">
        <f t="shared" ca="1" si="69"/>
        <v/>
      </c>
      <c r="X187" s="36" t="str">
        <f ca="1">IF(ISNUMBER($A187),$W187*(Methuselahs!$A$4+1)+$A187,"")</f>
        <v/>
      </c>
      <c r="Y187" s="36" t="str">
        <f t="shared" ca="1" si="70"/>
        <v/>
      </c>
      <c r="Z187" s="36" t="str">
        <f ca="1">IF(ISNUMBER($A187),VLOOKUP($A187,Methuselahs!$A$7:$X$206,5),"")</f>
        <v/>
      </c>
      <c r="AA187" s="36" t="str">
        <f t="shared" ca="1" si="71"/>
        <v/>
      </c>
    </row>
    <row r="188" spans="1:27" ht="12.95" customHeight="1" x14ac:dyDescent="0.2">
      <c r="A188" s="111" t="str">
        <f ca="1">IF(OR(ISBLANK('Tournament Info'!$B$11),'Tournament Info'!$B$11&lt;&gt;4),"",INDIRECT(ADDRESS(ROW(),3,1,1,"Optimal Seating "&amp;'Tournament Info'!$B$11-1&amp;"R+F")))</f>
        <v/>
      </c>
      <c r="B188" s="117" t="str">
        <f ca="1">IF(ISNUMBER(A188),VLOOKUP(A188,Methuselahs!$A$7:$E$206,2,0),"")</f>
        <v/>
      </c>
      <c r="C188" s="232" t="str">
        <f ca="1">IF(ISNUMBER(A188),VLOOKUP(A188,Methuselahs!$A$7:$E$206,3,0),"")</f>
        <v/>
      </c>
      <c r="D188" s="233" t="str">
        <f t="shared" ca="1" si="60"/>
        <v/>
      </c>
      <c r="E188" s="234"/>
      <c r="F188" s="118">
        <f t="shared" si="61"/>
        <v>0</v>
      </c>
      <c r="G188" s="235" t="str">
        <f t="shared" ca="1" si="62"/>
        <v/>
      </c>
      <c r="H188" s="236" t="str">
        <f ca="1">IF(ISNUMBER(A188),IF(OR($S188=$U188,NOT(ISNA(MATCH($D188*5+$V$4,Override!$C$6:$C$125,0)))),$Q188,0),"")</f>
        <v/>
      </c>
      <c r="I188" s="121" t="str">
        <f t="shared" ca="1" si="63"/>
        <v/>
      </c>
      <c r="J188" s="237">
        <f ca="1">COUNT(A187:A191)</f>
        <v>0</v>
      </c>
      <c r="K188" s="238" t="str">
        <f ca="1">IF(ISNUMBER(A188),RANK(F188,F187:F191),"")</f>
        <v/>
      </c>
      <c r="L188" s="239">
        <f ca="1">IF(J188=5,VLOOKUP(K188,TPMatrix!$A$6:$B$10,2,0),IF(J188=4,VLOOKUP(K188,TPMatrix!$D$6:$E$9,2,0),0))</f>
        <v>0</v>
      </c>
      <c r="M188" s="239">
        <f ca="1">IF(COUNTIF(K187:K191,K188)&gt;=2,IF(J188=5,VLOOKUP(K188+1,TPMatrix!$A$6:$B$10,2,0),IF(J188=4,VLOOKUP(K188+1,TPMatrix!$D$6:$E$9,2,0),0)),"")</f>
        <v>0</v>
      </c>
      <c r="N188" s="239">
        <f ca="1">IF(COUNTIF(K187:K191,K188)&gt;=3,IF(J188=5,VLOOKUP(K188+2,TPMatrix!$A$6:$B$10,2,0),IF(J188=4,VLOOKUP(K188+2,TPMatrix!$D$6:$E$9,2,0),0)),"")</f>
        <v>0</v>
      </c>
      <c r="O188" s="239">
        <f ca="1">IF(COUNTIF(K187:K191,K188)&gt;=4,IF(J188=5,VLOOKUP(K188+3,TPMatrix!$A$6:$B$10,2,0),IF(J188=4,VLOOKUP(K188+3,TPMatrix!$D$6:$E$9,2,0),0)),"")</f>
        <v>0</v>
      </c>
      <c r="P188" s="239">
        <f ca="1">IF(COUNTIF(K187:K191,K188)&gt;=5,IF(J188=5,VLOOKUP(K188+4,TPMatrix!$A$6:$B$10,2,0),IF(J188=4,VLOOKUP(K188+4,TPMatrix!$D$6:$E$9,2,0),0)),"")</f>
        <v>0</v>
      </c>
      <c r="Q188" s="239">
        <f t="shared" ca="1" si="64"/>
        <v>0</v>
      </c>
      <c r="R188" s="240">
        <f t="shared" ca="1" si="65"/>
        <v>5</v>
      </c>
      <c r="S188" s="238">
        <f t="shared" ca="1" si="66"/>
        <v>0</v>
      </c>
      <c r="T188" s="239">
        <f t="shared" si="67"/>
        <v>0</v>
      </c>
      <c r="U188" s="240">
        <f t="shared" ca="1" si="68"/>
        <v>0</v>
      </c>
      <c r="W188" s="36" t="str">
        <f t="shared" ca="1" si="69"/>
        <v/>
      </c>
      <c r="X188" s="36" t="str">
        <f ca="1">IF(ISNUMBER($A188),$W188*(Methuselahs!$A$4+1)+$A188,"")</f>
        <v/>
      </c>
      <c r="Y188" s="36" t="str">
        <f t="shared" ca="1" si="70"/>
        <v/>
      </c>
      <c r="Z188" s="36" t="str">
        <f ca="1">IF(ISNUMBER($A188),VLOOKUP($A188,Methuselahs!$A$7:$X$206,5),"")</f>
        <v/>
      </c>
      <c r="AA188" s="36" t="str">
        <f t="shared" ca="1" si="71"/>
        <v/>
      </c>
    </row>
    <row r="189" spans="1:27" ht="12.95" customHeight="1" x14ac:dyDescent="0.2">
      <c r="A189" s="137" t="str">
        <f ca="1">IF(OR(ISBLANK('Tournament Info'!$B$11),'Tournament Info'!$B$11&lt;&gt;4),"",INDIRECT(ADDRESS(ROW(),3,1,1,"Optimal Seating "&amp;'Tournament Info'!$B$11-1&amp;"R+F")))</f>
        <v/>
      </c>
      <c r="B189" s="143" t="str">
        <f ca="1">IF(ISNUMBER(A189),VLOOKUP(A189,Methuselahs!$A$7:$E$206,2,0),"")</f>
        <v/>
      </c>
      <c r="C189" s="241" t="str">
        <f ca="1">IF(ISNUMBER(A189),VLOOKUP(A189,Methuselahs!$A$7:$E$206,3,0),"")</f>
        <v/>
      </c>
      <c r="D189" s="242" t="str">
        <f t="shared" ca="1" si="60"/>
        <v/>
      </c>
      <c r="E189" s="243"/>
      <c r="F189" s="144">
        <f t="shared" si="61"/>
        <v>0</v>
      </c>
      <c r="G189" s="244" t="str">
        <f t="shared" ca="1" si="62"/>
        <v/>
      </c>
      <c r="H189" s="245" t="str">
        <f ca="1">IF(ISNUMBER(A189),IF(OR($S189=$U189,NOT(ISNA(MATCH($D189*5+$V$4,Override!$C$6:$C$125,0)))),$Q189,0),"")</f>
        <v/>
      </c>
      <c r="I189" s="147" t="str">
        <f t="shared" ca="1" si="63"/>
        <v/>
      </c>
      <c r="J189" s="246">
        <f ca="1">COUNT(A187:A191)</f>
        <v>0</v>
      </c>
      <c r="K189" s="247" t="str">
        <f ca="1">IF(ISNUMBER(A189),RANK(F189,F187:F191),"")</f>
        <v/>
      </c>
      <c r="L189" s="142">
        <f ca="1">IF(J189=5,VLOOKUP(K189,TPMatrix!$A$6:$B$10,2,0),IF(J189=4,VLOOKUP(K189,TPMatrix!$D$6:$E$9,2,0),0))</f>
        <v>0</v>
      </c>
      <c r="M189" s="142">
        <f ca="1">IF(COUNTIF(K187:K191,K189)&gt;=2,IF(J189=5,VLOOKUP(K189+1,TPMatrix!$A$6:$B$10,2,0),IF(J189=4,VLOOKUP(K189+1,TPMatrix!$D$6:$E$9,2,0),0)),"")</f>
        <v>0</v>
      </c>
      <c r="N189" s="142">
        <f ca="1">IF(COUNTIF(K187:K191,K189)&gt;=3,IF(J189=5,VLOOKUP(K189+2,TPMatrix!$A$6:$B$10,2,0),IF(J189=4,VLOOKUP(K189+2,TPMatrix!$D$6:$E$9,2,0),0)),"")</f>
        <v>0</v>
      </c>
      <c r="O189" s="142">
        <f ca="1">IF(COUNTIF(K187:K191,K189)&gt;=4,IF(J189=5,VLOOKUP(K189+3,TPMatrix!$A$6:$B$10,2,0),IF(J189=4,VLOOKUP(K189+3,TPMatrix!$D$6:$E$9,2,0),0)),"")</f>
        <v>0</v>
      </c>
      <c r="P189" s="142">
        <f ca="1">IF(COUNTIF(K187:K191,K189)&gt;=5,IF(J189=5,VLOOKUP(K189+4,TPMatrix!$A$6:$B$10,2,0),IF(J189=4,VLOOKUP(K189+4,TPMatrix!$D$6:$E$9,2,0),0)),"")</f>
        <v>0</v>
      </c>
      <c r="Q189" s="142">
        <f t="shared" ca="1" si="64"/>
        <v>0</v>
      </c>
      <c r="R189" s="248">
        <f t="shared" ca="1" si="65"/>
        <v>5</v>
      </c>
      <c r="S189" s="247">
        <f t="shared" ca="1" si="66"/>
        <v>0</v>
      </c>
      <c r="T189" s="142">
        <f t="shared" si="67"/>
        <v>0</v>
      </c>
      <c r="U189" s="248">
        <f t="shared" ca="1" si="68"/>
        <v>0</v>
      </c>
      <c r="W189" s="36" t="str">
        <f t="shared" ca="1" si="69"/>
        <v/>
      </c>
      <c r="X189" s="36" t="str">
        <f ca="1">IF(ISNUMBER($A189),$W189*(Methuselahs!$A$4+1)+$A189,"")</f>
        <v/>
      </c>
      <c r="Y189" s="36" t="str">
        <f t="shared" ca="1" si="70"/>
        <v/>
      </c>
      <c r="Z189" s="36" t="str">
        <f ca="1">IF(ISNUMBER($A189),VLOOKUP($A189,Methuselahs!$A$7:$X$206,5),"")</f>
        <v/>
      </c>
      <c r="AA189" s="36" t="str">
        <f t="shared" ca="1" si="71"/>
        <v/>
      </c>
    </row>
    <row r="190" spans="1:27" ht="12.95" customHeight="1" x14ac:dyDescent="0.2">
      <c r="A190" s="249" t="str">
        <f ca="1">IF(OR(ISBLANK('Tournament Info'!$B$11),'Tournament Info'!$B$11&lt;&gt;4),"",INDIRECT(ADDRESS(ROW(),3,1,1,"Optimal Seating "&amp;'Tournament Info'!$B$11-1&amp;"R+F")))</f>
        <v/>
      </c>
      <c r="B190" s="250" t="str">
        <f ca="1">IF(ISNUMBER(A190),VLOOKUP(A190,Methuselahs!$A$7:$E$206,2,0),"")</f>
        <v/>
      </c>
      <c r="C190" s="251" t="str">
        <f ca="1">IF(ISNUMBER(A190),VLOOKUP(A190,Methuselahs!$A$7:$E$206,3,0),"")</f>
        <v/>
      </c>
      <c r="D190" s="252" t="str">
        <f t="shared" ca="1" si="60"/>
        <v/>
      </c>
      <c r="E190" s="253"/>
      <c r="F190" s="397">
        <f t="shared" si="61"/>
        <v>0</v>
      </c>
      <c r="G190" s="235" t="str">
        <f t="shared" ca="1" si="62"/>
        <v/>
      </c>
      <c r="H190" s="236" t="str">
        <f ca="1">IF(ISNUMBER(A190),IF(OR($S190=$U190,NOT(ISNA(MATCH($D190*5+$V$4,Override!$C$6:$C$125,0)))),$Q190,0),"")</f>
        <v/>
      </c>
      <c r="I190" s="121" t="str">
        <f t="shared" ca="1" si="63"/>
        <v/>
      </c>
      <c r="J190" s="254">
        <f ca="1">COUNT(A187:A191)</f>
        <v>0</v>
      </c>
      <c r="K190" s="238" t="str">
        <f ca="1">IF(ISNUMBER(A190),RANK(F190,F187:F191),"")</f>
        <v/>
      </c>
      <c r="L190" s="239">
        <f ca="1">IF(J190=5,VLOOKUP(K190,TPMatrix!$A$6:$B$10,2,0),IF(J190=4,VLOOKUP(K190,TPMatrix!$D$6:$E$9,2,0),0))</f>
        <v>0</v>
      </c>
      <c r="M190" s="239">
        <f ca="1">IF(COUNTIF(K187:K191,K190)&gt;=2,IF(J190=5,VLOOKUP(K190+1,TPMatrix!$A$6:$B$10,2,0),IF(J190=4,VLOOKUP(K190+1,TPMatrix!$D$6:$E$9,2,0),0)),"")</f>
        <v>0</v>
      </c>
      <c r="N190" s="239">
        <f ca="1">IF(COUNTIF(K187:K191,K190)&gt;=3,IF(J190=5,VLOOKUP(K190+2,TPMatrix!$A$6:$B$10,2,0),IF(J190=4,VLOOKUP(K190+2,TPMatrix!$D$6:$E$9,2,0),0)),"")</f>
        <v>0</v>
      </c>
      <c r="O190" s="239">
        <f ca="1">IF(COUNTIF(K187:K191,K190)&gt;=4,IF(J190=5,VLOOKUP(K190+3,TPMatrix!$A$6:$B$10,2,0),IF(J190=4,VLOOKUP(K190+3,TPMatrix!$D$6:$E$9,2,0),0)),"")</f>
        <v>0</v>
      </c>
      <c r="P190" s="239">
        <f ca="1">IF(COUNTIF(K187:K191,K190)&gt;=5,IF(J190=5,VLOOKUP(K190+4,TPMatrix!$A$6:$B$10,2,0),IF(J190=4,VLOOKUP(K190+4,TPMatrix!$D$6:$E$9,2,0),0)),"")</f>
        <v>0</v>
      </c>
      <c r="Q190" s="239">
        <f t="shared" ca="1" si="64"/>
        <v>0</v>
      </c>
      <c r="R190" s="240">
        <f t="shared" ca="1" si="65"/>
        <v>5</v>
      </c>
      <c r="S190" s="238">
        <f t="shared" ca="1" si="66"/>
        <v>0</v>
      </c>
      <c r="T190" s="239">
        <f t="shared" si="67"/>
        <v>0</v>
      </c>
      <c r="U190" s="240">
        <f t="shared" ca="1" si="68"/>
        <v>0</v>
      </c>
      <c r="W190" s="36" t="str">
        <f t="shared" ca="1" si="69"/>
        <v/>
      </c>
      <c r="X190" s="36" t="str">
        <f ca="1">IF(ISNUMBER($A190),$W190*(Methuselahs!$A$4+1)+$A190,"")</f>
        <v/>
      </c>
      <c r="Y190" s="36" t="str">
        <f t="shared" ca="1" si="70"/>
        <v/>
      </c>
      <c r="Z190" s="36" t="str">
        <f ca="1">IF(ISNUMBER($A190),VLOOKUP($A190,Methuselahs!$A$7:$X$206,5),"")</f>
        <v/>
      </c>
      <c r="AA190" s="36" t="str">
        <f t="shared" ca="1" si="71"/>
        <v/>
      </c>
    </row>
    <row r="191" spans="1:27" ht="12.95" customHeight="1" x14ac:dyDescent="0.2">
      <c r="A191" s="255" t="str">
        <f ca="1">IF(OR(ISBLANK('Tournament Info'!$B$11),'Tournament Info'!$B$11&lt;&gt;4),"",INDIRECT(ADDRESS(ROW(),3,1,1,"Optimal Seating "&amp;'Tournament Info'!$B$11-1&amp;"R+F")))</f>
        <v/>
      </c>
      <c r="B191" s="256" t="str">
        <f ca="1">IF(ISNUMBER(A191),VLOOKUP(A191,Methuselahs!$A$7:$E$206,2,0),"")</f>
        <v/>
      </c>
      <c r="C191" s="257" t="str">
        <f ca="1">IF(ISNUMBER(A191),VLOOKUP(A191,Methuselahs!$A$7:$E$206,3,0),"")</f>
        <v/>
      </c>
      <c r="D191" s="258" t="str">
        <f t="shared" ca="1" si="60"/>
        <v/>
      </c>
      <c r="E191" s="259"/>
      <c r="F191" s="398">
        <f t="shared" si="61"/>
        <v>0</v>
      </c>
      <c r="G191" s="244" t="str">
        <f t="shared" ca="1" si="62"/>
        <v/>
      </c>
      <c r="H191" s="245" t="str">
        <f ca="1">IF(ISNUMBER(A191),IF(OR($S191=$U191,NOT(ISNA(MATCH($D191*5+$V$4,Override!$C$6:$C$125,0)))),$Q191,0),"")</f>
        <v/>
      </c>
      <c r="I191" s="147" t="str">
        <f t="shared" ca="1" si="63"/>
        <v/>
      </c>
      <c r="J191" s="260">
        <f ca="1">COUNT(A187:A191)</f>
        <v>0</v>
      </c>
      <c r="K191" s="261" t="str">
        <f ca="1">IF(ISNUMBER(A191),RANK(F191,F187:F191),"")</f>
        <v/>
      </c>
      <c r="L191" s="262">
        <f ca="1">IF(J191=5,VLOOKUP(K191,TPMatrix!$A$6:$B$10,2,0),IF(J191=4,VLOOKUP(K191,TPMatrix!$D$6:$E$9,2,0),0))</f>
        <v>0</v>
      </c>
      <c r="M191" s="262">
        <f ca="1">IF(COUNTIF(K187:K191,K191)&gt;=2,IF(J191=5,VLOOKUP(K191+1,TPMatrix!$A$6:$B$10,2,0),IF(J191=4,VLOOKUP(K191+1,TPMatrix!$D$6:$E$9,2,0),0)),"")</f>
        <v>0</v>
      </c>
      <c r="N191" s="262">
        <f ca="1">IF(COUNTIF(K187:K191,K191)&gt;=3,IF(J191=5,VLOOKUP(K191+2,TPMatrix!$A$6:$B$10,2,0),IF(J191=4,VLOOKUP(K191+2,TPMatrix!$D$6:$E$9,2,0),0)),"")</f>
        <v>0</v>
      </c>
      <c r="O191" s="262">
        <f ca="1">IF(COUNTIF(K187:K191,K191)&gt;=4,IF(J191=5,VLOOKUP(K191+3,TPMatrix!$A$6:$B$10,2,0),IF(J191=4,VLOOKUP(K191+3,TPMatrix!$D$6:$E$9,2,0),0)),"")</f>
        <v>0</v>
      </c>
      <c r="P191" s="262">
        <f ca="1">IF(COUNTIF(K187:K191,K191)&gt;=5,IF(J191=5,VLOOKUP(K191+4,TPMatrix!$A$6:$B$10,2,0),IF(J191=4,VLOOKUP(K191+4,TPMatrix!$D$6:$E$9,2,0),0)),"")</f>
        <v>0</v>
      </c>
      <c r="Q191" s="262">
        <f t="shared" ca="1" si="64"/>
        <v>0</v>
      </c>
      <c r="R191" s="263">
        <f t="shared" ca="1" si="65"/>
        <v>5</v>
      </c>
      <c r="S191" s="261">
        <f t="shared" ca="1" si="66"/>
        <v>0</v>
      </c>
      <c r="T191" s="262">
        <f t="shared" si="67"/>
        <v>0</v>
      </c>
      <c r="U191" s="263">
        <f t="shared" ca="1" si="68"/>
        <v>0</v>
      </c>
      <c r="W191" s="36" t="str">
        <f t="shared" ca="1" si="69"/>
        <v/>
      </c>
      <c r="X191" s="36" t="str">
        <f ca="1">IF(ISNUMBER($A191),$W191*(Methuselahs!$A$4+1)+$A191,"")</f>
        <v/>
      </c>
      <c r="Y191" s="36" t="str">
        <f t="shared" ca="1" si="70"/>
        <v/>
      </c>
      <c r="Z191" s="36" t="str">
        <f ca="1">IF(ISNUMBER($A191),VLOOKUP($A191,Methuselahs!$A$7:$X$206,5),"")</f>
        <v/>
      </c>
      <c r="AA191" s="36" t="str">
        <f t="shared" ca="1" si="71"/>
        <v/>
      </c>
    </row>
    <row r="192" spans="1:27" ht="12.95" customHeight="1" x14ac:dyDescent="0.2">
      <c r="A192" s="219" t="str">
        <f ca="1">IF(OR(ISBLANK('Tournament Info'!$B$11),'Tournament Info'!$B$11&lt;&gt;4),"",INDIRECT(ADDRESS(ROW(),3,1,1,"Optimal Seating "&amp;'Tournament Info'!$B$11-1&amp;"R+F")))</f>
        <v/>
      </c>
      <c r="B192" s="143" t="str">
        <f ca="1">IF(ISNUMBER(A192),VLOOKUP(A192,Methuselahs!$A$7:$E$206,2,0),"")</f>
        <v/>
      </c>
      <c r="C192" s="220" t="str">
        <f ca="1">IF(ISNUMBER(A192),VLOOKUP(A192,Methuselahs!$A$7:$E$206,3,0),"")</f>
        <v/>
      </c>
      <c r="D192" s="221" t="str">
        <f t="shared" ca="1" si="60"/>
        <v/>
      </c>
      <c r="E192" s="222"/>
      <c r="F192" s="393">
        <f t="shared" si="61"/>
        <v>0</v>
      </c>
      <c r="G192" s="223" t="str">
        <f t="shared" ca="1" si="62"/>
        <v/>
      </c>
      <c r="H192" s="224" t="str">
        <f ca="1">IF(ISNUMBER(A192),IF(OR($S192=$U192,NOT(ISNA(MATCH($D192*5+$V$4,Override!$C$6:$C$125,0)))),$Q192,0),"")</f>
        <v/>
      </c>
      <c r="I192" s="406" t="str">
        <f t="shared" ca="1" si="63"/>
        <v/>
      </c>
      <c r="J192" s="225">
        <f ca="1">COUNT(A192:A196)</f>
        <v>0</v>
      </c>
      <c r="K192" s="226" t="str">
        <f ca="1">IF(ISNUMBER(A192),RANK(F192,F192:F196),"")</f>
        <v/>
      </c>
      <c r="L192" s="227">
        <f ca="1">IF(J192=5,VLOOKUP(K192,TPMatrix!$A$6:$B$10,2,0),IF(J192=4,VLOOKUP(K192,TPMatrix!$D$6:$E$9,2,0),0))</f>
        <v>0</v>
      </c>
      <c r="M192" s="227">
        <f ca="1">IF(COUNTIF(K192:K196,K192)&gt;=2,IF(J192=5,VLOOKUP(K192+1,TPMatrix!$A$6:$B$10,2,0),IF(J192=4,VLOOKUP(K192+1,TPMatrix!$D$6:$E$9,2,0),0)),"")</f>
        <v>0</v>
      </c>
      <c r="N192" s="227">
        <f ca="1">IF(COUNTIF(K192:K196,K192)&gt;=3,IF(J192=5,VLOOKUP(K192+2,TPMatrix!$A$6:$B$10,2,0),IF(J192=4,VLOOKUP(K192+2,TPMatrix!$D$6:$E$9,2,0),0)),"")</f>
        <v>0</v>
      </c>
      <c r="O192" s="227">
        <f ca="1">IF(COUNTIF(K192:K196,K192)&gt;=4,IF(J192=5,VLOOKUP(K192+3,TPMatrix!$A$6:$B$10,2,0),IF(J192=4,VLOOKUP(K192+3,TPMatrix!$D$6:$E$9,2,0),0)),"")</f>
        <v>0</v>
      </c>
      <c r="P192" s="227">
        <f ca="1">IF(COUNTIF(K192:K196,K192)&gt;=5,IF(J192=5,VLOOKUP(K192+4,TPMatrix!$A$6:$B$10,2,0),IF(J192=4,VLOOKUP(K192+4,TPMatrix!$D$6:$E$9,2,0),0)),"")</f>
        <v>0</v>
      </c>
      <c r="Q192" s="227">
        <f t="shared" ca="1" si="64"/>
        <v>0</v>
      </c>
      <c r="R192" s="228">
        <f t="shared" ca="1" si="65"/>
        <v>5</v>
      </c>
      <c r="S192" s="229">
        <f t="shared" ca="1" si="66"/>
        <v>0</v>
      </c>
      <c r="T192" s="230">
        <f t="shared" si="67"/>
        <v>0</v>
      </c>
      <c r="U192" s="231">
        <f t="shared" ca="1" si="68"/>
        <v>0</v>
      </c>
      <c r="W192" s="36" t="str">
        <f t="shared" ca="1" si="69"/>
        <v/>
      </c>
      <c r="X192" s="36" t="str">
        <f ca="1">IF(ISNUMBER($A192),$W192*(Methuselahs!$A$4+1)+$A192,"")</f>
        <v/>
      </c>
      <c r="Y192" s="36" t="str">
        <f t="shared" ca="1" si="70"/>
        <v/>
      </c>
      <c r="Z192" s="36" t="str">
        <f ca="1">IF(ISNUMBER($A192),VLOOKUP($A192,Methuselahs!$A$7:$X$206,5),"")</f>
        <v/>
      </c>
      <c r="AA192" s="36" t="str">
        <f t="shared" ca="1" si="71"/>
        <v/>
      </c>
    </row>
    <row r="193" spans="1:27" ht="12.95" customHeight="1" x14ac:dyDescent="0.2">
      <c r="A193" s="111" t="str">
        <f ca="1">IF(OR(ISBLANK('Tournament Info'!$B$11),'Tournament Info'!$B$11&lt;&gt;4),"",INDIRECT(ADDRESS(ROW(),3,1,1,"Optimal Seating "&amp;'Tournament Info'!$B$11-1&amp;"R+F")))</f>
        <v/>
      </c>
      <c r="B193" s="117" t="str">
        <f ca="1">IF(ISNUMBER(A193),VLOOKUP(A193,Methuselahs!$A$7:$E$206,2,0),"")</f>
        <v/>
      </c>
      <c r="C193" s="232" t="str">
        <f ca="1">IF(ISNUMBER(A193),VLOOKUP(A193,Methuselahs!$A$7:$E$206,3,0),"")</f>
        <v/>
      </c>
      <c r="D193" s="233" t="str">
        <f t="shared" ca="1" si="60"/>
        <v/>
      </c>
      <c r="E193" s="234"/>
      <c r="F193" s="118">
        <f t="shared" si="61"/>
        <v>0</v>
      </c>
      <c r="G193" s="235" t="str">
        <f t="shared" ca="1" si="62"/>
        <v/>
      </c>
      <c r="H193" s="236" t="str">
        <f ca="1">IF(ISNUMBER(A193),IF(OR($S193=$U193,NOT(ISNA(MATCH($D193*5+$V$4,Override!$C$6:$C$125,0)))),$Q193,0),"")</f>
        <v/>
      </c>
      <c r="I193" s="121" t="str">
        <f t="shared" ca="1" si="63"/>
        <v/>
      </c>
      <c r="J193" s="237">
        <f ca="1">COUNT(A192:A196)</f>
        <v>0</v>
      </c>
      <c r="K193" s="238" t="str">
        <f ca="1">IF(ISNUMBER(A193),RANK(F193,F192:F196),"")</f>
        <v/>
      </c>
      <c r="L193" s="239">
        <f ca="1">IF(J193=5,VLOOKUP(K193,TPMatrix!$A$6:$B$10,2,0),IF(J193=4,VLOOKUP(K193,TPMatrix!$D$6:$E$9,2,0),0))</f>
        <v>0</v>
      </c>
      <c r="M193" s="239">
        <f ca="1">IF(COUNTIF(K192:K196,K193)&gt;=2,IF(J193=5,VLOOKUP(K193+1,TPMatrix!$A$6:$B$10,2,0),IF(J193=4,VLOOKUP(K193+1,TPMatrix!$D$6:$E$9,2,0),0)),"")</f>
        <v>0</v>
      </c>
      <c r="N193" s="239">
        <f ca="1">IF(COUNTIF(K192:K196,K193)&gt;=3,IF(J193=5,VLOOKUP(K193+2,TPMatrix!$A$6:$B$10,2,0),IF(J193=4,VLOOKUP(K193+2,TPMatrix!$D$6:$E$9,2,0),0)),"")</f>
        <v>0</v>
      </c>
      <c r="O193" s="239">
        <f ca="1">IF(COUNTIF(K192:K196,K193)&gt;=4,IF(J193=5,VLOOKUP(K193+3,TPMatrix!$A$6:$B$10,2,0),IF(J193=4,VLOOKUP(K193+3,TPMatrix!$D$6:$E$9,2,0),0)),"")</f>
        <v>0</v>
      </c>
      <c r="P193" s="239">
        <f ca="1">IF(COUNTIF(K192:K196,K193)&gt;=5,IF(J193=5,VLOOKUP(K193+4,TPMatrix!$A$6:$B$10,2,0),IF(J193=4,VLOOKUP(K193+4,TPMatrix!$D$6:$E$9,2,0),0)),"")</f>
        <v>0</v>
      </c>
      <c r="Q193" s="239">
        <f t="shared" ca="1" si="64"/>
        <v>0</v>
      </c>
      <c r="R193" s="240">
        <f t="shared" ca="1" si="65"/>
        <v>5</v>
      </c>
      <c r="S193" s="238">
        <f t="shared" ca="1" si="66"/>
        <v>0</v>
      </c>
      <c r="T193" s="239">
        <f t="shared" si="67"/>
        <v>0</v>
      </c>
      <c r="U193" s="240">
        <f t="shared" ca="1" si="68"/>
        <v>0</v>
      </c>
      <c r="W193" s="36" t="str">
        <f t="shared" ca="1" si="69"/>
        <v/>
      </c>
      <c r="X193" s="36" t="str">
        <f ca="1">IF(ISNUMBER($A193),$W193*(Methuselahs!$A$4+1)+$A193,"")</f>
        <v/>
      </c>
      <c r="Y193" s="36" t="str">
        <f t="shared" ca="1" si="70"/>
        <v/>
      </c>
      <c r="Z193" s="36" t="str">
        <f ca="1">IF(ISNUMBER($A193),VLOOKUP($A193,Methuselahs!$A$7:$X$206,5),"")</f>
        <v/>
      </c>
      <c r="AA193" s="36" t="str">
        <f t="shared" ca="1" si="71"/>
        <v/>
      </c>
    </row>
    <row r="194" spans="1:27" ht="12.95" customHeight="1" x14ac:dyDescent="0.2">
      <c r="A194" s="137" t="str">
        <f ca="1">IF(OR(ISBLANK('Tournament Info'!$B$11),'Tournament Info'!$B$11&lt;&gt;4),"",INDIRECT(ADDRESS(ROW(),3,1,1,"Optimal Seating "&amp;'Tournament Info'!$B$11-1&amp;"R+F")))</f>
        <v/>
      </c>
      <c r="B194" s="143" t="str">
        <f ca="1">IF(ISNUMBER(A194),VLOOKUP(A194,Methuselahs!$A$7:$E$206,2,0),"")</f>
        <v/>
      </c>
      <c r="C194" s="241" t="str">
        <f ca="1">IF(ISNUMBER(A194),VLOOKUP(A194,Methuselahs!$A$7:$E$206,3,0),"")</f>
        <v/>
      </c>
      <c r="D194" s="242" t="str">
        <f t="shared" ca="1" si="60"/>
        <v/>
      </c>
      <c r="E194" s="243"/>
      <c r="F194" s="144">
        <f t="shared" si="61"/>
        <v>0</v>
      </c>
      <c r="G194" s="244" t="str">
        <f t="shared" ca="1" si="62"/>
        <v/>
      </c>
      <c r="H194" s="245" t="str">
        <f ca="1">IF(ISNUMBER(A194),IF(OR($S194=$U194,NOT(ISNA(MATCH($D194*5+$V$4,Override!$C$6:$C$125,0)))),$Q194,0),"")</f>
        <v/>
      </c>
      <c r="I194" s="147" t="str">
        <f t="shared" ca="1" si="63"/>
        <v/>
      </c>
      <c r="J194" s="246">
        <f ca="1">COUNT(A192:A196)</f>
        <v>0</v>
      </c>
      <c r="K194" s="247" t="str">
        <f ca="1">IF(ISNUMBER(A194),RANK(F194,F192:F196),"")</f>
        <v/>
      </c>
      <c r="L194" s="142">
        <f ca="1">IF(J194=5,VLOOKUP(K194,TPMatrix!$A$6:$B$10,2,0),IF(J194=4,VLOOKUP(K194,TPMatrix!$D$6:$E$9,2,0),0))</f>
        <v>0</v>
      </c>
      <c r="M194" s="142">
        <f ca="1">IF(COUNTIF(K192:K196,K194)&gt;=2,IF(J194=5,VLOOKUP(K194+1,TPMatrix!$A$6:$B$10,2,0),IF(J194=4,VLOOKUP(K194+1,TPMatrix!$D$6:$E$9,2,0),0)),"")</f>
        <v>0</v>
      </c>
      <c r="N194" s="142">
        <f ca="1">IF(COUNTIF(K192:K196,K194)&gt;=3,IF(J194=5,VLOOKUP(K194+2,TPMatrix!$A$6:$B$10,2,0),IF(J194=4,VLOOKUP(K194+2,TPMatrix!$D$6:$E$9,2,0),0)),"")</f>
        <v>0</v>
      </c>
      <c r="O194" s="142">
        <f ca="1">IF(COUNTIF(K192:K196,K194)&gt;=4,IF(J194=5,VLOOKUP(K194+3,TPMatrix!$A$6:$B$10,2,0),IF(J194=4,VLOOKUP(K194+3,TPMatrix!$D$6:$E$9,2,0),0)),"")</f>
        <v>0</v>
      </c>
      <c r="P194" s="142">
        <f ca="1">IF(COUNTIF(K192:K196,K194)&gt;=5,IF(J194=5,VLOOKUP(K194+4,TPMatrix!$A$6:$B$10,2,0),IF(J194=4,VLOOKUP(K194+4,TPMatrix!$D$6:$E$9,2,0),0)),"")</f>
        <v>0</v>
      </c>
      <c r="Q194" s="142">
        <f t="shared" ca="1" si="64"/>
        <v>0</v>
      </c>
      <c r="R194" s="248">
        <f t="shared" ca="1" si="65"/>
        <v>5</v>
      </c>
      <c r="S194" s="247">
        <f t="shared" ca="1" si="66"/>
        <v>0</v>
      </c>
      <c r="T194" s="142">
        <f t="shared" si="67"/>
        <v>0</v>
      </c>
      <c r="U194" s="248">
        <f t="shared" ca="1" si="68"/>
        <v>0</v>
      </c>
      <c r="W194" s="36" t="str">
        <f t="shared" ca="1" si="69"/>
        <v/>
      </c>
      <c r="X194" s="36" t="str">
        <f ca="1">IF(ISNUMBER($A194),$W194*(Methuselahs!$A$4+1)+$A194,"")</f>
        <v/>
      </c>
      <c r="Y194" s="36" t="str">
        <f t="shared" ca="1" si="70"/>
        <v/>
      </c>
      <c r="Z194" s="36" t="str">
        <f ca="1">IF(ISNUMBER($A194),VLOOKUP($A194,Methuselahs!$A$7:$X$206,5),"")</f>
        <v/>
      </c>
      <c r="AA194" s="36" t="str">
        <f t="shared" ca="1" si="71"/>
        <v/>
      </c>
    </row>
    <row r="195" spans="1:27" ht="12.95" customHeight="1" x14ac:dyDescent="0.2">
      <c r="A195" s="249" t="str">
        <f ca="1">IF(OR(ISBLANK('Tournament Info'!$B$11),'Tournament Info'!$B$11&lt;&gt;4),"",INDIRECT(ADDRESS(ROW(),3,1,1,"Optimal Seating "&amp;'Tournament Info'!$B$11-1&amp;"R+F")))</f>
        <v/>
      </c>
      <c r="B195" s="250" t="str">
        <f ca="1">IF(ISNUMBER(A195),VLOOKUP(A195,Methuselahs!$A$7:$E$206,2,0),"")</f>
        <v/>
      </c>
      <c r="C195" s="251" t="str">
        <f ca="1">IF(ISNUMBER(A195),VLOOKUP(A195,Methuselahs!$A$7:$E$206,3,0),"")</f>
        <v/>
      </c>
      <c r="D195" s="252" t="str">
        <f t="shared" ca="1" si="60"/>
        <v/>
      </c>
      <c r="E195" s="253"/>
      <c r="F195" s="397">
        <f t="shared" si="61"/>
        <v>0</v>
      </c>
      <c r="G195" s="235" t="str">
        <f t="shared" ca="1" si="62"/>
        <v/>
      </c>
      <c r="H195" s="236" t="str">
        <f ca="1">IF(ISNUMBER(A195),IF(OR($S195=$U195,NOT(ISNA(MATCH($D195*5+$V$4,Override!$C$6:$C$125,0)))),$Q195,0),"")</f>
        <v/>
      </c>
      <c r="I195" s="121" t="str">
        <f t="shared" ca="1" si="63"/>
        <v/>
      </c>
      <c r="J195" s="254">
        <f ca="1">COUNT(A192:A196)</f>
        <v>0</v>
      </c>
      <c r="K195" s="238" t="str">
        <f ca="1">IF(ISNUMBER(A195),RANK(F195,F192:F196),"")</f>
        <v/>
      </c>
      <c r="L195" s="239">
        <f ca="1">IF(J195=5,VLOOKUP(K195,TPMatrix!$A$6:$B$10,2,0),IF(J195=4,VLOOKUP(K195,TPMatrix!$D$6:$E$9,2,0),0))</f>
        <v>0</v>
      </c>
      <c r="M195" s="239">
        <f ca="1">IF(COUNTIF(K192:K196,K195)&gt;=2,IF(J195=5,VLOOKUP(K195+1,TPMatrix!$A$6:$B$10,2,0),IF(J195=4,VLOOKUP(K195+1,TPMatrix!$D$6:$E$9,2,0),0)),"")</f>
        <v>0</v>
      </c>
      <c r="N195" s="239">
        <f ca="1">IF(COUNTIF(K192:K196,K195)&gt;=3,IF(J195=5,VLOOKUP(K195+2,TPMatrix!$A$6:$B$10,2,0),IF(J195=4,VLOOKUP(K195+2,TPMatrix!$D$6:$E$9,2,0),0)),"")</f>
        <v>0</v>
      </c>
      <c r="O195" s="239">
        <f ca="1">IF(COUNTIF(K192:K196,K195)&gt;=4,IF(J195=5,VLOOKUP(K195+3,TPMatrix!$A$6:$B$10,2,0),IF(J195=4,VLOOKUP(K195+3,TPMatrix!$D$6:$E$9,2,0),0)),"")</f>
        <v>0</v>
      </c>
      <c r="P195" s="239">
        <f ca="1">IF(COUNTIF(K192:K196,K195)&gt;=5,IF(J195=5,VLOOKUP(K195+4,TPMatrix!$A$6:$B$10,2,0),IF(J195=4,VLOOKUP(K195+4,TPMatrix!$D$6:$E$9,2,0),0)),"")</f>
        <v>0</v>
      </c>
      <c r="Q195" s="239">
        <f t="shared" ca="1" si="64"/>
        <v>0</v>
      </c>
      <c r="R195" s="240">
        <f t="shared" ca="1" si="65"/>
        <v>5</v>
      </c>
      <c r="S195" s="238">
        <f t="shared" ca="1" si="66"/>
        <v>0</v>
      </c>
      <c r="T195" s="239">
        <f t="shared" si="67"/>
        <v>0</v>
      </c>
      <c r="U195" s="240">
        <f t="shared" ca="1" si="68"/>
        <v>0</v>
      </c>
      <c r="W195" s="36" t="str">
        <f t="shared" ca="1" si="69"/>
        <v/>
      </c>
      <c r="X195" s="36" t="str">
        <f ca="1">IF(ISNUMBER($A195),$W195*(Methuselahs!$A$4+1)+$A195,"")</f>
        <v/>
      </c>
      <c r="Y195" s="36" t="str">
        <f t="shared" ca="1" si="70"/>
        <v/>
      </c>
      <c r="Z195" s="36" t="str">
        <f ca="1">IF(ISNUMBER($A195),VLOOKUP($A195,Methuselahs!$A$7:$X$206,5),"")</f>
        <v/>
      </c>
      <c r="AA195" s="36" t="str">
        <f t="shared" ca="1" si="71"/>
        <v/>
      </c>
    </row>
    <row r="196" spans="1:27" ht="12.95" customHeight="1" x14ac:dyDescent="0.2">
      <c r="A196" s="255" t="str">
        <f ca="1">IF(OR(ISBLANK('Tournament Info'!$B$11),'Tournament Info'!$B$11&lt;&gt;4),"",INDIRECT(ADDRESS(ROW(),3,1,1,"Optimal Seating "&amp;'Tournament Info'!$B$11-1&amp;"R+F")))</f>
        <v/>
      </c>
      <c r="B196" s="256" t="str">
        <f ca="1">IF(ISNUMBER(A196),VLOOKUP(A196,Methuselahs!$A$7:$E$206,2,0),"")</f>
        <v/>
      </c>
      <c r="C196" s="257" t="str">
        <f ca="1">IF(ISNUMBER(A196),VLOOKUP(A196,Methuselahs!$A$7:$E$206,3,0),"")</f>
        <v/>
      </c>
      <c r="D196" s="258" t="str">
        <f t="shared" ca="1" si="60"/>
        <v/>
      </c>
      <c r="E196" s="259"/>
      <c r="F196" s="398">
        <f t="shared" si="61"/>
        <v>0</v>
      </c>
      <c r="G196" s="244" t="str">
        <f t="shared" ca="1" si="62"/>
        <v/>
      </c>
      <c r="H196" s="245" t="str">
        <f ca="1">IF(ISNUMBER(A196),IF(OR($S196=$U196,NOT(ISNA(MATCH($D196*5+$V$4,Override!$C$6:$C$125,0)))),$Q196,0),"")</f>
        <v/>
      </c>
      <c r="I196" s="147" t="str">
        <f t="shared" ca="1" si="63"/>
        <v/>
      </c>
      <c r="J196" s="260">
        <f ca="1">COUNT(A192:A196)</f>
        <v>0</v>
      </c>
      <c r="K196" s="261" t="str">
        <f ca="1">IF(ISNUMBER(A196),RANK(F196,F192:F196),"")</f>
        <v/>
      </c>
      <c r="L196" s="262">
        <f ca="1">IF(J196=5,VLOOKUP(K196,TPMatrix!$A$6:$B$10,2,0),IF(J196=4,VLOOKUP(K196,TPMatrix!$D$6:$E$9,2,0),0))</f>
        <v>0</v>
      </c>
      <c r="M196" s="262">
        <f ca="1">IF(COUNTIF(K192:K196,K196)&gt;=2,IF(J196=5,VLOOKUP(K196+1,TPMatrix!$A$6:$B$10,2,0),IF(J196=4,VLOOKUP(K196+1,TPMatrix!$D$6:$E$9,2,0),0)),"")</f>
        <v>0</v>
      </c>
      <c r="N196" s="262">
        <f ca="1">IF(COUNTIF(K192:K196,K196)&gt;=3,IF(J196=5,VLOOKUP(K196+2,TPMatrix!$A$6:$B$10,2,0),IF(J196=4,VLOOKUP(K196+2,TPMatrix!$D$6:$E$9,2,0),0)),"")</f>
        <v>0</v>
      </c>
      <c r="O196" s="262">
        <f ca="1">IF(COUNTIF(K192:K196,K196)&gt;=4,IF(J196=5,VLOOKUP(K196+3,TPMatrix!$A$6:$B$10,2,0),IF(J196=4,VLOOKUP(K196+3,TPMatrix!$D$6:$E$9,2,0),0)),"")</f>
        <v>0</v>
      </c>
      <c r="P196" s="262">
        <f ca="1">IF(COUNTIF(K192:K196,K196)&gt;=5,IF(J196=5,VLOOKUP(K196+4,TPMatrix!$A$6:$B$10,2,0),IF(J196=4,VLOOKUP(K196+4,TPMatrix!$D$6:$E$9,2,0),0)),"")</f>
        <v>0</v>
      </c>
      <c r="Q196" s="262">
        <f t="shared" ca="1" si="64"/>
        <v>0</v>
      </c>
      <c r="R196" s="263">
        <f t="shared" ca="1" si="65"/>
        <v>5</v>
      </c>
      <c r="S196" s="261">
        <f t="shared" ca="1" si="66"/>
        <v>0</v>
      </c>
      <c r="T196" s="262">
        <f t="shared" si="67"/>
        <v>0</v>
      </c>
      <c r="U196" s="263">
        <f t="shared" ca="1" si="68"/>
        <v>0</v>
      </c>
      <c r="W196" s="36" t="str">
        <f t="shared" ca="1" si="69"/>
        <v/>
      </c>
      <c r="X196" s="36" t="str">
        <f ca="1">IF(ISNUMBER($A196),$W196*(Methuselahs!$A$4+1)+$A196,"")</f>
        <v/>
      </c>
      <c r="Y196" s="36" t="str">
        <f t="shared" ca="1" si="70"/>
        <v/>
      </c>
      <c r="Z196" s="36" t="str">
        <f ca="1">IF(ISNUMBER($A196),VLOOKUP($A196,Methuselahs!$A$7:$X$206,5),"")</f>
        <v/>
      </c>
      <c r="AA196" s="36" t="str">
        <f t="shared" ca="1" si="71"/>
        <v/>
      </c>
    </row>
    <row r="197" spans="1:27" ht="12.95" customHeight="1" x14ac:dyDescent="0.2">
      <c r="A197" s="219" t="str">
        <f ca="1">IF(OR(ISBLANK('Tournament Info'!$B$11),'Tournament Info'!$B$11&lt;&gt;4),"",INDIRECT(ADDRESS(ROW(),3,1,1,"Optimal Seating "&amp;'Tournament Info'!$B$11-1&amp;"R+F")))</f>
        <v/>
      </c>
      <c r="B197" s="143" t="str">
        <f ca="1">IF(ISNUMBER(A197),VLOOKUP(A197,Methuselahs!$A$7:$E$206,2,0),"")</f>
        <v/>
      </c>
      <c r="C197" s="220" t="str">
        <f ca="1">IF(ISNUMBER(A197),VLOOKUP(A197,Methuselahs!$A$7:$E$206,3,0),"")</f>
        <v/>
      </c>
      <c r="D197" s="221" t="str">
        <f t="shared" ca="1" si="60"/>
        <v/>
      </c>
      <c r="E197" s="222"/>
      <c r="F197" s="393">
        <f t="shared" si="61"/>
        <v>0</v>
      </c>
      <c r="G197" s="223" t="str">
        <f t="shared" ca="1" si="62"/>
        <v/>
      </c>
      <c r="H197" s="224" t="str">
        <f ca="1">IF(ISNUMBER(A197),IF(OR($S197=$U197,NOT(ISNA(MATCH($D197*5+$V$4,Override!$C$6:$C$125,0)))),$Q197,0),"")</f>
        <v/>
      </c>
      <c r="I197" s="406" t="str">
        <f t="shared" ca="1" si="63"/>
        <v/>
      </c>
      <c r="J197" s="225">
        <f ca="1">COUNT(A197:A201)</f>
        <v>0</v>
      </c>
      <c r="K197" s="226" t="str">
        <f ca="1">IF(ISNUMBER(A197),RANK(F197,F197:F201),"")</f>
        <v/>
      </c>
      <c r="L197" s="227">
        <f ca="1">IF(J197=5,VLOOKUP(K197,TPMatrix!$A$6:$B$10,2,0),IF(J197=4,VLOOKUP(K197,TPMatrix!$D$6:$E$9,2,0),0))</f>
        <v>0</v>
      </c>
      <c r="M197" s="227">
        <f ca="1">IF(COUNTIF(K197:K201,K197)&gt;=2,IF(J197=5,VLOOKUP(K197+1,TPMatrix!$A$6:$B$10,2,0),IF(J197=4,VLOOKUP(K197+1,TPMatrix!$D$6:$E$9,2,0),0)),"")</f>
        <v>0</v>
      </c>
      <c r="N197" s="227">
        <f ca="1">IF(COUNTIF(K197:K201,K197)&gt;=3,IF(J197=5,VLOOKUP(K197+2,TPMatrix!$A$6:$B$10,2,0),IF(J197=4,VLOOKUP(K197+2,TPMatrix!$D$6:$E$9,2,0),0)),"")</f>
        <v>0</v>
      </c>
      <c r="O197" s="227">
        <f ca="1">IF(COUNTIF(K197:K201,K197)&gt;=4,IF(J197=5,VLOOKUP(K197+3,TPMatrix!$A$6:$B$10,2,0),IF(J197=4,VLOOKUP(K197+3,TPMatrix!$D$6:$E$9,2,0),0)),"")</f>
        <v>0</v>
      </c>
      <c r="P197" s="227">
        <f ca="1">IF(COUNTIF(K197:K201,K197)&gt;=5,IF(J197=5,VLOOKUP(K197+4,TPMatrix!$A$6:$B$10,2,0),IF(J197=4,VLOOKUP(K197+4,TPMatrix!$D$6:$E$9,2,0),0)),"")</f>
        <v>0</v>
      </c>
      <c r="Q197" s="227">
        <f t="shared" ca="1" si="64"/>
        <v>0</v>
      </c>
      <c r="R197" s="228">
        <f t="shared" ca="1" si="65"/>
        <v>5</v>
      </c>
      <c r="S197" s="229">
        <f t="shared" ca="1" si="66"/>
        <v>0</v>
      </c>
      <c r="T197" s="230">
        <f t="shared" si="67"/>
        <v>0</v>
      </c>
      <c r="U197" s="231">
        <f t="shared" ca="1" si="68"/>
        <v>0</v>
      </c>
      <c r="W197" s="36" t="str">
        <f t="shared" ca="1" si="69"/>
        <v/>
      </c>
      <c r="X197" s="36" t="str">
        <f ca="1">IF(ISNUMBER($A197),$W197*(Methuselahs!$A$4+1)+$A197,"")</f>
        <v/>
      </c>
      <c r="Y197" s="36" t="str">
        <f t="shared" ca="1" si="70"/>
        <v/>
      </c>
      <c r="Z197" s="36" t="str">
        <f ca="1">IF(ISNUMBER($A197),VLOOKUP($A197,Methuselahs!$A$7:$X$206,5),"")</f>
        <v/>
      </c>
      <c r="AA197" s="36" t="str">
        <f t="shared" ca="1" si="71"/>
        <v/>
      </c>
    </row>
    <row r="198" spans="1:27" ht="12.95" customHeight="1" x14ac:dyDescent="0.2">
      <c r="A198" s="111" t="str">
        <f ca="1">IF(OR(ISBLANK('Tournament Info'!$B$11),'Tournament Info'!$B$11&lt;&gt;4),"",INDIRECT(ADDRESS(ROW(),3,1,1,"Optimal Seating "&amp;'Tournament Info'!$B$11-1&amp;"R+F")))</f>
        <v/>
      </c>
      <c r="B198" s="117" t="str">
        <f ca="1">IF(ISNUMBER(A198),VLOOKUP(A198,Methuselahs!$A$7:$E$206,2,0),"")</f>
        <v/>
      </c>
      <c r="C198" s="232" t="str">
        <f ca="1">IF(ISNUMBER(A198),VLOOKUP(A198,Methuselahs!$A$7:$E$206,3,0),"")</f>
        <v/>
      </c>
      <c r="D198" s="233" t="str">
        <f t="shared" ca="1" si="60"/>
        <v/>
      </c>
      <c r="E198" s="234"/>
      <c r="F198" s="118">
        <f t="shared" si="61"/>
        <v>0</v>
      </c>
      <c r="G198" s="235" t="str">
        <f t="shared" ca="1" si="62"/>
        <v/>
      </c>
      <c r="H198" s="236" t="str">
        <f ca="1">IF(ISNUMBER(A198),IF(OR($S198=$U198,NOT(ISNA(MATCH($D198*5+$V$4,Override!$C$6:$C$125,0)))),$Q198,0),"")</f>
        <v/>
      </c>
      <c r="I198" s="121" t="str">
        <f t="shared" ca="1" si="63"/>
        <v/>
      </c>
      <c r="J198" s="237">
        <f ca="1">COUNT(A197:A201)</f>
        <v>0</v>
      </c>
      <c r="K198" s="238" t="str">
        <f ca="1">IF(ISNUMBER(A198),RANK(F198,F197:F201),"")</f>
        <v/>
      </c>
      <c r="L198" s="239">
        <f ca="1">IF(J198=5,VLOOKUP(K198,TPMatrix!$A$6:$B$10,2,0),IF(J198=4,VLOOKUP(K198,TPMatrix!$D$6:$E$9,2,0),0))</f>
        <v>0</v>
      </c>
      <c r="M198" s="239">
        <f ca="1">IF(COUNTIF(K197:K201,K198)&gt;=2,IF(J198=5,VLOOKUP(K198+1,TPMatrix!$A$6:$B$10,2,0),IF(J198=4,VLOOKUP(K198+1,TPMatrix!$D$6:$E$9,2,0),0)),"")</f>
        <v>0</v>
      </c>
      <c r="N198" s="239">
        <f ca="1">IF(COUNTIF(K197:K201,K198)&gt;=3,IF(J198=5,VLOOKUP(K198+2,TPMatrix!$A$6:$B$10,2,0),IF(J198=4,VLOOKUP(K198+2,TPMatrix!$D$6:$E$9,2,0),0)),"")</f>
        <v>0</v>
      </c>
      <c r="O198" s="239">
        <f ca="1">IF(COUNTIF(K197:K201,K198)&gt;=4,IF(J198=5,VLOOKUP(K198+3,TPMatrix!$A$6:$B$10,2,0),IF(J198=4,VLOOKUP(K198+3,TPMatrix!$D$6:$E$9,2,0),0)),"")</f>
        <v>0</v>
      </c>
      <c r="P198" s="239">
        <f ca="1">IF(COUNTIF(K197:K201,K198)&gt;=5,IF(J198=5,VLOOKUP(K198+4,TPMatrix!$A$6:$B$10,2,0),IF(J198=4,VLOOKUP(K198+4,TPMatrix!$D$6:$E$9,2,0),0)),"")</f>
        <v>0</v>
      </c>
      <c r="Q198" s="239">
        <f t="shared" ca="1" si="64"/>
        <v>0</v>
      </c>
      <c r="R198" s="240">
        <f t="shared" ca="1" si="65"/>
        <v>5</v>
      </c>
      <c r="S198" s="238">
        <f t="shared" ca="1" si="66"/>
        <v>0</v>
      </c>
      <c r="T198" s="239">
        <f t="shared" si="67"/>
        <v>0</v>
      </c>
      <c r="U198" s="240">
        <f t="shared" ca="1" si="68"/>
        <v>0</v>
      </c>
      <c r="W198" s="36" t="str">
        <f t="shared" ca="1" si="69"/>
        <v/>
      </c>
      <c r="X198" s="36" t="str">
        <f ca="1">IF(ISNUMBER($A198),$W198*(Methuselahs!$A$4+1)+$A198,"")</f>
        <v/>
      </c>
      <c r="Y198" s="36" t="str">
        <f t="shared" ca="1" si="70"/>
        <v/>
      </c>
      <c r="Z198" s="36" t="str">
        <f ca="1">IF(ISNUMBER($A198),VLOOKUP($A198,Methuselahs!$A$7:$X$206,5),"")</f>
        <v/>
      </c>
      <c r="AA198" s="36" t="str">
        <f t="shared" ca="1" si="71"/>
        <v/>
      </c>
    </row>
    <row r="199" spans="1:27" ht="12.95" customHeight="1" x14ac:dyDescent="0.2">
      <c r="A199" s="137" t="str">
        <f ca="1">IF(OR(ISBLANK('Tournament Info'!$B$11),'Tournament Info'!$B$11&lt;&gt;4),"",INDIRECT(ADDRESS(ROW(),3,1,1,"Optimal Seating "&amp;'Tournament Info'!$B$11-1&amp;"R+F")))</f>
        <v/>
      </c>
      <c r="B199" s="143" t="str">
        <f ca="1">IF(ISNUMBER(A199),VLOOKUP(A199,Methuselahs!$A$7:$E$206,2,0),"")</f>
        <v/>
      </c>
      <c r="C199" s="241" t="str">
        <f ca="1">IF(ISNUMBER(A199),VLOOKUP(A199,Methuselahs!$A$7:$E$206,3,0),"")</f>
        <v/>
      </c>
      <c r="D199" s="242" t="str">
        <f t="shared" ref="D199:D206" ca="1" si="72">IF(ISNUMBER(A199),FLOOR((ROW()-ROW($A$7))/5,1)+1,"")</f>
        <v/>
      </c>
      <c r="E199" s="243"/>
      <c r="F199" s="144">
        <f t="shared" ref="F199:F206" si="73">IF(ISNUMBER(E199),E199,0)</f>
        <v>0</v>
      </c>
      <c r="G199" s="244" t="str">
        <f t="shared" ref="G199:G206" ca="1" si="74">IF(ISNUMBER($A199),IF(AND($F199&gt;=2,$H199=60),1,0),"")</f>
        <v/>
      </c>
      <c r="H199" s="245" t="str">
        <f ca="1">IF(ISNUMBER(A199),IF(OR($S199=$U199,NOT(ISNA(MATCH($D199*5+$V$4,Override!$C$6:$C$125,0)))),$Q199,0),"")</f>
        <v/>
      </c>
      <c r="I199" s="147" t="str">
        <f t="shared" ref="I199:I206" ca="1" si="75">IF(ISNUMBER(A199),IF(J199=5,K199,IF(AND(J199=4,OR(K199=4,K199=3)),K199+1,K199)),"")</f>
        <v/>
      </c>
      <c r="J199" s="246">
        <f ca="1">COUNT(A197:A201)</f>
        <v>0</v>
      </c>
      <c r="K199" s="247" t="str">
        <f ca="1">IF(ISNUMBER(A199),RANK(F199,F197:F201),"")</f>
        <v/>
      </c>
      <c r="L199" s="142">
        <f ca="1">IF(J199=5,VLOOKUP(K199,TPMatrix!$A$6:$B$10,2,0),IF(J199=4,VLOOKUP(K199,TPMatrix!$D$6:$E$9,2,0),0))</f>
        <v>0</v>
      </c>
      <c r="M199" s="142">
        <f ca="1">IF(COUNTIF(K197:K201,K199)&gt;=2,IF(J199=5,VLOOKUP(K199+1,TPMatrix!$A$6:$B$10,2,0),IF(J199=4,VLOOKUP(K199+1,TPMatrix!$D$6:$E$9,2,0),0)),"")</f>
        <v>0</v>
      </c>
      <c r="N199" s="142">
        <f ca="1">IF(COUNTIF(K197:K201,K199)&gt;=3,IF(J199=5,VLOOKUP(K199+2,TPMatrix!$A$6:$B$10,2,0),IF(J199=4,VLOOKUP(K199+2,TPMatrix!$D$6:$E$9,2,0),0)),"")</f>
        <v>0</v>
      </c>
      <c r="O199" s="142">
        <f ca="1">IF(COUNTIF(K197:K201,K199)&gt;=4,IF(J199=5,VLOOKUP(K199+3,TPMatrix!$A$6:$B$10,2,0),IF(J199=4,VLOOKUP(K199+3,TPMatrix!$D$6:$E$9,2,0),0)),"")</f>
        <v>0</v>
      </c>
      <c r="P199" s="142">
        <f ca="1">IF(COUNTIF(K197:K201,K199)&gt;=5,IF(J199=5,VLOOKUP(K199+4,TPMatrix!$A$6:$B$10,2,0),IF(J199=4,VLOOKUP(K199+4,TPMatrix!$D$6:$E$9,2,0),0)),"")</f>
        <v>0</v>
      </c>
      <c r="Q199" s="142">
        <f t="shared" ref="Q199:Q206" ca="1" si="76">SUM(L199:P199)/COUNT(L199:P199)</f>
        <v>0</v>
      </c>
      <c r="R199" s="248">
        <f t="shared" ref="R199:R206" ca="1" si="77">COUNT(L199:P199)</f>
        <v>5</v>
      </c>
      <c r="S199" s="247">
        <f t="shared" ref="S199:S206" ca="1" si="78">IF(ISNUMBER($A199),COUNTIF($D$7:$D$206,$D199),0)</f>
        <v>0</v>
      </c>
      <c r="T199" s="142">
        <f t="shared" ref="T199:T206" si="79">CEILING($F199,1)</f>
        <v>0</v>
      </c>
      <c r="U199" s="248">
        <f t="shared" ref="U199:U206" ca="1" si="80">SUM(OFFSET(T199,-MOD(ROW()-ROW($U$7),5),0,5,1))</f>
        <v>0</v>
      </c>
      <c r="W199" s="36" t="str">
        <f t="shared" ref="W199:W206" ca="1" si="81">$I199</f>
        <v/>
      </c>
      <c r="X199" s="36" t="str">
        <f ca="1">IF(ISNUMBER($A199),$W199*(Methuselahs!$A$4+1)+$A199,"")</f>
        <v/>
      </c>
      <c r="Y199" s="36" t="str">
        <f t="shared" ref="Y199:Y206" ca="1" si="82">IF(ISNUMBER($A199),RANK($X199,$X199:$X203,1),"")</f>
        <v/>
      </c>
      <c r="Z199" s="36" t="str">
        <f ca="1">IF(ISNUMBER($A199),VLOOKUP($A199,Methuselahs!$A$7:$X$206,5),"")</f>
        <v/>
      </c>
      <c r="AA199" s="36" t="str">
        <f t="shared" ref="AA199:AA206" ca="1" si="83">$I199</f>
        <v/>
      </c>
    </row>
    <row r="200" spans="1:27" ht="12.95" customHeight="1" x14ac:dyDescent="0.2">
      <c r="A200" s="249" t="str">
        <f ca="1">IF(OR(ISBLANK('Tournament Info'!$B$11),'Tournament Info'!$B$11&lt;&gt;4),"",INDIRECT(ADDRESS(ROW(),3,1,1,"Optimal Seating "&amp;'Tournament Info'!$B$11-1&amp;"R+F")))</f>
        <v/>
      </c>
      <c r="B200" s="250" t="str">
        <f ca="1">IF(ISNUMBER(A200),VLOOKUP(A200,Methuselahs!$A$7:$E$206,2,0),"")</f>
        <v/>
      </c>
      <c r="C200" s="251" t="str">
        <f ca="1">IF(ISNUMBER(A200),VLOOKUP(A200,Methuselahs!$A$7:$E$206,3,0),"")</f>
        <v/>
      </c>
      <c r="D200" s="252" t="str">
        <f t="shared" ca="1" si="72"/>
        <v/>
      </c>
      <c r="E200" s="253"/>
      <c r="F200" s="397">
        <f t="shared" si="73"/>
        <v>0</v>
      </c>
      <c r="G200" s="235" t="str">
        <f t="shared" ca="1" si="74"/>
        <v/>
      </c>
      <c r="H200" s="236" t="str">
        <f ca="1">IF(ISNUMBER(A200),IF(OR($S200=$U200,NOT(ISNA(MATCH($D200*5+$V$4,Override!$C$6:$C$125,0)))),$Q200,0),"")</f>
        <v/>
      </c>
      <c r="I200" s="121" t="str">
        <f t="shared" ca="1" si="75"/>
        <v/>
      </c>
      <c r="J200" s="254">
        <f ca="1">COUNT(A197:A201)</f>
        <v>0</v>
      </c>
      <c r="K200" s="238" t="str">
        <f ca="1">IF(ISNUMBER(A200),RANK(F200,F197:F201),"")</f>
        <v/>
      </c>
      <c r="L200" s="239">
        <f ca="1">IF(J200=5,VLOOKUP(K200,TPMatrix!$A$6:$B$10,2,0),IF(J200=4,VLOOKUP(K200,TPMatrix!$D$6:$E$9,2,0),0))</f>
        <v>0</v>
      </c>
      <c r="M200" s="239">
        <f ca="1">IF(COUNTIF(K197:K201,K200)&gt;=2,IF(J200=5,VLOOKUP(K200+1,TPMatrix!$A$6:$B$10,2,0),IF(J200=4,VLOOKUP(K200+1,TPMatrix!$D$6:$E$9,2,0),0)),"")</f>
        <v>0</v>
      </c>
      <c r="N200" s="239">
        <f ca="1">IF(COUNTIF(K197:K201,K200)&gt;=3,IF(J200=5,VLOOKUP(K200+2,TPMatrix!$A$6:$B$10,2,0),IF(J200=4,VLOOKUP(K200+2,TPMatrix!$D$6:$E$9,2,0),0)),"")</f>
        <v>0</v>
      </c>
      <c r="O200" s="239">
        <f ca="1">IF(COUNTIF(K197:K201,K200)&gt;=4,IF(J200=5,VLOOKUP(K200+3,TPMatrix!$A$6:$B$10,2,0),IF(J200=4,VLOOKUP(K200+3,TPMatrix!$D$6:$E$9,2,0),0)),"")</f>
        <v>0</v>
      </c>
      <c r="P200" s="239">
        <f ca="1">IF(COUNTIF(K197:K201,K200)&gt;=5,IF(J200=5,VLOOKUP(K200+4,TPMatrix!$A$6:$B$10,2,0),IF(J200=4,VLOOKUP(K200+4,TPMatrix!$D$6:$E$9,2,0),0)),"")</f>
        <v>0</v>
      </c>
      <c r="Q200" s="239">
        <f t="shared" ca="1" si="76"/>
        <v>0</v>
      </c>
      <c r="R200" s="240">
        <f t="shared" ca="1" si="77"/>
        <v>5</v>
      </c>
      <c r="S200" s="238">
        <f t="shared" ca="1" si="78"/>
        <v>0</v>
      </c>
      <c r="T200" s="239">
        <f t="shared" si="79"/>
        <v>0</v>
      </c>
      <c r="U200" s="240">
        <f t="shared" ca="1" si="80"/>
        <v>0</v>
      </c>
      <c r="W200" s="36" t="str">
        <f t="shared" ca="1" si="81"/>
        <v/>
      </c>
      <c r="X200" s="36" t="str">
        <f ca="1">IF(ISNUMBER($A200),$W200*(Methuselahs!$A$4+1)+$A200,"")</f>
        <v/>
      </c>
      <c r="Y200" s="36" t="str">
        <f t="shared" ca="1" si="82"/>
        <v/>
      </c>
      <c r="Z200" s="36" t="str">
        <f ca="1">IF(ISNUMBER($A200),VLOOKUP($A200,Methuselahs!$A$7:$X$206,5),"")</f>
        <v/>
      </c>
      <c r="AA200" s="36" t="str">
        <f t="shared" ca="1" si="83"/>
        <v/>
      </c>
    </row>
    <row r="201" spans="1:27" ht="12.95" customHeight="1" x14ac:dyDescent="0.2">
      <c r="A201" s="255" t="str">
        <f ca="1">IF(OR(ISBLANK('Tournament Info'!$B$11),'Tournament Info'!$B$11&lt;&gt;4),"",INDIRECT(ADDRESS(ROW(),3,1,1,"Optimal Seating "&amp;'Tournament Info'!$B$11-1&amp;"R+F")))</f>
        <v/>
      </c>
      <c r="B201" s="256" t="str">
        <f ca="1">IF(ISNUMBER(A201),VLOOKUP(A201,Methuselahs!$A$7:$E$206,2,0),"")</f>
        <v/>
      </c>
      <c r="C201" s="257" t="str">
        <f ca="1">IF(ISNUMBER(A201),VLOOKUP(A201,Methuselahs!$A$7:$E$206,3,0),"")</f>
        <v/>
      </c>
      <c r="D201" s="258" t="str">
        <f t="shared" ca="1" si="72"/>
        <v/>
      </c>
      <c r="E201" s="259"/>
      <c r="F201" s="398">
        <f t="shared" si="73"/>
        <v>0</v>
      </c>
      <c r="G201" s="244" t="str">
        <f t="shared" ca="1" si="74"/>
        <v/>
      </c>
      <c r="H201" s="245" t="str">
        <f ca="1">IF(ISNUMBER(A201),IF(OR($S201=$U201,NOT(ISNA(MATCH($D201*5+$V$4,Override!$C$6:$C$125,0)))),$Q201,0),"")</f>
        <v/>
      </c>
      <c r="I201" s="147" t="str">
        <f t="shared" ca="1" si="75"/>
        <v/>
      </c>
      <c r="J201" s="260">
        <f ca="1">COUNT(A197:A201)</f>
        <v>0</v>
      </c>
      <c r="K201" s="261" t="str">
        <f ca="1">IF(ISNUMBER(A201),RANK(F201,F197:F201),"")</f>
        <v/>
      </c>
      <c r="L201" s="262">
        <f ca="1">IF(J201=5,VLOOKUP(K201,TPMatrix!$A$6:$B$10,2,0),IF(J201=4,VLOOKUP(K201,TPMatrix!$D$6:$E$9,2,0),0))</f>
        <v>0</v>
      </c>
      <c r="M201" s="262">
        <f ca="1">IF(COUNTIF(K197:K201,K201)&gt;=2,IF(J201=5,VLOOKUP(K201+1,TPMatrix!$A$6:$B$10,2,0),IF(J201=4,VLOOKUP(K201+1,TPMatrix!$D$6:$E$9,2,0),0)),"")</f>
        <v>0</v>
      </c>
      <c r="N201" s="262">
        <f ca="1">IF(COUNTIF(K197:K201,K201)&gt;=3,IF(J201=5,VLOOKUP(K201+2,TPMatrix!$A$6:$B$10,2,0),IF(J201=4,VLOOKUP(K201+2,TPMatrix!$D$6:$E$9,2,0),0)),"")</f>
        <v>0</v>
      </c>
      <c r="O201" s="262">
        <f ca="1">IF(COUNTIF(K197:K201,K201)&gt;=4,IF(J201=5,VLOOKUP(K201+3,TPMatrix!$A$6:$B$10,2,0),IF(J201=4,VLOOKUP(K201+3,TPMatrix!$D$6:$E$9,2,0),0)),"")</f>
        <v>0</v>
      </c>
      <c r="P201" s="262">
        <f ca="1">IF(COUNTIF(K197:K201,K201)&gt;=5,IF(J201=5,VLOOKUP(K201+4,TPMatrix!$A$6:$B$10,2,0),IF(J201=4,VLOOKUP(K201+4,TPMatrix!$D$6:$E$9,2,0),0)),"")</f>
        <v>0</v>
      </c>
      <c r="Q201" s="262">
        <f t="shared" ca="1" si="76"/>
        <v>0</v>
      </c>
      <c r="R201" s="263">
        <f t="shared" ca="1" si="77"/>
        <v>5</v>
      </c>
      <c r="S201" s="261">
        <f t="shared" ca="1" si="78"/>
        <v>0</v>
      </c>
      <c r="T201" s="262">
        <f t="shared" si="79"/>
        <v>0</v>
      </c>
      <c r="U201" s="263">
        <f t="shared" ca="1" si="80"/>
        <v>0</v>
      </c>
      <c r="W201" s="36" t="str">
        <f t="shared" ca="1" si="81"/>
        <v/>
      </c>
      <c r="X201" s="36" t="str">
        <f ca="1">IF(ISNUMBER($A201),$W201*(Methuselahs!$A$4+1)+$A201,"")</f>
        <v/>
      </c>
      <c r="Y201" s="36" t="str">
        <f t="shared" ca="1" si="82"/>
        <v/>
      </c>
      <c r="Z201" s="36" t="str">
        <f ca="1">IF(ISNUMBER($A201),VLOOKUP($A201,Methuselahs!$A$7:$X$206,5),"")</f>
        <v/>
      </c>
      <c r="AA201" s="36" t="str">
        <f t="shared" ca="1" si="83"/>
        <v/>
      </c>
    </row>
    <row r="202" spans="1:27" ht="12.95" customHeight="1" x14ac:dyDescent="0.2">
      <c r="A202" s="219" t="str">
        <f ca="1">IF(OR(ISBLANK('Tournament Info'!$B$11),'Tournament Info'!$B$11&lt;&gt;4),"",INDIRECT(ADDRESS(ROW(),3,1,1,"Optimal Seating "&amp;'Tournament Info'!$B$11-1&amp;"R+F")))</f>
        <v/>
      </c>
      <c r="B202" s="264" t="str">
        <f ca="1">IF(ISNUMBER(A202),VLOOKUP(A202,Methuselahs!$A$7:$E$206,2,0),"")</f>
        <v/>
      </c>
      <c r="C202" s="220" t="str">
        <f ca="1">IF(ISNUMBER(A202),VLOOKUP(A202,Methuselahs!$A$7:$E$206,3,0),"")</f>
        <v/>
      </c>
      <c r="D202" s="221" t="str">
        <f t="shared" ca="1" si="72"/>
        <v/>
      </c>
      <c r="E202" s="222"/>
      <c r="F202" s="393">
        <f t="shared" si="73"/>
        <v>0</v>
      </c>
      <c r="G202" s="223" t="str">
        <f t="shared" ca="1" si="74"/>
        <v/>
      </c>
      <c r="H202" s="224" t="str">
        <f ca="1">IF(ISNUMBER(A202),IF(OR($S202=$U202,NOT(ISNA(MATCH($D202*5+$V$4,Override!$C$6:$C$125,0)))),$Q202,0),"")</f>
        <v/>
      </c>
      <c r="I202" s="406" t="str">
        <f t="shared" ca="1" si="75"/>
        <v/>
      </c>
      <c r="J202" s="225">
        <f ca="1">COUNT(A202:A206)</f>
        <v>0</v>
      </c>
      <c r="K202" s="226" t="str">
        <f ca="1">IF(ISNUMBER(A202),RANK(F202,F202:F206),"")</f>
        <v/>
      </c>
      <c r="L202" s="227">
        <f ca="1">IF(J202=5,VLOOKUP(K202,TPMatrix!$A$6:$B$10,2,0),IF(J202=4,VLOOKUP(K202,TPMatrix!$D$6:$E$9,2,0),0))</f>
        <v>0</v>
      </c>
      <c r="M202" s="227">
        <f ca="1">IF(COUNTIF(K202:K206,K202)&gt;=2,IF(J202=5,VLOOKUP(K202+1,TPMatrix!$A$6:$B$10,2,0),IF(J202=4,VLOOKUP(K202+1,TPMatrix!$D$6:$E$9,2,0),0)),"")</f>
        <v>0</v>
      </c>
      <c r="N202" s="227">
        <f ca="1">IF(COUNTIF(K202:K206,K202)&gt;=3,IF(J202=5,VLOOKUP(K202+2,TPMatrix!$A$6:$B$10,2,0),IF(J202=4,VLOOKUP(K202+2,TPMatrix!$D$6:$E$9,2,0),0)),"")</f>
        <v>0</v>
      </c>
      <c r="O202" s="227">
        <f ca="1">IF(COUNTIF(K202:K206,K202)&gt;=4,IF(J202=5,VLOOKUP(K202+3,TPMatrix!$A$6:$B$10,2,0),IF(J202=4,VLOOKUP(K202+3,TPMatrix!$D$6:$E$9,2,0),0)),"")</f>
        <v>0</v>
      </c>
      <c r="P202" s="227">
        <f ca="1">IF(COUNTIF(K202:K206,K202)&gt;=5,IF(J202=5,VLOOKUP(K202+4,TPMatrix!$A$6:$B$10,2,0),IF(J202=4,VLOOKUP(K202+4,TPMatrix!$D$6:$E$9,2,0),0)),"")</f>
        <v>0</v>
      </c>
      <c r="Q202" s="227">
        <f t="shared" ca="1" si="76"/>
        <v>0</v>
      </c>
      <c r="R202" s="228">
        <f t="shared" ca="1" si="77"/>
        <v>5</v>
      </c>
      <c r="S202" s="229">
        <f t="shared" ca="1" si="78"/>
        <v>0</v>
      </c>
      <c r="T202" s="230">
        <f t="shared" si="79"/>
        <v>0</v>
      </c>
      <c r="U202" s="231">
        <f t="shared" ca="1" si="80"/>
        <v>0</v>
      </c>
      <c r="W202" s="36" t="str">
        <f t="shared" ca="1" si="81"/>
        <v/>
      </c>
      <c r="X202" s="36" t="str">
        <f ca="1">IF(ISNUMBER($A202),$W202*(Methuselahs!$A$4+1)+$A202,"")</f>
        <v/>
      </c>
      <c r="Y202" s="36" t="str">
        <f t="shared" ca="1" si="82"/>
        <v/>
      </c>
      <c r="Z202" s="36" t="str">
        <f ca="1">IF(ISNUMBER($A202),VLOOKUP($A202,Methuselahs!$A$7:$X$206,5),"")</f>
        <v/>
      </c>
      <c r="AA202" s="36" t="str">
        <f t="shared" ca="1" si="83"/>
        <v/>
      </c>
    </row>
    <row r="203" spans="1:27" ht="12.95" customHeight="1" x14ac:dyDescent="0.2">
      <c r="A203" s="111" t="str">
        <f ca="1">IF(OR(ISBLANK('Tournament Info'!$B$11),'Tournament Info'!$B$11&lt;&gt;4),"",INDIRECT(ADDRESS(ROW(),3,1,1,"Optimal Seating "&amp;'Tournament Info'!$B$11-1&amp;"R+F")))</f>
        <v/>
      </c>
      <c r="B203" s="117" t="str">
        <f ca="1">IF(ISNUMBER(A203),VLOOKUP(A203,Methuselahs!$A$7:$E$206,2,0),"")</f>
        <v/>
      </c>
      <c r="C203" s="232" t="str">
        <f ca="1">IF(ISNUMBER(A203),VLOOKUP(A203,Methuselahs!$A$7:$E$206,3,0),"")</f>
        <v/>
      </c>
      <c r="D203" s="233" t="str">
        <f t="shared" ca="1" si="72"/>
        <v/>
      </c>
      <c r="E203" s="234"/>
      <c r="F203" s="118">
        <f t="shared" si="73"/>
        <v>0</v>
      </c>
      <c r="G203" s="235" t="str">
        <f t="shared" ca="1" si="74"/>
        <v/>
      </c>
      <c r="H203" s="236" t="str">
        <f ca="1">IF(ISNUMBER(A203),IF(OR($S203=$U203,NOT(ISNA(MATCH($D203*5+$V$4,Override!$C$6:$C$125,0)))),$Q203,0),"")</f>
        <v/>
      </c>
      <c r="I203" s="121" t="str">
        <f t="shared" ca="1" si="75"/>
        <v/>
      </c>
      <c r="J203" s="237">
        <f ca="1">COUNT(A202:A206)</f>
        <v>0</v>
      </c>
      <c r="K203" s="238" t="str">
        <f ca="1">IF(ISNUMBER(A203),RANK(F203,F202:F206),"")</f>
        <v/>
      </c>
      <c r="L203" s="239">
        <f ca="1">IF(J203=5,VLOOKUP(K203,TPMatrix!$A$6:$B$10,2,0),IF(J203=4,VLOOKUP(K203,TPMatrix!$D$6:$E$9,2,0),0))</f>
        <v>0</v>
      </c>
      <c r="M203" s="239">
        <f ca="1">IF(COUNTIF(K202:K206,K203)&gt;=2,IF(J203=5,VLOOKUP(K203+1,TPMatrix!$A$6:$B$10,2,0),IF(J203=4,VLOOKUP(K203+1,TPMatrix!$D$6:$E$9,2,0),0)),"")</f>
        <v>0</v>
      </c>
      <c r="N203" s="239">
        <f ca="1">IF(COUNTIF(K202:K206,K203)&gt;=3,IF(J203=5,VLOOKUP(K203+2,TPMatrix!$A$6:$B$10,2,0),IF(J203=4,VLOOKUP(K203+2,TPMatrix!$D$6:$E$9,2,0),0)),"")</f>
        <v>0</v>
      </c>
      <c r="O203" s="239">
        <f ca="1">IF(COUNTIF(K202:K206,K203)&gt;=4,IF(J203=5,VLOOKUP(K203+3,TPMatrix!$A$6:$B$10,2,0),IF(J203=4,VLOOKUP(K203+3,TPMatrix!$D$6:$E$9,2,0),0)),"")</f>
        <v>0</v>
      </c>
      <c r="P203" s="239">
        <f ca="1">IF(COUNTIF(K202:K206,K203)&gt;=5,IF(J203=5,VLOOKUP(K203+4,TPMatrix!$A$6:$B$10,2,0),IF(J203=4,VLOOKUP(K203+4,TPMatrix!$D$6:$E$9,2,0),0)),"")</f>
        <v>0</v>
      </c>
      <c r="Q203" s="239">
        <f t="shared" ca="1" si="76"/>
        <v>0</v>
      </c>
      <c r="R203" s="240">
        <f t="shared" ca="1" si="77"/>
        <v>5</v>
      </c>
      <c r="S203" s="238">
        <f t="shared" ca="1" si="78"/>
        <v>0</v>
      </c>
      <c r="T203" s="239">
        <f t="shared" si="79"/>
        <v>0</v>
      </c>
      <c r="U203" s="240">
        <f t="shared" ca="1" si="80"/>
        <v>0</v>
      </c>
      <c r="W203" s="36" t="str">
        <f t="shared" ca="1" si="81"/>
        <v/>
      </c>
      <c r="X203" s="36" t="str">
        <f ca="1">IF(ISNUMBER($A203),$W203*(Methuselahs!$A$4+1)+$A203,"")</f>
        <v/>
      </c>
      <c r="Y203" s="36" t="str">
        <f t="shared" ca="1" si="82"/>
        <v/>
      </c>
      <c r="Z203" s="36" t="str">
        <f ca="1">IF(ISNUMBER($A203),VLOOKUP($A203,Methuselahs!$A$7:$X$206,5),"")</f>
        <v/>
      </c>
      <c r="AA203" s="36" t="str">
        <f t="shared" ca="1" si="83"/>
        <v/>
      </c>
    </row>
    <row r="204" spans="1:27" ht="12.95" customHeight="1" x14ac:dyDescent="0.2">
      <c r="A204" s="137" t="str">
        <f ca="1">IF(OR(ISBLANK('Tournament Info'!$B$11),'Tournament Info'!$B$11&lt;&gt;4),"",INDIRECT(ADDRESS(ROW(),3,1,1,"Optimal Seating "&amp;'Tournament Info'!$B$11-1&amp;"R+F")))</f>
        <v/>
      </c>
      <c r="B204" s="143" t="str">
        <f ca="1">IF(ISNUMBER(A204),VLOOKUP(A204,Methuselahs!$A$7:$E$206,2,0),"")</f>
        <v/>
      </c>
      <c r="C204" s="241" t="str">
        <f ca="1">IF(ISNUMBER(A204),VLOOKUP(A204,Methuselahs!$A$7:$E$206,3,0),"")</f>
        <v/>
      </c>
      <c r="D204" s="242" t="str">
        <f t="shared" ca="1" si="72"/>
        <v/>
      </c>
      <c r="E204" s="243"/>
      <c r="F204" s="144">
        <f t="shared" si="73"/>
        <v>0</v>
      </c>
      <c r="G204" s="244" t="str">
        <f t="shared" ca="1" si="74"/>
        <v/>
      </c>
      <c r="H204" s="245" t="str">
        <f ca="1">IF(ISNUMBER(A204),IF(OR($S204=$U204,NOT(ISNA(MATCH($D204*5+$V$4,Override!$C$6:$C$125,0)))),$Q204,0),"")</f>
        <v/>
      </c>
      <c r="I204" s="147" t="str">
        <f t="shared" ca="1" si="75"/>
        <v/>
      </c>
      <c r="J204" s="246">
        <f ca="1">COUNT(A202:A206)</f>
        <v>0</v>
      </c>
      <c r="K204" s="247" t="str">
        <f ca="1">IF(ISNUMBER(A204),RANK(F204,F202:F206),"")</f>
        <v/>
      </c>
      <c r="L204" s="142">
        <f ca="1">IF(J204=5,VLOOKUP(K204,TPMatrix!$A$6:$B$10,2,0),IF(J204=4,VLOOKUP(K204,TPMatrix!$D$6:$E$9,2,0),0))</f>
        <v>0</v>
      </c>
      <c r="M204" s="142">
        <f ca="1">IF(COUNTIF(K202:K206,K204)&gt;=2,IF(J204=5,VLOOKUP(K204+1,TPMatrix!$A$6:$B$10,2,0),IF(J204=4,VLOOKUP(K204+1,TPMatrix!$D$6:$E$9,2,0),0)),"")</f>
        <v>0</v>
      </c>
      <c r="N204" s="142">
        <f ca="1">IF(COUNTIF(K202:K206,K204)&gt;=3,IF(J204=5,VLOOKUP(K204+2,TPMatrix!$A$6:$B$10,2,0),IF(J204=4,VLOOKUP(K204+2,TPMatrix!$D$6:$E$9,2,0),0)),"")</f>
        <v>0</v>
      </c>
      <c r="O204" s="142">
        <f ca="1">IF(COUNTIF(K202:K206,K204)&gt;=4,IF(J204=5,VLOOKUP(K204+3,TPMatrix!$A$6:$B$10,2,0),IF(J204=4,VLOOKUP(K204+3,TPMatrix!$D$6:$E$9,2,0),0)),"")</f>
        <v>0</v>
      </c>
      <c r="P204" s="142">
        <f ca="1">IF(COUNTIF(K202:K206,K204)&gt;=5,IF(J204=5,VLOOKUP(K204+4,TPMatrix!$A$6:$B$10,2,0),IF(J204=4,VLOOKUP(K204+4,TPMatrix!$D$6:$E$9,2,0),0)),"")</f>
        <v>0</v>
      </c>
      <c r="Q204" s="142">
        <f t="shared" ca="1" si="76"/>
        <v>0</v>
      </c>
      <c r="R204" s="248">
        <f t="shared" ca="1" si="77"/>
        <v>5</v>
      </c>
      <c r="S204" s="247">
        <f t="shared" ca="1" si="78"/>
        <v>0</v>
      </c>
      <c r="T204" s="142">
        <f t="shared" si="79"/>
        <v>0</v>
      </c>
      <c r="U204" s="248">
        <f t="shared" ca="1" si="80"/>
        <v>0</v>
      </c>
      <c r="W204" s="36" t="str">
        <f t="shared" ca="1" si="81"/>
        <v/>
      </c>
      <c r="X204" s="36" t="str">
        <f ca="1">IF(ISNUMBER($A204),$W204*(Methuselahs!$A$4+1)+$A204,"")</f>
        <v/>
      </c>
      <c r="Y204" s="36" t="str">
        <f t="shared" ca="1" si="82"/>
        <v/>
      </c>
      <c r="Z204" s="36" t="str">
        <f ca="1">IF(ISNUMBER($A204),VLOOKUP($A204,Methuselahs!$A$7:$X$206,5),"")</f>
        <v/>
      </c>
      <c r="AA204" s="36" t="str">
        <f t="shared" ca="1" si="83"/>
        <v/>
      </c>
    </row>
    <row r="205" spans="1:27" ht="12.95" customHeight="1" x14ac:dyDescent="0.2">
      <c r="A205" s="249" t="str">
        <f ca="1">IF(OR(ISBLANK('Tournament Info'!$B$11),'Tournament Info'!$B$11&lt;&gt;4),"",INDIRECT(ADDRESS(ROW(),3,1,1,"Optimal Seating "&amp;'Tournament Info'!$B$11-1&amp;"R+F")))</f>
        <v/>
      </c>
      <c r="B205" s="250" t="str">
        <f ca="1">IF(ISNUMBER(A205),VLOOKUP(A205,Methuselahs!$A$7:$E$206,2,0),"")</f>
        <v/>
      </c>
      <c r="C205" s="251" t="str">
        <f ca="1">IF(ISNUMBER(A205),VLOOKUP(A205,Methuselahs!$A$7:$E$206,3,0),"")</f>
        <v/>
      </c>
      <c r="D205" s="252" t="str">
        <f t="shared" ca="1" si="72"/>
        <v/>
      </c>
      <c r="E205" s="253"/>
      <c r="F205" s="397">
        <f t="shared" si="73"/>
        <v>0</v>
      </c>
      <c r="G205" s="235" t="str">
        <f t="shared" ca="1" si="74"/>
        <v/>
      </c>
      <c r="H205" s="236" t="str">
        <f ca="1">IF(ISNUMBER(A205),IF(OR($S205=$U205,NOT(ISNA(MATCH($D205*5+$V$4,Override!$C$6:$C$125,0)))),$Q205,0),"")</f>
        <v/>
      </c>
      <c r="I205" s="121" t="str">
        <f t="shared" ca="1" si="75"/>
        <v/>
      </c>
      <c r="J205" s="254">
        <f ca="1">COUNT(A202:A206)</f>
        <v>0</v>
      </c>
      <c r="K205" s="238" t="str">
        <f ca="1">IF(ISNUMBER(A205),RANK(F205,F202:F206),"")</f>
        <v/>
      </c>
      <c r="L205" s="239">
        <f ca="1">IF(J205=5,VLOOKUP(K205,TPMatrix!$A$6:$B$10,2,0),IF(J205=4,VLOOKUP(K205,TPMatrix!$D$6:$E$9,2,0),0))</f>
        <v>0</v>
      </c>
      <c r="M205" s="239">
        <f ca="1">IF(COUNTIF(K202:K206,K205)&gt;=2,IF(J205=5,VLOOKUP(K205+1,TPMatrix!$A$6:$B$10,2,0),IF(J205=4,VLOOKUP(K205+1,TPMatrix!$D$6:$E$9,2,0),0)),"")</f>
        <v>0</v>
      </c>
      <c r="N205" s="239">
        <f ca="1">IF(COUNTIF(K202:K206,K205)&gt;=3,IF(J205=5,VLOOKUP(K205+2,TPMatrix!$A$6:$B$10,2,0),IF(J205=4,VLOOKUP(K205+2,TPMatrix!$D$6:$E$9,2,0),0)),"")</f>
        <v>0</v>
      </c>
      <c r="O205" s="239">
        <f ca="1">IF(COUNTIF(K202:K206,K205)&gt;=4,IF(J205=5,VLOOKUP(K205+3,TPMatrix!$A$6:$B$10,2,0),IF(J205=4,VLOOKUP(K205+3,TPMatrix!$D$6:$E$9,2,0),0)),"")</f>
        <v>0</v>
      </c>
      <c r="P205" s="239">
        <f ca="1">IF(COUNTIF(K202:K206,K205)&gt;=5,IF(J205=5,VLOOKUP(K205+4,TPMatrix!$A$6:$B$10,2,0),IF(J205=4,VLOOKUP(K205+4,TPMatrix!$D$6:$E$9,2,0),0)),"")</f>
        <v>0</v>
      </c>
      <c r="Q205" s="239">
        <f t="shared" ca="1" si="76"/>
        <v>0</v>
      </c>
      <c r="R205" s="240">
        <f t="shared" ca="1" si="77"/>
        <v>5</v>
      </c>
      <c r="S205" s="238">
        <f t="shared" ca="1" si="78"/>
        <v>0</v>
      </c>
      <c r="T205" s="239">
        <f t="shared" si="79"/>
        <v>0</v>
      </c>
      <c r="U205" s="240">
        <f t="shared" ca="1" si="80"/>
        <v>0</v>
      </c>
      <c r="W205" s="36" t="str">
        <f t="shared" ca="1" si="81"/>
        <v/>
      </c>
      <c r="X205" s="36" t="str">
        <f ca="1">IF(ISNUMBER($A205),$W205*(Methuselahs!$A$4+1)+$A205,"")</f>
        <v/>
      </c>
      <c r="Y205" s="36" t="str">
        <f t="shared" ca="1" si="82"/>
        <v/>
      </c>
      <c r="Z205" s="36" t="str">
        <f ca="1">IF(ISNUMBER($A205),VLOOKUP($A205,Methuselahs!$A$7:$X$206,5),"")</f>
        <v/>
      </c>
      <c r="AA205" s="36" t="str">
        <f t="shared" ca="1" si="83"/>
        <v/>
      </c>
    </row>
    <row r="206" spans="1:27" ht="12.95" customHeight="1" x14ac:dyDescent="0.2">
      <c r="A206" s="255" t="str">
        <f ca="1">IF(OR(ISBLANK('Tournament Info'!$B$11),'Tournament Info'!$B$11&lt;&gt;4),"",INDIRECT(ADDRESS(ROW(),3,1,1,"Optimal Seating "&amp;'Tournament Info'!$B$11-1&amp;"R+F")))</f>
        <v/>
      </c>
      <c r="B206" s="256" t="str">
        <f ca="1">IF(ISNUMBER(A206),VLOOKUP(A206,Methuselahs!$A$7:$E$206,2,0),"")</f>
        <v/>
      </c>
      <c r="C206" s="257" t="str">
        <f ca="1">IF(ISNUMBER(A206),VLOOKUP(A206,Methuselahs!$A$7:$E$206,3,0),"")</f>
        <v/>
      </c>
      <c r="D206" s="258" t="str">
        <f t="shared" ca="1" si="72"/>
        <v/>
      </c>
      <c r="E206" s="259"/>
      <c r="F206" s="398">
        <f t="shared" si="73"/>
        <v>0</v>
      </c>
      <c r="G206" s="265" t="str">
        <f t="shared" ca="1" si="74"/>
        <v/>
      </c>
      <c r="H206" s="266" t="str">
        <f ca="1">IF(ISNUMBER(A206),IF(OR($S206=$U206,NOT(ISNA(MATCH($D206*5+$V$4,Override!$C$6:$C$125,0)))),$Q206,0),"")</f>
        <v/>
      </c>
      <c r="I206" s="407" t="str">
        <f t="shared" ca="1" si="75"/>
        <v/>
      </c>
      <c r="J206" s="260">
        <f ca="1">COUNT(A202:A206)</f>
        <v>0</v>
      </c>
      <c r="K206" s="261" t="str">
        <f ca="1">IF(ISNUMBER(A206),RANK(F206,F202:F206),"")</f>
        <v/>
      </c>
      <c r="L206" s="262">
        <f ca="1">IF(J206=5,VLOOKUP(K206,TPMatrix!$A$6:$B$10,2,0),IF(J206=4,VLOOKUP(K206,TPMatrix!$D$6:$E$9,2,0),0))</f>
        <v>0</v>
      </c>
      <c r="M206" s="262">
        <f ca="1">IF(COUNTIF(K202:K206,K206)&gt;=2,IF(J206=5,VLOOKUP(K206+1,TPMatrix!$A$6:$B$10,2,0),IF(J206=4,VLOOKUP(K206+1,TPMatrix!$D$6:$E$9,2,0),0)),"")</f>
        <v>0</v>
      </c>
      <c r="N206" s="262">
        <f ca="1">IF(COUNTIF(K202:K206,K206)&gt;=3,IF(J206=5,VLOOKUP(K206+2,TPMatrix!$A$6:$B$10,2,0),IF(J206=4,VLOOKUP(K206+2,TPMatrix!$D$6:$E$9,2,0),0)),"")</f>
        <v>0</v>
      </c>
      <c r="O206" s="262">
        <f ca="1">IF(COUNTIF(K202:K206,K206)&gt;=4,IF(J206=5,VLOOKUP(K206+3,TPMatrix!$A$6:$B$10,2,0),IF(J206=4,VLOOKUP(K206+3,TPMatrix!$D$6:$E$9,2,0),0)),"")</f>
        <v>0</v>
      </c>
      <c r="P206" s="262">
        <f ca="1">IF(COUNTIF(K202:K206,K206)&gt;=5,IF(J206=5,VLOOKUP(K206+4,TPMatrix!$A$6:$B$10,2,0),IF(J206=4,VLOOKUP(K206+4,TPMatrix!$D$6:$E$9,2,0),0)),"")</f>
        <v>0</v>
      </c>
      <c r="Q206" s="262">
        <f t="shared" ca="1" si="76"/>
        <v>0</v>
      </c>
      <c r="R206" s="263">
        <f t="shared" ca="1" si="77"/>
        <v>5</v>
      </c>
      <c r="S206" s="261">
        <f t="shared" ca="1" si="78"/>
        <v>0</v>
      </c>
      <c r="T206" s="262">
        <f t="shared" si="79"/>
        <v>0</v>
      </c>
      <c r="U206" s="263">
        <f t="shared" ca="1" si="80"/>
        <v>0</v>
      </c>
      <c r="W206" s="36" t="str">
        <f t="shared" ca="1" si="81"/>
        <v/>
      </c>
      <c r="X206" s="36" t="str">
        <f ca="1">IF(ISNUMBER($A206),$W206*(Methuselahs!$A$4+1)+$A206,"")</f>
        <v/>
      </c>
      <c r="Y206" s="36" t="str">
        <f t="shared" ca="1" si="82"/>
        <v/>
      </c>
      <c r="Z206" s="36" t="str">
        <f ca="1">IF(ISNUMBER($A206),VLOOKUP($A206,Methuselahs!$A$7:$X$206,5),"")</f>
        <v/>
      </c>
      <c r="AA206" s="36" t="str">
        <f t="shared" ca="1" si="83"/>
        <v/>
      </c>
    </row>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17"/>
  <sheetViews>
    <sheetView zoomScaleNormal="100" workbookViewId="0">
      <selection activeCell="H16" sqref="H16"/>
    </sheetView>
  </sheetViews>
  <sheetFormatPr defaultColWidth="8.85546875" defaultRowHeight="12.75" x14ac:dyDescent="0.2"/>
  <cols>
    <col min="1" max="1" width="3" customWidth="1"/>
    <col min="2" max="2" width="16.7109375" customWidth="1"/>
    <col min="3" max="3" width="18" customWidth="1"/>
    <col min="4" max="4" width="6.85546875" style="184" customWidth="1"/>
    <col min="5" max="5" width="9.140625" hidden="1" customWidth="1"/>
    <col min="6" max="6" width="9.140625" customWidth="1"/>
    <col min="7" max="7" width="7.7109375" hidden="1" customWidth="1"/>
    <col min="8" max="9" width="7.7109375" customWidth="1"/>
    <col min="10" max="10" width="9.7109375" customWidth="1"/>
    <col min="11" max="11" width="4" style="59" hidden="1" customWidth="1"/>
    <col min="12" max="17" width="10.85546875" style="36" hidden="1" customWidth="1"/>
    <col min="18" max="18" width="7.140625" style="36" hidden="1" customWidth="1"/>
    <col min="19" max="19" width="9.7109375" style="36" hidden="1" customWidth="1"/>
    <col min="20" max="21" width="11.7109375" style="36" hidden="1" customWidth="1"/>
    <col min="22" max="22" width="9.28515625" style="36" hidden="1" customWidth="1"/>
    <col min="23" max="24" width="8.85546875" style="36" hidden="1"/>
    <col min="25" max="25" width="9.28515625" style="36" hidden="1" customWidth="1"/>
    <col min="26" max="27" width="8.85546875" style="36"/>
    <col min="28" max="28" width="9.140625" style="36" customWidth="1"/>
    <col min="29" max="1024" width="8.85546875" style="36"/>
  </cols>
  <sheetData>
    <row r="1" spans="1:27" ht="25.5" x14ac:dyDescent="0.35">
      <c r="A1" s="37" t="str">
        <f>IF(ISBLANK('Tournament Info'!B3),"Vampire: The Eternal Struggle Tournament",'Tournament Info'!B3)</f>
        <v>German Nationals 2024</v>
      </c>
      <c r="B1" s="63"/>
      <c r="C1" s="63"/>
      <c r="D1" s="60"/>
      <c r="E1" s="36"/>
      <c r="F1" s="36"/>
      <c r="G1" s="36"/>
      <c r="H1" s="36"/>
      <c r="I1" s="36"/>
      <c r="J1" s="36"/>
      <c r="K1" s="69"/>
    </row>
    <row r="2" spans="1:27" ht="13.7" customHeight="1" x14ac:dyDescent="0.3">
      <c r="A2" s="36"/>
      <c r="B2" s="63"/>
      <c r="C2" s="63"/>
      <c r="D2" s="60"/>
      <c r="E2" s="36"/>
      <c r="F2" s="36"/>
      <c r="I2" s="36"/>
      <c r="J2" s="36" t="s">
        <v>195</v>
      </c>
      <c r="K2" s="69"/>
      <c r="AA2" s="185"/>
    </row>
    <row r="3" spans="1:27" s="2" customFormat="1" ht="15" customHeight="1" x14ac:dyDescent="0.3">
      <c r="A3" s="186" t="s">
        <v>223</v>
      </c>
      <c r="B3" s="32"/>
      <c r="C3" s="32"/>
      <c r="D3" s="187"/>
      <c r="J3" s="2" t="s">
        <v>197</v>
      </c>
      <c r="K3" s="1"/>
      <c r="U3" s="188" t="s">
        <v>224</v>
      </c>
      <c r="W3" s="2" t="s">
        <v>225</v>
      </c>
      <c r="X3" s="2" t="s">
        <v>187</v>
      </c>
      <c r="AA3" s="189"/>
    </row>
    <row r="4" spans="1:27" s="2" customFormat="1" ht="12.95" customHeight="1" x14ac:dyDescent="0.3">
      <c r="A4" s="186"/>
      <c r="B4" s="32"/>
      <c r="C4" s="32"/>
      <c r="D4" s="187"/>
      <c r="K4" s="1"/>
      <c r="U4" s="267">
        <v>4</v>
      </c>
      <c r="X4" s="2">
        <v>90</v>
      </c>
    </row>
    <row r="5" spans="1:27" s="2" customFormat="1" ht="19.5" customHeight="1" x14ac:dyDescent="0.25">
      <c r="A5" s="268" t="str">
        <f ca="1">IF(COUNTIF('Round 3'!$H$7:$H$206,0)&gt;0,"Current Leaders","Finalists")</f>
        <v>Finalists</v>
      </c>
      <c r="B5" s="269"/>
      <c r="C5" s="269"/>
      <c r="D5" s="270" t="s">
        <v>226</v>
      </c>
      <c r="K5" s="1"/>
      <c r="X5" s="2">
        <v>30</v>
      </c>
    </row>
    <row r="6" spans="1:27" s="2" customFormat="1" ht="13.7" customHeight="1" x14ac:dyDescent="0.2">
      <c r="A6" s="226">
        <f ca="1">IF(ISNA(VLOOKUP($D6,Methuselahs!$S$7:$T$206,2,0)),"",VLOOKUP($D6,Methuselahs!$S$7:$T$206,2,0))</f>
        <v>28</v>
      </c>
      <c r="B6" s="143">
        <f ca="1">IF(ISNUMBER($A6),VLOOKUP($A6,Methuselahs!$A$7:$E$206,2,0),"")</f>
        <v>0</v>
      </c>
      <c r="C6" s="143">
        <f ca="1">IF(ISNUMBER($A6),VLOOKUP($A6,Methuselahs!$A$7:$E$206,3,0),"")</f>
        <v>0</v>
      </c>
      <c r="D6" s="271">
        <v>1</v>
      </c>
      <c r="K6" s="1"/>
      <c r="V6" s="14"/>
      <c r="W6" s="2">
        <f>Methuselahs!$Z$2</f>
        <v>1.8095802480981549</v>
      </c>
      <c r="X6" s="2">
        <v>30</v>
      </c>
      <c r="Y6" s="14"/>
    </row>
    <row r="7" spans="1:27" s="2" customFormat="1" ht="13.7" customHeight="1" x14ac:dyDescent="0.2">
      <c r="A7" s="272">
        <f ca="1">IF(ISNA(VLOOKUP($D7,Methuselahs!$S$7:$T$206,2,0)),"",VLOOKUP($D7,Methuselahs!$S$7:$T$206,2,0))</f>
        <v>15</v>
      </c>
      <c r="B7" s="117">
        <f ca="1">IF(ISNUMBER($A7),VLOOKUP($A7,Methuselahs!$A$7:$E$206,2,0),"")</f>
        <v>0</v>
      </c>
      <c r="C7" s="117">
        <f ca="1">IF(ISNUMBER($A7),VLOOKUP($A7,Methuselahs!$A$7:$E$206,3,0),"")</f>
        <v>0</v>
      </c>
      <c r="D7" s="273">
        <v>2</v>
      </c>
      <c r="K7" s="1"/>
      <c r="X7" s="2">
        <v>30</v>
      </c>
    </row>
    <row r="8" spans="1:27" s="2" customFormat="1" ht="13.7" customHeight="1" x14ac:dyDescent="0.2">
      <c r="A8" s="247">
        <f ca="1">IF(ISNA(VLOOKUP($D8,Methuselahs!$S$7:$T$206,2,0)),"",VLOOKUP($D8,Methuselahs!$S$7:$T$206,2,0))</f>
        <v>10</v>
      </c>
      <c r="B8" s="143">
        <f ca="1">IF(ISNUMBER($A8),VLOOKUP($A8,Methuselahs!$A$7:$E$206,2,0),"")</f>
        <v>0</v>
      </c>
      <c r="C8" s="143">
        <f ca="1">IF(ISNUMBER($A8),VLOOKUP($A8,Methuselahs!$A$7:$E$206,3,0),"")</f>
        <v>0</v>
      </c>
      <c r="D8" s="274">
        <v>3</v>
      </c>
      <c r="K8" s="1"/>
      <c r="V8" s="14"/>
      <c r="W8" s="14"/>
      <c r="X8" s="2">
        <v>30</v>
      </c>
      <c r="Y8" s="14"/>
    </row>
    <row r="9" spans="1:27" s="2" customFormat="1" ht="13.7" customHeight="1" x14ac:dyDescent="0.2">
      <c r="A9" s="238">
        <f ca="1">IF(ISNA(VLOOKUP($D9,Methuselahs!$S$7:$T$206,2,0)),"",VLOOKUP($D9,Methuselahs!$S$7:$T$206,2,0))</f>
        <v>32</v>
      </c>
      <c r="B9" s="250">
        <f ca="1">IF(ISNUMBER($A9),VLOOKUP($A9,Methuselahs!$A$7:$E$206,2,0),"")</f>
        <v>0</v>
      </c>
      <c r="C9" s="250">
        <f ca="1">IF(ISNUMBER($A9),VLOOKUP($A9,Methuselahs!$A$7:$E$206,3,0),"")</f>
        <v>0</v>
      </c>
      <c r="D9" s="275">
        <v>4</v>
      </c>
      <c r="K9" s="276"/>
    </row>
    <row r="10" spans="1:27" s="2" customFormat="1" ht="13.7" customHeight="1" x14ac:dyDescent="0.2">
      <c r="A10" s="261">
        <f ca="1">IF(ISNA(VLOOKUP($D10,Methuselahs!$S$7:$T$206,2,0)),"",VLOOKUP($D10,Methuselahs!$S$7:$T$206,2,0))</f>
        <v>19</v>
      </c>
      <c r="B10" s="256">
        <f ca="1">IF(ISNUMBER($A10),VLOOKUP($A10,Methuselahs!$A$7:$E$206,2,0),"")</f>
        <v>0</v>
      </c>
      <c r="C10" s="256">
        <f ca="1">IF(ISNUMBER($A10),VLOOKUP($A10,Methuselahs!$A$7:$E$206,3,0),"")</f>
        <v>0</v>
      </c>
      <c r="D10" s="277">
        <v>5</v>
      </c>
      <c r="K10" s="1"/>
    </row>
    <row r="11" spans="1:27" ht="13.7" customHeight="1" x14ac:dyDescent="0.3">
      <c r="A11" s="36"/>
      <c r="B11" s="63"/>
      <c r="C11" s="63"/>
      <c r="D11" s="60"/>
      <c r="E11" s="36"/>
      <c r="F11" s="36"/>
      <c r="G11" s="36"/>
      <c r="H11" s="36"/>
      <c r="I11" s="36"/>
      <c r="J11" s="36"/>
      <c r="K11" s="69"/>
      <c r="W11" s="2"/>
      <c r="X11" s="2"/>
    </row>
    <row r="12" spans="1:27" s="291" customFormat="1" ht="20.100000000000001" customHeight="1" x14ac:dyDescent="0.2">
      <c r="A12" s="278" t="s">
        <v>198</v>
      </c>
      <c r="B12" s="279"/>
      <c r="C12" s="279"/>
      <c r="D12" s="280"/>
      <c r="E12" s="281"/>
      <c r="F12" s="282" t="s">
        <v>227</v>
      </c>
      <c r="G12" s="283"/>
      <c r="H12" s="283"/>
      <c r="I12" s="284"/>
      <c r="J12" s="285"/>
      <c r="K12" s="286"/>
      <c r="L12" s="287" t="s">
        <v>200</v>
      </c>
      <c r="M12" s="288"/>
      <c r="N12" s="288"/>
      <c r="O12" s="288"/>
      <c r="P12" s="288"/>
      <c r="Q12" s="288"/>
      <c r="R12" s="288"/>
      <c r="S12" s="289"/>
      <c r="T12" s="290" t="s">
        <v>228</v>
      </c>
      <c r="U12" s="290" t="s">
        <v>217</v>
      </c>
      <c r="Z12" s="292"/>
    </row>
    <row r="13" spans="1:27" s="307" customFormat="1" ht="12.95" customHeight="1" x14ac:dyDescent="0.2">
      <c r="A13" s="293" t="s">
        <v>190</v>
      </c>
      <c r="B13" s="294" t="s">
        <v>202</v>
      </c>
      <c r="C13" s="295" t="s">
        <v>203</v>
      </c>
      <c r="D13" s="296" t="s">
        <v>204</v>
      </c>
      <c r="E13" s="297" t="s">
        <v>206</v>
      </c>
      <c r="F13" s="298" t="s">
        <v>180</v>
      </c>
      <c r="G13" s="298" t="s">
        <v>180</v>
      </c>
      <c r="H13" s="298" t="s">
        <v>205</v>
      </c>
      <c r="I13" s="298" t="s">
        <v>181</v>
      </c>
      <c r="J13" s="299" t="s">
        <v>229</v>
      </c>
      <c r="K13" s="300" t="s">
        <v>207</v>
      </c>
      <c r="L13" s="301" t="s">
        <v>208</v>
      </c>
      <c r="M13" s="302" t="s">
        <v>209</v>
      </c>
      <c r="N13" s="302" t="s">
        <v>210</v>
      </c>
      <c r="O13" s="302" t="s">
        <v>211</v>
      </c>
      <c r="P13" s="302" t="s">
        <v>212</v>
      </c>
      <c r="Q13" s="302" t="s">
        <v>213</v>
      </c>
      <c r="R13" s="302" t="s">
        <v>214</v>
      </c>
      <c r="S13" s="303" t="s">
        <v>215</v>
      </c>
      <c r="T13" s="304">
        <v>5</v>
      </c>
      <c r="U13" s="304">
        <f>SUM(U14:U18)</f>
        <v>5</v>
      </c>
      <c r="V13" s="305" t="s">
        <v>219</v>
      </c>
      <c r="W13" s="305"/>
      <c r="X13" s="305"/>
      <c r="Y13" s="305" t="s">
        <v>219</v>
      </c>
      <c r="Z13" s="306" t="s">
        <v>187</v>
      </c>
    </row>
    <row r="14" spans="1:27" s="291" customFormat="1" ht="12.95" customHeight="1" x14ac:dyDescent="0.2">
      <c r="A14" s="308">
        <v>28</v>
      </c>
      <c r="B14" s="309">
        <f>IF(ISBLANK(A14),"",VLOOKUP(A14,Methuselahs!$A$7:$E$206,2,0))</f>
        <v>0</v>
      </c>
      <c r="C14" s="310">
        <f>IF(ISBLANK(A14),"",VLOOKUP(A14,Methuselahs!$A$7:$E$206,3,0))</f>
        <v>0</v>
      </c>
      <c r="D14" s="311">
        <f>IF(ISBLANK(A14),"",1)</f>
        <v>1</v>
      </c>
      <c r="E14" s="312">
        <f>IF(ISBLANK(A14),"",IF(K14=5,L14,IF(AND(K14=4,OR(L14=4,L14=3)),L14+1,L14)))</f>
        <v>1</v>
      </c>
      <c r="F14" s="313">
        <v>2</v>
      </c>
      <c r="G14" s="314">
        <f>IF(ISNUMBER(F14),F14,0)</f>
        <v>2</v>
      </c>
      <c r="H14" s="315">
        <f>IF(ISNUMBER($A14),IF(AND($F14&gt;=2,$I14=60,$K14=$U$13),1,0),"")</f>
        <v>0</v>
      </c>
      <c r="I14" s="316">
        <f>IF(ISBLANK(A14),"",R14)</f>
        <v>54</v>
      </c>
      <c r="J14" s="317">
        <f ca="1">Y14</f>
        <v>1</v>
      </c>
      <c r="K14" s="318">
        <f>COUNT(A14:A18)</f>
        <v>5</v>
      </c>
      <c r="L14" s="319">
        <f>IF(ISBLANK(A14),"",RANK($G14,$G$14:$G$18))</f>
        <v>1</v>
      </c>
      <c r="M14" s="320">
        <f>IF(K14=5,VLOOKUP(L14,TPMatrix!$A$6:$B$10,2,0),IF(K14=4,VLOOKUP(L14,TPMatrix!$D$6:$E$9,2,0),0))</f>
        <v>60</v>
      </c>
      <c r="N14" s="320">
        <f>IF(COUNTIF(L14:L18,L14)&gt;=2,IF(K14=5,VLOOKUP(L14+1,TPMatrix!$A$6:$B$10,2,0),IF(K14=4,VLOOKUP(L14+1,TPMatrix!$D$6:$E$9,2,0),0)),"")</f>
        <v>48</v>
      </c>
      <c r="O14" s="320" t="str">
        <f>IF(COUNTIF(L14:L18,L14)&gt;=3,IF(K14=5,VLOOKUP(L14+2,TPMatrix!$A$6:$B$10,2,0),IF(K14=4,VLOOKUP(L14+2,TPMatrix!$D$6:$E$9,2,0),0)),"")</f>
        <v/>
      </c>
      <c r="P14" s="320" t="str">
        <f>IF(COUNTIF(L14:L18,L14)&gt;=4,IF(K14=5,VLOOKUP(L14+3,TPMatrix!$A$6:$B$10,2,0),IF(K14=4,VLOOKUP(L14+3,TPMatrix!$D$6:$E$9,2,0),0)),"")</f>
        <v/>
      </c>
      <c r="Q14" s="320" t="str">
        <f>IF(COUNTIF(L14:L18,L14)&gt;=5,IF(K14=5,VLOOKUP(L14+4,TPMatrix!$A$6:$B$10,2,0),IF(K14=4,VLOOKUP(L14+4,TPMatrix!$D$6:$E$9,2,0),0)),"")</f>
        <v/>
      </c>
      <c r="R14" s="320">
        <f>SUM(M14:Q14)/COUNT(M14:Q14)</f>
        <v>54</v>
      </c>
      <c r="S14" s="321">
        <f>COUNT(M14:Q14)</f>
        <v>2</v>
      </c>
      <c r="T14" s="322">
        <f ca="1">IF(ISNUMBER($A14),$G14*$T$13*2+$T$13-VLOOKUP($A14,$A$6:$D$10,4,0),"")</f>
        <v>24</v>
      </c>
      <c r="U14" s="323">
        <f>CEILING($G14,1)</f>
        <v>2</v>
      </c>
      <c r="V14" s="324">
        <f ca="1">IF(ISBLANK($A14),"",RANK($T14,$T$14:$T$18))</f>
        <v>1</v>
      </c>
      <c r="Y14" s="325">
        <f ca="1">IF(ISBLANK($A14),"",MIN($V14,2))</f>
        <v>1</v>
      </c>
      <c r="Z14" s="326">
        <f ca="1">IF(N($J14)&gt;0,INDEX($X$4:$X$8,$J14)*$W$6,"")</f>
        <v>162.86222232883395</v>
      </c>
    </row>
    <row r="15" spans="1:27" s="291" customFormat="1" ht="12.95" customHeight="1" x14ac:dyDescent="0.2">
      <c r="A15" s="327">
        <v>32</v>
      </c>
      <c r="B15" s="328">
        <f>IF(ISBLANK(A15),"",VLOOKUP(A15,Methuselahs!$A$7:$E$206,2,0))</f>
        <v>0</v>
      </c>
      <c r="C15" s="329">
        <f>IF(ISBLANK(A15),"",VLOOKUP(A15,Methuselahs!$A$7:$E$206,3,0))</f>
        <v>0</v>
      </c>
      <c r="D15" s="330">
        <f>IF(ISBLANK(A15),"",1)</f>
        <v>1</v>
      </c>
      <c r="E15" s="331">
        <f>IF(ISBLANK(A15),"",IF(K15=5,L15,IF(AND(K15=4,OR(L15=4,L15=3)),L15+1,L15)))</f>
        <v>1</v>
      </c>
      <c r="F15" s="332">
        <v>2</v>
      </c>
      <c r="G15" s="333">
        <f>IF(ISNUMBER(F15),F15,0)</f>
        <v>2</v>
      </c>
      <c r="H15" s="334">
        <f>IF(ISNUMBER($A15),IF(AND($F15&gt;=2,$I15=60,$K15=$U$13),1,0),"")</f>
        <v>0</v>
      </c>
      <c r="I15" s="335">
        <f>IF(ISBLANK(A15),"",R15)</f>
        <v>54</v>
      </c>
      <c r="J15" s="336">
        <f ca="1">Y15</f>
        <v>2</v>
      </c>
      <c r="K15" s="337">
        <f>$K$14</f>
        <v>5</v>
      </c>
      <c r="L15" s="338">
        <f>IF(ISBLANK(A15),"",RANK($G15,$G$14:$G$18))</f>
        <v>1</v>
      </c>
      <c r="M15" s="339">
        <f>IF(K15=5,VLOOKUP(L15,TPMatrix!$A$6:$B$10,2,0),IF(K15=4,VLOOKUP(L15,TPMatrix!$D$6:$E$9,2,0),0))</f>
        <v>60</v>
      </c>
      <c r="N15" s="339">
        <f>IF(COUNTIF(L14:L18,L15)&gt;=2,IF(K15=5,VLOOKUP(L15+1,TPMatrix!$A$6:$B$10,2,0),IF(K15=4,VLOOKUP(L15+1,TPMatrix!$D$6:$E$9,2,0),0)),"")</f>
        <v>48</v>
      </c>
      <c r="O15" s="339" t="str">
        <f>IF(COUNTIF(L14:L18,L15)&gt;=3,IF(K15=5,VLOOKUP(L15+2,TPMatrix!$A$6:$B$10,2,0),IF(K15=4,VLOOKUP(L15+2,TPMatrix!$D$6:$E$9,2,0),0)),"")</f>
        <v/>
      </c>
      <c r="P15" s="339" t="str">
        <f>IF(COUNTIF(L14:L18,L15)&gt;=4,IF(K15=5,VLOOKUP(L15+3,TPMatrix!$A$6:$B$10,2,0),IF(K15=4,VLOOKUP(L15+3,TPMatrix!$D$6:$E$9,2,0),0)),"")</f>
        <v/>
      </c>
      <c r="Q15" s="339" t="str">
        <f>IF(COUNTIF(L14:L18,L15)&gt;=5,IF(K15=5,VLOOKUP(L15+4,TPMatrix!$A$6:$B$10,2,0),IF(K15=4,VLOOKUP(L15+4,TPMatrix!$D$6:$E$9,2,0),0)),"")</f>
        <v/>
      </c>
      <c r="R15" s="339">
        <f>SUM(M15:Q15)/COUNT(M15:Q15)</f>
        <v>54</v>
      </c>
      <c r="S15" s="340">
        <f>COUNT(M15:Q15)</f>
        <v>2</v>
      </c>
      <c r="T15" s="341">
        <f ca="1">IF(ISNUMBER($A15),$G15*$T$13*2+$T$13-VLOOKUP($A15,$A$6:$D$10,4,0),"")</f>
        <v>21</v>
      </c>
      <c r="U15" s="342">
        <f>CEILING($G15,1)</f>
        <v>2</v>
      </c>
      <c r="V15" s="324">
        <f ca="1">IF(ISBLANK($A15),"",RANK($T15,$T$14:$T$18))</f>
        <v>2</v>
      </c>
      <c r="Y15" s="325">
        <f ca="1">IF(ISBLANK($A15),"",MIN($V15,2))</f>
        <v>2</v>
      </c>
      <c r="Z15" s="343">
        <f ca="1">IF(N($J15)&gt;0,INDEX($X$4:$X$8,$J15)*$W$6,"")</f>
        <v>54.287407442944648</v>
      </c>
    </row>
    <row r="16" spans="1:27" s="291" customFormat="1" ht="12.95" customHeight="1" x14ac:dyDescent="0.2">
      <c r="A16" s="344">
        <v>15</v>
      </c>
      <c r="B16" s="309">
        <f>IF(ISBLANK(A16),"",VLOOKUP(A16,Methuselahs!$A$7:$E$206,2,0))</f>
        <v>0</v>
      </c>
      <c r="C16" s="345">
        <f>IF(ISBLANK(A16),"",VLOOKUP(A16,Methuselahs!$A$7:$E$206,3,0))</f>
        <v>0</v>
      </c>
      <c r="D16" s="346">
        <f>IF(ISBLANK(A16),"",1)</f>
        <v>1</v>
      </c>
      <c r="E16" s="347">
        <f>IF(ISBLANK(A16),"",IF(K16=5,L16,IF(AND(K16=4,OR(L16=4,L16=3)),L16+1,L16)))</f>
        <v>4</v>
      </c>
      <c r="F16" s="348"/>
      <c r="G16" s="349">
        <f>IF(ISNUMBER(F16),F16,0)</f>
        <v>0</v>
      </c>
      <c r="H16" s="350">
        <f>IF(ISNUMBER($A16),IF(AND($F16&gt;=2,$I16=60,$K16=$U$13),1,0),"")</f>
        <v>0</v>
      </c>
      <c r="I16" s="351">
        <f>IF(ISBLANK(A16),"",R16)</f>
        <v>18</v>
      </c>
      <c r="J16" s="352">
        <f ca="1">Y16</f>
        <v>2</v>
      </c>
      <c r="K16" s="353">
        <f>$K$14</f>
        <v>5</v>
      </c>
      <c r="L16" s="354">
        <f>IF(ISBLANK(A16),"",RANK($G16,$G$14:$G$18))</f>
        <v>4</v>
      </c>
      <c r="M16" s="355">
        <f>IF(K16=5,VLOOKUP(L16,TPMatrix!$A$6:$B$10,2,0),IF(K16=4,VLOOKUP(L16,TPMatrix!$D$6:$E$9,2,0),0))</f>
        <v>24</v>
      </c>
      <c r="N16" s="355">
        <f>IF(COUNTIF(L14:L18,L16)&gt;=2,IF(K16=5,VLOOKUP(L16+1,TPMatrix!$A$6:$B$10,2,0),IF(K16=4,VLOOKUP(L16+1,TPMatrix!$D$6:$E$9,2,0),0)),"")</f>
        <v>12</v>
      </c>
      <c r="O16" s="355" t="str">
        <f>IF(COUNTIF(L14:L18,L16)&gt;=3,IF(K16=5,VLOOKUP(L16+2,TPMatrix!$A$6:$B$10,2,0),IF(K16=4,VLOOKUP(L16+2,TPMatrix!$D$6:$E$9,2,0),0)),"")</f>
        <v/>
      </c>
      <c r="P16" s="355" t="str">
        <f>IF(COUNTIF(L14:L18,L16)&gt;=4,IF(K16=5,VLOOKUP(L16+3,TPMatrix!$A$6:$B$10,2,0),IF(K16=4,VLOOKUP(L16+3,TPMatrix!$D$6:$E$9,2,0),0)),"")</f>
        <v/>
      </c>
      <c r="Q16" s="355" t="str">
        <f>IF(COUNTIF(L14:L18,L16)&gt;=5,IF(K16=5,VLOOKUP(L16+4,TPMatrix!$A$6:$B$10,2,0),IF(K16=4,VLOOKUP(L16+4,TPMatrix!$D$6:$E$9,2,0),0)),"")</f>
        <v/>
      </c>
      <c r="R16" s="355">
        <f>SUM(M16:Q16)/COUNT(M16:Q16)</f>
        <v>18</v>
      </c>
      <c r="S16" s="356">
        <f>COUNT(M16:Q16)</f>
        <v>2</v>
      </c>
      <c r="T16" s="357">
        <f ca="1">IF(ISNUMBER($A16),$G16*$T$13*2+$T$13-VLOOKUP($A16,$A$6:$D$10,4,0),"")</f>
        <v>3</v>
      </c>
      <c r="U16" s="358">
        <f>CEILING($G16,1)</f>
        <v>0</v>
      </c>
      <c r="V16" s="324">
        <f ca="1">IF(ISBLANK($A16),"",RANK($T16,$T$14:$T$18))</f>
        <v>4</v>
      </c>
      <c r="Y16" s="325">
        <f ca="1">IF(ISBLANK($A16),"",MIN($V16,2))</f>
        <v>2</v>
      </c>
      <c r="Z16" s="359">
        <f ca="1">IF(N($J16)&gt;0,INDEX($X$4:$X$8,$J16)*$W$6,"")</f>
        <v>54.287407442944648</v>
      </c>
    </row>
    <row r="17" spans="1:26" s="291" customFormat="1" ht="12.95" customHeight="1" x14ac:dyDescent="0.2">
      <c r="A17" s="360">
        <v>19</v>
      </c>
      <c r="B17" s="361">
        <f>IF(ISBLANK(A17),"",VLOOKUP(A17,Methuselahs!$A$7:$E$206,2,0))</f>
        <v>0</v>
      </c>
      <c r="C17" s="362">
        <f>IF(ISBLANK(A17),"",VLOOKUP(A17,Methuselahs!$A$7:$E$206,3,0))</f>
        <v>0</v>
      </c>
      <c r="D17" s="363">
        <f>IF(ISBLANK(A17),"",1)</f>
        <v>1</v>
      </c>
      <c r="E17" s="331">
        <f>IF(ISBLANK(A17),"",IF(K17=5,L17,IF(AND(K17=4,OR(L17=4,L17=3)),L17+1,L17)))</f>
        <v>3</v>
      </c>
      <c r="F17" s="332">
        <v>1</v>
      </c>
      <c r="G17" s="364">
        <f>IF(ISNUMBER(F17),F17,0)</f>
        <v>1</v>
      </c>
      <c r="H17" s="365">
        <f>IF(ISNUMBER($A17),IF(AND($F17&gt;=2,$I17=60,$K17=$U$13),1,0),"")</f>
        <v>0</v>
      </c>
      <c r="I17" s="335">
        <f>IF(ISBLANK(A17),"",R17)</f>
        <v>36</v>
      </c>
      <c r="J17" s="366">
        <f ca="1">Y17</f>
        <v>2</v>
      </c>
      <c r="K17" s="367">
        <f>$K$14</f>
        <v>5</v>
      </c>
      <c r="L17" s="338">
        <f>IF(ISBLANK(A17),"",RANK($G17,$G$14:$G$18))</f>
        <v>3</v>
      </c>
      <c r="M17" s="339">
        <f>IF(K17=5,VLOOKUP(L17,TPMatrix!$A$6:$B$10,2,0),IF(K17=4,VLOOKUP(L17,TPMatrix!$D$6:$E$9,2,0),0))</f>
        <v>36</v>
      </c>
      <c r="N17" s="339" t="str">
        <f>IF(COUNTIF(L14:L18,L17)&gt;=2,IF(K17=5,VLOOKUP(L17+1,TPMatrix!$A$6:$B$10,2,0),IF(K17=4,VLOOKUP(L17+1,TPMatrix!$D$6:$E$9,2,0),0)),"")</f>
        <v/>
      </c>
      <c r="O17" s="339" t="str">
        <f>IF(COUNTIF(L14:L18,L17)&gt;=3,IF(K17=5,VLOOKUP(L17+2,TPMatrix!$A$6:$B$10,2,0),IF(K17=4,VLOOKUP(L17+2,TPMatrix!$D$6:$E$9,2,0),0)),"")</f>
        <v/>
      </c>
      <c r="P17" s="339" t="str">
        <f>IF(COUNTIF(L14:L18,L17)&gt;=4,IF(K17=5,VLOOKUP(L17+3,TPMatrix!$A$6:$B$10,2,0),IF(K17=4,VLOOKUP(L17+3,TPMatrix!$D$6:$E$9,2,0),0)),"")</f>
        <v/>
      </c>
      <c r="Q17" s="339" t="str">
        <f>IF(COUNTIF(L14:L18,L17)&gt;=5,IF(K17=5,VLOOKUP(L17+4,TPMatrix!$A$6:$B$10,2,0),IF(K17=4,VLOOKUP(L17+4,TPMatrix!$D$6:$E$9,2,0),0)),"")</f>
        <v/>
      </c>
      <c r="R17" s="339">
        <f>SUM(M17:Q17)/COUNT(M17:Q17)</f>
        <v>36</v>
      </c>
      <c r="S17" s="340">
        <f>COUNT(M17:Q17)</f>
        <v>1</v>
      </c>
      <c r="T17" s="368">
        <f ca="1">IF(ISNUMBER($A17),$G17*$T$13*2+$T$13-VLOOKUP($A17,$A$6:$D$10,4,0),"")</f>
        <v>10</v>
      </c>
      <c r="U17" s="369">
        <f>CEILING($G17,1)</f>
        <v>1</v>
      </c>
      <c r="V17" s="324">
        <f ca="1">IF(ISBLANK($A17),"",RANK($T17,$T$14:$T$18))</f>
        <v>3</v>
      </c>
      <c r="Y17" s="325">
        <f ca="1">IF(ISBLANK($A17),"",MIN($V17,2))</f>
        <v>2</v>
      </c>
      <c r="Z17" s="370">
        <f ca="1">IF(N($J17)&gt;0,INDEX($X$4:$X$8,$J17)*$W$6,"")</f>
        <v>54.287407442944648</v>
      </c>
    </row>
    <row r="18" spans="1:26" s="291" customFormat="1" ht="12.95" customHeight="1" x14ac:dyDescent="0.2">
      <c r="A18" s="371">
        <v>10</v>
      </c>
      <c r="B18" s="372">
        <f>IF(ISBLANK(A18),"",VLOOKUP(A18,Methuselahs!$A$7:$E$206,2,0))</f>
        <v>0</v>
      </c>
      <c r="C18" s="373">
        <f>IF(ISBLANK(A18),"",VLOOKUP(A18,Methuselahs!$A$7:$E$206,3,0))</f>
        <v>0</v>
      </c>
      <c r="D18" s="374">
        <f>IF(ISBLANK(A18),"",1)</f>
        <v>1</v>
      </c>
      <c r="E18" s="375">
        <f>IF(ISBLANK(A18),"",IF(K18=5,L18,IF(AND(K18=4,OR(L18=4,L18=3)),L18+1,L18)))</f>
        <v>4</v>
      </c>
      <c r="F18" s="376"/>
      <c r="G18" s="377">
        <f>IF(ISNUMBER(F18),F18,0)</f>
        <v>0</v>
      </c>
      <c r="H18" s="378">
        <f>IF(ISNUMBER($A18),IF(AND($F18&gt;=2,$I18=60,$K18=$U$13),1,0),"")</f>
        <v>0</v>
      </c>
      <c r="I18" s="379">
        <f>IF(ISBLANK(A18),"",R18)</f>
        <v>18</v>
      </c>
      <c r="J18" s="380">
        <f ca="1">Y18</f>
        <v>2</v>
      </c>
      <c r="K18" s="381">
        <f>$K$14</f>
        <v>5</v>
      </c>
      <c r="L18" s="382">
        <f>IF(ISBLANK(A18),"",RANK($G18,$G$14:$G$18))</f>
        <v>4</v>
      </c>
      <c r="M18" s="383">
        <f>IF(K18=5,VLOOKUP(L18,TPMatrix!$A$6:$B$10,2,0),IF(K18=4,VLOOKUP(L18,TPMatrix!$D$6:$E$9,2,0),0))</f>
        <v>24</v>
      </c>
      <c r="N18" s="383">
        <f>IF(COUNTIF(L14:L18,L18)&gt;=2,IF(K18=5,VLOOKUP(L18+1,TPMatrix!$A$6:$B$10,2,0),IF(K18=4,VLOOKUP(L18+1,TPMatrix!$D$6:$E$9,2,0),0)),"")</f>
        <v>12</v>
      </c>
      <c r="O18" s="383" t="str">
        <f>IF(COUNTIF(L14:L18,L18)&gt;=3,IF(K18=5,VLOOKUP(L18+2,TPMatrix!$A$6:$B$10,2,0),IF(K18=4,VLOOKUP(L18+2,TPMatrix!$D$6:$E$9,2,0),0)),"")</f>
        <v/>
      </c>
      <c r="P18" s="383" t="str">
        <f>IF(COUNTIF(L14:L18,L18)&gt;=4,IF(K18=5,VLOOKUP(L18+3,TPMatrix!$A$6:$B$10,2,0),IF(K18=4,VLOOKUP(L18+3,TPMatrix!$D$6:$E$9,2,0),0)),"")</f>
        <v/>
      </c>
      <c r="Q18" s="383" t="str">
        <f>IF(COUNTIF(L14:L18,L18)&gt;=5,IF(K18=5,VLOOKUP(L18+4,TPMatrix!$A$6:$B$10,2,0),IF(K18=4,VLOOKUP(L18+4,TPMatrix!$D$6:$E$9,2,0),0)),"")</f>
        <v/>
      </c>
      <c r="R18" s="383">
        <f>SUM(M18:Q18)/COUNT(M18:Q18)</f>
        <v>18</v>
      </c>
      <c r="S18" s="384">
        <f>COUNT(M18:Q18)</f>
        <v>2</v>
      </c>
      <c r="T18" s="385">
        <f ca="1">IF(ISNUMBER($A18),$G18*$T$13*2+$T$13-VLOOKUP($A18,$A$6:$D$10,4,0),"")</f>
        <v>2</v>
      </c>
      <c r="U18" s="386">
        <f>CEILING($G18,1)</f>
        <v>0</v>
      </c>
      <c r="V18" s="324">
        <f ca="1">IF(ISBLANK($A18),"",RANK($T18,$T$14:$T$18))</f>
        <v>5</v>
      </c>
      <c r="Y18" s="325">
        <f ca="1">IF(ISBLANK($A18),"",MIN($V18,2))</f>
        <v>2</v>
      </c>
      <c r="Z18" s="387">
        <f ca="1">IF(N($J18)&gt;0,INDEX($X$4:$X$8,$J18)*$W$6,"")</f>
        <v>54.287407442944648</v>
      </c>
    </row>
    <row r="19" spans="1:26" s="36" customFormat="1" x14ac:dyDescent="0.2">
      <c r="U19" s="388"/>
      <c r="W19" s="2" t="str">
        <f>IF(ISBLANK($A19),"",$V19*(Methuselahs!$A$4+1)+$A19)</f>
        <v/>
      </c>
      <c r="X19" s="2" t="str">
        <f>IF(ISBLANK($A19),"",RANK($W19,$W17:$W21,1))</f>
        <v/>
      </c>
    </row>
    <row r="20" spans="1:26" s="36" customFormat="1" x14ac:dyDescent="0.2">
      <c r="W20" s="2" t="str">
        <f>IF(ISBLANK($A20),"",$V20*(Methuselahs!$A$4+1)+$A20)</f>
        <v/>
      </c>
      <c r="X20" s="2" t="str">
        <f>IF(ISBLANK($A20),"",RANK($W20,$W17:$W21,1))</f>
        <v/>
      </c>
    </row>
    <row r="21" spans="1:26" s="36" customFormat="1" x14ac:dyDescent="0.2">
      <c r="J21" s="389"/>
      <c r="W21" s="2" t="str">
        <f>IF(ISBLANK($A21),"",$V21*(Methuselahs!$A$4+1)+$A21)</f>
        <v/>
      </c>
      <c r="X21" s="2" t="str">
        <f>IF(ISBLANK($A21),"",RANK($W21,$W17:$W21,1))</f>
        <v/>
      </c>
    </row>
    <row r="22" spans="1:26" s="36" customFormat="1" x14ac:dyDescent="0.2">
      <c r="W22" s="2" t="str">
        <f>IF(ISBLANK($A22),"",$V22*(Methuselahs!$A$4+1)+$A22)</f>
        <v/>
      </c>
      <c r="X22" s="2" t="str">
        <f>IF(ISBLANK($A22),"",RANK($W22,$W22:$W26,1))</f>
        <v/>
      </c>
    </row>
    <row r="23" spans="1:26" s="36" customFormat="1" x14ac:dyDescent="0.2">
      <c r="W23" s="2" t="str">
        <f>IF(ISBLANK($A23),"",$V23*(Methuselahs!$A$4+1)+$A23)</f>
        <v/>
      </c>
      <c r="X23" s="2" t="str">
        <f>IF(ISBLANK($A23),"",RANK($W23,$W22:$W26,1))</f>
        <v/>
      </c>
    </row>
    <row r="24" spans="1:26" s="36" customFormat="1" x14ac:dyDescent="0.2">
      <c r="W24" s="2" t="str">
        <f>IF(ISBLANK($A24),"",$V24*(Methuselahs!$A$4+1)+$A24)</f>
        <v/>
      </c>
      <c r="X24" s="2" t="str">
        <f>IF(ISBLANK($A24),"",RANK($W24,$W22:$W26,1))</f>
        <v/>
      </c>
    </row>
    <row r="25" spans="1:26" s="36" customFormat="1" x14ac:dyDescent="0.2">
      <c r="W25" s="2" t="str">
        <f>IF(ISBLANK($A25),"",$V25*(Methuselahs!$A$4+1)+$A25)</f>
        <v/>
      </c>
      <c r="X25" s="2" t="str">
        <f>IF(ISBLANK($A25),"",RANK($W25,$W22:$W26,1))</f>
        <v/>
      </c>
    </row>
    <row r="26" spans="1:26" s="36" customFormat="1" x14ac:dyDescent="0.2">
      <c r="W26" s="2" t="str">
        <f>IF(ISBLANK($A26),"",$V26*(Methuselahs!$A$4+1)+$A26)</f>
        <v/>
      </c>
      <c r="X26" s="2" t="str">
        <f>IF(ISBLANK($A26),"",RANK($W26,$W22:$W26,1))</f>
        <v/>
      </c>
    </row>
    <row r="27" spans="1:26" s="36" customFormat="1" x14ac:dyDescent="0.2">
      <c r="W27" s="2" t="str">
        <f>IF(ISBLANK($A27),"",$V27*(Methuselahs!$A$4+1)+$A27)</f>
        <v/>
      </c>
      <c r="X27" s="2" t="str">
        <f>IF(ISBLANK($A27),"",RANK($W27,$W27:$W31,1))</f>
        <v/>
      </c>
    </row>
    <row r="28" spans="1:26" s="36" customFormat="1" x14ac:dyDescent="0.2">
      <c r="W28" s="2" t="str">
        <f>IF(ISBLANK($A28),"",$V28*(Methuselahs!$A$4+1)+$A28)</f>
        <v/>
      </c>
      <c r="X28" s="2" t="str">
        <f>IF(ISBLANK($A28),"",RANK($W28,$W27:$W31,1))</f>
        <v/>
      </c>
    </row>
    <row r="29" spans="1:26" s="36" customFormat="1" x14ac:dyDescent="0.2">
      <c r="W29" s="2" t="str">
        <f>IF(ISBLANK($A29),"",$V29*(Methuselahs!$A$4+1)+$A29)</f>
        <v/>
      </c>
      <c r="X29" s="2" t="str">
        <f>IF(ISBLANK($A29),"",RANK($W29,$W27:$W31,1))</f>
        <v/>
      </c>
    </row>
    <row r="30" spans="1:26" s="36" customFormat="1" x14ac:dyDescent="0.2">
      <c r="W30" s="2" t="str">
        <f>IF(ISBLANK($A30),"",$V30*(Methuselahs!$A$4+1)+$A30)</f>
        <v/>
      </c>
      <c r="X30" s="2" t="str">
        <f>IF(ISBLANK($A30),"",RANK($W30,$W27:$W31,1))</f>
        <v/>
      </c>
    </row>
    <row r="31" spans="1:26" s="36" customFormat="1" x14ac:dyDescent="0.2">
      <c r="W31" s="2" t="str">
        <f>IF(ISBLANK($A31),"",$V31*(Methuselahs!$A$4+1)+$A31)</f>
        <v/>
      </c>
      <c r="X31" s="2" t="str">
        <f>IF(ISBLANK($A31),"",RANK($W31,$W27:$W31,1))</f>
        <v/>
      </c>
    </row>
    <row r="32" spans="1:26" s="36" customFormat="1" x14ac:dyDescent="0.2">
      <c r="W32" s="2" t="str">
        <f>IF(ISBLANK($A32),"",$V32*(Methuselahs!$A$4+1)+$A32)</f>
        <v/>
      </c>
      <c r="X32" s="2" t="str">
        <f>IF(ISBLANK($A32),"",RANK($W32,$W32:$W36,1))</f>
        <v/>
      </c>
    </row>
    <row r="33" spans="23:24" s="36" customFormat="1" x14ac:dyDescent="0.2">
      <c r="W33" s="2" t="str">
        <f>IF(ISBLANK($A33),"",$V33*(Methuselahs!$A$4+1)+$A33)</f>
        <v/>
      </c>
      <c r="X33" s="2" t="str">
        <f>IF(ISBLANK($A33),"",RANK($W33,$W32:$W36,1))</f>
        <v/>
      </c>
    </row>
    <row r="34" spans="23:24" s="36" customFormat="1" x14ac:dyDescent="0.2">
      <c r="W34" s="2" t="str">
        <f>IF(ISBLANK($A34),"",$V34*(Methuselahs!$A$4+1)+$A34)</f>
        <v/>
      </c>
      <c r="X34" s="2" t="str">
        <f>IF(ISBLANK($A34),"",RANK($W34,$W32:$W36,1))</f>
        <v/>
      </c>
    </row>
    <row r="35" spans="23:24" s="36" customFormat="1" x14ac:dyDescent="0.2">
      <c r="W35" s="2" t="str">
        <f>IF(ISBLANK($A35),"",$V35*(Methuselahs!$A$4+1)+$A35)</f>
        <v/>
      </c>
      <c r="X35" s="2" t="str">
        <f>IF(ISBLANK($A35),"",RANK($W35,$W32:$W36,1))</f>
        <v/>
      </c>
    </row>
    <row r="36" spans="23:24" s="36" customFormat="1" x14ac:dyDescent="0.2">
      <c r="W36" s="2" t="str">
        <f>IF(ISBLANK($A36),"",$V36*(Methuselahs!$A$4+1)+$A36)</f>
        <v/>
      </c>
      <c r="X36" s="2" t="str">
        <f>IF(ISBLANK($A36),"",RANK($W36,$W32:$W36,1))</f>
        <v/>
      </c>
    </row>
    <row r="37" spans="23:24" s="36" customFormat="1" x14ac:dyDescent="0.2">
      <c r="W37" s="2" t="str">
        <f>IF(ISBLANK($A37),"",$V37*(Methuselahs!$A$4+1)+$A37)</f>
        <v/>
      </c>
      <c r="X37" s="2" t="str">
        <f>IF(ISBLANK($A37),"",RANK($W37,$W37:$W41,1))</f>
        <v/>
      </c>
    </row>
    <row r="38" spans="23:24" s="36" customFormat="1" x14ac:dyDescent="0.2">
      <c r="W38" s="2" t="str">
        <f>IF(ISBLANK($A38),"",$V38*(Methuselahs!$A$4+1)+$A38)</f>
        <v/>
      </c>
      <c r="X38" s="2" t="str">
        <f>IF(ISBLANK($A38),"",RANK($W38,$W37:$W41,1))</f>
        <v/>
      </c>
    </row>
    <row r="39" spans="23:24" s="36" customFormat="1" x14ac:dyDescent="0.2">
      <c r="W39" s="2" t="str">
        <f>IF(ISBLANK($A39),"",$V39*(Methuselahs!$A$4+1)+$A39)</f>
        <v/>
      </c>
      <c r="X39" s="2" t="str">
        <f>IF(ISBLANK($A39),"",RANK($W39,$W37:$W41,1))</f>
        <v/>
      </c>
    </row>
    <row r="40" spans="23:24" s="36" customFormat="1" x14ac:dyDescent="0.2">
      <c r="W40" s="2" t="str">
        <f>IF(ISBLANK($A40),"",$V40*(Methuselahs!$A$4+1)+$A40)</f>
        <v/>
      </c>
      <c r="X40" s="2" t="str">
        <f>IF(ISBLANK($A40),"",RANK($W40,$W37:$W41,1))</f>
        <v/>
      </c>
    </row>
    <row r="41" spans="23:24" s="36" customFormat="1" x14ac:dyDescent="0.2">
      <c r="W41" s="2" t="str">
        <f>IF(ISBLANK($A41),"",$V41*(Methuselahs!$A$4+1)+$A41)</f>
        <v/>
      </c>
      <c r="X41" s="2" t="str">
        <f>IF(ISBLANK($A41),"",RANK($W41,$W37:$W41,1))</f>
        <v/>
      </c>
    </row>
    <row r="42" spans="23:24" s="36" customFormat="1" x14ac:dyDescent="0.2">
      <c r="W42" s="2" t="str">
        <f>IF(ISBLANK($A42),"",$V42*(Methuselahs!$A$4+1)+$A42)</f>
        <v/>
      </c>
      <c r="X42" s="2" t="str">
        <f>IF(ISBLANK($A42),"",RANK($W42,$W42:$W46,1))</f>
        <v/>
      </c>
    </row>
    <row r="43" spans="23:24" s="36" customFormat="1" x14ac:dyDescent="0.2">
      <c r="W43" s="2" t="str">
        <f>IF(ISBLANK($A43),"",$V43*(Methuselahs!$A$4+1)+$A43)</f>
        <v/>
      </c>
      <c r="X43" s="2" t="str">
        <f>IF(ISBLANK($A43),"",RANK($W43,$W42:$W46,1))</f>
        <v/>
      </c>
    </row>
    <row r="44" spans="23:24" s="36" customFormat="1" x14ac:dyDescent="0.2">
      <c r="W44" s="2" t="str">
        <f>IF(ISBLANK($A44),"",$V44*(Methuselahs!$A$4+1)+$A44)</f>
        <v/>
      </c>
      <c r="X44" s="2" t="str">
        <f>IF(ISBLANK($A44),"",RANK($W44,$W42:$W46,1))</f>
        <v/>
      </c>
    </row>
    <row r="45" spans="23:24" s="36" customFormat="1" x14ac:dyDescent="0.2">
      <c r="W45" s="2" t="str">
        <f>IF(ISBLANK($A45),"",$V45*(Methuselahs!$A$4+1)+$A45)</f>
        <v/>
      </c>
      <c r="X45" s="2" t="str">
        <f>IF(ISBLANK($A45),"",RANK($W45,$W42:$W46,1))</f>
        <v/>
      </c>
    </row>
    <row r="46" spans="23:24" s="36" customFormat="1" x14ac:dyDescent="0.2">
      <c r="W46" s="2" t="str">
        <f>IF(ISBLANK($A46),"",$V46*(Methuselahs!$A$4+1)+$A46)</f>
        <v/>
      </c>
      <c r="X46" s="2" t="str">
        <f>IF(ISBLANK($A46),"",RANK($W46,$W42:$W46,1))</f>
        <v/>
      </c>
    </row>
    <row r="47" spans="23:24" s="36" customFormat="1" x14ac:dyDescent="0.2">
      <c r="W47" s="2" t="str">
        <f>IF(ISBLANK($A47),"",$V47*(Methuselahs!$A$4+1)+$A47)</f>
        <v/>
      </c>
      <c r="X47" s="2" t="str">
        <f>IF(ISBLANK($A47),"",RANK($W47,$W47:$W51,1))</f>
        <v/>
      </c>
    </row>
    <row r="48" spans="23:24" s="36" customFormat="1" x14ac:dyDescent="0.2">
      <c r="W48" s="2" t="str">
        <f>IF(ISBLANK($A48),"",$V48*(Methuselahs!$A$4+1)+$A48)</f>
        <v/>
      </c>
      <c r="X48" s="2" t="str">
        <f>IF(ISBLANK($A48),"",RANK($W48,$W47:$W51,1))</f>
        <v/>
      </c>
    </row>
    <row r="49" spans="23:24" s="36" customFormat="1" x14ac:dyDescent="0.2">
      <c r="W49" s="2" t="str">
        <f>IF(ISBLANK($A49),"",$V49*(Methuselahs!$A$4+1)+$A49)</f>
        <v/>
      </c>
      <c r="X49" s="2" t="str">
        <f>IF(ISBLANK($A49),"",RANK($W49,$W47:$W51,1))</f>
        <v/>
      </c>
    </row>
    <row r="50" spans="23:24" s="36" customFormat="1" x14ac:dyDescent="0.2">
      <c r="W50" s="2" t="str">
        <f>IF(ISBLANK($A50),"",$V50*(Methuselahs!$A$4+1)+$A50)</f>
        <v/>
      </c>
      <c r="X50" s="2" t="str">
        <f>IF(ISBLANK($A50),"",RANK($W50,$W47:$W51,1))</f>
        <v/>
      </c>
    </row>
    <row r="51" spans="23:24" s="36" customFormat="1" x14ac:dyDescent="0.2">
      <c r="W51" s="2" t="str">
        <f>IF(ISBLANK($A51),"",$V51*(Methuselahs!$A$4+1)+$A51)</f>
        <v/>
      </c>
      <c r="X51" s="2" t="str">
        <f>IF(ISBLANK($A51),"",RANK($W51,$W47:$W51,1))</f>
        <v/>
      </c>
    </row>
    <row r="52" spans="23:24" s="36" customFormat="1" x14ac:dyDescent="0.2">
      <c r="W52" s="2" t="str">
        <f>IF(ISBLANK($A52),"",$V52*(Methuselahs!$A$4+1)+$A52)</f>
        <v/>
      </c>
      <c r="X52" s="2" t="str">
        <f>IF(ISBLANK($A52),"",RANK($W52,$W52:$W56,1))</f>
        <v/>
      </c>
    </row>
    <row r="53" spans="23:24" s="36" customFormat="1" x14ac:dyDescent="0.2">
      <c r="W53" s="2" t="str">
        <f>IF(ISBLANK($A53),"",$V53*(Methuselahs!$A$4+1)+$A53)</f>
        <v/>
      </c>
      <c r="X53" s="2" t="str">
        <f>IF(ISBLANK($A53),"",RANK($W53,$W52:$W56,1))</f>
        <v/>
      </c>
    </row>
    <row r="54" spans="23:24" s="36" customFormat="1" x14ac:dyDescent="0.2">
      <c r="W54" s="2" t="str">
        <f>IF(ISBLANK($A54),"",$V54*(Methuselahs!$A$4+1)+$A54)</f>
        <v/>
      </c>
      <c r="X54" s="2" t="str">
        <f>IF(ISBLANK($A54),"",RANK($W54,$W52:$W56,1))</f>
        <v/>
      </c>
    </row>
    <row r="55" spans="23:24" s="36" customFormat="1" x14ac:dyDescent="0.2">
      <c r="W55" s="2" t="str">
        <f>IF(ISBLANK($A55),"",$V55*(Methuselahs!$A$4+1)+$A55)</f>
        <v/>
      </c>
      <c r="X55" s="2" t="str">
        <f>IF(ISBLANK($A55),"",RANK($W55,$W52:$W56,1))</f>
        <v/>
      </c>
    </row>
    <row r="56" spans="23:24" s="36" customFormat="1" x14ac:dyDescent="0.2">
      <c r="W56" s="2" t="str">
        <f>IF(ISBLANK($A56),"",$V56*(Methuselahs!$A$4+1)+$A56)</f>
        <v/>
      </c>
      <c r="X56" s="2" t="str">
        <f>IF(ISBLANK($A56),"",RANK($W56,$W52:$W56,1))</f>
        <v/>
      </c>
    </row>
    <row r="57" spans="23:24" s="36" customFormat="1" x14ac:dyDescent="0.2">
      <c r="W57" s="2" t="str">
        <f>IF(ISBLANK($A57),"",$V57*(Methuselahs!$A$4+1)+$A57)</f>
        <v/>
      </c>
      <c r="X57" s="2" t="str">
        <f>IF(ISBLANK($A57),"",RANK($W57,$W57:$W61,1))</f>
        <v/>
      </c>
    </row>
    <row r="58" spans="23:24" s="36" customFormat="1" x14ac:dyDescent="0.2">
      <c r="W58" s="2" t="str">
        <f>IF(ISBLANK($A58),"",$V58*(Methuselahs!$A$4+1)+$A58)</f>
        <v/>
      </c>
      <c r="X58" s="2" t="str">
        <f>IF(ISBLANK($A58),"",RANK($W58,$W57:$W61,1))</f>
        <v/>
      </c>
    </row>
    <row r="59" spans="23:24" s="36" customFormat="1" x14ac:dyDescent="0.2">
      <c r="W59" s="2" t="str">
        <f>IF(ISBLANK($A59),"",$V59*(Methuselahs!$A$4+1)+$A59)</f>
        <v/>
      </c>
      <c r="X59" s="2" t="str">
        <f>IF(ISBLANK($A59),"",RANK($W59,$W57:$W61,1))</f>
        <v/>
      </c>
    </row>
    <row r="60" spans="23:24" s="36" customFormat="1" x14ac:dyDescent="0.2">
      <c r="W60" s="2" t="str">
        <f>IF(ISBLANK($A60),"",$V60*(Methuselahs!$A$4+1)+$A60)</f>
        <v/>
      </c>
      <c r="X60" s="2" t="str">
        <f>IF(ISBLANK($A60),"",RANK($W60,$W57:$W61,1))</f>
        <v/>
      </c>
    </row>
    <row r="61" spans="23:24" s="36" customFormat="1" x14ac:dyDescent="0.2">
      <c r="W61" s="2" t="str">
        <f>IF(ISBLANK($A61),"",$V61*(Methuselahs!$A$4+1)+$A61)</f>
        <v/>
      </c>
      <c r="X61" s="2" t="str">
        <f>IF(ISBLANK($A61),"",RANK($W61,$W57:$W61,1))</f>
        <v/>
      </c>
    </row>
    <row r="62" spans="23:24" s="36" customFormat="1" x14ac:dyDescent="0.2">
      <c r="W62" s="2" t="str">
        <f>IF(ISBLANK($A62),"",$V62*(Methuselahs!$A$4+1)+$A62)</f>
        <v/>
      </c>
      <c r="X62" s="2" t="str">
        <f>IF(ISBLANK($A62),"",RANK($W62,$W62:$W66,1))</f>
        <v/>
      </c>
    </row>
    <row r="63" spans="23:24" s="36" customFormat="1" x14ac:dyDescent="0.2">
      <c r="W63" s="2" t="str">
        <f>IF(ISBLANK($A63),"",$V63*(Methuselahs!$A$4+1)+$A63)</f>
        <v/>
      </c>
      <c r="X63" s="2" t="str">
        <f>IF(ISBLANK($A63),"",RANK($W63,$W62:$W66,1))</f>
        <v/>
      </c>
    </row>
    <row r="64" spans="23:24" s="36" customFormat="1" x14ac:dyDescent="0.2">
      <c r="W64" s="2" t="str">
        <f>IF(ISBLANK($A64),"",$V64*(Methuselahs!$A$4+1)+$A64)</f>
        <v/>
      </c>
      <c r="X64" s="2" t="str">
        <f>IF(ISBLANK($A64),"",RANK($W64,$W62:$W66,1))</f>
        <v/>
      </c>
    </row>
    <row r="65" spans="23:24" s="36" customFormat="1" x14ac:dyDescent="0.2">
      <c r="W65" s="2" t="str">
        <f>IF(ISBLANK($A65),"",$V65*(Methuselahs!$A$4+1)+$A65)</f>
        <v/>
      </c>
      <c r="X65" s="2" t="str">
        <f>IF(ISBLANK($A65),"",RANK($W65,$W62:$W66,1))</f>
        <v/>
      </c>
    </row>
    <row r="66" spans="23:24" s="36" customFormat="1" x14ac:dyDescent="0.2">
      <c r="W66" s="2" t="str">
        <f>IF(ISBLANK($A66),"",$V66*(Methuselahs!$A$4+1)+$A66)</f>
        <v/>
      </c>
      <c r="X66" s="2" t="str">
        <f>IF(ISBLANK($A66),"",RANK($W66,$W62:$W66,1))</f>
        <v/>
      </c>
    </row>
    <row r="67" spans="23:24" s="36" customFormat="1" x14ac:dyDescent="0.2">
      <c r="W67" s="2" t="str">
        <f>IF(ISBLANK($A67),"",$V67*(Methuselahs!$A$4+1)+$A67)</f>
        <v/>
      </c>
      <c r="X67" s="2" t="str">
        <f>IF(ISBLANK($A67),"",RANK($W67,$W67:$W71,1))</f>
        <v/>
      </c>
    </row>
    <row r="68" spans="23:24" s="36" customFormat="1" x14ac:dyDescent="0.2">
      <c r="W68" s="2" t="str">
        <f>IF(ISBLANK($A68),"",$V68*(Methuselahs!$A$4+1)+$A68)</f>
        <v/>
      </c>
      <c r="X68" s="2" t="str">
        <f>IF(ISBLANK($A68),"",RANK($W68,$W67:$W71,1))</f>
        <v/>
      </c>
    </row>
    <row r="69" spans="23:24" s="36" customFormat="1" x14ac:dyDescent="0.2">
      <c r="W69" s="2" t="str">
        <f>IF(ISBLANK($A69),"",$V69*(Methuselahs!$A$4+1)+$A69)</f>
        <v/>
      </c>
      <c r="X69" s="2" t="str">
        <f>IF(ISBLANK($A69),"",RANK($W69,$W67:$W71,1))</f>
        <v/>
      </c>
    </row>
    <row r="70" spans="23:24" s="36" customFormat="1" x14ac:dyDescent="0.2">
      <c r="W70" s="2" t="str">
        <f>IF(ISBLANK($A70),"",$V70*(Methuselahs!$A$4+1)+$A70)</f>
        <v/>
      </c>
      <c r="X70" s="2" t="str">
        <f>IF(ISBLANK($A70),"",RANK($W70,$W67:$W71,1))</f>
        <v/>
      </c>
    </row>
    <row r="71" spans="23:24" s="36" customFormat="1" x14ac:dyDescent="0.2">
      <c r="W71" s="2" t="str">
        <f>IF(ISBLANK($A71),"",$V71*(Methuselahs!$A$4+1)+$A71)</f>
        <v/>
      </c>
      <c r="X71" s="2" t="str">
        <f>IF(ISBLANK($A71),"",RANK($W71,$W67:$W71,1))</f>
        <v/>
      </c>
    </row>
    <row r="72" spans="23:24" s="36" customFormat="1" x14ac:dyDescent="0.2">
      <c r="W72" s="2" t="str">
        <f>IF(ISBLANK($A72),"",$V72*(Methuselahs!$A$4+1)+$A72)</f>
        <v/>
      </c>
      <c r="X72" s="2" t="str">
        <f>IF(ISBLANK($A72),"",RANK($W72,$W72:$W76,1))</f>
        <v/>
      </c>
    </row>
    <row r="73" spans="23:24" s="36" customFormat="1" x14ac:dyDescent="0.2">
      <c r="W73" s="2" t="str">
        <f>IF(ISBLANK($A73),"",$V73*(Methuselahs!$A$4+1)+$A73)</f>
        <v/>
      </c>
      <c r="X73" s="2" t="str">
        <f>IF(ISBLANK($A73),"",RANK($W73,$W72:$W76,1))</f>
        <v/>
      </c>
    </row>
    <row r="74" spans="23:24" s="36" customFormat="1" x14ac:dyDescent="0.2">
      <c r="W74" s="2" t="str">
        <f>IF(ISBLANK($A74),"",$V74*(Methuselahs!$A$4+1)+$A74)</f>
        <v/>
      </c>
      <c r="X74" s="2" t="str">
        <f>IF(ISBLANK($A74),"",RANK($W74,$W72:$W76,1))</f>
        <v/>
      </c>
    </row>
    <row r="75" spans="23:24" s="36" customFormat="1" x14ac:dyDescent="0.2">
      <c r="W75" s="2" t="str">
        <f>IF(ISBLANK($A75),"",$V75*(Methuselahs!$A$4+1)+$A75)</f>
        <v/>
      </c>
      <c r="X75" s="2" t="str">
        <f>IF(ISBLANK($A75),"",RANK($W75,$W72:$W76,1))</f>
        <v/>
      </c>
    </row>
    <row r="76" spans="23:24" s="36" customFormat="1" x14ac:dyDescent="0.2">
      <c r="W76" s="2" t="str">
        <f>IF(ISBLANK($A76),"",$V76*(Methuselahs!$A$4+1)+$A76)</f>
        <v/>
      </c>
      <c r="X76" s="2" t="str">
        <f>IF(ISBLANK($A76),"",RANK($W76,$W72:$W76,1))</f>
        <v/>
      </c>
    </row>
    <row r="77" spans="23:24" s="36" customFormat="1" x14ac:dyDescent="0.2">
      <c r="W77" s="2" t="str">
        <f>IF(ISBLANK($A77),"",$V77*(Methuselahs!$A$4+1)+$A77)</f>
        <v/>
      </c>
      <c r="X77" s="2" t="str">
        <f>IF(ISBLANK($A77),"",RANK($W77,$W77:$W81,1))</f>
        <v/>
      </c>
    </row>
    <row r="78" spans="23:24" s="36" customFormat="1" x14ac:dyDescent="0.2">
      <c r="W78" s="2" t="str">
        <f>IF(ISBLANK($A78),"",$V78*(Methuselahs!$A$4+1)+$A78)</f>
        <v/>
      </c>
      <c r="X78" s="2" t="str">
        <f>IF(ISBLANK($A78),"",RANK($W78,$W77:$W81,1))</f>
        <v/>
      </c>
    </row>
    <row r="79" spans="23:24" s="36" customFormat="1" x14ac:dyDescent="0.2">
      <c r="W79" s="2" t="str">
        <f>IF(ISBLANK($A79),"",$V79*(Methuselahs!$A$4+1)+$A79)</f>
        <v/>
      </c>
      <c r="X79" s="2" t="str">
        <f>IF(ISBLANK($A79),"",RANK($W79,$W77:$W81,1))</f>
        <v/>
      </c>
    </row>
    <row r="80" spans="23:24" s="36" customFormat="1" x14ac:dyDescent="0.2">
      <c r="W80" s="2" t="str">
        <f>IF(ISBLANK($A80),"",$V80*(Methuselahs!$A$4+1)+$A80)</f>
        <v/>
      </c>
      <c r="X80" s="2" t="str">
        <f>IF(ISBLANK($A80),"",RANK($W80,$W77:$W81,1))</f>
        <v/>
      </c>
    </row>
    <row r="81" spans="23:24" s="36" customFormat="1" x14ac:dyDescent="0.2">
      <c r="W81" s="2" t="str">
        <f>IF(ISBLANK($A81),"",$V81*(Methuselahs!$A$4+1)+$A81)</f>
        <v/>
      </c>
      <c r="X81" s="2" t="str">
        <f>IF(ISBLANK($A81),"",RANK($W81,$W77:$W81,1))</f>
        <v/>
      </c>
    </row>
    <row r="82" spans="23:24" s="36" customFormat="1" x14ac:dyDescent="0.2">
      <c r="W82" s="2" t="str">
        <f>IF(ISBLANK($A82),"",$V82*(Methuselahs!$A$4+1)+$A82)</f>
        <v/>
      </c>
      <c r="X82" s="2" t="str">
        <f>IF(ISBLANK($A82),"",RANK($W82,$W82:$W86,1))</f>
        <v/>
      </c>
    </row>
    <row r="83" spans="23:24" s="36" customFormat="1" x14ac:dyDescent="0.2">
      <c r="W83" s="2" t="str">
        <f>IF(ISBLANK($A83),"",$V83*(Methuselahs!$A$4+1)+$A83)</f>
        <v/>
      </c>
      <c r="X83" s="2" t="str">
        <f>IF(ISBLANK($A83),"",RANK($W83,$W82:$W86,1))</f>
        <v/>
      </c>
    </row>
    <row r="84" spans="23:24" s="36" customFormat="1" x14ac:dyDescent="0.2">
      <c r="W84" s="2" t="str">
        <f>IF(ISBLANK($A84),"",$V84*(Methuselahs!$A$4+1)+$A84)</f>
        <v/>
      </c>
      <c r="X84" s="2" t="str">
        <f>IF(ISBLANK($A84),"",RANK($W84,$W82:$W86,1))</f>
        <v/>
      </c>
    </row>
    <row r="85" spans="23:24" s="36" customFormat="1" x14ac:dyDescent="0.2">
      <c r="W85" s="2" t="str">
        <f>IF(ISBLANK($A85),"",$V85*(Methuselahs!$A$4+1)+$A85)</f>
        <v/>
      </c>
      <c r="X85" s="2" t="str">
        <f>IF(ISBLANK($A85),"",RANK($W85,$W82:$W86,1))</f>
        <v/>
      </c>
    </row>
    <row r="86" spans="23:24" s="36" customFormat="1" x14ac:dyDescent="0.2">
      <c r="W86" s="2" t="str">
        <f>IF(ISBLANK($A86),"",$V86*(Methuselahs!$A$4+1)+$A86)</f>
        <v/>
      </c>
      <c r="X86" s="2" t="str">
        <f>IF(ISBLANK($A86),"",RANK($W86,$W82:$W86,1))</f>
        <v/>
      </c>
    </row>
    <row r="87" spans="23:24" s="36" customFormat="1" x14ac:dyDescent="0.2">
      <c r="W87" s="2" t="str">
        <f>IF(ISBLANK($A87),"",$V87*(Methuselahs!$A$4+1)+$A87)</f>
        <v/>
      </c>
      <c r="X87" s="2" t="str">
        <f>IF(ISBLANK($A87),"",RANK($W87,$W87:$W91,1))</f>
        <v/>
      </c>
    </row>
    <row r="88" spans="23:24" s="36" customFormat="1" x14ac:dyDescent="0.2">
      <c r="W88" s="2" t="str">
        <f>IF(ISBLANK($A88),"",$V88*(Methuselahs!$A$4+1)+$A88)</f>
        <v/>
      </c>
      <c r="X88" s="2" t="str">
        <f>IF(ISBLANK($A88),"",RANK($W88,$W87:$W91,1))</f>
        <v/>
      </c>
    </row>
    <row r="89" spans="23:24" s="36" customFormat="1" x14ac:dyDescent="0.2">
      <c r="W89" s="2" t="str">
        <f>IF(ISBLANK($A89),"",$V89*(Methuselahs!$A$4+1)+$A89)</f>
        <v/>
      </c>
      <c r="X89" s="2" t="str">
        <f>IF(ISBLANK($A89),"",RANK($W89,$W87:$W91,1))</f>
        <v/>
      </c>
    </row>
    <row r="90" spans="23:24" s="36" customFormat="1" x14ac:dyDescent="0.2">
      <c r="W90" s="2" t="str">
        <f>IF(ISBLANK($A90),"",$V90*(Methuselahs!$A$4+1)+$A90)</f>
        <v/>
      </c>
      <c r="X90" s="2" t="str">
        <f>IF(ISBLANK($A90),"",RANK($W90,$W87:$W91,1))</f>
        <v/>
      </c>
    </row>
    <row r="91" spans="23:24" s="36" customFormat="1" x14ac:dyDescent="0.2">
      <c r="W91" s="2" t="str">
        <f>IF(ISBLANK($A91),"",$V91*(Methuselahs!$A$4+1)+$A91)</f>
        <v/>
      </c>
      <c r="X91" s="2" t="str">
        <f>IF(ISBLANK($A91),"",RANK($W91,$W87:$W91,1))</f>
        <v/>
      </c>
    </row>
    <row r="92" spans="23:24" s="36" customFormat="1" x14ac:dyDescent="0.2">
      <c r="W92" s="2" t="str">
        <f>IF(ISBLANK($A92),"",$V92*(Methuselahs!$A$4+1)+$A92)</f>
        <v/>
      </c>
      <c r="X92" s="2" t="str">
        <f>IF(ISBLANK($A92),"",RANK($W92,$W92:$W96,1))</f>
        <v/>
      </c>
    </row>
    <row r="93" spans="23:24" s="36" customFormat="1" x14ac:dyDescent="0.2">
      <c r="W93" s="2" t="str">
        <f>IF(ISBLANK($A93),"",$V93*(Methuselahs!$A$4+1)+$A93)</f>
        <v/>
      </c>
      <c r="X93" s="2" t="str">
        <f>IF(ISBLANK($A93),"",RANK($W93,$W92:$W96,1))</f>
        <v/>
      </c>
    </row>
    <row r="94" spans="23:24" s="36" customFormat="1" x14ac:dyDescent="0.2">
      <c r="W94" s="2" t="str">
        <f>IF(ISBLANK($A94),"",$V94*(Methuselahs!$A$4+1)+$A94)</f>
        <v/>
      </c>
      <c r="X94" s="2" t="str">
        <f>IF(ISBLANK($A94),"",RANK($W94,$W92:$W96,1))</f>
        <v/>
      </c>
    </row>
    <row r="95" spans="23:24" s="36" customFormat="1" x14ac:dyDescent="0.2">
      <c r="W95" s="2" t="str">
        <f>IF(ISBLANK($A95),"",$V95*(Methuselahs!$A$4+1)+$A95)</f>
        <v/>
      </c>
      <c r="X95" s="2" t="str">
        <f>IF(ISBLANK($A95),"",RANK($W95,$W92:$W96,1))</f>
        <v/>
      </c>
    </row>
    <row r="96" spans="23:24" s="36" customFormat="1" x14ac:dyDescent="0.2">
      <c r="W96" s="2" t="str">
        <f>IF(ISBLANK($A96),"",$V96*(Methuselahs!$A$4+1)+$A96)</f>
        <v/>
      </c>
      <c r="X96" s="2" t="str">
        <f>IF(ISBLANK($A96),"",RANK($W96,$W92:$W96,1))</f>
        <v/>
      </c>
    </row>
    <row r="97" spans="23:24" s="36" customFormat="1" x14ac:dyDescent="0.2">
      <c r="W97" s="2" t="str">
        <f>IF(ISBLANK($A97),"",$V97*(Methuselahs!$A$4+1)+$A97)</f>
        <v/>
      </c>
      <c r="X97" s="2" t="str">
        <f>IF(ISBLANK($A97),"",RANK($W97,$W97:$W101,1))</f>
        <v/>
      </c>
    </row>
    <row r="98" spans="23:24" s="36" customFormat="1" x14ac:dyDescent="0.2">
      <c r="W98" s="2" t="str">
        <f>IF(ISBLANK($A98),"",$V98*(Methuselahs!$A$4+1)+$A98)</f>
        <v/>
      </c>
      <c r="X98" s="2" t="str">
        <f>IF(ISBLANK($A98),"",RANK($W98,$W97:$W101,1))</f>
        <v/>
      </c>
    </row>
    <row r="99" spans="23:24" s="36" customFormat="1" x14ac:dyDescent="0.2">
      <c r="W99" s="2" t="str">
        <f>IF(ISBLANK($A99),"",$V99*(Methuselahs!$A$4+1)+$A99)</f>
        <v/>
      </c>
      <c r="X99" s="2" t="str">
        <f>IF(ISBLANK($A99),"",RANK($W99,$W97:$W101,1))</f>
        <v/>
      </c>
    </row>
    <row r="100" spans="23:24" s="36" customFormat="1" x14ac:dyDescent="0.2">
      <c r="W100" s="2" t="str">
        <f>IF(ISBLANK($A100),"",$V100*(Methuselahs!$A$4+1)+$A100)</f>
        <v/>
      </c>
      <c r="X100" s="2" t="str">
        <f>IF(ISBLANK($A100),"",RANK($W100,$W97:$W101,1))</f>
        <v/>
      </c>
    </row>
    <row r="101" spans="23:24" s="36" customFormat="1" x14ac:dyDescent="0.2">
      <c r="W101" s="2" t="str">
        <f>IF(ISBLANK($A101),"",$V101*(Methuselahs!$A$4+1)+$A101)</f>
        <v/>
      </c>
      <c r="X101" s="2" t="str">
        <f>IF(ISBLANK($A101),"",RANK($W101,$W97:$W101,1))</f>
        <v/>
      </c>
    </row>
    <row r="102" spans="23:24" s="36" customFormat="1" x14ac:dyDescent="0.2">
      <c r="W102" s="2" t="str">
        <f>IF(ISBLANK($A102),"",$V102*(Methuselahs!$A$4+1)+$A102)</f>
        <v/>
      </c>
      <c r="X102" s="2" t="str">
        <f>IF(ISBLANK($A102),"",RANK($W102,$W102:$W106,1))</f>
        <v/>
      </c>
    </row>
    <row r="103" spans="23:24" s="36" customFormat="1" x14ac:dyDescent="0.2">
      <c r="W103" s="2" t="str">
        <f>IF(ISBLANK($A103),"",$V103*(Methuselahs!$A$4+1)+$A103)</f>
        <v/>
      </c>
      <c r="X103" s="2" t="str">
        <f>IF(ISBLANK($A103),"",RANK($W103,$W102:$W106,1))</f>
        <v/>
      </c>
    </row>
    <row r="104" spans="23:24" s="36" customFormat="1" x14ac:dyDescent="0.2">
      <c r="W104" s="2" t="str">
        <f>IF(ISBLANK($A104),"",$V104*(Methuselahs!$A$4+1)+$A104)</f>
        <v/>
      </c>
      <c r="X104" s="2" t="str">
        <f>IF(ISBLANK($A104),"",RANK($W104,$W102:$W106,1))</f>
        <v/>
      </c>
    </row>
    <row r="105" spans="23:24" s="36" customFormat="1" x14ac:dyDescent="0.2">
      <c r="W105" s="2" t="str">
        <f>IF(ISBLANK($A105),"",$V105*(Methuselahs!$A$4+1)+$A105)</f>
        <v/>
      </c>
      <c r="X105" s="2" t="str">
        <f>IF(ISBLANK($A105),"",RANK($W105,$W102:$W106,1))</f>
        <v/>
      </c>
    </row>
    <row r="106" spans="23:24" s="36" customFormat="1" x14ac:dyDescent="0.2">
      <c r="W106" s="2" t="str">
        <f>IF(ISBLANK($A106),"",$V106*(Methuselahs!$A$4+1)+$A106)</f>
        <v/>
      </c>
      <c r="X106" s="2" t="str">
        <f>IF(ISBLANK($A106),"",RANK($W106,$W102:$W106,1))</f>
        <v/>
      </c>
    </row>
    <row r="107" spans="23:24" s="36" customFormat="1" x14ac:dyDescent="0.2">
      <c r="W107" s="2" t="str">
        <f>IF(ISBLANK($A107),"",$V107*(Methuselahs!$A$4+1)+$A107)</f>
        <v/>
      </c>
      <c r="X107" s="2" t="str">
        <f>IF(ISBLANK($A107),"",RANK($W107,$W107:$W111,1))</f>
        <v/>
      </c>
    </row>
    <row r="108" spans="23:24" s="36" customFormat="1" x14ac:dyDescent="0.2">
      <c r="W108" s="2" t="str">
        <f>IF(ISBLANK($A108),"",$V108*(Methuselahs!$A$4+1)+$A108)</f>
        <v/>
      </c>
      <c r="X108" s="2" t="str">
        <f>IF(ISBLANK($A108),"",RANK($W108,$W107:$W111,1))</f>
        <v/>
      </c>
    </row>
    <row r="109" spans="23:24" s="36" customFormat="1" x14ac:dyDescent="0.2">
      <c r="W109" s="2" t="str">
        <f>IF(ISBLANK($A109),"",$V109*(Methuselahs!$A$4+1)+$A109)</f>
        <v/>
      </c>
      <c r="X109" s="2" t="str">
        <f>IF(ISBLANK($A109),"",RANK($W109,$W107:$W111,1))</f>
        <v/>
      </c>
    </row>
    <row r="110" spans="23:24" s="36" customFormat="1" x14ac:dyDescent="0.2">
      <c r="W110" s="2" t="str">
        <f>IF(ISBLANK($A110),"",$V110*(Methuselahs!$A$4+1)+$A110)</f>
        <v/>
      </c>
      <c r="X110" s="2" t="str">
        <f>IF(ISBLANK($A110),"",RANK($W110,$W107:$W111,1))</f>
        <v/>
      </c>
    </row>
    <row r="111" spans="23:24" s="36" customFormat="1" x14ac:dyDescent="0.2">
      <c r="W111" s="2" t="str">
        <f>IF(ISBLANK($A111),"",$V111*(Methuselahs!$A$4+1)+$A111)</f>
        <v/>
      </c>
      <c r="X111" s="2" t="str">
        <f>IF(ISBLANK($A111),"",RANK($W111,$W107:$W111,1))</f>
        <v/>
      </c>
    </row>
    <row r="112" spans="23:24" s="36" customFormat="1" x14ac:dyDescent="0.2">
      <c r="W112" s="2" t="str">
        <f>IF(ISBLANK($A112),"",$V112*(Methuselahs!$A$4+1)+$A112)</f>
        <v/>
      </c>
      <c r="X112" s="2" t="str">
        <f>IF(ISBLANK($A112),"",RANK($W112,$W112:$W116,1))</f>
        <v/>
      </c>
    </row>
    <row r="113" spans="23:24" s="36" customFormat="1" x14ac:dyDescent="0.2">
      <c r="W113" s="2" t="str">
        <f>IF(ISBLANK($A113),"",$V113*(Methuselahs!$A$4+1)+$A113)</f>
        <v/>
      </c>
      <c r="X113" s="2" t="str">
        <f>IF(ISBLANK($A113),"",RANK($W113,$W112:$W116,1))</f>
        <v/>
      </c>
    </row>
    <row r="114" spans="23:24" s="36" customFormat="1" x14ac:dyDescent="0.2">
      <c r="W114" s="2" t="str">
        <f>IF(ISBLANK($A114),"",$V114*(Methuselahs!$A$4+1)+$A114)</f>
        <v/>
      </c>
      <c r="X114" s="2" t="str">
        <f>IF(ISBLANK($A114),"",RANK($W114,$W112:$W116,1))</f>
        <v/>
      </c>
    </row>
    <row r="115" spans="23:24" s="36" customFormat="1" x14ac:dyDescent="0.2">
      <c r="W115" s="2" t="str">
        <f>IF(ISBLANK($A115),"",$V115*(Methuselahs!$A$4+1)+$A115)</f>
        <v/>
      </c>
      <c r="X115" s="2" t="str">
        <f>IF(ISBLANK($A115),"",RANK($W115,$W112:$W116,1))</f>
        <v/>
      </c>
    </row>
    <row r="116" spans="23:24" s="36" customFormat="1" x14ac:dyDescent="0.2">
      <c r="W116" s="2" t="str">
        <f>IF(ISBLANK($A116),"",$V116*(Methuselahs!$A$4+1)+$A116)</f>
        <v/>
      </c>
      <c r="X116" s="2" t="str">
        <f>IF(ISBLANK($A116),"",RANK($W116,$W112:$W116,1))</f>
        <v/>
      </c>
    </row>
    <row r="117" spans="23:24" s="36" customFormat="1" x14ac:dyDescent="0.2">
      <c r="W117" s="2" t="str">
        <f>IF(ISBLANK($A117),"",$V117*(Methuselahs!$A$4+1)+$A117)</f>
        <v/>
      </c>
      <c r="X117" s="2" t="str">
        <f>IF(ISBLANK($A117),"",RANK($W117,$W117:$W121,1))</f>
        <v/>
      </c>
    </row>
    <row r="118" spans="23:24" s="36" customFormat="1" x14ac:dyDescent="0.2">
      <c r="W118" s="2" t="str">
        <f>IF(ISBLANK($A118),"",$V118*(Methuselahs!$A$4+1)+$A118)</f>
        <v/>
      </c>
      <c r="X118" s="2" t="str">
        <f>IF(ISBLANK($A118),"",RANK($W118,$W117:$W121,1))</f>
        <v/>
      </c>
    </row>
    <row r="119" spans="23:24" s="36" customFormat="1" x14ac:dyDescent="0.2">
      <c r="W119" s="2" t="str">
        <f>IF(ISBLANK($A119),"",$V119*(Methuselahs!$A$4+1)+$A119)</f>
        <v/>
      </c>
      <c r="X119" s="2" t="str">
        <f>IF(ISBLANK($A119),"",RANK($W119,$W117:$W121,1))</f>
        <v/>
      </c>
    </row>
    <row r="120" spans="23:24" s="36" customFormat="1" x14ac:dyDescent="0.2">
      <c r="W120" s="2" t="str">
        <f>IF(ISBLANK($A120),"",$V120*(Methuselahs!$A$4+1)+$A120)</f>
        <v/>
      </c>
      <c r="X120" s="2" t="str">
        <f>IF(ISBLANK($A120),"",RANK($W120,$W117:$W121,1))</f>
        <v/>
      </c>
    </row>
    <row r="121" spans="23:24" s="36" customFormat="1" x14ac:dyDescent="0.2">
      <c r="W121" s="2" t="str">
        <f>IF(ISBLANK($A121),"",$V121*(Methuselahs!$A$4+1)+$A121)</f>
        <v/>
      </c>
      <c r="X121" s="2" t="str">
        <f>IF(ISBLANK($A121),"",RANK($W121,$W117:$W121,1))</f>
        <v/>
      </c>
    </row>
    <row r="122" spans="23:24" s="36" customFormat="1" x14ac:dyDescent="0.2">
      <c r="W122" s="2" t="str">
        <f>IF(ISBLANK($A122),"",$V122*(Methuselahs!$A$4+1)+$A122)</f>
        <v/>
      </c>
      <c r="X122" s="2" t="str">
        <f>IF(ISBLANK($A122),"",RANK($W122,$W122:$W126,1))</f>
        <v/>
      </c>
    </row>
    <row r="123" spans="23:24" s="36" customFormat="1" x14ac:dyDescent="0.2">
      <c r="W123" s="2" t="str">
        <f>IF(ISBLANK($A123),"",$V123*(Methuselahs!$A$4+1)+$A123)</f>
        <v/>
      </c>
      <c r="X123" s="2" t="str">
        <f>IF(ISBLANK($A123),"",RANK($W123,$W122:$W126,1))</f>
        <v/>
      </c>
    </row>
    <row r="124" spans="23:24" s="36" customFormat="1" x14ac:dyDescent="0.2">
      <c r="W124" s="2" t="str">
        <f>IF(ISBLANK($A124),"",$V124*(Methuselahs!$A$4+1)+$A124)</f>
        <v/>
      </c>
      <c r="X124" s="2" t="str">
        <f>IF(ISBLANK($A124),"",RANK($W124,$W122:$W126,1))</f>
        <v/>
      </c>
    </row>
    <row r="125" spans="23:24" s="36" customFormat="1" x14ac:dyDescent="0.2">
      <c r="W125" s="2" t="str">
        <f>IF(ISBLANK($A125),"",$V125*(Methuselahs!$A$4+1)+$A125)</f>
        <v/>
      </c>
      <c r="X125" s="2" t="str">
        <f>IF(ISBLANK($A125),"",RANK($W125,$W122:$W126,1))</f>
        <v/>
      </c>
    </row>
    <row r="126" spans="23:24" s="36" customFormat="1" x14ac:dyDescent="0.2">
      <c r="W126" s="2" t="str">
        <f>IF(ISBLANK($A126),"",$V126*(Methuselahs!$A$4+1)+$A126)</f>
        <v/>
      </c>
      <c r="X126" s="2" t="str">
        <f>IF(ISBLANK($A126),"",RANK($W126,$W122:$W126,1))</f>
        <v/>
      </c>
    </row>
    <row r="127" spans="23:24" s="36" customFormat="1" x14ac:dyDescent="0.2">
      <c r="W127" s="2" t="str">
        <f>IF(ISBLANK($A127),"",$V127*(Methuselahs!$A$4+1)+$A127)</f>
        <v/>
      </c>
      <c r="X127" s="2" t="str">
        <f>IF(ISBLANK($A127),"",RANK($W127,$W127:$W131,1))</f>
        <v/>
      </c>
    </row>
    <row r="128" spans="23:24" s="36" customFormat="1" x14ac:dyDescent="0.2">
      <c r="W128" s="2" t="str">
        <f>IF(ISBLANK($A128),"",$V128*(Methuselahs!$A$4+1)+$A128)</f>
        <v/>
      </c>
      <c r="X128" s="2" t="str">
        <f>IF(ISBLANK($A128),"",RANK($W128,$W127:$W131,1))</f>
        <v/>
      </c>
    </row>
    <row r="129" spans="23:24" s="36" customFormat="1" x14ac:dyDescent="0.2">
      <c r="W129" s="2" t="str">
        <f>IF(ISBLANK($A129),"",$V129*(Methuselahs!$A$4+1)+$A129)</f>
        <v/>
      </c>
      <c r="X129" s="2" t="str">
        <f>IF(ISBLANK($A129),"",RANK($W129,$W127:$W131,1))</f>
        <v/>
      </c>
    </row>
    <row r="130" spans="23:24" s="36" customFormat="1" x14ac:dyDescent="0.2">
      <c r="W130" s="2" t="str">
        <f>IF(ISBLANK($A130),"",$V130*(Methuselahs!$A$4+1)+$A130)</f>
        <v/>
      </c>
      <c r="X130" s="2" t="str">
        <f>IF(ISBLANK($A130),"",RANK($W130,$W127:$W131,1))</f>
        <v/>
      </c>
    </row>
    <row r="131" spans="23:24" s="36" customFormat="1" x14ac:dyDescent="0.2">
      <c r="W131" s="2" t="str">
        <f>IF(ISBLANK($A131),"",$V131*(Methuselahs!$A$4+1)+$A131)</f>
        <v/>
      </c>
      <c r="X131" s="2" t="str">
        <f>IF(ISBLANK($A131),"",RANK($W131,$W127:$W131,1))</f>
        <v/>
      </c>
    </row>
    <row r="132" spans="23:24" s="36" customFormat="1" x14ac:dyDescent="0.2">
      <c r="W132" s="2" t="str">
        <f>IF(ISBLANK($A132),"",$V132*(Methuselahs!$A$4+1)+$A132)</f>
        <v/>
      </c>
      <c r="X132" s="2" t="str">
        <f>IF(ISBLANK($A132),"",RANK($W132,$W132:$W136,1))</f>
        <v/>
      </c>
    </row>
    <row r="133" spans="23:24" s="36" customFormat="1" x14ac:dyDescent="0.2">
      <c r="W133" s="2" t="str">
        <f>IF(ISBLANK($A133),"",$V133*(Methuselahs!$A$4+1)+$A133)</f>
        <v/>
      </c>
      <c r="X133" s="2" t="str">
        <f>IF(ISBLANK($A133),"",RANK($W133,$W132:$W136,1))</f>
        <v/>
      </c>
    </row>
    <row r="134" spans="23:24" s="36" customFormat="1" x14ac:dyDescent="0.2">
      <c r="W134" s="2" t="str">
        <f>IF(ISBLANK($A134),"",$V134*(Methuselahs!$A$4+1)+$A134)</f>
        <v/>
      </c>
      <c r="X134" s="2" t="str">
        <f>IF(ISBLANK($A134),"",RANK($W134,$W132:$W136,1))</f>
        <v/>
      </c>
    </row>
    <row r="135" spans="23:24" s="36" customFormat="1" x14ac:dyDescent="0.2">
      <c r="W135" s="2" t="str">
        <f>IF(ISBLANK($A135),"",$V135*(Methuselahs!$A$4+1)+$A135)</f>
        <v/>
      </c>
      <c r="X135" s="2" t="str">
        <f>IF(ISBLANK($A135),"",RANK($W135,$W132:$W136,1))</f>
        <v/>
      </c>
    </row>
    <row r="136" spans="23:24" s="36" customFormat="1" x14ac:dyDescent="0.2">
      <c r="W136" s="2" t="str">
        <f>IF(ISBLANK($A136),"",$V136*(Methuselahs!$A$4+1)+$A136)</f>
        <v/>
      </c>
      <c r="X136" s="2" t="str">
        <f>IF(ISBLANK($A136),"",RANK($W136,$W132:$W136,1))</f>
        <v/>
      </c>
    </row>
    <row r="137" spans="23:24" s="36" customFormat="1" x14ac:dyDescent="0.2">
      <c r="W137" s="2" t="str">
        <f>IF(ISBLANK($A137),"",$V137*(Methuselahs!$A$4+1)+$A137)</f>
        <v/>
      </c>
      <c r="X137" s="2" t="str">
        <f>IF(ISBLANK($A137),"",RANK($W137,$W137:$W141,1))</f>
        <v/>
      </c>
    </row>
    <row r="138" spans="23:24" s="36" customFormat="1" x14ac:dyDescent="0.2">
      <c r="W138" s="2" t="str">
        <f>IF(ISBLANK($A138),"",$V138*(Methuselahs!$A$4+1)+$A138)</f>
        <v/>
      </c>
      <c r="X138" s="2" t="str">
        <f>IF(ISBLANK($A138),"",RANK($W138,$W137:$W141,1))</f>
        <v/>
      </c>
    </row>
    <row r="139" spans="23:24" s="36" customFormat="1" x14ac:dyDescent="0.2">
      <c r="W139" s="2" t="str">
        <f>IF(ISBLANK($A139),"",$V139*(Methuselahs!$A$4+1)+$A139)</f>
        <v/>
      </c>
      <c r="X139" s="2" t="str">
        <f>IF(ISBLANK($A139),"",RANK($W139,$W137:$W141,1))</f>
        <v/>
      </c>
    </row>
    <row r="140" spans="23:24" s="36" customFormat="1" x14ac:dyDescent="0.2">
      <c r="W140" s="2" t="str">
        <f>IF(ISBLANK($A140),"",$V140*(Methuselahs!$A$4+1)+$A140)</f>
        <v/>
      </c>
      <c r="X140" s="2" t="str">
        <f>IF(ISBLANK($A140),"",RANK($W140,$W137:$W141,1))</f>
        <v/>
      </c>
    </row>
    <row r="141" spans="23:24" s="36" customFormat="1" x14ac:dyDescent="0.2">
      <c r="W141" s="2" t="str">
        <f>IF(ISBLANK($A141),"",$V141*(Methuselahs!$A$4+1)+$A141)</f>
        <v/>
      </c>
      <c r="X141" s="2" t="str">
        <f>IF(ISBLANK($A141),"",RANK($W141,$W137:$W141,1))</f>
        <v/>
      </c>
    </row>
    <row r="142" spans="23:24" s="36" customFormat="1" x14ac:dyDescent="0.2">
      <c r="W142" s="2" t="str">
        <f>IF(ISBLANK($A142),"",$V142*(Methuselahs!$A$4+1)+$A142)</f>
        <v/>
      </c>
      <c r="X142" s="2" t="str">
        <f>IF(ISBLANK($A142),"",RANK($W142,$W142:$W146,1))</f>
        <v/>
      </c>
    </row>
    <row r="143" spans="23:24" s="36" customFormat="1" x14ac:dyDescent="0.2">
      <c r="W143" s="2" t="str">
        <f>IF(ISBLANK($A143),"",$V143*(Methuselahs!$A$4+1)+$A143)</f>
        <v/>
      </c>
      <c r="X143" s="2" t="str">
        <f>IF(ISBLANK($A143),"",RANK($W143,$W142:$W146,1))</f>
        <v/>
      </c>
    </row>
    <row r="144" spans="23:24" s="36" customFormat="1" x14ac:dyDescent="0.2">
      <c r="W144" s="2" t="str">
        <f>IF(ISBLANK($A144),"",$V144*(Methuselahs!$A$4+1)+$A144)</f>
        <v/>
      </c>
      <c r="X144" s="2" t="str">
        <f>IF(ISBLANK($A144),"",RANK($W144,$W142:$W146,1))</f>
        <v/>
      </c>
    </row>
    <row r="145" spans="23:24" s="36" customFormat="1" x14ac:dyDescent="0.2">
      <c r="W145" s="2" t="str">
        <f>IF(ISBLANK($A145),"",$V145*(Methuselahs!$A$4+1)+$A145)</f>
        <v/>
      </c>
      <c r="X145" s="2" t="str">
        <f>IF(ISBLANK($A145),"",RANK($W145,$W142:$W146,1))</f>
        <v/>
      </c>
    </row>
    <row r="146" spans="23:24" s="36" customFormat="1" x14ac:dyDescent="0.2">
      <c r="W146" s="2" t="str">
        <f>IF(ISBLANK($A146),"",$V146*(Methuselahs!$A$4+1)+$A146)</f>
        <v/>
      </c>
      <c r="X146" s="2" t="str">
        <f>IF(ISBLANK($A146),"",RANK($W146,$W142:$W146,1))</f>
        <v/>
      </c>
    </row>
    <row r="147" spans="23:24" s="36" customFormat="1" x14ac:dyDescent="0.2">
      <c r="W147" s="2" t="str">
        <f>IF(ISBLANK($A147),"",$V147*(Methuselahs!$A$4+1)+$A147)</f>
        <v/>
      </c>
      <c r="X147" s="2" t="str">
        <f>IF(ISBLANK($A147),"",RANK($W147,$W147:$W151,1))</f>
        <v/>
      </c>
    </row>
    <row r="148" spans="23:24" s="36" customFormat="1" x14ac:dyDescent="0.2">
      <c r="W148" s="2" t="str">
        <f>IF(ISBLANK($A148),"",$V148*(Methuselahs!$A$4+1)+$A148)</f>
        <v/>
      </c>
      <c r="X148" s="2" t="str">
        <f>IF(ISBLANK($A148),"",RANK($W148,$W147:$W151,1))</f>
        <v/>
      </c>
    </row>
    <row r="149" spans="23:24" s="36" customFormat="1" x14ac:dyDescent="0.2">
      <c r="W149" s="2" t="str">
        <f>IF(ISBLANK($A149),"",$V149*(Methuselahs!$A$4+1)+$A149)</f>
        <v/>
      </c>
      <c r="X149" s="2" t="str">
        <f>IF(ISBLANK($A149),"",RANK($W149,$W147:$W151,1))</f>
        <v/>
      </c>
    </row>
    <row r="150" spans="23:24" s="36" customFormat="1" x14ac:dyDescent="0.2">
      <c r="W150" s="2" t="str">
        <f>IF(ISBLANK($A150),"",$V150*(Methuselahs!$A$4+1)+$A150)</f>
        <v/>
      </c>
      <c r="X150" s="2" t="str">
        <f>IF(ISBLANK($A150),"",RANK($W150,$W147:$W151,1))</f>
        <v/>
      </c>
    </row>
    <row r="151" spans="23:24" s="36" customFormat="1" x14ac:dyDescent="0.2">
      <c r="W151" s="2" t="str">
        <f>IF(ISBLANK($A151),"",$V151*(Methuselahs!$A$4+1)+$A151)</f>
        <v/>
      </c>
      <c r="X151" s="2" t="str">
        <f>IF(ISBLANK($A151),"",RANK($W151,$W147:$W151,1))</f>
        <v/>
      </c>
    </row>
    <row r="152" spans="23:24" s="36" customFormat="1" x14ac:dyDescent="0.2">
      <c r="W152" s="2" t="str">
        <f>IF(ISBLANK($A152),"",$V152*(Methuselahs!$A$4+1)+$A152)</f>
        <v/>
      </c>
      <c r="X152" s="2" t="str">
        <f>IF(ISBLANK($A152),"",RANK($W152,$W152:$W156,1))</f>
        <v/>
      </c>
    </row>
    <row r="153" spans="23:24" s="36" customFormat="1" x14ac:dyDescent="0.2">
      <c r="W153" s="2" t="str">
        <f>IF(ISBLANK($A153),"",$V153*(Methuselahs!$A$4+1)+$A153)</f>
        <v/>
      </c>
      <c r="X153" s="2" t="str">
        <f>IF(ISBLANK($A153),"",RANK($W153,$W152:$W156,1))</f>
        <v/>
      </c>
    </row>
    <row r="154" spans="23:24" s="36" customFormat="1" x14ac:dyDescent="0.2">
      <c r="W154" s="2" t="str">
        <f>IF(ISBLANK($A154),"",$V154*(Methuselahs!$A$4+1)+$A154)</f>
        <v/>
      </c>
      <c r="X154" s="2" t="str">
        <f>IF(ISBLANK($A154),"",RANK($W154,$W152:$W156,1))</f>
        <v/>
      </c>
    </row>
    <row r="155" spans="23:24" s="36" customFormat="1" x14ac:dyDescent="0.2">
      <c r="W155" s="2" t="str">
        <f>IF(ISBLANK($A155),"",$V155*(Methuselahs!$A$4+1)+$A155)</f>
        <v/>
      </c>
      <c r="X155" s="2" t="str">
        <f>IF(ISBLANK($A155),"",RANK($W155,$W152:$W156,1))</f>
        <v/>
      </c>
    </row>
    <row r="156" spans="23:24" s="36" customFormat="1" x14ac:dyDescent="0.2">
      <c r="W156" s="2" t="str">
        <f>IF(ISBLANK($A156),"",$V156*(Methuselahs!$A$4+1)+$A156)</f>
        <v/>
      </c>
      <c r="X156" s="2" t="str">
        <f>IF(ISBLANK($A156),"",RANK($W156,$W152:$W156,1))</f>
        <v/>
      </c>
    </row>
    <row r="157" spans="23:24" s="36" customFormat="1" x14ac:dyDescent="0.2">
      <c r="W157" s="2" t="str">
        <f>IF(ISBLANK($A157),"",$V157*(Methuselahs!$A$4+1)+$A157)</f>
        <v/>
      </c>
      <c r="X157" s="2" t="str">
        <f>IF(ISBLANK($A157),"",RANK($W157,$W157:$W161,1))</f>
        <v/>
      </c>
    </row>
    <row r="158" spans="23:24" s="36" customFormat="1" x14ac:dyDescent="0.2">
      <c r="W158" s="2" t="str">
        <f>IF(ISBLANK($A158),"",$V158*(Methuselahs!$A$4+1)+$A158)</f>
        <v/>
      </c>
      <c r="X158" s="2" t="str">
        <f>IF(ISBLANK($A158),"",RANK($W158,$W157:$W161,1))</f>
        <v/>
      </c>
    </row>
    <row r="159" spans="23:24" s="36" customFormat="1" x14ac:dyDescent="0.2">
      <c r="W159" s="2" t="str">
        <f>IF(ISBLANK($A159),"",$V159*(Methuselahs!$A$4+1)+$A159)</f>
        <v/>
      </c>
      <c r="X159" s="2" t="str">
        <f>IF(ISBLANK($A159),"",RANK($W159,$W157:$W161,1))</f>
        <v/>
      </c>
    </row>
    <row r="160" spans="23:24" s="36" customFormat="1" x14ac:dyDescent="0.2">
      <c r="W160" s="2" t="str">
        <f>IF(ISBLANK($A160),"",$V160*(Methuselahs!$A$4+1)+$A160)</f>
        <v/>
      </c>
      <c r="X160" s="2" t="str">
        <f>IF(ISBLANK($A160),"",RANK($W160,$W157:$W161,1))</f>
        <v/>
      </c>
    </row>
    <row r="161" spans="23:24" s="36" customFormat="1" x14ac:dyDescent="0.2">
      <c r="W161" s="2" t="str">
        <f>IF(ISBLANK($A161),"",$V161*(Methuselahs!$A$4+1)+$A161)</f>
        <v/>
      </c>
      <c r="X161" s="2" t="str">
        <f>IF(ISBLANK($A161),"",RANK($W161,$W157:$W161,1))</f>
        <v/>
      </c>
    </row>
    <row r="162" spans="23:24" s="36" customFormat="1" x14ac:dyDescent="0.2">
      <c r="W162" s="2" t="str">
        <f>IF(ISBLANK($A162),"",$V162*(Methuselahs!$A$4+1)+$A162)</f>
        <v/>
      </c>
      <c r="X162" s="2" t="str">
        <f>IF(ISBLANK($A162),"",RANK($W162,$W162:$W166,1))</f>
        <v/>
      </c>
    </row>
    <row r="163" spans="23:24" s="36" customFormat="1" x14ac:dyDescent="0.2">
      <c r="W163" s="2" t="str">
        <f>IF(ISBLANK($A163),"",$V163*(Methuselahs!$A$4+1)+$A163)</f>
        <v/>
      </c>
      <c r="X163" s="2" t="str">
        <f>IF(ISBLANK($A163),"",RANK($W163,$W162:$W166,1))</f>
        <v/>
      </c>
    </row>
    <row r="164" spans="23:24" s="36" customFormat="1" x14ac:dyDescent="0.2">
      <c r="W164" s="2" t="str">
        <f>IF(ISBLANK($A164),"",$V164*(Methuselahs!$A$4+1)+$A164)</f>
        <v/>
      </c>
      <c r="X164" s="2" t="str">
        <f>IF(ISBLANK($A164),"",RANK($W164,$W162:$W166,1))</f>
        <v/>
      </c>
    </row>
    <row r="165" spans="23:24" s="36" customFormat="1" x14ac:dyDescent="0.2">
      <c r="W165" s="2" t="str">
        <f>IF(ISBLANK($A165),"",$V165*(Methuselahs!$A$4+1)+$A165)</f>
        <v/>
      </c>
      <c r="X165" s="2" t="str">
        <f>IF(ISBLANK($A165),"",RANK($W165,$W162:$W166,1))</f>
        <v/>
      </c>
    </row>
    <row r="166" spans="23:24" s="36" customFormat="1" x14ac:dyDescent="0.2">
      <c r="W166" s="2" t="str">
        <f>IF(ISBLANK($A166),"",$V166*(Methuselahs!$A$4+1)+$A166)</f>
        <v/>
      </c>
      <c r="X166" s="2" t="str">
        <f>IF(ISBLANK($A166),"",RANK($W166,$W162:$W166,1))</f>
        <v/>
      </c>
    </row>
    <row r="167" spans="23:24" s="36" customFormat="1" x14ac:dyDescent="0.2">
      <c r="W167" s="2" t="str">
        <f>IF(ISBLANK($A167),"",$V167*(Methuselahs!$A$4+1)+$A167)</f>
        <v/>
      </c>
      <c r="X167" s="2" t="str">
        <f>IF(ISBLANK($A167),"",RANK($W167,$W167:$W171,1))</f>
        <v/>
      </c>
    </row>
    <row r="168" spans="23:24" s="36" customFormat="1" x14ac:dyDescent="0.2">
      <c r="W168" s="2" t="str">
        <f>IF(ISBLANK($A168),"",$V168*(Methuselahs!$A$4+1)+$A168)</f>
        <v/>
      </c>
      <c r="X168" s="2" t="str">
        <f>IF(ISBLANK($A168),"",RANK($W168,$W167:$W171,1))</f>
        <v/>
      </c>
    </row>
    <row r="169" spans="23:24" s="36" customFormat="1" x14ac:dyDescent="0.2">
      <c r="W169" s="2" t="str">
        <f>IF(ISBLANK($A169),"",$V169*(Methuselahs!$A$4+1)+$A169)</f>
        <v/>
      </c>
      <c r="X169" s="2" t="str">
        <f>IF(ISBLANK($A169),"",RANK($W169,$W167:$W171,1))</f>
        <v/>
      </c>
    </row>
    <row r="170" spans="23:24" s="36" customFormat="1" x14ac:dyDescent="0.2">
      <c r="W170" s="2" t="str">
        <f>IF(ISBLANK($A170),"",$V170*(Methuselahs!$A$4+1)+$A170)</f>
        <v/>
      </c>
      <c r="X170" s="2" t="str">
        <f>IF(ISBLANK($A170),"",RANK($W170,$W167:$W171,1))</f>
        <v/>
      </c>
    </row>
    <row r="171" spans="23:24" s="36" customFormat="1" x14ac:dyDescent="0.2">
      <c r="W171" s="2" t="str">
        <f>IF(ISBLANK($A171),"",$V171*(Methuselahs!$A$4+1)+$A171)</f>
        <v/>
      </c>
      <c r="X171" s="2" t="str">
        <f>IF(ISBLANK($A171),"",RANK($W171,$W167:$W171,1))</f>
        <v/>
      </c>
    </row>
    <row r="172" spans="23:24" s="36" customFormat="1" x14ac:dyDescent="0.2">
      <c r="W172" s="2" t="str">
        <f>IF(ISBLANK($A172),"",$V172*(Methuselahs!$A$4+1)+$A172)</f>
        <v/>
      </c>
      <c r="X172" s="2" t="str">
        <f>IF(ISBLANK($A172),"",RANK($W172,$W172:$W176,1))</f>
        <v/>
      </c>
    </row>
    <row r="173" spans="23:24" s="36" customFormat="1" x14ac:dyDescent="0.2">
      <c r="W173" s="2" t="str">
        <f>IF(ISBLANK($A173),"",$V173*(Methuselahs!$A$4+1)+$A173)</f>
        <v/>
      </c>
      <c r="X173" s="2" t="str">
        <f>IF(ISBLANK($A173),"",RANK($W173,$W172:$W176,1))</f>
        <v/>
      </c>
    </row>
    <row r="174" spans="23:24" s="36" customFormat="1" x14ac:dyDescent="0.2">
      <c r="W174" s="2" t="str">
        <f>IF(ISBLANK($A174),"",$V174*(Methuselahs!$A$4+1)+$A174)</f>
        <v/>
      </c>
      <c r="X174" s="2" t="str">
        <f>IF(ISBLANK($A174),"",RANK($W174,$W172:$W176,1))</f>
        <v/>
      </c>
    </row>
    <row r="175" spans="23:24" s="36" customFormat="1" x14ac:dyDescent="0.2">
      <c r="W175" s="2" t="str">
        <f>IF(ISBLANK($A175),"",$V175*(Methuselahs!$A$4+1)+$A175)</f>
        <v/>
      </c>
      <c r="X175" s="2" t="str">
        <f>IF(ISBLANK($A175),"",RANK($W175,$W172:$W176,1))</f>
        <v/>
      </c>
    </row>
    <row r="176" spans="23:24" s="36" customFormat="1" x14ac:dyDescent="0.2">
      <c r="W176" s="2" t="str">
        <f>IF(ISBLANK($A176),"",$V176*(Methuselahs!$A$4+1)+$A176)</f>
        <v/>
      </c>
      <c r="X176" s="2" t="str">
        <f>IF(ISBLANK($A176),"",RANK($W176,$W172:$W176,1))</f>
        <v/>
      </c>
    </row>
    <row r="177" spans="23:24" s="36" customFormat="1" x14ac:dyDescent="0.2">
      <c r="W177" s="2" t="str">
        <f>IF(ISBLANK($A177),"",$V177*(Methuselahs!$A$4+1)+$A177)</f>
        <v/>
      </c>
      <c r="X177" s="2" t="str">
        <f>IF(ISBLANK($A177),"",RANK($W177,$W177:$W181,1))</f>
        <v/>
      </c>
    </row>
    <row r="178" spans="23:24" s="36" customFormat="1" x14ac:dyDescent="0.2">
      <c r="W178" s="2" t="str">
        <f>IF(ISBLANK($A178),"",$V178*(Methuselahs!$A$4+1)+$A178)</f>
        <v/>
      </c>
      <c r="X178" s="2" t="str">
        <f>IF(ISBLANK($A178),"",RANK($W178,$W177:$W181,1))</f>
        <v/>
      </c>
    </row>
    <row r="179" spans="23:24" s="36" customFormat="1" x14ac:dyDescent="0.2">
      <c r="W179" s="2" t="str">
        <f>IF(ISBLANK($A179),"",$V179*(Methuselahs!$A$4+1)+$A179)</f>
        <v/>
      </c>
      <c r="X179" s="2" t="str">
        <f>IF(ISBLANK($A179),"",RANK($W179,$W177:$W181,1))</f>
        <v/>
      </c>
    </row>
    <row r="180" spans="23:24" s="36" customFormat="1" x14ac:dyDescent="0.2">
      <c r="W180" s="2" t="str">
        <f>IF(ISBLANK($A180),"",$V180*(Methuselahs!$A$4+1)+$A180)</f>
        <v/>
      </c>
      <c r="X180" s="2" t="str">
        <f>IF(ISBLANK($A180),"",RANK($W180,$W177:$W181,1))</f>
        <v/>
      </c>
    </row>
    <row r="181" spans="23:24" s="36" customFormat="1" x14ac:dyDescent="0.2">
      <c r="W181" s="2" t="str">
        <f>IF(ISBLANK($A181),"",$V181*(Methuselahs!$A$4+1)+$A181)</f>
        <v/>
      </c>
      <c r="X181" s="2" t="str">
        <f>IF(ISBLANK($A181),"",RANK($W181,$W177:$W181,1))</f>
        <v/>
      </c>
    </row>
    <row r="182" spans="23:24" s="36" customFormat="1" x14ac:dyDescent="0.2">
      <c r="W182" s="2" t="str">
        <f>IF(ISBLANK($A182),"",$V182*(Methuselahs!$A$4+1)+$A182)</f>
        <v/>
      </c>
      <c r="X182" s="2" t="str">
        <f>IF(ISBLANK($A182),"",RANK($W182,$W182:$W186,1))</f>
        <v/>
      </c>
    </row>
    <row r="183" spans="23:24" s="36" customFormat="1" x14ac:dyDescent="0.2">
      <c r="W183" s="2" t="str">
        <f>IF(ISBLANK($A183),"",$V183*(Methuselahs!$A$4+1)+$A183)</f>
        <v/>
      </c>
      <c r="X183" s="2" t="str">
        <f>IF(ISBLANK($A183),"",RANK($W183,$W182:$W186,1))</f>
        <v/>
      </c>
    </row>
    <row r="184" spans="23:24" s="36" customFormat="1" x14ac:dyDescent="0.2">
      <c r="W184" s="2" t="str">
        <f>IF(ISBLANK($A184),"",$V184*(Methuselahs!$A$4+1)+$A184)</f>
        <v/>
      </c>
      <c r="X184" s="2" t="str">
        <f>IF(ISBLANK($A184),"",RANK($W184,$W182:$W186,1))</f>
        <v/>
      </c>
    </row>
    <row r="185" spans="23:24" s="36" customFormat="1" x14ac:dyDescent="0.2">
      <c r="W185" s="2" t="str">
        <f>IF(ISBLANK($A185),"",$V185*(Methuselahs!$A$4+1)+$A185)</f>
        <v/>
      </c>
      <c r="X185" s="2" t="str">
        <f>IF(ISBLANK($A185),"",RANK($W185,$W182:$W186,1))</f>
        <v/>
      </c>
    </row>
    <row r="186" spans="23:24" s="36" customFormat="1" x14ac:dyDescent="0.2">
      <c r="W186" s="2" t="str">
        <f>IF(ISBLANK($A186),"",$V186*(Methuselahs!$A$4+1)+$A186)</f>
        <v/>
      </c>
      <c r="X186" s="2" t="str">
        <f>IF(ISBLANK($A186),"",RANK($W186,$W182:$W186,1))</f>
        <v/>
      </c>
    </row>
    <row r="187" spans="23:24" s="36" customFormat="1" x14ac:dyDescent="0.2">
      <c r="W187" s="2" t="str">
        <f>IF(ISBLANK($A187),"",$V187*(Methuselahs!$A$4+1)+$A187)</f>
        <v/>
      </c>
      <c r="X187" s="2" t="str">
        <f>IF(ISBLANK($A187),"",RANK($W187,$W187:$W191,1))</f>
        <v/>
      </c>
    </row>
    <row r="188" spans="23:24" s="36" customFormat="1" x14ac:dyDescent="0.2">
      <c r="W188" s="2" t="str">
        <f>IF(ISBLANK($A188),"",$V188*(Methuselahs!$A$4+1)+$A188)</f>
        <v/>
      </c>
      <c r="X188" s="2" t="str">
        <f>IF(ISBLANK($A188),"",RANK($W188,$W187:$W191,1))</f>
        <v/>
      </c>
    </row>
    <row r="189" spans="23:24" s="36" customFormat="1" x14ac:dyDescent="0.2">
      <c r="W189" s="2" t="str">
        <f>IF(ISBLANK($A189),"",$V189*(Methuselahs!$A$4+1)+$A189)</f>
        <v/>
      </c>
      <c r="X189" s="2" t="str">
        <f>IF(ISBLANK($A189),"",RANK($W189,$W187:$W191,1))</f>
        <v/>
      </c>
    </row>
    <row r="190" spans="23:24" s="36" customFormat="1" x14ac:dyDescent="0.2">
      <c r="W190" s="2" t="str">
        <f>IF(ISBLANK($A190),"",$V190*(Methuselahs!$A$4+1)+$A190)</f>
        <v/>
      </c>
      <c r="X190" s="2" t="str">
        <f>IF(ISBLANK($A190),"",RANK($W190,$W187:$W191,1))</f>
        <v/>
      </c>
    </row>
    <row r="191" spans="23:24" s="36" customFormat="1" x14ac:dyDescent="0.2">
      <c r="W191" s="2" t="str">
        <f>IF(ISBLANK($A191),"",$V191*(Methuselahs!$A$4+1)+$A191)</f>
        <v/>
      </c>
      <c r="X191" s="2" t="str">
        <f>IF(ISBLANK($A191),"",RANK($W191,$W187:$W191,1))</f>
        <v/>
      </c>
    </row>
    <row r="192" spans="23:24" s="36" customFormat="1" x14ac:dyDescent="0.2">
      <c r="W192" s="2" t="str">
        <f>IF(ISBLANK($A192),"",$V192*(Methuselahs!$A$4+1)+$A192)</f>
        <v/>
      </c>
      <c r="X192" s="2" t="str">
        <f>IF(ISBLANK($A192),"",RANK($W192,$W192:$W196,1))</f>
        <v/>
      </c>
    </row>
    <row r="193" spans="23:24" s="36" customFormat="1" x14ac:dyDescent="0.2">
      <c r="W193" s="2" t="str">
        <f>IF(ISBLANK($A193),"",$V193*(Methuselahs!$A$4+1)+$A193)</f>
        <v/>
      </c>
      <c r="X193" s="2" t="str">
        <f>IF(ISBLANK($A193),"",RANK($W193,$W192:$W196,1))</f>
        <v/>
      </c>
    </row>
    <row r="194" spans="23:24" s="36" customFormat="1" x14ac:dyDescent="0.2">
      <c r="W194" s="2" t="str">
        <f>IF(ISBLANK($A194),"",$V194*(Methuselahs!$A$4+1)+$A194)</f>
        <v/>
      </c>
      <c r="X194" s="2" t="str">
        <f>IF(ISBLANK($A194),"",RANK($W194,$W192:$W196,1))</f>
        <v/>
      </c>
    </row>
    <row r="195" spans="23:24" s="36" customFormat="1" x14ac:dyDescent="0.2">
      <c r="W195" s="2" t="str">
        <f>IF(ISBLANK($A195),"",$V195*(Methuselahs!$A$4+1)+$A195)</f>
        <v/>
      </c>
      <c r="X195" s="2" t="str">
        <f>IF(ISBLANK($A195),"",RANK($W195,$W192:$W196,1))</f>
        <v/>
      </c>
    </row>
    <row r="196" spans="23:24" s="36" customFormat="1" x14ac:dyDescent="0.2">
      <c r="W196" s="2" t="str">
        <f>IF(ISBLANK($A196),"",$V196*(Methuselahs!$A$4+1)+$A196)</f>
        <v/>
      </c>
      <c r="X196" s="2" t="str">
        <f>IF(ISBLANK($A196),"",RANK($W196,$W192:$W196,1))</f>
        <v/>
      </c>
    </row>
    <row r="197" spans="23:24" s="36" customFormat="1" x14ac:dyDescent="0.2">
      <c r="W197" s="2" t="str">
        <f>IF(ISBLANK($A197),"",$V197*(Methuselahs!$A$4+1)+$A197)</f>
        <v/>
      </c>
      <c r="X197" s="2" t="str">
        <f>IF(ISBLANK($A197),"",RANK($W197,$W197:$W201,1))</f>
        <v/>
      </c>
    </row>
    <row r="198" spans="23:24" s="36" customFormat="1" x14ac:dyDescent="0.2">
      <c r="W198" s="2" t="str">
        <f>IF(ISBLANK($A198),"",$V198*(Methuselahs!$A$4+1)+$A198)</f>
        <v/>
      </c>
      <c r="X198" s="2" t="str">
        <f>IF(ISBLANK($A198),"",RANK($W198,$W197:$W201,1))</f>
        <v/>
      </c>
    </row>
    <row r="199" spans="23:24" s="36" customFormat="1" x14ac:dyDescent="0.2">
      <c r="W199" s="2" t="str">
        <f>IF(ISBLANK($A199),"",$V199*(Methuselahs!$A$4+1)+$A199)</f>
        <v/>
      </c>
      <c r="X199" s="2" t="str">
        <f>IF(ISBLANK($A199),"",RANK($W199,$W197:$W201,1))</f>
        <v/>
      </c>
    </row>
    <row r="200" spans="23:24" s="36" customFormat="1" x14ac:dyDescent="0.2">
      <c r="W200" s="2" t="str">
        <f>IF(ISBLANK($A200),"",$V200*(Methuselahs!$A$4+1)+$A200)</f>
        <v/>
      </c>
      <c r="X200" s="2" t="str">
        <f>IF(ISBLANK($A200),"",RANK($W200,$W197:$W201,1))</f>
        <v/>
      </c>
    </row>
    <row r="201" spans="23:24" s="36" customFormat="1" x14ac:dyDescent="0.2">
      <c r="W201" s="2" t="str">
        <f>IF(ISBLANK($A201),"",$V201*(Methuselahs!$A$4+1)+$A201)</f>
        <v/>
      </c>
      <c r="X201" s="2" t="str">
        <f>IF(ISBLANK($A201),"",RANK($W201,$W197:$W201,1))</f>
        <v/>
      </c>
    </row>
    <row r="202" spans="23:24" s="36" customFormat="1" x14ac:dyDescent="0.2">
      <c r="W202" s="2" t="str">
        <f>IF(ISBLANK($A202),"",$V202*(Methuselahs!$A$4+1)+$A202)</f>
        <v/>
      </c>
      <c r="X202" s="2" t="str">
        <f>IF(ISBLANK($A202),"",RANK($W202,$W202:$W206,1))</f>
        <v/>
      </c>
    </row>
    <row r="203" spans="23:24" s="36" customFormat="1" x14ac:dyDescent="0.2">
      <c r="W203" s="2" t="str">
        <f>IF(ISBLANK($A203),"",$V203*(Methuselahs!$A$4+1)+$A203)</f>
        <v/>
      </c>
      <c r="X203" s="2" t="str">
        <f>IF(ISBLANK($A203),"",RANK($W203,$W202:$W206,1))</f>
        <v/>
      </c>
    </row>
    <row r="204" spans="23:24" s="36" customFormat="1" x14ac:dyDescent="0.2">
      <c r="W204" s="2" t="str">
        <f>IF(ISBLANK($A204),"",$V204*(Methuselahs!$A$4+1)+$A204)</f>
        <v/>
      </c>
      <c r="X204" s="2" t="str">
        <f>IF(ISBLANK($A204),"",RANK($W204,$W202:$W206,1))</f>
        <v/>
      </c>
    </row>
    <row r="205" spans="23:24" s="36" customFormat="1" x14ac:dyDescent="0.2">
      <c r="W205" s="2" t="str">
        <f>IF(ISBLANK($A205),"",$V205*(Methuselahs!$A$4+1)+$A205)</f>
        <v/>
      </c>
      <c r="X205" s="2" t="str">
        <f>IF(ISBLANK($A205),"",RANK($W205,$W202:$W206,1))</f>
        <v/>
      </c>
    </row>
    <row r="206" spans="23:24" s="36" customFormat="1" x14ac:dyDescent="0.2">
      <c r="W206" s="2" t="str">
        <f>IF(ISBLANK($A206),"",$V206*(Methuselahs!$A$4+1)+$A206)</f>
        <v/>
      </c>
      <c r="X206" s="2" t="str">
        <f>IF(ISBLANK($A206),"",RANK($W206,$W202:$W206,1))</f>
        <v/>
      </c>
    </row>
    <row r="207" spans="23:24" s="36" customFormat="1" x14ac:dyDescent="0.2"/>
    <row r="208" spans="23:24" s="36" customFormat="1" x14ac:dyDescent="0.2"/>
    <row r="209" s="36" customFormat="1" x14ac:dyDescent="0.2"/>
    <row r="210" s="36" customFormat="1" x14ac:dyDescent="0.2"/>
    <row r="211" s="36" customFormat="1" x14ac:dyDescent="0.2"/>
    <row r="212" s="36" customFormat="1" x14ac:dyDescent="0.2"/>
    <row r="213" s="36" customFormat="1" x14ac:dyDescent="0.2"/>
    <row r="214" s="36" customFormat="1" x14ac:dyDescent="0.2"/>
    <row r="215" s="36" customFormat="1" x14ac:dyDescent="0.2"/>
    <row r="216" s="36" customFormat="1" x14ac:dyDescent="0.2"/>
    <row r="217" s="36" customFormat="1" x14ac:dyDescent="0.2"/>
  </sheetData>
  <sheetProtection sheet="1" objects="1" scenarios="1"/>
  <pageMargins left="0.74791666666666701" right="0.74791666666666701" top="0.98402777777777795" bottom="0.98402777777777795" header="0.51180555555555496" footer="0.51180555555555496"/>
  <pageSetup firstPageNumber="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06"/>
  <sheetViews>
    <sheetView topLeftCell="B1" zoomScaleNormal="100" workbookViewId="0">
      <pane ySplit="6" topLeftCell="A7" activePane="bottomLeft" state="frozen"/>
      <selection activeCell="B1" sqref="B1"/>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7" max="7" width="11" customWidth="1"/>
  </cols>
  <sheetData>
    <row r="1" spans="1:15" ht="25.5" x14ac:dyDescent="0.35">
      <c r="A1" s="493" t="str">
        <f>IF(ISBLANK('Tournament Info'!B3),"Vampire: The Eternal Struggle Tournament",'Tournament Info'!B3)</f>
        <v>German Nationals 2024</v>
      </c>
      <c r="B1" s="493"/>
      <c r="C1" s="493"/>
      <c r="D1" s="493"/>
      <c r="E1" s="493"/>
      <c r="F1" s="493"/>
      <c r="G1" s="493"/>
      <c r="H1" s="493"/>
      <c r="I1" s="493"/>
      <c r="J1" s="493"/>
      <c r="K1" s="493"/>
      <c r="L1" s="493"/>
      <c r="M1" s="60"/>
      <c r="N1" s="60"/>
      <c r="O1" s="408"/>
    </row>
    <row r="2" spans="1:15" ht="15" x14ac:dyDescent="0.2">
      <c r="A2" s="38"/>
      <c r="B2" s="38"/>
      <c r="C2" s="38"/>
      <c r="D2" s="38"/>
      <c r="E2" s="163"/>
      <c r="F2" s="38"/>
      <c r="G2" s="39"/>
      <c r="H2" s="38"/>
      <c r="I2" s="65"/>
      <c r="J2" s="39"/>
      <c r="K2" s="39"/>
      <c r="L2" s="38"/>
      <c r="M2" s="60"/>
      <c r="N2" s="60"/>
      <c r="O2" s="408"/>
    </row>
    <row r="3" spans="1:15" ht="20.25" x14ac:dyDescent="0.3">
      <c r="A3" s="494" t="str">
        <f>IF( 'Final Round'!$I$14=0, "V:EKN Report (incomplete)", "V:EKN Report")</f>
        <v>V:EKN Report</v>
      </c>
      <c r="B3" s="494"/>
      <c r="C3" s="494"/>
      <c r="D3" s="494"/>
      <c r="E3" s="494"/>
      <c r="F3" s="494"/>
      <c r="G3" s="494"/>
      <c r="H3" s="494"/>
      <c r="I3" s="494"/>
      <c r="J3" s="494"/>
      <c r="K3" s="494"/>
      <c r="L3" s="494"/>
      <c r="M3" s="60"/>
      <c r="N3" s="60"/>
      <c r="O3" s="408"/>
    </row>
    <row r="4" spans="1:15" ht="15" x14ac:dyDescent="0.2">
      <c r="A4" s="38"/>
      <c r="B4" s="38"/>
      <c r="C4" s="38"/>
      <c r="D4" s="38"/>
      <c r="E4" s="38"/>
      <c r="F4" s="39"/>
      <c r="G4" s="39"/>
      <c r="H4" s="38"/>
      <c r="I4" s="65"/>
      <c r="J4" s="39"/>
      <c r="K4" s="39"/>
      <c r="L4" s="38"/>
      <c r="M4" s="60"/>
      <c r="N4" s="60"/>
      <c r="O4" s="408"/>
    </row>
    <row r="5" spans="1:15" ht="18" customHeight="1" x14ac:dyDescent="0.25">
      <c r="A5" s="409" t="s">
        <v>158</v>
      </c>
      <c r="B5" s="410" t="s">
        <v>159</v>
      </c>
      <c r="C5" s="410"/>
      <c r="D5" s="410" t="s">
        <v>232</v>
      </c>
      <c r="E5" s="410" t="s">
        <v>232</v>
      </c>
      <c r="F5" s="410" t="s">
        <v>233</v>
      </c>
      <c r="G5" s="411"/>
    </row>
    <row r="6" spans="1:15" ht="18" customHeight="1" x14ac:dyDescent="0.25">
      <c r="A6" s="412" t="s">
        <v>186</v>
      </c>
      <c r="B6" s="413" t="s">
        <v>186</v>
      </c>
      <c r="C6" s="413" t="s">
        <v>191</v>
      </c>
      <c r="D6" s="414" t="s">
        <v>234</v>
      </c>
      <c r="E6" s="413" t="s">
        <v>235</v>
      </c>
      <c r="F6" s="413" t="s">
        <v>180</v>
      </c>
      <c r="G6" s="415" t="s">
        <v>182</v>
      </c>
    </row>
    <row r="7" spans="1:15" x14ac:dyDescent="0.2">
      <c r="A7" s="416">
        <f ca="1">IF(ISNUMBER(Standings!$A6),Standings!$C6,"")</f>
        <v>28</v>
      </c>
      <c r="B7" s="417">
        <f ca="1">IF(ISNUMBER($A7),VLOOKUP($A7,Methuselahs!$A$7:$E$206,5,0),"")</f>
        <v>8638881481</v>
      </c>
      <c r="C7" s="418" t="str">
        <f ca="1">Standings!$D6</f>
        <v xml:space="preserve"> </v>
      </c>
      <c r="D7" s="419">
        <f ca="1">IF(ISNUMBER($A7),VLOOKUP($A7,Methuselahs!$A$7:$F$206,COLUMN(Methuselahs!$F$7),0),"")</f>
        <v>4</v>
      </c>
      <c r="E7" s="420">
        <f ca="1">IF(ISNUMBER($A7),Standings!$E6+IF(Standings!$B$4,1,0),"")</f>
        <v>4</v>
      </c>
      <c r="F7" s="421">
        <f ca="1">IF(ISNUMBER($A7),Standings!$F6+Standings!$G6,"")</f>
        <v>11</v>
      </c>
      <c r="G7" s="422">
        <f ca="1">IF(Standings!$A6&gt;5,"",Standings!$A6)</f>
        <v>1</v>
      </c>
    </row>
    <row r="8" spans="1:15" x14ac:dyDescent="0.2">
      <c r="A8" s="272">
        <f ca="1">IF(ISNUMBER(Standings!$A7),Standings!$C7,"")</f>
        <v>10</v>
      </c>
      <c r="B8" s="117">
        <f ca="1">IF(ISNUMBER($A8),VLOOKUP($A8,Methuselahs!$A$7:$E$206,5,0),"")</f>
        <v>9194606472</v>
      </c>
      <c r="C8" s="232" t="str">
        <f ca="1">Standings!$D7</f>
        <v xml:space="preserve"> </v>
      </c>
      <c r="D8" s="117">
        <f ca="1">IF(ISNUMBER($A8),VLOOKUP($A8,Methuselahs!$A$7:$F$206,COLUMN(Methuselahs!$F$7),0),"")</f>
        <v>4</v>
      </c>
      <c r="E8" s="116">
        <f ca="1">IF(ISNUMBER($A8),Standings!$E7,"")</f>
        <v>2</v>
      </c>
      <c r="F8" s="273">
        <f ca="1">IF(ISNUMBER($A8),Standings!$F7+Standings!$G7,"")</f>
        <v>8</v>
      </c>
      <c r="G8" s="423">
        <f ca="1">IF(Standings!$A7&gt;5,"",Standings!$A7)</f>
        <v>2</v>
      </c>
    </row>
    <row r="9" spans="1:15" x14ac:dyDescent="0.2">
      <c r="A9" s="272">
        <f ca="1">IF(ISNUMBER(Standings!$A8),Standings!$C8,"")</f>
        <v>15</v>
      </c>
      <c r="B9" s="117">
        <f ca="1">IF(ISNUMBER($A9),VLOOKUP($A9,Methuselahs!$A$7:$E$206,5,0),"")</f>
        <v>8638191794</v>
      </c>
      <c r="C9" s="232" t="str">
        <f ca="1">Standings!$D8</f>
        <v xml:space="preserve"> </v>
      </c>
      <c r="D9" s="117">
        <f ca="1">IF(ISNUMBER($A9),VLOOKUP($A9,Methuselahs!$A$7:$F$206,COLUMN(Methuselahs!$F$7),0),"")</f>
        <v>4</v>
      </c>
      <c r="E9" s="116">
        <f ca="1">IF(ISNUMBER($A9),Standings!$E8,"")</f>
        <v>2</v>
      </c>
      <c r="F9" s="273">
        <f ca="1">IF(ISNUMBER($A9),Standings!$F8+Standings!$G8,"")</f>
        <v>10</v>
      </c>
      <c r="G9" s="423">
        <f ca="1">IF(Standings!$A8&gt;5,"",Standings!$A8)</f>
        <v>2</v>
      </c>
    </row>
    <row r="10" spans="1:15" x14ac:dyDescent="0.2">
      <c r="A10" s="272">
        <f ca="1">IF(ISNUMBER(Standings!$A9),Standings!$C9,"")</f>
        <v>19</v>
      </c>
      <c r="B10" s="117">
        <f ca="1">IF(ISNUMBER($A10),VLOOKUP($A10,Methuselahs!$A$7:$E$206,5,0),"")</f>
        <v>7569706323</v>
      </c>
      <c r="C10" s="232" t="str">
        <f ca="1">Standings!$D9</f>
        <v xml:space="preserve"> </v>
      </c>
      <c r="D10" s="117">
        <f ca="1">IF(ISNUMBER($A10),VLOOKUP($A10,Methuselahs!$A$7:$F$206,COLUMN(Methuselahs!$F$7),0),"")</f>
        <v>4</v>
      </c>
      <c r="E10" s="116">
        <f ca="1">IF(ISNUMBER($A10),Standings!$E9,"")</f>
        <v>2</v>
      </c>
      <c r="F10" s="273">
        <f ca="1">IF(ISNUMBER($A10),Standings!$F9+Standings!$G9,"")</f>
        <v>7</v>
      </c>
      <c r="G10" s="423">
        <f ca="1">IF(Standings!$A9&gt;5,"",Standings!$A9)</f>
        <v>2</v>
      </c>
    </row>
    <row r="11" spans="1:15" x14ac:dyDescent="0.2">
      <c r="A11" s="272">
        <f ca="1">IF(ISNUMBER(Standings!$A10),Standings!$C10,"")</f>
        <v>32</v>
      </c>
      <c r="B11" s="117">
        <f ca="1">IF(ISNUMBER($A11),VLOOKUP($A11,Methuselahs!$A$7:$E$206,5,0),"")</f>
        <v>2616620129</v>
      </c>
      <c r="C11" s="232" t="str">
        <f ca="1">Standings!$D10</f>
        <v xml:space="preserve"> </v>
      </c>
      <c r="D11" s="117">
        <f ca="1">IF(ISNUMBER($A11),VLOOKUP($A11,Methuselahs!$A$7:$F$206,COLUMN(Methuselahs!$F$7),0),"")</f>
        <v>4</v>
      </c>
      <c r="E11" s="116">
        <f ca="1">IF(ISNUMBER($A11),Standings!$E10,"")</f>
        <v>2</v>
      </c>
      <c r="F11" s="273">
        <f ca="1">IF(ISNUMBER($A11),Standings!$F10+Standings!$G10,"")</f>
        <v>9</v>
      </c>
      <c r="G11" s="423">
        <f ca="1">IF(Standings!$A10&gt;5,"",Standings!$A10)</f>
        <v>2</v>
      </c>
    </row>
    <row r="12" spans="1:15" x14ac:dyDescent="0.2">
      <c r="A12" s="272">
        <f ca="1">IF(ISNUMBER(Standings!$A11),Standings!$C11,"")</f>
        <v>7</v>
      </c>
      <c r="B12" s="117">
        <f ca="1">IF(ISNUMBER($A12),VLOOKUP($A12,Methuselahs!$A$7:$E$206,5,0),"")</f>
        <v>2777857404</v>
      </c>
      <c r="C12" s="232" t="str">
        <f ca="1">Standings!$D11</f>
        <v xml:space="preserve"> </v>
      </c>
      <c r="D12" s="117">
        <f ca="1">IF(ISNUMBER($A12),VLOOKUP($A12,Methuselahs!$A$7:$F$206,COLUMN(Methuselahs!$F$7),0),"")</f>
        <v>3</v>
      </c>
      <c r="E12" s="116">
        <f ca="1">IF(ISNUMBER($A12),Standings!$E11,"")</f>
        <v>1</v>
      </c>
      <c r="F12" s="273">
        <f ca="1">IF(ISNUMBER($A12),Standings!$F11+Standings!$G11,"")</f>
        <v>6</v>
      </c>
      <c r="G12" s="423" t="str">
        <f ca="1">IF(Standings!$A11&gt;5,"",Standings!$A11)</f>
        <v/>
      </c>
    </row>
    <row r="13" spans="1:15" x14ac:dyDescent="0.2">
      <c r="A13" s="272">
        <f ca="1">IF(ISNUMBER(Standings!$A12),Standings!$C12,"")</f>
        <v>18</v>
      </c>
      <c r="B13" s="117">
        <f ca="1">IF(ISNUMBER($A13),VLOOKUP($A13,Methuselahs!$A$7:$E$206,5,0),"")</f>
        <v>1474068689</v>
      </c>
      <c r="C13" s="232" t="str">
        <f ca="1">Standings!$D12</f>
        <v xml:space="preserve"> </v>
      </c>
      <c r="D13" s="117">
        <f ca="1">IF(ISNUMBER($A13),VLOOKUP($A13,Methuselahs!$A$7:$F$206,COLUMN(Methuselahs!$F$7),0),"")</f>
        <v>3</v>
      </c>
      <c r="E13" s="116">
        <f ca="1">IF(ISNUMBER($A13),Standings!$E12,"")</f>
        <v>1</v>
      </c>
      <c r="F13" s="273">
        <f ca="1">IF(ISNUMBER($A13),Standings!$F12+Standings!$G12,"")</f>
        <v>5</v>
      </c>
      <c r="G13" s="423" t="str">
        <f ca="1">IF(Standings!$A12&gt;5,"",Standings!$A12)</f>
        <v/>
      </c>
    </row>
    <row r="14" spans="1:15" x14ac:dyDescent="0.2">
      <c r="A14" s="272">
        <f ca="1">IF(ISNUMBER(Standings!$A13),Standings!$C13,"")</f>
        <v>3</v>
      </c>
      <c r="B14" s="117">
        <f ca="1">IF(ISNUMBER($A14),VLOOKUP($A14,Methuselahs!$A$7:$E$206,5,0),"")</f>
        <v>5978641163</v>
      </c>
      <c r="C14" s="232" t="str">
        <f ca="1">Standings!$D13</f>
        <v xml:space="preserve"> </v>
      </c>
      <c r="D14" s="117">
        <f ca="1">IF(ISNUMBER($A14),VLOOKUP($A14,Methuselahs!$A$7:$F$206,COLUMN(Methuselahs!$F$7),0),"")</f>
        <v>3</v>
      </c>
      <c r="E14" s="116">
        <f ca="1">IF(ISNUMBER($A14),Standings!$E13,"")</f>
        <v>1</v>
      </c>
      <c r="F14" s="273">
        <f ca="1">IF(ISNUMBER($A14),Standings!$F13+Standings!$G13,"")</f>
        <v>4.5</v>
      </c>
      <c r="G14" s="423" t="str">
        <f ca="1">IF(Standings!$A13&gt;5,"",Standings!$A13)</f>
        <v/>
      </c>
    </row>
    <row r="15" spans="1:15" x14ac:dyDescent="0.2">
      <c r="A15" s="272">
        <f ca="1">IF(ISNUMBER(Standings!$A14),Standings!$C14,"")</f>
        <v>24</v>
      </c>
      <c r="B15" s="117">
        <f ca="1">IF(ISNUMBER($A15),VLOOKUP($A15,Methuselahs!$A$7:$E$206,5,0),"")</f>
        <v>1120048922</v>
      </c>
      <c r="C15" s="232" t="str">
        <f ca="1">Standings!$D14</f>
        <v xml:space="preserve"> </v>
      </c>
      <c r="D15" s="117">
        <f ca="1">IF(ISNUMBER($A15),VLOOKUP($A15,Methuselahs!$A$7:$F$206,COLUMN(Methuselahs!$F$7),0),"")</f>
        <v>3</v>
      </c>
      <c r="E15" s="116">
        <f ca="1">IF(ISNUMBER($A15),Standings!$E14,"")</f>
        <v>1</v>
      </c>
      <c r="F15" s="273">
        <f ca="1">IF(ISNUMBER($A15),Standings!$F14+Standings!$G14,"")</f>
        <v>4</v>
      </c>
      <c r="G15" s="423" t="str">
        <f ca="1">IF(Standings!$A14&gt;5,"",Standings!$A14)</f>
        <v/>
      </c>
    </row>
    <row r="16" spans="1:15" x14ac:dyDescent="0.2">
      <c r="A16" s="272">
        <f ca="1">IF(ISNUMBER(Standings!$A15),Standings!$C15,"")</f>
        <v>21</v>
      </c>
      <c r="B16" s="117">
        <f ca="1">IF(ISNUMBER($A16),VLOOKUP($A16,Methuselahs!$A$7:$E$206,5,0),"")</f>
        <v>9370279301</v>
      </c>
      <c r="C16" s="232" t="str">
        <f ca="1">Standings!$D15</f>
        <v xml:space="preserve"> </v>
      </c>
      <c r="D16" s="117">
        <f ca="1">IF(ISNUMBER($A16),VLOOKUP($A16,Methuselahs!$A$7:$F$206,COLUMN(Methuselahs!$F$7),0),"")</f>
        <v>3</v>
      </c>
      <c r="E16" s="116">
        <f ca="1">IF(ISNUMBER($A16),Standings!$E15,"")</f>
        <v>1</v>
      </c>
      <c r="F16" s="273">
        <f ca="1">IF(ISNUMBER($A16),Standings!$F15+Standings!$G15,"")</f>
        <v>3.5</v>
      </c>
      <c r="G16" s="423" t="str">
        <f ca="1">IF(Standings!$A15&gt;5,"",Standings!$A15)</f>
        <v/>
      </c>
    </row>
    <row r="17" spans="1:7" x14ac:dyDescent="0.2">
      <c r="A17" s="272">
        <f ca="1">IF(ISNUMBER(Standings!$A16),Standings!$C16,"")</f>
        <v>11</v>
      </c>
      <c r="B17" s="117">
        <f ca="1">IF(ISNUMBER($A17),VLOOKUP($A17,Methuselahs!$A$7:$E$206,5,0),"")</f>
        <v>2306635701</v>
      </c>
      <c r="C17" s="232" t="str">
        <f ca="1">Standings!$D16</f>
        <v xml:space="preserve"> </v>
      </c>
      <c r="D17" s="117">
        <f ca="1">IF(ISNUMBER($A17),VLOOKUP($A17,Methuselahs!$A$7:$F$206,COLUMN(Methuselahs!$F$7),0),"")</f>
        <v>3</v>
      </c>
      <c r="E17" s="116">
        <f ca="1">IF(ISNUMBER($A17),Standings!$E16,"")</f>
        <v>1</v>
      </c>
      <c r="F17" s="273">
        <f ca="1">IF(ISNUMBER($A17),Standings!$F16+Standings!$G16,"")</f>
        <v>3</v>
      </c>
      <c r="G17" s="423" t="str">
        <f ca="1">IF(Standings!$A16&gt;5,"",Standings!$A16)</f>
        <v/>
      </c>
    </row>
    <row r="18" spans="1:7" x14ac:dyDescent="0.2">
      <c r="A18" s="272">
        <f ca="1">IF(ISNUMBER(Standings!$A17),Standings!$C17,"")</f>
        <v>31</v>
      </c>
      <c r="B18" s="117">
        <f ca="1">IF(ISNUMBER($A18),VLOOKUP($A18,Methuselahs!$A$7:$E$206,5,0),"")</f>
        <v>4082837118</v>
      </c>
      <c r="C18" s="232" t="str">
        <f ca="1">Standings!$D17</f>
        <v xml:space="preserve"> </v>
      </c>
      <c r="D18" s="117">
        <f ca="1">IF(ISNUMBER($A18),VLOOKUP($A18,Methuselahs!$A$7:$F$206,COLUMN(Methuselahs!$F$7),0),"")</f>
        <v>3</v>
      </c>
      <c r="E18" s="116">
        <f ca="1">IF(ISNUMBER($A18),Standings!$E17,"")</f>
        <v>1</v>
      </c>
      <c r="F18" s="273">
        <f ca="1">IF(ISNUMBER($A18),Standings!$F17+Standings!$G17,"")</f>
        <v>3</v>
      </c>
      <c r="G18" s="423" t="str">
        <f ca="1">IF(Standings!$A17&gt;5,"",Standings!$A17)</f>
        <v/>
      </c>
    </row>
    <row r="19" spans="1:7" x14ac:dyDescent="0.2">
      <c r="A19" s="272">
        <f ca="1">IF(ISNUMBER(Standings!$A18),Standings!$C18,"")</f>
        <v>20</v>
      </c>
      <c r="B19" s="117">
        <f ca="1">IF(ISNUMBER($A19),VLOOKUP($A19,Methuselahs!$A$7:$E$206,5,0),"")</f>
        <v>0</v>
      </c>
      <c r="C19" s="232" t="str">
        <f ca="1">Standings!$D18</f>
        <v xml:space="preserve"> </v>
      </c>
      <c r="D19" s="117">
        <f ca="1">IF(ISNUMBER($A19),VLOOKUP($A19,Methuselahs!$A$7:$F$206,COLUMN(Methuselahs!$F$7),0),"")</f>
        <v>3</v>
      </c>
      <c r="E19" s="116">
        <f ca="1">IF(ISNUMBER($A19),Standings!$E18,"")</f>
        <v>0</v>
      </c>
      <c r="F19" s="273">
        <f ca="1">IF(ISNUMBER($A19),Standings!$F18+Standings!$G18,"")</f>
        <v>3</v>
      </c>
      <c r="G19" s="423" t="str">
        <f ca="1">IF(Standings!$A18&gt;5,"",Standings!$A18)</f>
        <v/>
      </c>
    </row>
    <row r="20" spans="1:7" x14ac:dyDescent="0.2">
      <c r="A20" s="272">
        <f ca="1">IF(ISNUMBER(Standings!$A19),Standings!$C19,"")</f>
        <v>17</v>
      </c>
      <c r="B20" s="117">
        <f ca="1">IF(ISNUMBER($A20),VLOOKUP($A20,Methuselahs!$A$7:$E$206,5,0),"")</f>
        <v>8259539714</v>
      </c>
      <c r="C20" s="232" t="str">
        <f ca="1">Standings!$D19</f>
        <v xml:space="preserve"> </v>
      </c>
      <c r="D20" s="117">
        <f ca="1">IF(ISNUMBER($A20),VLOOKUP($A20,Methuselahs!$A$7:$F$206,COLUMN(Methuselahs!$F$7),0),"")</f>
        <v>3</v>
      </c>
      <c r="E20" s="116">
        <f ca="1">IF(ISNUMBER($A20),Standings!$E19,"")</f>
        <v>0</v>
      </c>
      <c r="F20" s="273">
        <f ca="1">IF(ISNUMBER($A20),Standings!$F19+Standings!$G19,"")</f>
        <v>3</v>
      </c>
      <c r="G20" s="423" t="str">
        <f ca="1">IF(Standings!$A19&gt;5,"",Standings!$A19)</f>
        <v/>
      </c>
    </row>
    <row r="21" spans="1:7" x14ac:dyDescent="0.2">
      <c r="A21" s="272">
        <f ca="1">IF(ISNUMBER(Standings!$A20),Standings!$C20,"")</f>
        <v>12</v>
      </c>
      <c r="B21" s="117">
        <f ca="1">IF(ISNUMBER($A21),VLOOKUP($A21,Methuselahs!$A$7:$E$206,5,0),"")</f>
        <v>1432209241</v>
      </c>
      <c r="C21" s="232" t="str">
        <f ca="1">Standings!$D20</f>
        <v xml:space="preserve"> </v>
      </c>
      <c r="D21" s="117">
        <f ca="1">IF(ISNUMBER($A21),VLOOKUP($A21,Methuselahs!$A$7:$F$206,COLUMN(Methuselahs!$F$7),0),"")</f>
        <v>3</v>
      </c>
      <c r="E21" s="116">
        <f ca="1">IF(ISNUMBER($A21),Standings!$E20,"")</f>
        <v>0</v>
      </c>
      <c r="F21" s="273">
        <f ca="1">IF(ISNUMBER($A21),Standings!$F20+Standings!$G20,"")</f>
        <v>3</v>
      </c>
      <c r="G21" s="423" t="str">
        <f ca="1">IF(Standings!$A20&gt;5,"",Standings!$A20)</f>
        <v/>
      </c>
    </row>
    <row r="22" spans="1:7" x14ac:dyDescent="0.2">
      <c r="A22" s="272">
        <f ca="1">IF(ISNUMBER(Standings!$A21),Standings!$C21,"")</f>
        <v>26</v>
      </c>
      <c r="B22" s="117">
        <f ca="1">IF(ISNUMBER($A22),VLOOKUP($A22,Methuselahs!$A$7:$E$206,5,0),"")</f>
        <v>8261671295</v>
      </c>
      <c r="C22" s="232" t="str">
        <f ca="1">Standings!$D21</f>
        <v xml:space="preserve"> </v>
      </c>
      <c r="D22" s="117">
        <f ca="1">IF(ISNUMBER($A22),VLOOKUP($A22,Methuselahs!$A$7:$F$206,COLUMN(Methuselahs!$F$7),0),"")</f>
        <v>3</v>
      </c>
      <c r="E22" s="116">
        <f ca="1">IF(ISNUMBER($A22),Standings!$E21,"")</f>
        <v>0</v>
      </c>
      <c r="F22" s="273">
        <f ca="1">IF(ISNUMBER($A22),Standings!$F21+Standings!$G21,"")</f>
        <v>3</v>
      </c>
      <c r="G22" s="423" t="str">
        <f ca="1">IF(Standings!$A21&gt;5,"",Standings!$A21)</f>
        <v/>
      </c>
    </row>
    <row r="23" spans="1:7" x14ac:dyDescent="0.2">
      <c r="A23" s="272">
        <f ca="1">IF(ISNUMBER(Standings!$A22),Standings!$C22,"")</f>
        <v>5</v>
      </c>
      <c r="B23" s="117">
        <f ca="1">IF(ISNUMBER($A23),VLOOKUP($A23,Methuselahs!$A$7:$E$206,5,0),"")</f>
        <v>3216114793</v>
      </c>
      <c r="C23" s="232" t="str">
        <f ca="1">Standings!$D22</f>
        <v xml:space="preserve"> </v>
      </c>
      <c r="D23" s="117">
        <f ca="1">IF(ISNUMBER($A23),VLOOKUP($A23,Methuselahs!$A$7:$F$206,COLUMN(Methuselahs!$F$7),0),"")</f>
        <v>3</v>
      </c>
      <c r="E23" s="116">
        <f ca="1">IF(ISNUMBER($A23),Standings!$E22,"")</f>
        <v>0</v>
      </c>
      <c r="F23" s="273">
        <f ca="1">IF(ISNUMBER($A23),Standings!$F22+Standings!$G22,"")</f>
        <v>2.5</v>
      </c>
      <c r="G23" s="423" t="str">
        <f ca="1">IF(Standings!$A22&gt;5,"",Standings!$A22)</f>
        <v/>
      </c>
    </row>
    <row r="24" spans="1:7" x14ac:dyDescent="0.2">
      <c r="A24" s="272">
        <f ca="1">IF(ISNUMBER(Standings!$A23),Standings!$C23,"")</f>
        <v>9</v>
      </c>
      <c r="B24" s="117">
        <f ca="1">IF(ISNUMBER($A24),VLOOKUP($A24,Methuselahs!$A$7:$E$206,5,0),"")</f>
        <v>2345334199</v>
      </c>
      <c r="C24" s="232" t="str">
        <f ca="1">Standings!$D23</f>
        <v xml:space="preserve"> </v>
      </c>
      <c r="D24" s="117">
        <f ca="1">IF(ISNUMBER($A24),VLOOKUP($A24,Methuselahs!$A$7:$F$206,COLUMN(Methuselahs!$F$7),0),"")</f>
        <v>3</v>
      </c>
      <c r="E24" s="116">
        <f ca="1">IF(ISNUMBER($A24),Standings!$E23,"")</f>
        <v>0</v>
      </c>
      <c r="F24" s="273">
        <f ca="1">IF(ISNUMBER($A24),Standings!$F23+Standings!$G23,"")</f>
        <v>2</v>
      </c>
      <c r="G24" s="423" t="str">
        <f ca="1">IF(Standings!$A23&gt;5,"",Standings!$A23)</f>
        <v/>
      </c>
    </row>
    <row r="25" spans="1:7" x14ac:dyDescent="0.2">
      <c r="A25" s="272">
        <f ca="1">IF(ISNUMBER(Standings!$A24),Standings!$C24,"")</f>
        <v>23</v>
      </c>
      <c r="B25" s="117">
        <f ca="1">IF(ISNUMBER($A25),VLOOKUP($A25,Methuselahs!$A$7:$E$206,5,0),"")</f>
        <v>4885708539</v>
      </c>
      <c r="C25" s="232" t="str">
        <f ca="1">Standings!$D24</f>
        <v xml:space="preserve"> </v>
      </c>
      <c r="D25" s="117">
        <f ca="1">IF(ISNUMBER($A25),VLOOKUP($A25,Methuselahs!$A$7:$F$206,COLUMN(Methuselahs!$F$7),0),"")</f>
        <v>3</v>
      </c>
      <c r="E25" s="116">
        <f ca="1">IF(ISNUMBER($A25),Standings!$E24,"")</f>
        <v>0</v>
      </c>
      <c r="F25" s="273">
        <f ca="1">IF(ISNUMBER($A25),Standings!$F24+Standings!$G24,"")</f>
        <v>1.5</v>
      </c>
      <c r="G25" s="423" t="str">
        <f ca="1">IF(Standings!$A24&gt;5,"",Standings!$A24)</f>
        <v/>
      </c>
    </row>
    <row r="26" spans="1:7" x14ac:dyDescent="0.2">
      <c r="A26" s="272">
        <f ca="1">IF(ISNUMBER(Standings!$A25),Standings!$C25,"")</f>
        <v>30</v>
      </c>
      <c r="B26" s="117">
        <f ca="1">IF(ISNUMBER($A26),VLOOKUP($A26,Methuselahs!$A$7:$E$206,5,0),"")</f>
        <v>3152888133</v>
      </c>
      <c r="C26" s="232" t="str">
        <f ca="1">Standings!$D25</f>
        <v xml:space="preserve"> </v>
      </c>
      <c r="D26" s="117">
        <f ca="1">IF(ISNUMBER($A26),VLOOKUP($A26,Methuselahs!$A$7:$F$206,COLUMN(Methuselahs!$F$7),0),"")</f>
        <v>3</v>
      </c>
      <c r="E26" s="116">
        <f ca="1">IF(ISNUMBER($A26),Standings!$E25,"")</f>
        <v>0</v>
      </c>
      <c r="F26" s="273">
        <f ca="1">IF(ISNUMBER($A26),Standings!$F25+Standings!$G25,"")</f>
        <v>1</v>
      </c>
      <c r="G26" s="423" t="str">
        <f ca="1">IF(Standings!$A25&gt;5,"",Standings!$A25)</f>
        <v/>
      </c>
    </row>
    <row r="27" spans="1:7" x14ac:dyDescent="0.2">
      <c r="A27" s="272">
        <f ca="1">IF(ISNUMBER(Standings!$A26),Standings!$C26,"")</f>
        <v>27</v>
      </c>
      <c r="B27" s="117">
        <f ca="1">IF(ISNUMBER($A27),VLOOKUP($A27,Methuselahs!$A$7:$E$206,5,0),"")</f>
        <v>5521202573</v>
      </c>
      <c r="C27" s="232" t="str">
        <f ca="1">Standings!$D26</f>
        <v xml:space="preserve"> </v>
      </c>
      <c r="D27" s="117">
        <f ca="1">IF(ISNUMBER($A27),VLOOKUP($A27,Methuselahs!$A$7:$F$206,COLUMN(Methuselahs!$F$7),0),"")</f>
        <v>3</v>
      </c>
      <c r="E27" s="116">
        <f ca="1">IF(ISNUMBER($A27),Standings!$E26,"")</f>
        <v>0</v>
      </c>
      <c r="F27" s="273">
        <f ca="1">IF(ISNUMBER($A27),Standings!$F26+Standings!$G26,"")</f>
        <v>1</v>
      </c>
      <c r="G27" s="423" t="str">
        <f ca="1">IF(Standings!$A26&gt;5,"",Standings!$A26)</f>
        <v/>
      </c>
    </row>
    <row r="28" spans="1:7" x14ac:dyDescent="0.2">
      <c r="A28" s="272">
        <f ca="1">IF(ISNUMBER(Standings!$A27),Standings!$C27,"")</f>
        <v>16</v>
      </c>
      <c r="B28" s="117">
        <f ca="1">IF(ISNUMBER($A28),VLOOKUP($A28,Methuselahs!$A$7:$E$206,5,0),"")</f>
        <v>1631978624</v>
      </c>
      <c r="C28" s="232" t="str">
        <f ca="1">Standings!$D27</f>
        <v xml:space="preserve"> </v>
      </c>
      <c r="D28" s="117">
        <f ca="1">IF(ISNUMBER($A28),VLOOKUP($A28,Methuselahs!$A$7:$F$206,COLUMN(Methuselahs!$F$7),0),"")</f>
        <v>3</v>
      </c>
      <c r="E28" s="116">
        <f ca="1">IF(ISNUMBER($A28),Standings!$E27,"")</f>
        <v>0</v>
      </c>
      <c r="F28" s="273">
        <f ca="1">IF(ISNUMBER($A28),Standings!$F27+Standings!$G27,"")</f>
        <v>1</v>
      </c>
      <c r="G28" s="423" t="str">
        <f ca="1">IF(Standings!$A27&gt;5,"",Standings!$A27)</f>
        <v/>
      </c>
    </row>
    <row r="29" spans="1:7" x14ac:dyDescent="0.2">
      <c r="A29" s="272">
        <f ca="1">IF(ISNUMBER(Standings!$A28),Standings!$C28,"")</f>
        <v>13</v>
      </c>
      <c r="B29" s="117">
        <f ca="1">IF(ISNUMBER($A29),VLOOKUP($A29,Methuselahs!$A$7:$E$206,5,0),"")</f>
        <v>2327404634</v>
      </c>
      <c r="C29" s="232" t="str">
        <f ca="1">Standings!$D28</f>
        <v xml:space="preserve"> </v>
      </c>
      <c r="D29" s="117">
        <f ca="1">IF(ISNUMBER($A29),VLOOKUP($A29,Methuselahs!$A$7:$F$206,COLUMN(Methuselahs!$F$7),0),"")</f>
        <v>3</v>
      </c>
      <c r="E29" s="116">
        <f ca="1">IF(ISNUMBER($A29),Standings!$E28,"")</f>
        <v>0</v>
      </c>
      <c r="F29" s="273">
        <f ca="1">IF(ISNUMBER($A29),Standings!$F28+Standings!$G28,"")</f>
        <v>1</v>
      </c>
      <c r="G29" s="423" t="str">
        <f ca="1">IF(Standings!$A28&gt;5,"",Standings!$A28)</f>
        <v/>
      </c>
    </row>
    <row r="30" spans="1:7" x14ac:dyDescent="0.2">
      <c r="A30" s="272">
        <f ca="1">IF(ISNUMBER(Standings!$A29),Standings!$C29,"")</f>
        <v>25</v>
      </c>
      <c r="B30" s="117">
        <f ca="1">IF(ISNUMBER($A30),VLOOKUP($A30,Methuselahs!$A$7:$E$206,5,0),"")</f>
        <v>1245916115</v>
      </c>
      <c r="C30" s="232" t="str">
        <f ca="1">Standings!$D29</f>
        <v xml:space="preserve"> </v>
      </c>
      <c r="D30" s="117">
        <f ca="1">IF(ISNUMBER($A30),VLOOKUP($A30,Methuselahs!$A$7:$F$206,COLUMN(Methuselahs!$F$7),0),"")</f>
        <v>3</v>
      </c>
      <c r="E30" s="116">
        <f ca="1">IF(ISNUMBER($A30),Standings!$E29,"")</f>
        <v>0</v>
      </c>
      <c r="F30" s="273">
        <f ca="1">IF(ISNUMBER($A30),Standings!$F29+Standings!$G29,"")</f>
        <v>0.5</v>
      </c>
      <c r="G30" s="423" t="str">
        <f ca="1">IF(Standings!$A29&gt;5,"",Standings!$A29)</f>
        <v/>
      </c>
    </row>
    <row r="31" spans="1:7" x14ac:dyDescent="0.2">
      <c r="A31" s="272">
        <f ca="1">IF(ISNUMBER(Standings!$A30),Standings!$C30,"")</f>
        <v>8</v>
      </c>
      <c r="B31" s="117">
        <f ca="1">IF(ISNUMBER($A31),VLOOKUP($A31,Methuselahs!$A$7:$E$206,5,0),"")</f>
        <v>0</v>
      </c>
      <c r="C31" s="232" t="str">
        <f ca="1">Standings!$D30</f>
        <v xml:space="preserve"> </v>
      </c>
      <c r="D31" s="117">
        <f ca="1">IF(ISNUMBER($A31),VLOOKUP($A31,Methuselahs!$A$7:$F$206,COLUMN(Methuselahs!$F$7),0),"")</f>
        <v>3</v>
      </c>
      <c r="E31" s="116">
        <f ca="1">IF(ISNUMBER($A31),Standings!$E30,"")</f>
        <v>0</v>
      </c>
      <c r="F31" s="273">
        <f ca="1">IF(ISNUMBER($A31),Standings!$F30+Standings!$G30,"")</f>
        <v>0.5</v>
      </c>
      <c r="G31" s="423" t="str">
        <f ca="1">IF(Standings!$A30&gt;5,"",Standings!$A30)</f>
        <v/>
      </c>
    </row>
    <row r="32" spans="1:7" x14ac:dyDescent="0.2">
      <c r="A32" s="272">
        <f ca="1">IF(ISNUMBER(Standings!$A31),Standings!$C31,"")</f>
        <v>22</v>
      </c>
      <c r="B32" s="117">
        <f ca="1">IF(ISNUMBER($A32),VLOOKUP($A32,Methuselahs!$A$7:$E$206,5,0),"")</f>
        <v>0</v>
      </c>
      <c r="C32" s="232" t="str">
        <f ca="1">Standings!$D31</f>
        <v xml:space="preserve"> </v>
      </c>
      <c r="D32" s="117">
        <f ca="1">IF(ISNUMBER($A32),VLOOKUP($A32,Methuselahs!$A$7:$F$206,COLUMN(Methuselahs!$F$7),0),"")</f>
        <v>3</v>
      </c>
      <c r="E32" s="116">
        <f ca="1">IF(ISNUMBER($A32),Standings!$E31,"")</f>
        <v>0</v>
      </c>
      <c r="F32" s="273">
        <f ca="1">IF(ISNUMBER($A32),Standings!$F31+Standings!$G31,"")</f>
        <v>0</v>
      </c>
      <c r="G32" s="423" t="str">
        <f ca="1">IF(Standings!$A31&gt;5,"",Standings!$A31)</f>
        <v/>
      </c>
    </row>
    <row r="33" spans="1:7" x14ac:dyDescent="0.2">
      <c r="A33" s="272">
        <f ca="1">IF(ISNUMBER(Standings!$A32),Standings!$C32,"")</f>
        <v>6</v>
      </c>
      <c r="B33" s="117">
        <f ca="1">IF(ISNUMBER($A33),VLOOKUP($A33,Methuselahs!$A$7:$E$206,5,0),"")</f>
        <v>0</v>
      </c>
      <c r="C33" s="232" t="str">
        <f ca="1">Standings!$D32</f>
        <v xml:space="preserve"> </v>
      </c>
      <c r="D33" s="117">
        <f ca="1">IF(ISNUMBER($A33),VLOOKUP($A33,Methuselahs!$A$7:$F$206,COLUMN(Methuselahs!$F$7),0),"")</f>
        <v>3</v>
      </c>
      <c r="E33" s="116">
        <f ca="1">IF(ISNUMBER($A33),Standings!$E32,"")</f>
        <v>0</v>
      </c>
      <c r="F33" s="273">
        <f ca="1">IF(ISNUMBER($A33),Standings!$F32+Standings!$G32,"")</f>
        <v>0</v>
      </c>
      <c r="G33" s="423" t="str">
        <f ca="1">IF(Standings!$A32&gt;5,"",Standings!$A32)</f>
        <v/>
      </c>
    </row>
    <row r="34" spans="1:7" x14ac:dyDescent="0.2">
      <c r="A34" s="272">
        <f ca="1">IF(ISNUMBER(Standings!$A33),Standings!$C33,"")</f>
        <v>4</v>
      </c>
      <c r="B34" s="117">
        <f ca="1">IF(ISNUMBER($A34),VLOOKUP($A34,Methuselahs!$A$7:$E$206,5,0),"")</f>
        <v>1028087486</v>
      </c>
      <c r="C34" s="232" t="str">
        <f ca="1">Standings!$D33</f>
        <v xml:space="preserve"> </v>
      </c>
      <c r="D34" s="117">
        <f ca="1">IF(ISNUMBER($A34),VLOOKUP($A34,Methuselahs!$A$7:$F$206,COLUMN(Methuselahs!$F$7),0),"")</f>
        <v>3</v>
      </c>
      <c r="E34" s="116">
        <f ca="1">IF(ISNUMBER($A34),Standings!$E33,"")</f>
        <v>0</v>
      </c>
      <c r="F34" s="273">
        <f ca="1">IF(ISNUMBER($A34),Standings!$F33+Standings!$G33,"")</f>
        <v>0</v>
      </c>
      <c r="G34" s="423" t="str">
        <f ca="1">IF(Standings!$A33&gt;5,"",Standings!$A33)</f>
        <v/>
      </c>
    </row>
    <row r="35" spans="1:7" x14ac:dyDescent="0.2">
      <c r="A35" s="272">
        <f ca="1">IF(ISNUMBER(Standings!$A34),Standings!$C34,"")</f>
        <v>1</v>
      </c>
      <c r="B35" s="117">
        <f ca="1">IF(ISNUMBER($A35),VLOOKUP($A35,Methuselahs!$A$7:$E$206,5,0),"")</f>
        <v>8887487780</v>
      </c>
      <c r="C35" s="232" t="str">
        <f ca="1">Standings!$D34</f>
        <v xml:space="preserve"> </v>
      </c>
      <c r="D35" s="117">
        <f ca="1">IF(ISNUMBER($A35),VLOOKUP($A35,Methuselahs!$A$7:$F$206,COLUMN(Methuselahs!$F$7),0),"")</f>
        <v>3</v>
      </c>
      <c r="E35" s="116">
        <f ca="1">IF(ISNUMBER($A35),Standings!$E34,"")</f>
        <v>0</v>
      </c>
      <c r="F35" s="273">
        <f ca="1">IF(ISNUMBER($A35),Standings!$F34+Standings!$G34,"")</f>
        <v>0</v>
      </c>
      <c r="G35" s="423" t="str">
        <f ca="1">IF(Standings!$A34&gt;5,"",Standings!$A34)</f>
        <v/>
      </c>
    </row>
    <row r="36" spans="1:7" x14ac:dyDescent="0.2">
      <c r="A36" s="272">
        <f ca="1">IF(ISNUMBER(Standings!$A35),Standings!$C35,"")</f>
        <v>2</v>
      </c>
      <c r="B36" s="117">
        <f ca="1">IF(ISNUMBER($A36),VLOOKUP($A36,Methuselahs!$A$7:$E$206,5,0),"")</f>
        <v>0</v>
      </c>
      <c r="C36" s="232" t="str">
        <f ca="1">Standings!$D35</f>
        <v xml:space="preserve"> </v>
      </c>
      <c r="D36" s="117">
        <f ca="1">IF(ISNUMBER($A36),VLOOKUP($A36,Methuselahs!$A$7:$F$206,COLUMN(Methuselahs!$F$7),0),"")</f>
        <v>3</v>
      </c>
      <c r="E36" s="116">
        <f ca="1">IF(ISNUMBER($A36),Standings!$E35,"")</f>
        <v>0</v>
      </c>
      <c r="F36" s="273">
        <f ca="1">IF(ISNUMBER($A36),Standings!$F35+Standings!$G35,"")</f>
        <v>0</v>
      </c>
      <c r="G36" s="423" t="str">
        <f ca="1">IF(Standings!$A35&gt;5,"",Standings!$A35)</f>
        <v/>
      </c>
    </row>
    <row r="37" spans="1:7" x14ac:dyDescent="0.2">
      <c r="A37" s="272">
        <f ca="1">IF(ISNUMBER(Standings!$A36),Standings!$C36,"")</f>
        <v>29</v>
      </c>
      <c r="B37" s="117">
        <f ca="1">IF(ISNUMBER($A37),VLOOKUP($A37,Methuselahs!$A$7:$E$206,5,0),"")</f>
        <v>2815044528</v>
      </c>
      <c r="C37" s="232" t="str">
        <f ca="1">Standings!$D36</f>
        <v xml:space="preserve"> </v>
      </c>
      <c r="D37" s="117">
        <f ca="1">IF(ISNUMBER($A37),VLOOKUP($A37,Methuselahs!$A$7:$F$206,COLUMN(Methuselahs!$F$7),0),"")</f>
        <v>3</v>
      </c>
      <c r="E37" s="116">
        <f ca="1">IF(ISNUMBER($A37),Standings!$E36,"")</f>
        <v>0</v>
      </c>
      <c r="F37" s="273">
        <f ca="1">IF(ISNUMBER($A37),Standings!$F36+Standings!$G36,"")</f>
        <v>0</v>
      </c>
      <c r="G37" s="423" t="str">
        <f ca="1">IF(Standings!$A36&gt;5,"",Standings!$A36)</f>
        <v/>
      </c>
    </row>
    <row r="38" spans="1:7" x14ac:dyDescent="0.2">
      <c r="A38" s="272">
        <f ca="1">IF(ISNUMBER(Standings!$A37),Standings!$C37,"")</f>
        <v>14</v>
      </c>
      <c r="B38" s="117">
        <f ca="1">IF(ISNUMBER($A38),VLOOKUP($A38,Methuselahs!$A$7:$E$206,5,0),"")</f>
        <v>3984662749</v>
      </c>
      <c r="C38" s="232" t="str">
        <f ca="1">Standings!$D37</f>
        <v xml:space="preserve"> </v>
      </c>
      <c r="D38" s="117">
        <f ca="1">IF(ISNUMBER($A38),VLOOKUP($A38,Methuselahs!$A$7:$F$206,COLUMN(Methuselahs!$F$7),0),"")</f>
        <v>3</v>
      </c>
      <c r="E38" s="116">
        <f ca="1">IF(ISNUMBER($A38),Standings!$E37,"")</f>
        <v>0</v>
      </c>
      <c r="F38" s="273">
        <f ca="1">IF(ISNUMBER($A38),Standings!$F37+Standings!$G37,"")</f>
        <v>0</v>
      </c>
      <c r="G38" s="423" t="str">
        <f ca="1">IF(Standings!$A37&gt;5,"",Standings!$A37)</f>
        <v/>
      </c>
    </row>
    <row r="39" spans="1:7" x14ac:dyDescent="0.2">
      <c r="A39" s="272" t="str">
        <f>IF(ISNUMBER(Standings!$A38),Standings!$C38,"")</f>
        <v/>
      </c>
      <c r="B39" s="117" t="str">
        <f>IF(ISNUMBER($A39),VLOOKUP($A39,Methuselahs!$A$7:$E$206,5,0),"")</f>
        <v/>
      </c>
      <c r="C39" s="232" t="str">
        <f>Standings!$D38</f>
        <v/>
      </c>
      <c r="D39" s="117" t="str">
        <f>IF(ISNUMBER($A39),VLOOKUP($A39,Methuselahs!$A$7:$F$206,COLUMN(Methuselahs!$F$7),0),"")</f>
        <v/>
      </c>
      <c r="E39" s="116" t="str">
        <f>IF(ISNUMBER($A39),Standings!$E38,"")</f>
        <v/>
      </c>
      <c r="F39" s="273" t="str">
        <f>IF(ISNUMBER($A39),Standings!$F38+Standings!$G38,"")</f>
        <v/>
      </c>
      <c r="G39" s="423" t="str">
        <f>IF(Standings!$A38&gt;5,"",Standings!$A38)</f>
        <v/>
      </c>
    </row>
    <row r="40" spans="1:7" x14ac:dyDescent="0.2">
      <c r="A40" s="272" t="str">
        <f>IF(ISNUMBER(Standings!$A39),Standings!$C39,"")</f>
        <v/>
      </c>
      <c r="B40" s="117" t="str">
        <f>IF(ISNUMBER($A40),VLOOKUP($A40,Methuselahs!$A$7:$E$206,5,0),"")</f>
        <v/>
      </c>
      <c r="C40" s="232" t="str">
        <f>Standings!$D39</f>
        <v/>
      </c>
      <c r="D40" s="117" t="str">
        <f>IF(ISNUMBER($A40),VLOOKUP($A40,Methuselahs!$A$7:$F$206,COLUMN(Methuselahs!$F$7),0),"")</f>
        <v/>
      </c>
      <c r="E40" s="116" t="str">
        <f>IF(ISNUMBER($A40),Standings!$E39,"")</f>
        <v/>
      </c>
      <c r="F40" s="273" t="str">
        <f>IF(ISNUMBER($A40),Standings!$F39+Standings!$G39,"")</f>
        <v/>
      </c>
      <c r="G40" s="423" t="str">
        <f>IF(Standings!$A39&gt;5,"",Standings!$A39)</f>
        <v/>
      </c>
    </row>
    <row r="41" spans="1:7" x14ac:dyDescent="0.2">
      <c r="A41" s="272" t="str">
        <f>IF(ISNUMBER(Standings!$A40),Standings!$C40,"")</f>
        <v/>
      </c>
      <c r="B41" s="117" t="str">
        <f>IF(ISNUMBER($A41),VLOOKUP($A41,Methuselahs!$A$7:$E$206,5,0),"")</f>
        <v/>
      </c>
      <c r="C41" s="232" t="str">
        <f>Standings!$D40</f>
        <v/>
      </c>
      <c r="D41" s="117" t="str">
        <f>IF(ISNUMBER($A41),VLOOKUP($A41,Methuselahs!$A$7:$F$206,COLUMN(Methuselahs!$F$7),0),"")</f>
        <v/>
      </c>
      <c r="E41" s="116" t="str">
        <f>IF(ISNUMBER($A41),Standings!$E40,"")</f>
        <v/>
      </c>
      <c r="F41" s="273" t="str">
        <f>IF(ISNUMBER($A41),Standings!$F40+Standings!$G40,"")</f>
        <v/>
      </c>
      <c r="G41" s="423" t="str">
        <f>IF(Standings!$A40&gt;5,"",Standings!$A40)</f>
        <v/>
      </c>
    </row>
    <row r="42" spans="1:7" x14ac:dyDescent="0.2">
      <c r="A42" s="272" t="str">
        <f>IF(ISNUMBER(Standings!$A41),Standings!$C41,"")</f>
        <v/>
      </c>
      <c r="B42" s="117" t="str">
        <f>IF(ISNUMBER($A42),VLOOKUP($A42,Methuselahs!$A$7:$E$206,5,0),"")</f>
        <v/>
      </c>
      <c r="C42" s="232" t="str">
        <f>Standings!$D41</f>
        <v/>
      </c>
      <c r="D42" s="117" t="str">
        <f>IF(ISNUMBER($A42),VLOOKUP($A42,Methuselahs!$A$7:$F$206,COLUMN(Methuselahs!$F$7),0),"")</f>
        <v/>
      </c>
      <c r="E42" s="116" t="str">
        <f>IF(ISNUMBER($A42),Standings!$E41,"")</f>
        <v/>
      </c>
      <c r="F42" s="273" t="str">
        <f>IF(ISNUMBER($A42),Standings!$F41+Standings!$G41,"")</f>
        <v/>
      </c>
      <c r="G42" s="423" t="str">
        <f>IF(Standings!$A41&gt;5,"",Standings!$A41)</f>
        <v/>
      </c>
    </row>
    <row r="43" spans="1:7" x14ac:dyDescent="0.2">
      <c r="A43" s="272" t="str">
        <f>IF(ISNUMBER(Standings!$A42),Standings!$C42,"")</f>
        <v/>
      </c>
      <c r="B43" s="117" t="str">
        <f>IF(ISNUMBER($A43),VLOOKUP($A43,Methuselahs!$A$7:$E$206,5,0),"")</f>
        <v/>
      </c>
      <c r="C43" s="232" t="str">
        <f>Standings!$D42</f>
        <v/>
      </c>
      <c r="D43" s="117" t="str">
        <f>IF(ISNUMBER($A43),VLOOKUP($A43,Methuselahs!$A$7:$F$206,COLUMN(Methuselahs!$F$7),0),"")</f>
        <v/>
      </c>
      <c r="E43" s="116" t="str">
        <f>IF(ISNUMBER($A43),Standings!$E42,"")</f>
        <v/>
      </c>
      <c r="F43" s="273" t="str">
        <f>IF(ISNUMBER($A43),Standings!$F42+Standings!$G42,"")</f>
        <v/>
      </c>
      <c r="G43" s="423" t="str">
        <f>IF(Standings!$A42&gt;5,"",Standings!$A42)</f>
        <v/>
      </c>
    </row>
    <row r="44" spans="1:7" x14ac:dyDescent="0.2">
      <c r="A44" s="272" t="str">
        <f>IF(ISNUMBER(Standings!$A43),Standings!$C43,"")</f>
        <v/>
      </c>
      <c r="B44" s="117" t="str">
        <f>IF(ISNUMBER($A44),VLOOKUP($A44,Methuselahs!$A$7:$E$206,5,0),"")</f>
        <v/>
      </c>
      <c r="C44" s="232" t="str">
        <f>Standings!$D43</f>
        <v/>
      </c>
      <c r="D44" s="117" t="str">
        <f>IF(ISNUMBER($A44),VLOOKUP($A44,Methuselahs!$A$7:$F$206,COLUMN(Methuselahs!$F$7),0),"")</f>
        <v/>
      </c>
      <c r="E44" s="116" t="str">
        <f>IF(ISNUMBER($A44),Standings!$E43,"")</f>
        <v/>
      </c>
      <c r="F44" s="273" t="str">
        <f>IF(ISNUMBER($A44),Standings!$F43+Standings!$G43,"")</f>
        <v/>
      </c>
      <c r="G44" s="423" t="str">
        <f>IF(Standings!$A43&gt;5,"",Standings!$A43)</f>
        <v/>
      </c>
    </row>
    <row r="45" spans="1:7" x14ac:dyDescent="0.2">
      <c r="A45" s="272" t="str">
        <f>IF(ISNUMBER(Standings!$A44),Standings!$C44,"")</f>
        <v/>
      </c>
      <c r="B45" s="117" t="str">
        <f>IF(ISNUMBER($A45),VLOOKUP($A45,Methuselahs!$A$7:$E$206,5,0),"")</f>
        <v/>
      </c>
      <c r="C45" s="232" t="str">
        <f>Standings!$D44</f>
        <v/>
      </c>
      <c r="D45" s="117" t="str">
        <f>IF(ISNUMBER($A45),VLOOKUP($A45,Methuselahs!$A$7:$F$206,COLUMN(Methuselahs!$F$7),0),"")</f>
        <v/>
      </c>
      <c r="E45" s="116" t="str">
        <f>IF(ISNUMBER($A45),Standings!$E44,"")</f>
        <v/>
      </c>
      <c r="F45" s="273" t="str">
        <f>IF(ISNUMBER($A45),Standings!$F44+Standings!$G44,"")</f>
        <v/>
      </c>
      <c r="G45" s="423" t="str">
        <f>IF(Standings!$A44&gt;5,"",Standings!$A44)</f>
        <v/>
      </c>
    </row>
    <row r="46" spans="1:7" x14ac:dyDescent="0.2">
      <c r="A46" s="272" t="str">
        <f>IF(ISNUMBER(Standings!$A45),Standings!$C45,"")</f>
        <v/>
      </c>
      <c r="B46" s="117" t="str">
        <f>IF(ISNUMBER($A46),VLOOKUP($A46,Methuselahs!$A$7:$E$206,5,0),"")</f>
        <v/>
      </c>
      <c r="C46" s="232" t="str">
        <f>Standings!$D45</f>
        <v/>
      </c>
      <c r="D46" s="117" t="str">
        <f>IF(ISNUMBER($A46),VLOOKUP($A46,Methuselahs!$A$7:$F$206,COLUMN(Methuselahs!$F$7),0),"")</f>
        <v/>
      </c>
      <c r="E46" s="116" t="str">
        <f>IF(ISNUMBER($A46),Standings!$E45,"")</f>
        <v/>
      </c>
      <c r="F46" s="273" t="str">
        <f>IF(ISNUMBER($A46),Standings!$F45+Standings!$G45,"")</f>
        <v/>
      </c>
      <c r="G46" s="423" t="str">
        <f>IF(Standings!$A45&gt;5,"",Standings!$A45)</f>
        <v/>
      </c>
    </row>
    <row r="47" spans="1:7" x14ac:dyDescent="0.2">
      <c r="A47" s="272" t="str">
        <f>IF(ISNUMBER(Standings!$A46),Standings!$C46,"")</f>
        <v/>
      </c>
      <c r="B47" s="117" t="str">
        <f>IF(ISNUMBER($A47),VLOOKUP($A47,Methuselahs!$A$7:$E$206,5,0),"")</f>
        <v/>
      </c>
      <c r="C47" s="232" t="str">
        <f>Standings!$D46</f>
        <v/>
      </c>
      <c r="D47" s="117" t="str">
        <f>IF(ISNUMBER($A47),VLOOKUP($A47,Methuselahs!$A$7:$F$206,COLUMN(Methuselahs!$F$7),0),"")</f>
        <v/>
      </c>
      <c r="E47" s="116" t="str">
        <f>IF(ISNUMBER($A47),Standings!$E46,"")</f>
        <v/>
      </c>
      <c r="F47" s="273" t="str">
        <f>IF(ISNUMBER($A47),Standings!$F46+Standings!$G46,"")</f>
        <v/>
      </c>
      <c r="G47" s="423" t="str">
        <f>IF(Standings!$A46&gt;5,"",Standings!$A46)</f>
        <v/>
      </c>
    </row>
    <row r="48" spans="1:7" x14ac:dyDescent="0.2">
      <c r="A48" s="272" t="str">
        <f>IF(ISNUMBER(Standings!$A47),Standings!$C47,"")</f>
        <v/>
      </c>
      <c r="B48" s="117" t="str">
        <f>IF(ISNUMBER($A48),VLOOKUP($A48,Methuselahs!$A$7:$E$206,5,0),"")</f>
        <v/>
      </c>
      <c r="C48" s="232" t="str">
        <f>Standings!$D47</f>
        <v/>
      </c>
      <c r="D48" s="117" t="str">
        <f>IF(ISNUMBER($A48),VLOOKUP($A48,Methuselahs!$A$7:$F$206,COLUMN(Methuselahs!$F$7),0),"")</f>
        <v/>
      </c>
      <c r="E48" s="116" t="str">
        <f>IF(ISNUMBER($A48),Standings!$E47,"")</f>
        <v/>
      </c>
      <c r="F48" s="273" t="str">
        <f>IF(ISNUMBER($A48),Standings!$F47+Standings!$G47,"")</f>
        <v/>
      </c>
      <c r="G48" s="423" t="str">
        <f>IF(Standings!$A47&gt;5,"",Standings!$A47)</f>
        <v/>
      </c>
    </row>
    <row r="49" spans="1:7" x14ac:dyDescent="0.2">
      <c r="A49" s="272" t="str">
        <f>IF(ISNUMBER(Standings!$A48),Standings!$C48,"")</f>
        <v/>
      </c>
      <c r="B49" s="117" t="str">
        <f>IF(ISNUMBER($A49),VLOOKUP($A49,Methuselahs!$A$7:$E$206,5,0),"")</f>
        <v/>
      </c>
      <c r="C49" s="232" t="str">
        <f>Standings!$D48</f>
        <v/>
      </c>
      <c r="D49" s="117" t="str">
        <f>IF(ISNUMBER($A49),VLOOKUP($A49,Methuselahs!$A$7:$F$206,COLUMN(Methuselahs!$F$7),0),"")</f>
        <v/>
      </c>
      <c r="E49" s="116" t="str">
        <f>IF(ISNUMBER($A49),Standings!$E48,"")</f>
        <v/>
      </c>
      <c r="F49" s="273" t="str">
        <f>IF(ISNUMBER($A49),Standings!$F48+Standings!$G48,"")</f>
        <v/>
      </c>
      <c r="G49" s="423" t="str">
        <f>IF(Standings!$A48&gt;5,"",Standings!$A48)</f>
        <v/>
      </c>
    </row>
    <row r="50" spans="1:7" x14ac:dyDescent="0.2">
      <c r="A50" s="272" t="str">
        <f>IF(ISNUMBER(Standings!$A49),Standings!$C49,"")</f>
        <v/>
      </c>
      <c r="B50" s="117" t="str">
        <f>IF(ISNUMBER($A50),VLOOKUP($A50,Methuselahs!$A$7:$E$206,5,0),"")</f>
        <v/>
      </c>
      <c r="C50" s="232" t="str">
        <f>Standings!$D49</f>
        <v/>
      </c>
      <c r="D50" s="117" t="str">
        <f>IF(ISNUMBER($A50),VLOOKUP($A50,Methuselahs!$A$7:$F$206,COLUMN(Methuselahs!$F$7),0),"")</f>
        <v/>
      </c>
      <c r="E50" s="116" t="str">
        <f>IF(ISNUMBER($A50),Standings!$E49,"")</f>
        <v/>
      </c>
      <c r="F50" s="273" t="str">
        <f>IF(ISNUMBER($A50),Standings!$F49+Standings!$G49,"")</f>
        <v/>
      </c>
      <c r="G50" s="423" t="str">
        <f>IF(Standings!$A49&gt;5,"",Standings!$A49)</f>
        <v/>
      </c>
    </row>
    <row r="51" spans="1:7" x14ac:dyDescent="0.2">
      <c r="A51" s="272" t="str">
        <f>IF(ISNUMBER(Standings!$A50),Standings!$C50,"")</f>
        <v/>
      </c>
      <c r="B51" s="117" t="str">
        <f>IF(ISNUMBER($A51),VLOOKUP($A51,Methuselahs!$A$7:$E$206,5,0),"")</f>
        <v/>
      </c>
      <c r="C51" s="232" t="str">
        <f>Standings!$D50</f>
        <v/>
      </c>
      <c r="D51" s="117" t="str">
        <f>IF(ISNUMBER($A51),VLOOKUP($A51,Methuselahs!$A$7:$F$206,COLUMN(Methuselahs!$F$7),0),"")</f>
        <v/>
      </c>
      <c r="E51" s="116" t="str">
        <f>IF(ISNUMBER($A51),Standings!$E50,"")</f>
        <v/>
      </c>
      <c r="F51" s="273" t="str">
        <f>IF(ISNUMBER($A51),Standings!$F50+Standings!$G50,"")</f>
        <v/>
      </c>
      <c r="G51" s="423" t="str">
        <f>IF(Standings!$A50&gt;5,"",Standings!$A50)</f>
        <v/>
      </c>
    </row>
    <row r="52" spans="1:7" x14ac:dyDescent="0.2">
      <c r="A52" s="272" t="str">
        <f>IF(ISNUMBER(Standings!$A51),Standings!$C51,"")</f>
        <v/>
      </c>
      <c r="B52" s="117" t="str">
        <f>IF(ISNUMBER($A52),VLOOKUP($A52,Methuselahs!$A$7:$E$206,5,0),"")</f>
        <v/>
      </c>
      <c r="C52" s="232" t="str">
        <f>Standings!$D51</f>
        <v/>
      </c>
      <c r="D52" s="117" t="str">
        <f>IF(ISNUMBER($A52),VLOOKUP($A52,Methuselahs!$A$7:$F$206,COLUMN(Methuselahs!$F$7),0),"")</f>
        <v/>
      </c>
      <c r="E52" s="116" t="str">
        <f>IF(ISNUMBER($A52),Standings!$E51,"")</f>
        <v/>
      </c>
      <c r="F52" s="273" t="str">
        <f>IF(ISNUMBER($A52),Standings!$F51+Standings!$G51,"")</f>
        <v/>
      </c>
      <c r="G52" s="423" t="str">
        <f>IF(Standings!$A51&gt;5,"",Standings!$A51)</f>
        <v/>
      </c>
    </row>
    <row r="53" spans="1:7" x14ac:dyDescent="0.2">
      <c r="A53" s="272" t="str">
        <f>IF(ISNUMBER(Standings!$A52),Standings!$C52,"")</f>
        <v/>
      </c>
      <c r="B53" s="117" t="str">
        <f>IF(ISNUMBER($A53),VLOOKUP($A53,Methuselahs!$A$7:$E$206,5,0),"")</f>
        <v/>
      </c>
      <c r="C53" s="232" t="str">
        <f>Standings!$D52</f>
        <v/>
      </c>
      <c r="D53" s="117" t="str">
        <f>IF(ISNUMBER($A53),VLOOKUP($A53,Methuselahs!$A$7:$F$206,COLUMN(Methuselahs!$F$7),0),"")</f>
        <v/>
      </c>
      <c r="E53" s="116" t="str">
        <f>IF(ISNUMBER($A53),Standings!$E52,"")</f>
        <v/>
      </c>
      <c r="F53" s="273" t="str">
        <f>IF(ISNUMBER($A53),Standings!$F52+Standings!$G52,"")</f>
        <v/>
      </c>
      <c r="G53" s="423" t="str">
        <f>IF(Standings!$A52&gt;5,"",Standings!$A52)</f>
        <v/>
      </c>
    </row>
    <row r="54" spans="1:7" x14ac:dyDescent="0.2">
      <c r="A54" s="272" t="str">
        <f>IF(ISNUMBER(Standings!$A53),Standings!$C53,"")</f>
        <v/>
      </c>
      <c r="B54" s="117" t="str">
        <f>IF(ISNUMBER($A54),VLOOKUP($A54,Methuselahs!$A$7:$E$206,5,0),"")</f>
        <v/>
      </c>
      <c r="C54" s="232" t="str">
        <f>Standings!$D53</f>
        <v/>
      </c>
      <c r="D54" s="117" t="str">
        <f>IF(ISNUMBER($A54),VLOOKUP($A54,Methuselahs!$A$7:$F$206,COLUMN(Methuselahs!$F$7),0),"")</f>
        <v/>
      </c>
      <c r="E54" s="116" t="str">
        <f>IF(ISNUMBER($A54),Standings!$E53,"")</f>
        <v/>
      </c>
      <c r="F54" s="273" t="str">
        <f>IF(ISNUMBER($A54),Standings!$F53+Standings!$G53,"")</f>
        <v/>
      </c>
      <c r="G54" s="423" t="str">
        <f>IF(Standings!$A53&gt;5,"",Standings!$A53)</f>
        <v/>
      </c>
    </row>
    <row r="55" spans="1:7" x14ac:dyDescent="0.2">
      <c r="A55" s="272" t="str">
        <f>IF(ISNUMBER(Standings!$A54),Standings!$C54,"")</f>
        <v/>
      </c>
      <c r="B55" s="117" t="str">
        <f>IF(ISNUMBER($A55),VLOOKUP($A55,Methuselahs!$A$7:$E$206,5,0),"")</f>
        <v/>
      </c>
      <c r="C55" s="232" t="str">
        <f>Standings!$D54</f>
        <v/>
      </c>
      <c r="D55" s="117" t="str">
        <f>IF(ISNUMBER($A55),VLOOKUP($A55,Methuselahs!$A$7:$F$206,COLUMN(Methuselahs!$F$7),0),"")</f>
        <v/>
      </c>
      <c r="E55" s="116" t="str">
        <f>IF(ISNUMBER($A55),Standings!$E54,"")</f>
        <v/>
      </c>
      <c r="F55" s="273" t="str">
        <f>IF(ISNUMBER($A55),Standings!$F54+Standings!$G54,"")</f>
        <v/>
      </c>
      <c r="G55" s="423" t="str">
        <f>IF(Standings!$A54&gt;5,"",Standings!$A54)</f>
        <v/>
      </c>
    </row>
    <row r="56" spans="1:7" x14ac:dyDescent="0.2">
      <c r="A56" s="272" t="str">
        <f>IF(ISNUMBER(Standings!$A55),Standings!$C55,"")</f>
        <v/>
      </c>
      <c r="B56" s="117" t="str">
        <f>IF(ISNUMBER($A56),VLOOKUP($A56,Methuselahs!$A$7:$E$206,5,0),"")</f>
        <v/>
      </c>
      <c r="C56" s="232" t="str">
        <f>Standings!$D55</f>
        <v/>
      </c>
      <c r="D56" s="117" t="str">
        <f>IF(ISNUMBER($A56),VLOOKUP($A56,Methuselahs!$A$7:$F$206,COLUMN(Methuselahs!$F$7),0),"")</f>
        <v/>
      </c>
      <c r="E56" s="116" t="str">
        <f>IF(ISNUMBER($A56),Standings!$E55,"")</f>
        <v/>
      </c>
      <c r="F56" s="273" t="str">
        <f>IF(ISNUMBER($A56),Standings!$F55+Standings!$G55,"")</f>
        <v/>
      </c>
      <c r="G56" s="423" t="str">
        <f>IF(Standings!$A55&gt;5,"",Standings!$A55)</f>
        <v/>
      </c>
    </row>
    <row r="57" spans="1:7" x14ac:dyDescent="0.2">
      <c r="A57" s="272" t="str">
        <f>IF(ISNUMBER(Standings!$A56),Standings!$C56,"")</f>
        <v/>
      </c>
      <c r="B57" s="117" t="str">
        <f>IF(ISNUMBER($A57),VLOOKUP($A57,Methuselahs!$A$7:$E$206,5,0),"")</f>
        <v/>
      </c>
      <c r="C57" s="232" t="str">
        <f>Standings!$D56</f>
        <v/>
      </c>
      <c r="D57" s="117" t="str">
        <f>IF(ISNUMBER($A57),VLOOKUP($A57,Methuselahs!$A$7:$F$206,COLUMN(Methuselahs!$F$7),0),"")</f>
        <v/>
      </c>
      <c r="E57" s="116" t="str">
        <f>IF(ISNUMBER($A57),Standings!$E56,"")</f>
        <v/>
      </c>
      <c r="F57" s="273" t="str">
        <f>IF(ISNUMBER($A57),Standings!$F56+Standings!$G56,"")</f>
        <v/>
      </c>
      <c r="G57" s="423" t="str">
        <f>IF(Standings!$A56&gt;5,"",Standings!$A56)</f>
        <v/>
      </c>
    </row>
    <row r="58" spans="1:7" x14ac:dyDescent="0.2">
      <c r="A58" s="272" t="str">
        <f>IF(ISNUMBER(Standings!$A57),Standings!$C57,"")</f>
        <v/>
      </c>
      <c r="B58" s="117" t="str">
        <f>IF(ISNUMBER($A58),VLOOKUP($A58,Methuselahs!$A$7:$E$206,5,0),"")</f>
        <v/>
      </c>
      <c r="C58" s="232" t="str">
        <f>Standings!$D57</f>
        <v/>
      </c>
      <c r="D58" s="117" t="str">
        <f>IF(ISNUMBER($A58),VLOOKUP($A58,Methuselahs!$A$7:$F$206,COLUMN(Methuselahs!$F$7),0),"")</f>
        <v/>
      </c>
      <c r="E58" s="116" t="str">
        <f>IF(ISNUMBER($A58),Standings!$E57,"")</f>
        <v/>
      </c>
      <c r="F58" s="273" t="str">
        <f>IF(ISNUMBER($A58),Standings!$F57+Standings!$G57,"")</f>
        <v/>
      </c>
      <c r="G58" s="423" t="str">
        <f>IF(Standings!$A57&gt;5,"",Standings!$A57)</f>
        <v/>
      </c>
    </row>
    <row r="59" spans="1:7" x14ac:dyDescent="0.2">
      <c r="A59" s="272" t="str">
        <f>IF(ISNUMBER(Standings!$A58),Standings!$C58,"")</f>
        <v/>
      </c>
      <c r="B59" s="117" t="str">
        <f>IF(ISNUMBER($A59),VLOOKUP($A59,Methuselahs!$A$7:$E$206,5,0),"")</f>
        <v/>
      </c>
      <c r="C59" s="232" t="str">
        <f>Standings!$D58</f>
        <v/>
      </c>
      <c r="D59" s="117" t="str">
        <f>IF(ISNUMBER($A59),VLOOKUP($A59,Methuselahs!$A$7:$F$206,COLUMN(Methuselahs!$F$7),0),"")</f>
        <v/>
      </c>
      <c r="E59" s="116" t="str">
        <f>IF(ISNUMBER($A59),Standings!$E58,"")</f>
        <v/>
      </c>
      <c r="F59" s="273" t="str">
        <f>IF(ISNUMBER($A59),Standings!$F58+Standings!$G58,"")</f>
        <v/>
      </c>
      <c r="G59" s="423" t="str">
        <f>IF(Standings!$A58&gt;5,"",Standings!$A58)</f>
        <v/>
      </c>
    </row>
    <row r="60" spans="1:7" x14ac:dyDescent="0.2">
      <c r="A60" s="272" t="str">
        <f>IF(ISNUMBER(Standings!$A59),Standings!$C59,"")</f>
        <v/>
      </c>
      <c r="B60" s="117" t="str">
        <f>IF(ISNUMBER($A60),VLOOKUP($A60,Methuselahs!$A$7:$E$206,5,0),"")</f>
        <v/>
      </c>
      <c r="C60" s="232" t="str">
        <f>Standings!$D59</f>
        <v/>
      </c>
      <c r="D60" s="117" t="str">
        <f>IF(ISNUMBER($A60),VLOOKUP($A60,Methuselahs!$A$7:$F$206,COLUMN(Methuselahs!$F$7),0),"")</f>
        <v/>
      </c>
      <c r="E60" s="116" t="str">
        <f>IF(ISNUMBER($A60),Standings!$E59,"")</f>
        <v/>
      </c>
      <c r="F60" s="273" t="str">
        <f>IF(ISNUMBER($A60),Standings!$F59+Standings!$G59,"")</f>
        <v/>
      </c>
      <c r="G60" s="423" t="str">
        <f>IF(Standings!$A59&gt;5,"",Standings!$A59)</f>
        <v/>
      </c>
    </row>
    <row r="61" spans="1:7" x14ac:dyDescent="0.2">
      <c r="A61" s="272" t="str">
        <f>IF(ISNUMBER(Standings!$A60),Standings!$C60,"")</f>
        <v/>
      </c>
      <c r="B61" s="117" t="str">
        <f>IF(ISNUMBER($A61),VLOOKUP($A61,Methuselahs!$A$7:$E$206,5,0),"")</f>
        <v/>
      </c>
      <c r="C61" s="232" t="str">
        <f>Standings!$D60</f>
        <v/>
      </c>
      <c r="D61" s="117" t="str">
        <f>IF(ISNUMBER($A61),VLOOKUP($A61,Methuselahs!$A$7:$F$206,COLUMN(Methuselahs!$F$7),0),"")</f>
        <v/>
      </c>
      <c r="E61" s="116" t="str">
        <f>IF(ISNUMBER($A61),Standings!$E60,"")</f>
        <v/>
      </c>
      <c r="F61" s="273" t="str">
        <f>IF(ISNUMBER($A61),Standings!$F60+Standings!$G60,"")</f>
        <v/>
      </c>
      <c r="G61" s="423" t="str">
        <f>IF(Standings!$A60&gt;5,"",Standings!$A60)</f>
        <v/>
      </c>
    </row>
    <row r="62" spans="1:7" x14ac:dyDescent="0.2">
      <c r="A62" s="272" t="str">
        <f>IF(ISNUMBER(Standings!$A61),Standings!$C61,"")</f>
        <v/>
      </c>
      <c r="B62" s="117" t="str">
        <f>IF(ISNUMBER($A62),VLOOKUP($A62,Methuselahs!$A$7:$E$206,5,0),"")</f>
        <v/>
      </c>
      <c r="C62" s="232" t="str">
        <f>Standings!$D61</f>
        <v/>
      </c>
      <c r="D62" s="117" t="str">
        <f>IF(ISNUMBER($A62),VLOOKUP($A62,Methuselahs!$A$7:$F$206,COLUMN(Methuselahs!$F$7),0),"")</f>
        <v/>
      </c>
      <c r="E62" s="116" t="str">
        <f>IF(ISNUMBER($A62),Standings!$E61,"")</f>
        <v/>
      </c>
      <c r="F62" s="273" t="str">
        <f>IF(ISNUMBER($A62),Standings!$F61+Standings!$G61,"")</f>
        <v/>
      </c>
      <c r="G62" s="423" t="str">
        <f>IF(Standings!$A61&gt;5,"",Standings!$A61)</f>
        <v/>
      </c>
    </row>
    <row r="63" spans="1:7" x14ac:dyDescent="0.2">
      <c r="A63" s="272" t="str">
        <f>IF(ISNUMBER(Standings!$A62),Standings!$C62,"")</f>
        <v/>
      </c>
      <c r="B63" s="117" t="str">
        <f>IF(ISNUMBER($A63),VLOOKUP($A63,Methuselahs!$A$7:$E$206,5,0),"")</f>
        <v/>
      </c>
      <c r="C63" s="232" t="str">
        <f>Standings!$D62</f>
        <v/>
      </c>
      <c r="D63" s="117" t="str">
        <f>IF(ISNUMBER($A63),VLOOKUP($A63,Methuselahs!$A$7:$F$206,COLUMN(Methuselahs!$F$7),0),"")</f>
        <v/>
      </c>
      <c r="E63" s="116" t="str">
        <f>IF(ISNUMBER($A63),Standings!$E62,"")</f>
        <v/>
      </c>
      <c r="F63" s="273" t="str">
        <f>IF(ISNUMBER($A63),Standings!$F62+Standings!$G62,"")</f>
        <v/>
      </c>
      <c r="G63" s="423" t="str">
        <f>IF(Standings!$A62&gt;5,"",Standings!$A62)</f>
        <v/>
      </c>
    </row>
    <row r="64" spans="1:7" x14ac:dyDescent="0.2">
      <c r="A64" s="272" t="str">
        <f>IF(ISNUMBER(Standings!$A63),Standings!$C63,"")</f>
        <v/>
      </c>
      <c r="B64" s="117" t="str">
        <f>IF(ISNUMBER($A64),VLOOKUP($A64,Methuselahs!$A$7:$E$206,5,0),"")</f>
        <v/>
      </c>
      <c r="C64" s="232" t="str">
        <f>Standings!$D63</f>
        <v/>
      </c>
      <c r="D64" s="117" t="str">
        <f>IF(ISNUMBER($A64),VLOOKUP($A64,Methuselahs!$A$7:$F$206,COLUMN(Methuselahs!$F$7),0),"")</f>
        <v/>
      </c>
      <c r="E64" s="116" t="str">
        <f>IF(ISNUMBER($A64),Standings!$E63,"")</f>
        <v/>
      </c>
      <c r="F64" s="273" t="str">
        <f>IF(ISNUMBER($A64),Standings!$F63+Standings!$G63,"")</f>
        <v/>
      </c>
      <c r="G64" s="423" t="str">
        <f>IF(Standings!$A63&gt;5,"",Standings!$A63)</f>
        <v/>
      </c>
    </row>
    <row r="65" spans="1:7" x14ac:dyDescent="0.2">
      <c r="A65" s="272" t="str">
        <f>IF(ISNUMBER(Standings!$A64),Standings!$C64,"")</f>
        <v/>
      </c>
      <c r="B65" s="117" t="str">
        <f>IF(ISNUMBER($A65),VLOOKUP($A65,Methuselahs!$A$7:$E$206,5,0),"")</f>
        <v/>
      </c>
      <c r="C65" s="232" t="str">
        <f>Standings!$D64</f>
        <v/>
      </c>
      <c r="D65" s="117" t="str">
        <f>IF(ISNUMBER($A65),VLOOKUP($A65,Methuselahs!$A$7:$F$206,COLUMN(Methuselahs!$F$7),0),"")</f>
        <v/>
      </c>
      <c r="E65" s="116" t="str">
        <f>IF(ISNUMBER($A65),Standings!$E64,"")</f>
        <v/>
      </c>
      <c r="F65" s="273" t="str">
        <f>IF(ISNUMBER($A65),Standings!$F64+Standings!$G64,"")</f>
        <v/>
      </c>
      <c r="G65" s="423" t="str">
        <f>IF(Standings!$A64&gt;5,"",Standings!$A64)</f>
        <v/>
      </c>
    </row>
    <row r="66" spans="1:7" x14ac:dyDescent="0.2">
      <c r="A66" s="272" t="str">
        <f>IF(ISNUMBER(Standings!$A65),Standings!$C65,"")</f>
        <v/>
      </c>
      <c r="B66" s="117" t="str">
        <f>IF(ISNUMBER($A66),VLOOKUP($A66,Methuselahs!$A$7:$E$206,5,0),"")</f>
        <v/>
      </c>
      <c r="C66" s="232" t="str">
        <f>Standings!$D65</f>
        <v/>
      </c>
      <c r="D66" s="117" t="str">
        <f>IF(ISNUMBER($A66),VLOOKUP($A66,Methuselahs!$A$7:$F$206,COLUMN(Methuselahs!$F$7),0),"")</f>
        <v/>
      </c>
      <c r="E66" s="116" t="str">
        <f>IF(ISNUMBER($A66),Standings!$E65,"")</f>
        <v/>
      </c>
      <c r="F66" s="273" t="str">
        <f>IF(ISNUMBER($A66),Standings!$F65+Standings!$G65,"")</f>
        <v/>
      </c>
      <c r="G66" s="423" t="str">
        <f>IF(Standings!$A65&gt;5,"",Standings!$A65)</f>
        <v/>
      </c>
    </row>
    <row r="67" spans="1:7" x14ac:dyDescent="0.2">
      <c r="A67" s="272" t="str">
        <f>IF(ISNUMBER(Standings!$A66),Standings!$C66,"")</f>
        <v/>
      </c>
      <c r="B67" s="117" t="str">
        <f>IF(ISNUMBER($A67),VLOOKUP($A67,Methuselahs!$A$7:$E$206,5,0),"")</f>
        <v/>
      </c>
      <c r="C67" s="232" t="str">
        <f>Standings!$D66</f>
        <v/>
      </c>
      <c r="D67" s="117" t="str">
        <f>IF(ISNUMBER($A67),VLOOKUP($A67,Methuselahs!$A$7:$F$206,COLUMN(Methuselahs!$F$7),0),"")</f>
        <v/>
      </c>
      <c r="E67" s="116" t="str">
        <f>IF(ISNUMBER($A67),Standings!$E66,"")</f>
        <v/>
      </c>
      <c r="F67" s="273" t="str">
        <f>IF(ISNUMBER($A67),Standings!$F66+Standings!$G66,"")</f>
        <v/>
      </c>
      <c r="G67" s="423" t="str">
        <f>IF(Standings!$A66&gt;5,"",Standings!$A66)</f>
        <v/>
      </c>
    </row>
    <row r="68" spans="1:7" x14ac:dyDescent="0.2">
      <c r="A68" s="272" t="str">
        <f>IF(ISNUMBER(Standings!$A67),Standings!$C67,"")</f>
        <v/>
      </c>
      <c r="B68" s="117" t="str">
        <f>IF(ISNUMBER($A68),VLOOKUP($A68,Methuselahs!$A$7:$E$206,5,0),"")</f>
        <v/>
      </c>
      <c r="C68" s="232" t="str">
        <f>Standings!$D67</f>
        <v/>
      </c>
      <c r="D68" s="117" t="str">
        <f>IF(ISNUMBER($A68),VLOOKUP($A68,Methuselahs!$A$7:$F$206,COLUMN(Methuselahs!$F$7),0),"")</f>
        <v/>
      </c>
      <c r="E68" s="116" t="str">
        <f>IF(ISNUMBER($A68),Standings!$E67,"")</f>
        <v/>
      </c>
      <c r="F68" s="273" t="str">
        <f>IF(ISNUMBER($A68),Standings!$F67+Standings!$G67,"")</f>
        <v/>
      </c>
      <c r="G68" s="423" t="str">
        <f>IF(Standings!$A67&gt;5,"",Standings!$A67)</f>
        <v/>
      </c>
    </row>
    <row r="69" spans="1:7" x14ac:dyDescent="0.2">
      <c r="A69" s="272" t="str">
        <f>IF(ISNUMBER(Standings!$A68),Standings!$C68,"")</f>
        <v/>
      </c>
      <c r="B69" s="117" t="str">
        <f>IF(ISNUMBER($A69),VLOOKUP($A69,Methuselahs!$A$7:$E$206,5,0),"")</f>
        <v/>
      </c>
      <c r="C69" s="232" t="str">
        <f>Standings!$D68</f>
        <v/>
      </c>
      <c r="D69" s="117" t="str">
        <f>IF(ISNUMBER($A69),VLOOKUP($A69,Methuselahs!$A$7:$F$206,COLUMN(Methuselahs!$F$7),0),"")</f>
        <v/>
      </c>
      <c r="E69" s="116" t="str">
        <f>IF(ISNUMBER($A69),Standings!$E68,"")</f>
        <v/>
      </c>
      <c r="F69" s="273" t="str">
        <f>IF(ISNUMBER($A69),Standings!$F68+Standings!$G68,"")</f>
        <v/>
      </c>
      <c r="G69" s="423" t="str">
        <f>IF(Standings!$A68&gt;5,"",Standings!$A68)</f>
        <v/>
      </c>
    </row>
    <row r="70" spans="1:7" x14ac:dyDescent="0.2">
      <c r="A70" s="272" t="str">
        <f>IF(ISNUMBER(Standings!$A69),Standings!$C69,"")</f>
        <v/>
      </c>
      <c r="B70" s="117" t="str">
        <f>IF(ISNUMBER($A70),VLOOKUP($A70,Methuselahs!$A$7:$E$206,5,0),"")</f>
        <v/>
      </c>
      <c r="C70" s="232" t="str">
        <f>Standings!$D69</f>
        <v/>
      </c>
      <c r="D70" s="117" t="str">
        <f>IF(ISNUMBER($A70),VLOOKUP($A70,Methuselahs!$A$7:$F$206,COLUMN(Methuselahs!$F$7),0),"")</f>
        <v/>
      </c>
      <c r="E70" s="116" t="str">
        <f>IF(ISNUMBER($A70),Standings!$E69,"")</f>
        <v/>
      </c>
      <c r="F70" s="273" t="str">
        <f>IF(ISNUMBER($A70),Standings!$F69+Standings!$G69,"")</f>
        <v/>
      </c>
      <c r="G70" s="423" t="str">
        <f>IF(Standings!$A69&gt;5,"",Standings!$A69)</f>
        <v/>
      </c>
    </row>
    <row r="71" spans="1:7" x14ac:dyDescent="0.2">
      <c r="A71" s="272" t="str">
        <f>IF(ISNUMBER(Standings!$A70),Standings!$C70,"")</f>
        <v/>
      </c>
      <c r="B71" s="117" t="str">
        <f>IF(ISNUMBER($A71),VLOOKUP($A71,Methuselahs!$A$7:$E$206,5,0),"")</f>
        <v/>
      </c>
      <c r="C71" s="232" t="str">
        <f>Standings!$D70</f>
        <v/>
      </c>
      <c r="D71" s="117" t="str">
        <f>IF(ISNUMBER($A71),VLOOKUP($A71,Methuselahs!$A$7:$F$206,COLUMN(Methuselahs!$F$7),0),"")</f>
        <v/>
      </c>
      <c r="E71" s="116" t="str">
        <f>IF(ISNUMBER($A71),Standings!$E70,"")</f>
        <v/>
      </c>
      <c r="F71" s="273" t="str">
        <f>IF(ISNUMBER($A71),Standings!$F70+Standings!$G70,"")</f>
        <v/>
      </c>
      <c r="G71" s="423" t="str">
        <f>IF(Standings!$A70&gt;5,"",Standings!$A70)</f>
        <v/>
      </c>
    </row>
    <row r="72" spans="1:7" x14ac:dyDescent="0.2">
      <c r="A72" s="272" t="str">
        <f>IF(ISNUMBER(Standings!$A71),Standings!$C71,"")</f>
        <v/>
      </c>
      <c r="B72" s="117" t="str">
        <f>IF(ISNUMBER($A72),VLOOKUP($A72,Methuselahs!$A$7:$E$206,5,0),"")</f>
        <v/>
      </c>
      <c r="C72" s="232" t="str">
        <f>Standings!$D71</f>
        <v/>
      </c>
      <c r="D72" s="117" t="str">
        <f>IF(ISNUMBER($A72),VLOOKUP($A72,Methuselahs!$A$7:$F$206,COLUMN(Methuselahs!$F$7),0),"")</f>
        <v/>
      </c>
      <c r="E72" s="116" t="str">
        <f>IF(ISNUMBER($A72),Standings!$E71,"")</f>
        <v/>
      </c>
      <c r="F72" s="273" t="str">
        <f>IF(ISNUMBER($A72),Standings!$F71+Standings!$G71,"")</f>
        <v/>
      </c>
      <c r="G72" s="423" t="str">
        <f>IF(Standings!$A71&gt;5,"",Standings!$A71)</f>
        <v/>
      </c>
    </row>
    <row r="73" spans="1:7" x14ac:dyDescent="0.2">
      <c r="A73" s="272" t="str">
        <f>IF(ISNUMBER(Standings!$A72),Standings!$C72,"")</f>
        <v/>
      </c>
      <c r="B73" s="117" t="str">
        <f>IF(ISNUMBER($A73),VLOOKUP($A73,Methuselahs!$A$7:$E$206,5,0),"")</f>
        <v/>
      </c>
      <c r="C73" s="232" t="str">
        <f>Standings!$D72</f>
        <v/>
      </c>
      <c r="D73" s="117" t="str">
        <f>IF(ISNUMBER($A73),VLOOKUP($A73,Methuselahs!$A$7:$F$206,COLUMN(Methuselahs!$F$7),0),"")</f>
        <v/>
      </c>
      <c r="E73" s="116" t="str">
        <f>IF(ISNUMBER($A73),Standings!$E72,"")</f>
        <v/>
      </c>
      <c r="F73" s="273" t="str">
        <f>IF(ISNUMBER($A73),Standings!$F72+Standings!$G72,"")</f>
        <v/>
      </c>
      <c r="G73" s="423" t="str">
        <f>IF(Standings!$A72&gt;5,"",Standings!$A72)</f>
        <v/>
      </c>
    </row>
    <row r="74" spans="1:7" x14ac:dyDescent="0.2">
      <c r="A74" s="272" t="str">
        <f>IF(ISNUMBER(Standings!$A73),Standings!$C73,"")</f>
        <v/>
      </c>
      <c r="B74" s="117" t="str">
        <f>IF(ISNUMBER($A74),VLOOKUP($A74,Methuselahs!$A$7:$E$206,5,0),"")</f>
        <v/>
      </c>
      <c r="C74" s="232" t="str">
        <f>Standings!$D73</f>
        <v/>
      </c>
      <c r="D74" s="117" t="str">
        <f>IF(ISNUMBER($A74),VLOOKUP($A74,Methuselahs!$A$7:$F$206,COLUMN(Methuselahs!$F$7),0),"")</f>
        <v/>
      </c>
      <c r="E74" s="116" t="str">
        <f>IF(ISNUMBER($A74),Standings!$E73,"")</f>
        <v/>
      </c>
      <c r="F74" s="273" t="str">
        <f>IF(ISNUMBER($A74),Standings!$F73+Standings!$G73,"")</f>
        <v/>
      </c>
      <c r="G74" s="423" t="str">
        <f>IF(Standings!$A73&gt;5,"",Standings!$A73)</f>
        <v/>
      </c>
    </row>
    <row r="75" spans="1:7" x14ac:dyDescent="0.2">
      <c r="A75" s="272" t="str">
        <f>IF(ISNUMBER(Standings!$A74),Standings!$C74,"")</f>
        <v/>
      </c>
      <c r="B75" s="117" t="str">
        <f>IF(ISNUMBER($A75),VLOOKUP($A75,Methuselahs!$A$7:$E$206,5,0),"")</f>
        <v/>
      </c>
      <c r="C75" s="232" t="str">
        <f>Standings!$D74</f>
        <v/>
      </c>
      <c r="D75" s="117" t="str">
        <f>IF(ISNUMBER($A75),VLOOKUP($A75,Methuselahs!$A$7:$F$206,COLUMN(Methuselahs!$F$7),0),"")</f>
        <v/>
      </c>
      <c r="E75" s="116" t="str">
        <f>IF(ISNUMBER($A75),Standings!$E74,"")</f>
        <v/>
      </c>
      <c r="F75" s="273" t="str">
        <f>IF(ISNUMBER($A75),Standings!$F74+Standings!$G74,"")</f>
        <v/>
      </c>
      <c r="G75" s="423" t="str">
        <f>IF(Standings!$A74&gt;5,"",Standings!$A74)</f>
        <v/>
      </c>
    </row>
    <row r="76" spans="1:7" x14ac:dyDescent="0.2">
      <c r="A76" s="272" t="str">
        <f>IF(ISNUMBER(Standings!$A75),Standings!$C75,"")</f>
        <v/>
      </c>
      <c r="B76" s="117" t="str">
        <f>IF(ISNUMBER($A76),VLOOKUP($A76,Methuselahs!$A$7:$E$206,5,0),"")</f>
        <v/>
      </c>
      <c r="C76" s="232" t="str">
        <f>Standings!$D75</f>
        <v/>
      </c>
      <c r="D76" s="117" t="str">
        <f>IF(ISNUMBER($A76),VLOOKUP($A76,Methuselahs!$A$7:$F$206,COLUMN(Methuselahs!$F$7),0),"")</f>
        <v/>
      </c>
      <c r="E76" s="116" t="str">
        <f>IF(ISNUMBER($A76),Standings!$E75,"")</f>
        <v/>
      </c>
      <c r="F76" s="273" t="str">
        <f>IF(ISNUMBER($A76),Standings!$F75+Standings!$G75,"")</f>
        <v/>
      </c>
      <c r="G76" s="423" t="str">
        <f>IF(Standings!$A75&gt;5,"",Standings!$A75)</f>
        <v/>
      </c>
    </row>
    <row r="77" spans="1:7" x14ac:dyDescent="0.2">
      <c r="A77" s="272" t="str">
        <f>IF(ISNUMBER(Standings!$A76),Standings!$C76,"")</f>
        <v/>
      </c>
      <c r="B77" s="117" t="str">
        <f>IF(ISNUMBER($A77),VLOOKUP($A77,Methuselahs!$A$7:$E$206,5,0),"")</f>
        <v/>
      </c>
      <c r="C77" s="232" t="str">
        <f>Standings!$D76</f>
        <v/>
      </c>
      <c r="D77" s="117" t="str">
        <f>IF(ISNUMBER($A77),VLOOKUP($A77,Methuselahs!$A$7:$F$206,COLUMN(Methuselahs!$F$7),0),"")</f>
        <v/>
      </c>
      <c r="E77" s="116" t="str">
        <f>IF(ISNUMBER($A77),Standings!$E76,"")</f>
        <v/>
      </c>
      <c r="F77" s="273" t="str">
        <f>IF(ISNUMBER($A77),Standings!$F76+Standings!$G76,"")</f>
        <v/>
      </c>
      <c r="G77" s="423" t="str">
        <f>IF(Standings!$A76&gt;5,"",Standings!$A76)</f>
        <v/>
      </c>
    </row>
    <row r="78" spans="1:7" x14ac:dyDescent="0.2">
      <c r="A78" s="272" t="str">
        <f>IF(ISNUMBER(Standings!$A77),Standings!$C77,"")</f>
        <v/>
      </c>
      <c r="B78" s="117" t="str">
        <f>IF(ISNUMBER($A78),VLOOKUP($A78,Methuselahs!$A$7:$E$206,5,0),"")</f>
        <v/>
      </c>
      <c r="C78" s="232" t="str">
        <f>Standings!$D77</f>
        <v/>
      </c>
      <c r="D78" s="117" t="str">
        <f>IF(ISNUMBER($A78),VLOOKUP($A78,Methuselahs!$A$7:$F$206,COLUMN(Methuselahs!$F$7),0),"")</f>
        <v/>
      </c>
      <c r="E78" s="116" t="str">
        <f>IF(ISNUMBER($A78),Standings!$E77,"")</f>
        <v/>
      </c>
      <c r="F78" s="273" t="str">
        <f>IF(ISNUMBER($A78),Standings!$F77+Standings!$G77,"")</f>
        <v/>
      </c>
      <c r="G78" s="423" t="str">
        <f>IF(Standings!$A77&gt;5,"",Standings!$A77)</f>
        <v/>
      </c>
    </row>
    <row r="79" spans="1:7" x14ac:dyDescent="0.2">
      <c r="A79" s="272" t="str">
        <f>IF(ISNUMBER(Standings!$A78),Standings!$C78,"")</f>
        <v/>
      </c>
      <c r="B79" s="117" t="str">
        <f>IF(ISNUMBER($A79),VLOOKUP($A79,Methuselahs!$A$7:$E$206,5,0),"")</f>
        <v/>
      </c>
      <c r="C79" s="232" t="str">
        <f>Standings!$D78</f>
        <v/>
      </c>
      <c r="D79" s="117" t="str">
        <f>IF(ISNUMBER($A79),VLOOKUP($A79,Methuselahs!$A$7:$F$206,COLUMN(Methuselahs!$F$7),0),"")</f>
        <v/>
      </c>
      <c r="E79" s="116" t="str">
        <f>IF(ISNUMBER($A79),Standings!$E78,"")</f>
        <v/>
      </c>
      <c r="F79" s="273" t="str">
        <f>IF(ISNUMBER($A79),Standings!$F78+Standings!$G78,"")</f>
        <v/>
      </c>
      <c r="G79" s="423" t="str">
        <f>IF(Standings!$A78&gt;5,"",Standings!$A78)</f>
        <v/>
      </c>
    </row>
    <row r="80" spans="1:7" x14ac:dyDescent="0.2">
      <c r="A80" s="272" t="str">
        <f>IF(ISNUMBER(Standings!$A79),Standings!$C79,"")</f>
        <v/>
      </c>
      <c r="B80" s="117" t="str">
        <f>IF(ISNUMBER($A80),VLOOKUP($A80,Methuselahs!$A$7:$E$206,5,0),"")</f>
        <v/>
      </c>
      <c r="C80" s="232" t="str">
        <f>Standings!$D79</f>
        <v/>
      </c>
      <c r="D80" s="117" t="str">
        <f>IF(ISNUMBER($A80),VLOOKUP($A80,Methuselahs!$A$7:$F$206,COLUMN(Methuselahs!$F$7),0),"")</f>
        <v/>
      </c>
      <c r="E80" s="116" t="str">
        <f>IF(ISNUMBER($A80),Standings!$E79,"")</f>
        <v/>
      </c>
      <c r="F80" s="273" t="str">
        <f>IF(ISNUMBER($A80),Standings!$F79+Standings!$G79,"")</f>
        <v/>
      </c>
      <c r="G80" s="423" t="str">
        <f>IF(Standings!$A79&gt;5,"",Standings!$A79)</f>
        <v/>
      </c>
    </row>
    <row r="81" spans="1:7" x14ac:dyDescent="0.2">
      <c r="A81" s="272" t="str">
        <f>IF(ISNUMBER(Standings!$A80),Standings!$C80,"")</f>
        <v/>
      </c>
      <c r="B81" s="117" t="str">
        <f>IF(ISNUMBER($A81),VLOOKUP($A81,Methuselahs!$A$7:$E$206,5,0),"")</f>
        <v/>
      </c>
      <c r="C81" s="232" t="str">
        <f>Standings!$D80</f>
        <v/>
      </c>
      <c r="D81" s="117" t="str">
        <f>IF(ISNUMBER($A81),VLOOKUP($A81,Methuselahs!$A$7:$F$206,COLUMN(Methuselahs!$F$7),0),"")</f>
        <v/>
      </c>
      <c r="E81" s="116" t="str">
        <f>IF(ISNUMBER($A81),Standings!$E80,"")</f>
        <v/>
      </c>
      <c r="F81" s="273" t="str">
        <f>IF(ISNUMBER($A81),Standings!$F80+Standings!$G80,"")</f>
        <v/>
      </c>
      <c r="G81" s="423" t="str">
        <f>IF(Standings!$A80&gt;5,"",Standings!$A80)</f>
        <v/>
      </c>
    </row>
    <row r="82" spans="1:7" x14ac:dyDescent="0.2">
      <c r="A82" s="272" t="str">
        <f>IF(ISNUMBER(Standings!$A81),Standings!$C81,"")</f>
        <v/>
      </c>
      <c r="B82" s="117" t="str">
        <f>IF(ISNUMBER($A82),VLOOKUP($A82,Methuselahs!$A$7:$E$206,5,0),"")</f>
        <v/>
      </c>
      <c r="C82" s="232" t="str">
        <f>Standings!$D81</f>
        <v/>
      </c>
      <c r="D82" s="117" t="str">
        <f>IF(ISNUMBER($A82),VLOOKUP($A82,Methuselahs!$A$7:$F$206,COLUMN(Methuselahs!$F$7),0),"")</f>
        <v/>
      </c>
      <c r="E82" s="116" t="str">
        <f>IF(ISNUMBER($A82),Standings!$E81,"")</f>
        <v/>
      </c>
      <c r="F82" s="273" t="str">
        <f>IF(ISNUMBER($A82),Standings!$F81+Standings!$G81,"")</f>
        <v/>
      </c>
      <c r="G82" s="423" t="str">
        <f>IF(Standings!$A81&gt;5,"",Standings!$A81)</f>
        <v/>
      </c>
    </row>
    <row r="83" spans="1:7" x14ac:dyDescent="0.2">
      <c r="A83" s="272" t="str">
        <f>IF(ISNUMBER(Standings!$A82),Standings!$C82,"")</f>
        <v/>
      </c>
      <c r="B83" s="117" t="str">
        <f>IF(ISNUMBER($A83),VLOOKUP($A83,Methuselahs!$A$7:$E$206,5,0),"")</f>
        <v/>
      </c>
      <c r="C83" s="232" t="str">
        <f>Standings!$D82</f>
        <v/>
      </c>
      <c r="D83" s="117" t="str">
        <f>IF(ISNUMBER($A83),VLOOKUP($A83,Methuselahs!$A$7:$F$206,COLUMN(Methuselahs!$F$7),0),"")</f>
        <v/>
      </c>
      <c r="E83" s="116" t="str">
        <f>IF(ISNUMBER($A83),Standings!$E82,"")</f>
        <v/>
      </c>
      <c r="F83" s="273" t="str">
        <f>IF(ISNUMBER($A83),Standings!$F82+Standings!$G82,"")</f>
        <v/>
      </c>
      <c r="G83" s="423" t="str">
        <f>IF(Standings!$A82&gt;5,"",Standings!$A82)</f>
        <v/>
      </c>
    </row>
    <row r="84" spans="1:7" x14ac:dyDescent="0.2">
      <c r="A84" s="272" t="str">
        <f>IF(ISNUMBER(Standings!$A83),Standings!$C83,"")</f>
        <v/>
      </c>
      <c r="B84" s="117" t="str">
        <f>IF(ISNUMBER($A84),VLOOKUP($A84,Methuselahs!$A$7:$E$206,5,0),"")</f>
        <v/>
      </c>
      <c r="C84" s="232" t="str">
        <f>Standings!$D83</f>
        <v/>
      </c>
      <c r="D84" s="117" t="str">
        <f>IF(ISNUMBER($A84),VLOOKUP($A84,Methuselahs!$A$7:$F$206,COLUMN(Methuselahs!$F$7),0),"")</f>
        <v/>
      </c>
      <c r="E84" s="116" t="str">
        <f>IF(ISNUMBER($A84),Standings!$E83,"")</f>
        <v/>
      </c>
      <c r="F84" s="273" t="str">
        <f>IF(ISNUMBER($A84),Standings!$F83+Standings!$G83,"")</f>
        <v/>
      </c>
      <c r="G84" s="423" t="str">
        <f>IF(Standings!$A83&gt;5,"",Standings!$A83)</f>
        <v/>
      </c>
    </row>
    <row r="85" spans="1:7" x14ac:dyDescent="0.2">
      <c r="A85" s="272" t="str">
        <f>IF(ISNUMBER(Standings!$A84),Standings!$C84,"")</f>
        <v/>
      </c>
      <c r="B85" s="117" t="str">
        <f>IF(ISNUMBER($A85),VLOOKUP($A85,Methuselahs!$A$7:$E$206,5,0),"")</f>
        <v/>
      </c>
      <c r="C85" s="232" t="str">
        <f>Standings!$D84</f>
        <v/>
      </c>
      <c r="D85" s="117" t="str">
        <f>IF(ISNUMBER($A85),VLOOKUP($A85,Methuselahs!$A$7:$F$206,COLUMN(Methuselahs!$F$7),0),"")</f>
        <v/>
      </c>
      <c r="E85" s="116" t="str">
        <f>IF(ISNUMBER($A85),Standings!$E84,"")</f>
        <v/>
      </c>
      <c r="F85" s="273" t="str">
        <f>IF(ISNUMBER($A85),Standings!$F84+Standings!$G84,"")</f>
        <v/>
      </c>
      <c r="G85" s="423" t="str">
        <f>IF(Standings!$A84&gt;5,"",Standings!$A84)</f>
        <v/>
      </c>
    </row>
    <row r="86" spans="1:7" x14ac:dyDescent="0.2">
      <c r="A86" s="272" t="str">
        <f>IF(ISNUMBER(Standings!$A85),Standings!$C85,"")</f>
        <v/>
      </c>
      <c r="B86" s="117" t="str">
        <f>IF(ISNUMBER($A86),VLOOKUP($A86,Methuselahs!$A$7:$E$206,5,0),"")</f>
        <v/>
      </c>
      <c r="C86" s="232" t="str">
        <f>Standings!$D85</f>
        <v/>
      </c>
      <c r="D86" s="117" t="str">
        <f>IF(ISNUMBER($A86),VLOOKUP($A86,Methuselahs!$A$7:$F$206,COLUMN(Methuselahs!$F$7),0),"")</f>
        <v/>
      </c>
      <c r="E86" s="116" t="str">
        <f>IF(ISNUMBER($A86),Standings!$E85,"")</f>
        <v/>
      </c>
      <c r="F86" s="273" t="str">
        <f>IF(ISNUMBER($A86),Standings!$F85+Standings!$G85,"")</f>
        <v/>
      </c>
      <c r="G86" s="423" t="str">
        <f>IF(Standings!$A85&gt;5,"",Standings!$A85)</f>
        <v/>
      </c>
    </row>
    <row r="87" spans="1:7" x14ac:dyDescent="0.2">
      <c r="A87" s="272" t="str">
        <f>IF(ISNUMBER(Standings!$A86),Standings!$C86,"")</f>
        <v/>
      </c>
      <c r="B87" s="117" t="str">
        <f>IF(ISNUMBER($A87),VLOOKUP($A87,Methuselahs!$A$7:$E$206,5,0),"")</f>
        <v/>
      </c>
      <c r="C87" s="232" t="str">
        <f>Standings!$D86</f>
        <v/>
      </c>
      <c r="D87" s="117" t="str">
        <f>IF(ISNUMBER($A87),VLOOKUP($A87,Methuselahs!$A$7:$F$206,COLUMN(Methuselahs!$F$7),0),"")</f>
        <v/>
      </c>
      <c r="E87" s="116" t="str">
        <f>IF(ISNUMBER($A87),Standings!$E86,"")</f>
        <v/>
      </c>
      <c r="F87" s="273" t="str">
        <f>IF(ISNUMBER($A87),Standings!$F86+Standings!$G86,"")</f>
        <v/>
      </c>
      <c r="G87" s="423" t="str">
        <f>IF(Standings!$A86&gt;5,"",Standings!$A86)</f>
        <v/>
      </c>
    </row>
    <row r="88" spans="1:7" x14ac:dyDescent="0.2">
      <c r="A88" s="272" t="str">
        <f>IF(ISNUMBER(Standings!$A87),Standings!$C87,"")</f>
        <v/>
      </c>
      <c r="B88" s="117" t="str">
        <f>IF(ISNUMBER($A88),VLOOKUP($A88,Methuselahs!$A$7:$E$206,5,0),"")</f>
        <v/>
      </c>
      <c r="C88" s="232" t="str">
        <f>Standings!$D87</f>
        <v/>
      </c>
      <c r="D88" s="117" t="str">
        <f>IF(ISNUMBER($A88),VLOOKUP($A88,Methuselahs!$A$7:$F$206,COLUMN(Methuselahs!$F$7),0),"")</f>
        <v/>
      </c>
      <c r="E88" s="116" t="str">
        <f>IF(ISNUMBER($A88),Standings!$E87,"")</f>
        <v/>
      </c>
      <c r="F88" s="273" t="str">
        <f>IF(ISNUMBER($A88),Standings!$F87+Standings!$G87,"")</f>
        <v/>
      </c>
      <c r="G88" s="423" t="str">
        <f>IF(Standings!$A87&gt;5,"",Standings!$A87)</f>
        <v/>
      </c>
    </row>
    <row r="89" spans="1:7" x14ac:dyDescent="0.2">
      <c r="A89" s="272" t="str">
        <f>IF(ISNUMBER(Standings!$A88),Standings!$C88,"")</f>
        <v/>
      </c>
      <c r="B89" s="117" t="str">
        <f>IF(ISNUMBER($A89),VLOOKUP($A89,Methuselahs!$A$7:$E$206,5,0),"")</f>
        <v/>
      </c>
      <c r="C89" s="232" t="str">
        <f>Standings!$D88</f>
        <v/>
      </c>
      <c r="D89" s="117" t="str">
        <f>IF(ISNUMBER($A89),VLOOKUP($A89,Methuselahs!$A$7:$F$206,COLUMN(Methuselahs!$F$7),0),"")</f>
        <v/>
      </c>
      <c r="E89" s="116" t="str">
        <f>IF(ISNUMBER($A89),Standings!$E88,"")</f>
        <v/>
      </c>
      <c r="F89" s="273" t="str">
        <f>IF(ISNUMBER($A89),Standings!$F88+Standings!$G88,"")</f>
        <v/>
      </c>
      <c r="G89" s="423" t="str">
        <f>IF(Standings!$A88&gt;5,"",Standings!$A88)</f>
        <v/>
      </c>
    </row>
    <row r="90" spans="1:7" x14ac:dyDescent="0.2">
      <c r="A90" s="272" t="str">
        <f>IF(ISNUMBER(Standings!$A89),Standings!$C89,"")</f>
        <v/>
      </c>
      <c r="B90" s="117" t="str">
        <f>IF(ISNUMBER($A90),VLOOKUP($A90,Methuselahs!$A$7:$E$206,5,0),"")</f>
        <v/>
      </c>
      <c r="C90" s="232" t="str">
        <f>Standings!$D89</f>
        <v/>
      </c>
      <c r="D90" s="117" t="str">
        <f>IF(ISNUMBER($A90),VLOOKUP($A90,Methuselahs!$A$7:$F$206,COLUMN(Methuselahs!$F$7),0),"")</f>
        <v/>
      </c>
      <c r="E90" s="116" t="str">
        <f>IF(ISNUMBER($A90),Standings!$E89,"")</f>
        <v/>
      </c>
      <c r="F90" s="273" t="str">
        <f>IF(ISNUMBER($A90),Standings!$F89+Standings!$G89,"")</f>
        <v/>
      </c>
      <c r="G90" s="423" t="str">
        <f>IF(Standings!$A89&gt;5,"",Standings!$A89)</f>
        <v/>
      </c>
    </row>
    <row r="91" spans="1:7" x14ac:dyDescent="0.2">
      <c r="A91" s="272" t="str">
        <f>IF(ISNUMBER(Standings!$A90),Standings!$C90,"")</f>
        <v/>
      </c>
      <c r="B91" s="117" t="str">
        <f>IF(ISNUMBER($A91),VLOOKUP($A91,Methuselahs!$A$7:$E$206,5,0),"")</f>
        <v/>
      </c>
      <c r="C91" s="232" t="str">
        <f>Standings!$D90</f>
        <v/>
      </c>
      <c r="D91" s="117" t="str">
        <f>IF(ISNUMBER($A91),VLOOKUP($A91,Methuselahs!$A$7:$F$206,COLUMN(Methuselahs!$F$7),0),"")</f>
        <v/>
      </c>
      <c r="E91" s="116" t="str">
        <f>IF(ISNUMBER($A91),Standings!$E90,"")</f>
        <v/>
      </c>
      <c r="F91" s="273" t="str">
        <f>IF(ISNUMBER($A91),Standings!$F90+Standings!$G90,"")</f>
        <v/>
      </c>
      <c r="G91" s="423" t="str">
        <f>IF(Standings!$A90&gt;5,"",Standings!$A90)</f>
        <v/>
      </c>
    </row>
    <row r="92" spans="1:7" x14ac:dyDescent="0.2">
      <c r="A92" s="272" t="str">
        <f>IF(ISNUMBER(Standings!$A91),Standings!$C91,"")</f>
        <v/>
      </c>
      <c r="B92" s="117" t="str">
        <f>IF(ISNUMBER($A92),VLOOKUP($A92,Methuselahs!$A$7:$E$206,5,0),"")</f>
        <v/>
      </c>
      <c r="C92" s="232" t="str">
        <f>Standings!$D91</f>
        <v/>
      </c>
      <c r="D92" s="117" t="str">
        <f>IF(ISNUMBER($A92),VLOOKUP($A92,Methuselahs!$A$7:$F$206,COLUMN(Methuselahs!$F$7),0),"")</f>
        <v/>
      </c>
      <c r="E92" s="116" t="str">
        <f>IF(ISNUMBER($A92),Standings!$E91,"")</f>
        <v/>
      </c>
      <c r="F92" s="273" t="str">
        <f>IF(ISNUMBER($A92),Standings!$F91+Standings!$G91,"")</f>
        <v/>
      </c>
      <c r="G92" s="423" t="str">
        <f>IF(Standings!$A91&gt;5,"",Standings!$A91)</f>
        <v/>
      </c>
    </row>
    <row r="93" spans="1:7" x14ac:dyDescent="0.2">
      <c r="A93" s="272" t="str">
        <f>IF(ISNUMBER(Standings!$A92),Standings!$C92,"")</f>
        <v/>
      </c>
      <c r="B93" s="117" t="str">
        <f>IF(ISNUMBER($A93),VLOOKUP($A93,Methuselahs!$A$7:$E$206,5,0),"")</f>
        <v/>
      </c>
      <c r="C93" s="232" t="str">
        <f>Standings!$D92</f>
        <v/>
      </c>
      <c r="D93" s="117" t="str">
        <f>IF(ISNUMBER($A93),VLOOKUP($A93,Methuselahs!$A$7:$F$206,COLUMN(Methuselahs!$F$7),0),"")</f>
        <v/>
      </c>
      <c r="E93" s="116" t="str">
        <f>IF(ISNUMBER($A93),Standings!$E92,"")</f>
        <v/>
      </c>
      <c r="F93" s="273" t="str">
        <f>IF(ISNUMBER($A93),Standings!$F92+Standings!$G92,"")</f>
        <v/>
      </c>
      <c r="G93" s="423" t="str">
        <f>IF(Standings!$A92&gt;5,"",Standings!$A92)</f>
        <v/>
      </c>
    </row>
    <row r="94" spans="1:7" x14ac:dyDescent="0.2">
      <c r="A94" s="272" t="str">
        <f>IF(ISNUMBER(Standings!$A93),Standings!$C93,"")</f>
        <v/>
      </c>
      <c r="B94" s="117" t="str">
        <f>IF(ISNUMBER($A94),VLOOKUP($A94,Methuselahs!$A$7:$E$206,5,0),"")</f>
        <v/>
      </c>
      <c r="C94" s="232" t="str">
        <f>Standings!$D93</f>
        <v/>
      </c>
      <c r="D94" s="117" t="str">
        <f>IF(ISNUMBER($A94),VLOOKUP($A94,Methuselahs!$A$7:$F$206,COLUMN(Methuselahs!$F$7),0),"")</f>
        <v/>
      </c>
      <c r="E94" s="116" t="str">
        <f>IF(ISNUMBER($A94),Standings!$E93,"")</f>
        <v/>
      </c>
      <c r="F94" s="273" t="str">
        <f>IF(ISNUMBER($A94),Standings!$F93+Standings!$G93,"")</f>
        <v/>
      </c>
      <c r="G94" s="423" t="str">
        <f>IF(Standings!$A93&gt;5,"",Standings!$A93)</f>
        <v/>
      </c>
    </row>
    <row r="95" spans="1:7" x14ac:dyDescent="0.2">
      <c r="A95" s="272" t="str">
        <f>IF(ISNUMBER(Standings!$A94),Standings!$C94,"")</f>
        <v/>
      </c>
      <c r="B95" s="117" t="str">
        <f>IF(ISNUMBER($A95),VLOOKUP($A95,Methuselahs!$A$7:$E$206,5,0),"")</f>
        <v/>
      </c>
      <c r="C95" s="232" t="str">
        <f>Standings!$D94</f>
        <v/>
      </c>
      <c r="D95" s="117" t="str">
        <f>IF(ISNUMBER($A95),VLOOKUP($A95,Methuselahs!$A$7:$F$206,COLUMN(Methuselahs!$F$7),0),"")</f>
        <v/>
      </c>
      <c r="E95" s="116" t="str">
        <f>IF(ISNUMBER($A95),Standings!$E94,"")</f>
        <v/>
      </c>
      <c r="F95" s="273" t="str">
        <f>IF(ISNUMBER($A95),Standings!$F94+Standings!$G94,"")</f>
        <v/>
      </c>
      <c r="G95" s="423" t="str">
        <f>IF(Standings!$A94&gt;5,"",Standings!$A94)</f>
        <v/>
      </c>
    </row>
    <row r="96" spans="1:7" x14ac:dyDescent="0.2">
      <c r="A96" s="272" t="str">
        <f>IF(ISNUMBER(Standings!$A95),Standings!$C95,"")</f>
        <v/>
      </c>
      <c r="B96" s="117" t="str">
        <f>IF(ISNUMBER($A96),VLOOKUP($A96,Methuselahs!$A$7:$E$206,5,0),"")</f>
        <v/>
      </c>
      <c r="C96" s="232" t="str">
        <f>Standings!$D95</f>
        <v/>
      </c>
      <c r="D96" s="117" t="str">
        <f>IF(ISNUMBER($A96),VLOOKUP($A96,Methuselahs!$A$7:$F$206,COLUMN(Methuselahs!$F$7),0),"")</f>
        <v/>
      </c>
      <c r="E96" s="116" t="str">
        <f>IF(ISNUMBER($A96),Standings!$E95,"")</f>
        <v/>
      </c>
      <c r="F96" s="273" t="str">
        <f>IF(ISNUMBER($A96),Standings!$F95+Standings!$G95,"")</f>
        <v/>
      </c>
      <c r="G96" s="423" t="str">
        <f>IF(Standings!$A95&gt;5,"",Standings!$A95)</f>
        <v/>
      </c>
    </row>
    <row r="97" spans="1:7" x14ac:dyDescent="0.2">
      <c r="A97" s="272" t="str">
        <f>IF(ISNUMBER(Standings!$A96),Standings!$C96,"")</f>
        <v/>
      </c>
      <c r="B97" s="117" t="str">
        <f>IF(ISNUMBER($A97),VLOOKUP($A97,Methuselahs!$A$7:$E$206,5,0),"")</f>
        <v/>
      </c>
      <c r="C97" s="232" t="str">
        <f>Standings!$D96</f>
        <v/>
      </c>
      <c r="D97" s="117" t="str">
        <f>IF(ISNUMBER($A97),VLOOKUP($A97,Methuselahs!$A$7:$F$206,COLUMN(Methuselahs!$F$7),0),"")</f>
        <v/>
      </c>
      <c r="E97" s="116" t="str">
        <f>IF(ISNUMBER($A97),Standings!$E96,"")</f>
        <v/>
      </c>
      <c r="F97" s="273" t="str">
        <f>IF(ISNUMBER($A97),Standings!$F96+Standings!$G96,"")</f>
        <v/>
      </c>
      <c r="G97" s="423" t="str">
        <f>IF(Standings!$A96&gt;5,"",Standings!$A96)</f>
        <v/>
      </c>
    </row>
    <row r="98" spans="1:7" x14ac:dyDescent="0.2">
      <c r="A98" s="272" t="str">
        <f>IF(ISNUMBER(Standings!$A97),Standings!$C97,"")</f>
        <v/>
      </c>
      <c r="B98" s="117" t="str">
        <f>IF(ISNUMBER($A98),VLOOKUP($A98,Methuselahs!$A$7:$E$206,5,0),"")</f>
        <v/>
      </c>
      <c r="C98" s="232" t="str">
        <f>Standings!$D97</f>
        <v/>
      </c>
      <c r="D98" s="117" t="str">
        <f>IF(ISNUMBER($A98),VLOOKUP($A98,Methuselahs!$A$7:$F$206,COLUMN(Methuselahs!$F$7),0),"")</f>
        <v/>
      </c>
      <c r="E98" s="116" t="str">
        <f>IF(ISNUMBER($A98),Standings!$E97,"")</f>
        <v/>
      </c>
      <c r="F98" s="273" t="str">
        <f>IF(ISNUMBER($A98),Standings!$F97+Standings!$G97,"")</f>
        <v/>
      </c>
      <c r="G98" s="423" t="str">
        <f>IF(Standings!$A97&gt;5,"",Standings!$A97)</f>
        <v/>
      </c>
    </row>
    <row r="99" spans="1:7" x14ac:dyDescent="0.2">
      <c r="A99" s="272" t="str">
        <f>IF(ISNUMBER(Standings!$A98),Standings!$C98,"")</f>
        <v/>
      </c>
      <c r="B99" s="117" t="str">
        <f>IF(ISNUMBER($A99),VLOOKUP($A99,Methuselahs!$A$7:$E$206,5,0),"")</f>
        <v/>
      </c>
      <c r="C99" s="232" t="str">
        <f>Standings!$D98</f>
        <v/>
      </c>
      <c r="D99" s="117" t="str">
        <f>IF(ISNUMBER($A99),VLOOKUP($A99,Methuselahs!$A$7:$F$206,COLUMN(Methuselahs!$F$7),0),"")</f>
        <v/>
      </c>
      <c r="E99" s="116" t="str">
        <f>IF(ISNUMBER($A99),Standings!$E98,"")</f>
        <v/>
      </c>
      <c r="F99" s="273" t="str">
        <f>IF(ISNUMBER($A99),Standings!$F98+Standings!$G98,"")</f>
        <v/>
      </c>
      <c r="G99" s="423" t="str">
        <f>IF(Standings!$A98&gt;5,"",Standings!$A98)</f>
        <v/>
      </c>
    </row>
    <row r="100" spans="1:7" x14ac:dyDescent="0.2">
      <c r="A100" s="272" t="str">
        <f>IF(ISNUMBER(Standings!$A99),Standings!$C99,"")</f>
        <v/>
      </c>
      <c r="B100" s="117" t="str">
        <f>IF(ISNUMBER($A100),VLOOKUP($A100,Methuselahs!$A$7:$E$206,5,0),"")</f>
        <v/>
      </c>
      <c r="C100" s="232" t="str">
        <f>Standings!$D99</f>
        <v/>
      </c>
      <c r="D100" s="117" t="str">
        <f>IF(ISNUMBER($A100),VLOOKUP($A100,Methuselahs!$A$7:$F$206,COLUMN(Methuselahs!$F$7),0),"")</f>
        <v/>
      </c>
      <c r="E100" s="116" t="str">
        <f>IF(ISNUMBER($A100),Standings!$E99,"")</f>
        <v/>
      </c>
      <c r="F100" s="273" t="str">
        <f>IF(ISNUMBER($A100),Standings!$F99+Standings!$G99,"")</f>
        <v/>
      </c>
      <c r="G100" s="423" t="str">
        <f>IF(Standings!$A99&gt;5,"",Standings!$A99)</f>
        <v/>
      </c>
    </row>
    <row r="101" spans="1:7" x14ac:dyDescent="0.2">
      <c r="A101" s="272" t="str">
        <f>IF(ISNUMBER(Standings!$A100),Standings!$C100,"")</f>
        <v/>
      </c>
      <c r="B101" s="117" t="str">
        <f>IF(ISNUMBER($A101),VLOOKUP($A101,Methuselahs!$A$7:$E$206,5,0),"")</f>
        <v/>
      </c>
      <c r="C101" s="232" t="str">
        <f>Standings!$D100</f>
        <v/>
      </c>
      <c r="D101" s="117" t="str">
        <f>IF(ISNUMBER($A101),VLOOKUP($A101,Methuselahs!$A$7:$F$206,COLUMN(Methuselahs!$F$7),0),"")</f>
        <v/>
      </c>
      <c r="E101" s="116" t="str">
        <f>IF(ISNUMBER($A101),Standings!$E100,"")</f>
        <v/>
      </c>
      <c r="F101" s="273" t="str">
        <f>IF(ISNUMBER($A101),Standings!$F100+Standings!$G100,"")</f>
        <v/>
      </c>
      <c r="G101" s="423" t="str">
        <f>IF(Standings!$A100&gt;5,"",Standings!$A100)</f>
        <v/>
      </c>
    </row>
    <row r="102" spans="1:7" x14ac:dyDescent="0.2">
      <c r="A102" s="272" t="str">
        <f>IF(ISNUMBER(Standings!$A101),Standings!$C101,"")</f>
        <v/>
      </c>
      <c r="B102" s="117" t="str">
        <f>IF(ISNUMBER($A102),VLOOKUP($A102,Methuselahs!$A$7:$E$206,5,0),"")</f>
        <v/>
      </c>
      <c r="C102" s="232" t="str">
        <f>Standings!$D101</f>
        <v/>
      </c>
      <c r="D102" s="117" t="str">
        <f>IF(ISNUMBER($A102),VLOOKUP($A102,Methuselahs!$A$7:$F$206,COLUMN(Methuselahs!$F$7),0),"")</f>
        <v/>
      </c>
      <c r="E102" s="116" t="str">
        <f>IF(ISNUMBER($A102),Standings!$E101,"")</f>
        <v/>
      </c>
      <c r="F102" s="273" t="str">
        <f>IF(ISNUMBER($A102),Standings!$F101+Standings!$G101,"")</f>
        <v/>
      </c>
      <c r="G102" s="423" t="str">
        <f>IF(Standings!$A101&gt;5,"",Standings!$A101)</f>
        <v/>
      </c>
    </row>
    <row r="103" spans="1:7" x14ac:dyDescent="0.2">
      <c r="A103" s="272" t="str">
        <f>IF(ISNUMBER(Standings!$A102),Standings!$C102,"")</f>
        <v/>
      </c>
      <c r="B103" s="117" t="str">
        <f>IF(ISNUMBER($A103),VLOOKUP($A103,Methuselahs!$A$7:$E$206,5,0),"")</f>
        <v/>
      </c>
      <c r="C103" s="232" t="str">
        <f>Standings!$D102</f>
        <v/>
      </c>
      <c r="D103" s="117" t="str">
        <f>IF(ISNUMBER($A103),VLOOKUP($A103,Methuselahs!$A$7:$F$206,COLUMN(Methuselahs!$F$7),0),"")</f>
        <v/>
      </c>
      <c r="E103" s="116" t="str">
        <f>IF(ISNUMBER($A103),Standings!$E102,"")</f>
        <v/>
      </c>
      <c r="F103" s="273" t="str">
        <f>IF(ISNUMBER($A103),Standings!$F102+Standings!$G102,"")</f>
        <v/>
      </c>
      <c r="G103" s="423" t="str">
        <f>IF(Standings!$A102&gt;5,"",Standings!$A102)</f>
        <v/>
      </c>
    </row>
    <row r="104" spans="1:7" x14ac:dyDescent="0.2">
      <c r="A104" s="272" t="str">
        <f>IF(ISNUMBER(Standings!$A103),Standings!$C103,"")</f>
        <v/>
      </c>
      <c r="B104" s="117" t="str">
        <f>IF(ISNUMBER($A104),VLOOKUP($A104,Methuselahs!$A$7:$E$206,5,0),"")</f>
        <v/>
      </c>
      <c r="C104" s="232" t="str">
        <f>Standings!$D103</f>
        <v/>
      </c>
      <c r="D104" s="117" t="str">
        <f>IF(ISNUMBER($A104),VLOOKUP($A104,Methuselahs!$A$7:$F$206,COLUMN(Methuselahs!$F$7),0),"")</f>
        <v/>
      </c>
      <c r="E104" s="116" t="str">
        <f>IF(ISNUMBER($A104),Standings!$E103,"")</f>
        <v/>
      </c>
      <c r="F104" s="273" t="str">
        <f>IF(ISNUMBER($A104),Standings!$F103+Standings!$G103,"")</f>
        <v/>
      </c>
      <c r="G104" s="423" t="str">
        <f>IF(Standings!$A103&gt;5,"",Standings!$A103)</f>
        <v/>
      </c>
    </row>
    <row r="105" spans="1:7" x14ac:dyDescent="0.2">
      <c r="A105" s="272" t="str">
        <f>IF(ISNUMBER(Standings!$A104),Standings!$C104,"")</f>
        <v/>
      </c>
      <c r="B105" s="117" t="str">
        <f>IF(ISNUMBER($A105),VLOOKUP($A105,Methuselahs!$A$7:$E$206,5,0),"")</f>
        <v/>
      </c>
      <c r="C105" s="232" t="str">
        <f>Standings!$D104</f>
        <v/>
      </c>
      <c r="D105" s="117" t="str">
        <f>IF(ISNUMBER($A105),VLOOKUP($A105,Methuselahs!$A$7:$F$206,COLUMN(Methuselahs!$F$7),0),"")</f>
        <v/>
      </c>
      <c r="E105" s="116" t="str">
        <f>IF(ISNUMBER($A105),Standings!$E104,"")</f>
        <v/>
      </c>
      <c r="F105" s="273" t="str">
        <f>IF(ISNUMBER($A105),Standings!$F104+Standings!$G104,"")</f>
        <v/>
      </c>
      <c r="G105" s="423" t="str">
        <f>IF(Standings!$A104&gt;5,"",Standings!$A104)</f>
        <v/>
      </c>
    </row>
    <row r="106" spans="1:7" x14ac:dyDescent="0.2">
      <c r="A106" s="272" t="str">
        <f>IF(ISNUMBER(Standings!$A105),Standings!$C105,"")</f>
        <v/>
      </c>
      <c r="B106" s="117" t="str">
        <f>IF(ISNUMBER($A106),VLOOKUP($A106,Methuselahs!$A$7:$E$206,5,0),"")</f>
        <v/>
      </c>
      <c r="C106" s="232" t="str">
        <f>Standings!$D105</f>
        <v/>
      </c>
      <c r="D106" s="117" t="str">
        <f>IF(ISNUMBER($A106),VLOOKUP($A106,Methuselahs!$A$7:$F$206,COLUMN(Methuselahs!$F$7),0),"")</f>
        <v/>
      </c>
      <c r="E106" s="116" t="str">
        <f>IF(ISNUMBER($A106),Standings!$E105,"")</f>
        <v/>
      </c>
      <c r="F106" s="273" t="str">
        <f>IF(ISNUMBER($A106),Standings!$F105+Standings!$G105,"")</f>
        <v/>
      </c>
      <c r="G106" s="423" t="str">
        <f>IF(Standings!$A105&gt;5,"",Standings!$A105)</f>
        <v/>
      </c>
    </row>
    <row r="107" spans="1:7" x14ac:dyDescent="0.2">
      <c r="A107" s="272" t="str">
        <f>IF(ISNUMBER(Standings!$A106),Standings!$C106,"")</f>
        <v/>
      </c>
      <c r="B107" s="117" t="str">
        <f>IF(ISNUMBER($A107),VLOOKUP($A107,Methuselahs!$A$7:$E$206,5,0),"")</f>
        <v/>
      </c>
      <c r="C107" s="232" t="str">
        <f>Standings!$D106</f>
        <v/>
      </c>
      <c r="D107" s="117" t="str">
        <f>IF(ISNUMBER($A107),VLOOKUP($A107,Methuselahs!$A$7:$F$206,COLUMN(Methuselahs!$F$7),0),"")</f>
        <v/>
      </c>
      <c r="E107" s="116" t="str">
        <f>IF(ISNUMBER($A107),Standings!$E106,"")</f>
        <v/>
      </c>
      <c r="F107" s="273" t="str">
        <f>IF(ISNUMBER($A107),Standings!$F106+Standings!$G106,"")</f>
        <v/>
      </c>
      <c r="G107" s="423" t="str">
        <f>IF(Standings!$A106&gt;5,"",Standings!$A106)</f>
        <v/>
      </c>
    </row>
    <row r="108" spans="1:7" x14ac:dyDescent="0.2">
      <c r="A108" s="272" t="str">
        <f>IF(ISNUMBER(Standings!$A107),Standings!$C107,"")</f>
        <v/>
      </c>
      <c r="B108" s="117" t="str">
        <f>IF(ISNUMBER($A108),VLOOKUP($A108,Methuselahs!$A$7:$E$206,5,0),"")</f>
        <v/>
      </c>
      <c r="C108" s="232" t="str">
        <f>Standings!$D107</f>
        <v/>
      </c>
      <c r="D108" s="117" t="str">
        <f>IF(ISNUMBER($A108),VLOOKUP($A108,Methuselahs!$A$7:$F$206,COLUMN(Methuselahs!$F$7),0),"")</f>
        <v/>
      </c>
      <c r="E108" s="116" t="str">
        <f>IF(ISNUMBER($A108),Standings!$E107,"")</f>
        <v/>
      </c>
      <c r="F108" s="273" t="str">
        <f>IF(ISNUMBER($A108),Standings!$F107+Standings!$G107,"")</f>
        <v/>
      </c>
      <c r="G108" s="423" t="str">
        <f>IF(Standings!$A107&gt;5,"",Standings!$A107)</f>
        <v/>
      </c>
    </row>
    <row r="109" spans="1:7" x14ac:dyDescent="0.2">
      <c r="A109" s="272" t="str">
        <f>IF(ISNUMBER(Standings!$A108),Standings!$C108,"")</f>
        <v/>
      </c>
      <c r="B109" s="117" t="str">
        <f>IF(ISNUMBER($A109),VLOOKUP($A109,Methuselahs!$A$7:$E$206,5,0),"")</f>
        <v/>
      </c>
      <c r="C109" s="232" t="str">
        <f>Standings!$D108</f>
        <v/>
      </c>
      <c r="D109" s="117" t="str">
        <f>IF(ISNUMBER($A109),VLOOKUP($A109,Methuselahs!$A$7:$F$206,COLUMN(Methuselahs!$F$7),0),"")</f>
        <v/>
      </c>
      <c r="E109" s="116" t="str">
        <f>IF(ISNUMBER($A109),Standings!$E108,"")</f>
        <v/>
      </c>
      <c r="F109" s="273" t="str">
        <f>IF(ISNUMBER($A109),Standings!$F108+Standings!$G108,"")</f>
        <v/>
      </c>
      <c r="G109" s="423" t="str">
        <f>IF(Standings!$A108&gt;5,"",Standings!$A108)</f>
        <v/>
      </c>
    </row>
    <row r="110" spans="1:7" x14ac:dyDescent="0.2">
      <c r="A110" s="272" t="str">
        <f>IF(ISNUMBER(Standings!$A109),Standings!$C109,"")</f>
        <v/>
      </c>
      <c r="B110" s="117" t="str">
        <f>IF(ISNUMBER($A110),VLOOKUP($A110,Methuselahs!$A$7:$E$206,5,0),"")</f>
        <v/>
      </c>
      <c r="C110" s="232" t="str">
        <f>Standings!$D109</f>
        <v/>
      </c>
      <c r="D110" s="117" t="str">
        <f>IF(ISNUMBER($A110),VLOOKUP($A110,Methuselahs!$A$7:$F$206,COLUMN(Methuselahs!$F$7),0),"")</f>
        <v/>
      </c>
      <c r="E110" s="116" t="str">
        <f>IF(ISNUMBER($A110),Standings!$E109,"")</f>
        <v/>
      </c>
      <c r="F110" s="273" t="str">
        <f>IF(ISNUMBER($A110),Standings!$F109+Standings!$G109,"")</f>
        <v/>
      </c>
      <c r="G110" s="423" t="str">
        <f>IF(Standings!$A109&gt;5,"",Standings!$A109)</f>
        <v/>
      </c>
    </row>
    <row r="111" spans="1:7" x14ac:dyDescent="0.2">
      <c r="A111" s="272" t="str">
        <f>IF(ISNUMBER(Standings!$A110),Standings!$C110,"")</f>
        <v/>
      </c>
      <c r="B111" s="117" t="str">
        <f>IF(ISNUMBER($A111),VLOOKUP($A111,Methuselahs!$A$7:$E$206,5,0),"")</f>
        <v/>
      </c>
      <c r="C111" s="232" t="str">
        <f>Standings!$D110</f>
        <v/>
      </c>
      <c r="D111" s="117" t="str">
        <f>IF(ISNUMBER($A111),VLOOKUP($A111,Methuselahs!$A$7:$F$206,COLUMN(Methuselahs!$F$7),0),"")</f>
        <v/>
      </c>
      <c r="E111" s="116" t="str">
        <f>IF(ISNUMBER($A111),Standings!$E110,"")</f>
        <v/>
      </c>
      <c r="F111" s="273" t="str">
        <f>IF(ISNUMBER($A111),Standings!$F110+Standings!$G110,"")</f>
        <v/>
      </c>
      <c r="G111" s="423" t="str">
        <f>IF(Standings!$A110&gt;5,"",Standings!$A110)</f>
        <v/>
      </c>
    </row>
    <row r="112" spans="1:7" x14ac:dyDescent="0.2">
      <c r="A112" s="272" t="str">
        <f>IF(ISNUMBER(Standings!$A111),Standings!$C111,"")</f>
        <v/>
      </c>
      <c r="B112" s="117" t="str">
        <f>IF(ISNUMBER($A112),VLOOKUP($A112,Methuselahs!$A$7:$E$206,5,0),"")</f>
        <v/>
      </c>
      <c r="C112" s="232" t="str">
        <f>Standings!$D111</f>
        <v/>
      </c>
      <c r="D112" s="117" t="str">
        <f>IF(ISNUMBER($A112),VLOOKUP($A112,Methuselahs!$A$7:$F$206,COLUMN(Methuselahs!$F$7),0),"")</f>
        <v/>
      </c>
      <c r="E112" s="116" t="str">
        <f>IF(ISNUMBER($A112),Standings!$E111,"")</f>
        <v/>
      </c>
      <c r="F112" s="273" t="str">
        <f>IF(ISNUMBER($A112),Standings!$F111+Standings!$G111,"")</f>
        <v/>
      </c>
      <c r="G112" s="423" t="str">
        <f>IF(Standings!$A111&gt;5,"",Standings!$A111)</f>
        <v/>
      </c>
    </row>
    <row r="113" spans="1:7" x14ac:dyDescent="0.2">
      <c r="A113" s="272" t="str">
        <f>IF(ISNUMBER(Standings!$A112),Standings!$C112,"")</f>
        <v/>
      </c>
      <c r="B113" s="117" t="str">
        <f>IF(ISNUMBER($A113),VLOOKUP($A113,Methuselahs!$A$7:$E$206,5,0),"")</f>
        <v/>
      </c>
      <c r="C113" s="232" t="str">
        <f>Standings!$D112</f>
        <v/>
      </c>
      <c r="D113" s="117" t="str">
        <f>IF(ISNUMBER($A113),VLOOKUP($A113,Methuselahs!$A$7:$F$206,COLUMN(Methuselahs!$F$7),0),"")</f>
        <v/>
      </c>
      <c r="E113" s="116" t="str">
        <f>IF(ISNUMBER($A113),Standings!$E112,"")</f>
        <v/>
      </c>
      <c r="F113" s="273" t="str">
        <f>IF(ISNUMBER($A113),Standings!$F112+Standings!$G112,"")</f>
        <v/>
      </c>
      <c r="G113" s="423" t="str">
        <f>IF(Standings!$A112&gt;5,"",Standings!$A112)</f>
        <v/>
      </c>
    </row>
    <row r="114" spans="1:7" x14ac:dyDescent="0.2">
      <c r="A114" s="272" t="str">
        <f>IF(ISNUMBER(Standings!$A113),Standings!$C113,"")</f>
        <v/>
      </c>
      <c r="B114" s="117" t="str">
        <f>IF(ISNUMBER($A114),VLOOKUP($A114,Methuselahs!$A$7:$E$206,5,0),"")</f>
        <v/>
      </c>
      <c r="C114" s="232" t="str">
        <f>Standings!$D113</f>
        <v/>
      </c>
      <c r="D114" s="117" t="str">
        <f>IF(ISNUMBER($A114),VLOOKUP($A114,Methuselahs!$A$7:$F$206,COLUMN(Methuselahs!$F$7),0),"")</f>
        <v/>
      </c>
      <c r="E114" s="116" t="str">
        <f>IF(ISNUMBER($A114),Standings!$E113,"")</f>
        <v/>
      </c>
      <c r="F114" s="273" t="str">
        <f>IF(ISNUMBER($A114),Standings!$F113+Standings!$G113,"")</f>
        <v/>
      </c>
      <c r="G114" s="423" t="str">
        <f>IF(Standings!$A113&gt;5,"",Standings!$A113)</f>
        <v/>
      </c>
    </row>
    <row r="115" spans="1:7" x14ac:dyDescent="0.2">
      <c r="A115" s="272" t="str">
        <f>IF(ISNUMBER(Standings!$A114),Standings!$C114,"")</f>
        <v/>
      </c>
      <c r="B115" s="117" t="str">
        <f>IF(ISNUMBER($A115),VLOOKUP($A115,Methuselahs!$A$7:$E$206,5,0),"")</f>
        <v/>
      </c>
      <c r="C115" s="232" t="str">
        <f>Standings!$D114</f>
        <v/>
      </c>
      <c r="D115" s="117" t="str">
        <f>IF(ISNUMBER($A115),VLOOKUP($A115,Methuselahs!$A$7:$F$206,COLUMN(Methuselahs!$F$7),0),"")</f>
        <v/>
      </c>
      <c r="E115" s="116" t="str">
        <f>IF(ISNUMBER($A115),Standings!$E114,"")</f>
        <v/>
      </c>
      <c r="F115" s="273" t="str">
        <f>IF(ISNUMBER($A115),Standings!$F114+Standings!$G114,"")</f>
        <v/>
      </c>
      <c r="G115" s="423" t="str">
        <f>IF(Standings!$A114&gt;5,"",Standings!$A114)</f>
        <v/>
      </c>
    </row>
    <row r="116" spans="1:7" x14ac:dyDescent="0.2">
      <c r="A116" s="272" t="str">
        <f>IF(ISNUMBER(Standings!$A115),Standings!$C115,"")</f>
        <v/>
      </c>
      <c r="B116" s="117" t="str">
        <f>IF(ISNUMBER($A116),VLOOKUP($A116,Methuselahs!$A$7:$E$206,5,0),"")</f>
        <v/>
      </c>
      <c r="C116" s="232" t="str">
        <f>Standings!$D115</f>
        <v/>
      </c>
      <c r="D116" s="117" t="str">
        <f>IF(ISNUMBER($A116),VLOOKUP($A116,Methuselahs!$A$7:$F$206,COLUMN(Methuselahs!$F$7),0),"")</f>
        <v/>
      </c>
      <c r="E116" s="116" t="str">
        <f>IF(ISNUMBER($A116),Standings!$E115,"")</f>
        <v/>
      </c>
      <c r="F116" s="273" t="str">
        <f>IF(ISNUMBER($A116),Standings!$F115+Standings!$G115,"")</f>
        <v/>
      </c>
      <c r="G116" s="423" t="str">
        <f>IF(Standings!$A115&gt;5,"",Standings!$A115)</f>
        <v/>
      </c>
    </row>
    <row r="117" spans="1:7" x14ac:dyDescent="0.2">
      <c r="A117" s="272" t="str">
        <f>IF(ISNUMBER(Standings!$A116),Standings!$C116,"")</f>
        <v/>
      </c>
      <c r="B117" s="117" t="str">
        <f>IF(ISNUMBER($A117),VLOOKUP($A117,Methuselahs!$A$7:$E$206,5,0),"")</f>
        <v/>
      </c>
      <c r="C117" s="232" t="str">
        <f>Standings!$D116</f>
        <v/>
      </c>
      <c r="D117" s="117" t="str">
        <f>IF(ISNUMBER($A117),VLOOKUP($A117,Methuselahs!$A$7:$F$206,COLUMN(Methuselahs!$F$7),0),"")</f>
        <v/>
      </c>
      <c r="E117" s="116" t="str">
        <f>IF(ISNUMBER($A117),Standings!$E116,"")</f>
        <v/>
      </c>
      <c r="F117" s="273" t="str">
        <f>IF(ISNUMBER($A117),Standings!$F116+Standings!$G116,"")</f>
        <v/>
      </c>
      <c r="G117" s="423" t="str">
        <f>IF(Standings!$A116&gt;5,"",Standings!$A116)</f>
        <v/>
      </c>
    </row>
    <row r="118" spans="1:7" x14ac:dyDescent="0.2">
      <c r="A118" s="272" t="str">
        <f>IF(ISNUMBER(Standings!$A117),Standings!$C117,"")</f>
        <v/>
      </c>
      <c r="B118" s="117" t="str">
        <f>IF(ISNUMBER($A118),VLOOKUP($A118,Methuselahs!$A$7:$E$206,5,0),"")</f>
        <v/>
      </c>
      <c r="C118" s="232" t="str">
        <f>Standings!$D117</f>
        <v/>
      </c>
      <c r="D118" s="117" t="str">
        <f>IF(ISNUMBER($A118),VLOOKUP($A118,Methuselahs!$A$7:$F$206,COLUMN(Methuselahs!$F$7),0),"")</f>
        <v/>
      </c>
      <c r="E118" s="116" t="str">
        <f>IF(ISNUMBER($A118),Standings!$E117,"")</f>
        <v/>
      </c>
      <c r="F118" s="273" t="str">
        <f>IF(ISNUMBER($A118),Standings!$F117+Standings!$G117,"")</f>
        <v/>
      </c>
      <c r="G118" s="423" t="str">
        <f>IF(Standings!$A117&gt;5,"",Standings!$A117)</f>
        <v/>
      </c>
    </row>
    <row r="119" spans="1:7" x14ac:dyDescent="0.2">
      <c r="A119" s="272" t="str">
        <f>IF(ISNUMBER(Standings!$A118),Standings!$C118,"")</f>
        <v/>
      </c>
      <c r="B119" s="117" t="str">
        <f>IF(ISNUMBER($A119),VLOOKUP($A119,Methuselahs!$A$7:$E$206,5,0),"")</f>
        <v/>
      </c>
      <c r="C119" s="232" t="str">
        <f>Standings!$D118</f>
        <v/>
      </c>
      <c r="D119" s="117" t="str">
        <f>IF(ISNUMBER($A119),VLOOKUP($A119,Methuselahs!$A$7:$F$206,COLUMN(Methuselahs!$F$7),0),"")</f>
        <v/>
      </c>
      <c r="E119" s="116" t="str">
        <f>IF(ISNUMBER($A119),Standings!$E118,"")</f>
        <v/>
      </c>
      <c r="F119" s="273" t="str">
        <f>IF(ISNUMBER($A119),Standings!$F118+Standings!$G118,"")</f>
        <v/>
      </c>
      <c r="G119" s="423" t="str">
        <f>IF(Standings!$A118&gt;5,"",Standings!$A118)</f>
        <v/>
      </c>
    </row>
    <row r="120" spans="1:7" x14ac:dyDescent="0.2">
      <c r="A120" s="272" t="str">
        <f>IF(ISNUMBER(Standings!$A119),Standings!$C119,"")</f>
        <v/>
      </c>
      <c r="B120" s="117" t="str">
        <f>IF(ISNUMBER($A120),VLOOKUP($A120,Methuselahs!$A$7:$E$206,5,0),"")</f>
        <v/>
      </c>
      <c r="C120" s="232" t="str">
        <f>Standings!$D119</f>
        <v/>
      </c>
      <c r="D120" s="117" t="str">
        <f>IF(ISNUMBER($A120),VLOOKUP($A120,Methuselahs!$A$7:$F$206,COLUMN(Methuselahs!$F$7),0),"")</f>
        <v/>
      </c>
      <c r="E120" s="116" t="str">
        <f>IF(ISNUMBER($A120),Standings!$E119,"")</f>
        <v/>
      </c>
      <c r="F120" s="273" t="str">
        <f>IF(ISNUMBER($A120),Standings!$F119+Standings!$G119,"")</f>
        <v/>
      </c>
      <c r="G120" s="423" t="str">
        <f>IF(Standings!$A119&gt;5,"",Standings!$A119)</f>
        <v/>
      </c>
    </row>
    <row r="121" spans="1:7" x14ac:dyDescent="0.2">
      <c r="A121" s="272" t="str">
        <f>IF(ISNUMBER(Standings!$A120),Standings!$C120,"")</f>
        <v/>
      </c>
      <c r="B121" s="117" t="str">
        <f>IF(ISNUMBER($A121),VLOOKUP($A121,Methuselahs!$A$7:$E$206,5,0),"")</f>
        <v/>
      </c>
      <c r="C121" s="232" t="str">
        <f>Standings!$D120</f>
        <v/>
      </c>
      <c r="D121" s="117" t="str">
        <f>IF(ISNUMBER($A121),VLOOKUP($A121,Methuselahs!$A$7:$F$206,COLUMN(Methuselahs!$F$7),0),"")</f>
        <v/>
      </c>
      <c r="E121" s="116" t="str">
        <f>IF(ISNUMBER($A121),Standings!$E120,"")</f>
        <v/>
      </c>
      <c r="F121" s="273" t="str">
        <f>IF(ISNUMBER($A121),Standings!$F120+Standings!$G120,"")</f>
        <v/>
      </c>
      <c r="G121" s="423" t="str">
        <f>IF(Standings!$A120&gt;5,"",Standings!$A120)</f>
        <v/>
      </c>
    </row>
    <row r="122" spans="1:7" x14ac:dyDescent="0.2">
      <c r="A122" s="272" t="str">
        <f>IF(ISNUMBER(Standings!$A121),Standings!$C121,"")</f>
        <v/>
      </c>
      <c r="B122" s="117" t="str">
        <f>IF(ISNUMBER($A122),VLOOKUP($A122,Methuselahs!$A$7:$E$206,5,0),"")</f>
        <v/>
      </c>
      <c r="C122" s="232" t="str">
        <f>Standings!$D121</f>
        <v/>
      </c>
      <c r="D122" s="117" t="str">
        <f>IF(ISNUMBER($A122),VLOOKUP($A122,Methuselahs!$A$7:$F$206,COLUMN(Methuselahs!$F$7),0),"")</f>
        <v/>
      </c>
      <c r="E122" s="116" t="str">
        <f>IF(ISNUMBER($A122),Standings!$E121,"")</f>
        <v/>
      </c>
      <c r="F122" s="273" t="str">
        <f>IF(ISNUMBER($A122),Standings!$F121+Standings!$G121,"")</f>
        <v/>
      </c>
      <c r="G122" s="423" t="str">
        <f>IF(Standings!$A121&gt;5,"",Standings!$A121)</f>
        <v/>
      </c>
    </row>
    <row r="123" spans="1:7" x14ac:dyDescent="0.2">
      <c r="A123" s="272" t="str">
        <f>IF(ISNUMBER(Standings!$A122),Standings!$C122,"")</f>
        <v/>
      </c>
      <c r="B123" s="117" t="str">
        <f>IF(ISNUMBER($A123),VLOOKUP($A123,Methuselahs!$A$7:$E$206,5,0),"")</f>
        <v/>
      </c>
      <c r="C123" s="232" t="str">
        <f>Standings!$D122</f>
        <v/>
      </c>
      <c r="D123" s="117" t="str">
        <f>IF(ISNUMBER($A123),VLOOKUP($A123,Methuselahs!$A$7:$F$206,COLUMN(Methuselahs!$F$7),0),"")</f>
        <v/>
      </c>
      <c r="E123" s="116" t="str">
        <f>IF(ISNUMBER($A123),Standings!$E122,"")</f>
        <v/>
      </c>
      <c r="F123" s="273" t="str">
        <f>IF(ISNUMBER($A123),Standings!$F122+Standings!$G122,"")</f>
        <v/>
      </c>
      <c r="G123" s="423" t="str">
        <f>IF(Standings!$A122&gt;5,"",Standings!$A122)</f>
        <v/>
      </c>
    </row>
    <row r="124" spans="1:7" x14ac:dyDescent="0.2">
      <c r="A124" s="272" t="str">
        <f>IF(ISNUMBER(Standings!$A123),Standings!$C123,"")</f>
        <v/>
      </c>
      <c r="B124" s="117" t="str">
        <f>IF(ISNUMBER($A124),VLOOKUP($A124,Methuselahs!$A$7:$E$206,5,0),"")</f>
        <v/>
      </c>
      <c r="C124" s="232" t="str">
        <f>Standings!$D123</f>
        <v/>
      </c>
      <c r="D124" s="117" t="str">
        <f>IF(ISNUMBER($A124),VLOOKUP($A124,Methuselahs!$A$7:$F$206,COLUMN(Methuselahs!$F$7),0),"")</f>
        <v/>
      </c>
      <c r="E124" s="116" t="str">
        <f>IF(ISNUMBER($A124),Standings!$E123,"")</f>
        <v/>
      </c>
      <c r="F124" s="273" t="str">
        <f>IF(ISNUMBER($A124),Standings!$F123+Standings!$G123,"")</f>
        <v/>
      </c>
      <c r="G124" s="423" t="str">
        <f>IF(Standings!$A123&gt;5,"",Standings!$A123)</f>
        <v/>
      </c>
    </row>
    <row r="125" spans="1:7" x14ac:dyDescent="0.2">
      <c r="A125" s="272" t="str">
        <f>IF(ISNUMBER(Standings!$A124),Standings!$C124,"")</f>
        <v/>
      </c>
      <c r="B125" s="117" t="str">
        <f>IF(ISNUMBER($A125),VLOOKUP($A125,Methuselahs!$A$7:$E$206,5,0),"")</f>
        <v/>
      </c>
      <c r="C125" s="232" t="str">
        <f>Standings!$D124</f>
        <v/>
      </c>
      <c r="D125" s="117" t="str">
        <f>IF(ISNUMBER($A125),VLOOKUP($A125,Methuselahs!$A$7:$F$206,COLUMN(Methuselahs!$F$7),0),"")</f>
        <v/>
      </c>
      <c r="E125" s="116" t="str">
        <f>IF(ISNUMBER($A125),Standings!$E124,"")</f>
        <v/>
      </c>
      <c r="F125" s="273" t="str">
        <f>IF(ISNUMBER($A125),Standings!$F124+Standings!$G124,"")</f>
        <v/>
      </c>
      <c r="G125" s="423" t="str">
        <f>IF(Standings!$A124&gt;5,"",Standings!$A124)</f>
        <v/>
      </c>
    </row>
    <row r="126" spans="1:7" x14ac:dyDescent="0.2">
      <c r="A126" s="272" t="str">
        <f>IF(ISNUMBER(Standings!$A125),Standings!$C125,"")</f>
        <v/>
      </c>
      <c r="B126" s="117" t="str">
        <f>IF(ISNUMBER($A126),VLOOKUP($A126,Methuselahs!$A$7:$E$206,5,0),"")</f>
        <v/>
      </c>
      <c r="C126" s="232" t="str">
        <f>Standings!$D125</f>
        <v/>
      </c>
      <c r="D126" s="117" t="str">
        <f>IF(ISNUMBER($A126),VLOOKUP($A126,Methuselahs!$A$7:$F$206,COLUMN(Methuselahs!$F$7),0),"")</f>
        <v/>
      </c>
      <c r="E126" s="116" t="str">
        <f>IF(ISNUMBER($A126),Standings!$E125,"")</f>
        <v/>
      </c>
      <c r="F126" s="273" t="str">
        <f>IF(ISNUMBER($A126),Standings!$F125+Standings!$G125,"")</f>
        <v/>
      </c>
      <c r="G126" s="423" t="str">
        <f>IF(Standings!$A125&gt;5,"",Standings!$A125)</f>
        <v/>
      </c>
    </row>
    <row r="127" spans="1:7" x14ac:dyDescent="0.2">
      <c r="A127" s="272" t="str">
        <f>IF(ISNUMBER(Standings!$A126),Standings!$C126,"")</f>
        <v/>
      </c>
      <c r="B127" s="117" t="str">
        <f>IF(ISNUMBER($A127),VLOOKUP($A127,Methuselahs!$A$7:$E$206,5,0),"")</f>
        <v/>
      </c>
      <c r="C127" s="232" t="str">
        <f>Standings!$D126</f>
        <v/>
      </c>
      <c r="D127" s="117" t="str">
        <f>IF(ISNUMBER($A127),VLOOKUP($A127,Methuselahs!$A$7:$F$206,COLUMN(Methuselahs!$F$7),0),"")</f>
        <v/>
      </c>
      <c r="E127" s="116" t="str">
        <f>IF(ISNUMBER($A127),Standings!$E126,"")</f>
        <v/>
      </c>
      <c r="F127" s="273" t="str">
        <f>IF(ISNUMBER($A127),Standings!$F126+Standings!$G126,"")</f>
        <v/>
      </c>
      <c r="G127" s="423" t="str">
        <f>IF(Standings!$A126&gt;5,"",Standings!$A126)</f>
        <v/>
      </c>
    </row>
    <row r="128" spans="1:7" x14ac:dyDescent="0.2">
      <c r="A128" s="272" t="str">
        <f>IF(ISNUMBER(Standings!$A127),Standings!$C127,"")</f>
        <v/>
      </c>
      <c r="B128" s="117" t="str">
        <f>IF(ISNUMBER($A128),VLOOKUP($A128,Methuselahs!$A$7:$E$206,5,0),"")</f>
        <v/>
      </c>
      <c r="C128" s="232" t="str">
        <f>Standings!$D127</f>
        <v/>
      </c>
      <c r="D128" s="117" t="str">
        <f>IF(ISNUMBER($A128),VLOOKUP($A128,Methuselahs!$A$7:$F$206,COLUMN(Methuselahs!$F$7),0),"")</f>
        <v/>
      </c>
      <c r="E128" s="116" t="str">
        <f>IF(ISNUMBER($A128),Standings!$E127,"")</f>
        <v/>
      </c>
      <c r="F128" s="273" t="str">
        <f>IF(ISNUMBER($A128),Standings!$F127+Standings!$G127,"")</f>
        <v/>
      </c>
      <c r="G128" s="423" t="str">
        <f>IF(Standings!$A127&gt;5,"",Standings!$A127)</f>
        <v/>
      </c>
    </row>
    <row r="129" spans="1:7" x14ac:dyDescent="0.2">
      <c r="A129" s="272" t="str">
        <f>IF(ISNUMBER(Standings!$A128),Standings!$C128,"")</f>
        <v/>
      </c>
      <c r="B129" s="117" t="str">
        <f>IF(ISNUMBER($A129),VLOOKUP($A129,Methuselahs!$A$7:$E$206,5,0),"")</f>
        <v/>
      </c>
      <c r="C129" s="232" t="str">
        <f>Standings!$D128</f>
        <v/>
      </c>
      <c r="D129" s="117" t="str">
        <f>IF(ISNUMBER($A129),VLOOKUP($A129,Methuselahs!$A$7:$F$206,COLUMN(Methuselahs!$F$7),0),"")</f>
        <v/>
      </c>
      <c r="E129" s="116" t="str">
        <f>IF(ISNUMBER($A129),Standings!$E128,"")</f>
        <v/>
      </c>
      <c r="F129" s="273" t="str">
        <f>IF(ISNUMBER($A129),Standings!$F128+Standings!$G128,"")</f>
        <v/>
      </c>
      <c r="G129" s="423" t="str">
        <f>IF(Standings!$A128&gt;5,"",Standings!$A128)</f>
        <v/>
      </c>
    </row>
    <row r="130" spans="1:7" x14ac:dyDescent="0.2">
      <c r="A130" s="272" t="str">
        <f>IF(ISNUMBER(Standings!$A129),Standings!$C129,"")</f>
        <v/>
      </c>
      <c r="B130" s="117" t="str">
        <f>IF(ISNUMBER($A130),VLOOKUP($A130,Methuselahs!$A$7:$E$206,5,0),"")</f>
        <v/>
      </c>
      <c r="C130" s="232" t="str">
        <f>Standings!$D129</f>
        <v/>
      </c>
      <c r="D130" s="117" t="str">
        <f>IF(ISNUMBER($A130),VLOOKUP($A130,Methuselahs!$A$7:$F$206,COLUMN(Methuselahs!$F$7),0),"")</f>
        <v/>
      </c>
      <c r="E130" s="116" t="str">
        <f>IF(ISNUMBER($A130),Standings!$E129,"")</f>
        <v/>
      </c>
      <c r="F130" s="273" t="str">
        <f>IF(ISNUMBER($A130),Standings!$F129+Standings!$G129,"")</f>
        <v/>
      </c>
      <c r="G130" s="423" t="str">
        <f>IF(Standings!$A129&gt;5,"",Standings!$A129)</f>
        <v/>
      </c>
    </row>
    <row r="131" spans="1:7" x14ac:dyDescent="0.2">
      <c r="A131" s="272" t="str">
        <f>IF(ISNUMBER(Standings!$A130),Standings!$C130,"")</f>
        <v/>
      </c>
      <c r="B131" s="117" t="str">
        <f>IF(ISNUMBER($A131),VLOOKUP($A131,Methuselahs!$A$7:$E$206,5,0),"")</f>
        <v/>
      </c>
      <c r="C131" s="232" t="str">
        <f>Standings!$D130</f>
        <v/>
      </c>
      <c r="D131" s="117" t="str">
        <f>IF(ISNUMBER($A131),VLOOKUP($A131,Methuselahs!$A$7:$F$206,COLUMN(Methuselahs!$F$7),0),"")</f>
        <v/>
      </c>
      <c r="E131" s="116" t="str">
        <f>IF(ISNUMBER($A131),Standings!$E130,"")</f>
        <v/>
      </c>
      <c r="F131" s="273" t="str">
        <f>IF(ISNUMBER($A131),Standings!$F130+Standings!$G130,"")</f>
        <v/>
      </c>
      <c r="G131" s="423" t="str">
        <f>IF(Standings!$A130&gt;5,"",Standings!$A130)</f>
        <v/>
      </c>
    </row>
    <row r="132" spans="1:7" x14ac:dyDescent="0.2">
      <c r="A132" s="272" t="str">
        <f>IF(ISNUMBER(Standings!$A131),Standings!$C131,"")</f>
        <v/>
      </c>
      <c r="B132" s="117" t="str">
        <f>IF(ISNUMBER($A132),VLOOKUP($A132,Methuselahs!$A$7:$E$206,5,0),"")</f>
        <v/>
      </c>
      <c r="C132" s="232" t="str">
        <f>Standings!$D131</f>
        <v/>
      </c>
      <c r="D132" s="117" t="str">
        <f>IF(ISNUMBER($A132),VLOOKUP($A132,Methuselahs!$A$7:$F$206,COLUMN(Methuselahs!$F$7),0),"")</f>
        <v/>
      </c>
      <c r="E132" s="116" t="str">
        <f>IF(ISNUMBER($A132),Standings!$E131,"")</f>
        <v/>
      </c>
      <c r="F132" s="273" t="str">
        <f>IF(ISNUMBER($A132),Standings!$F131+Standings!$G131,"")</f>
        <v/>
      </c>
      <c r="G132" s="423" t="str">
        <f>IF(Standings!$A131&gt;5,"",Standings!$A131)</f>
        <v/>
      </c>
    </row>
    <row r="133" spans="1:7" x14ac:dyDescent="0.2">
      <c r="A133" s="272" t="str">
        <f>IF(ISNUMBER(Standings!$A132),Standings!$C132,"")</f>
        <v/>
      </c>
      <c r="B133" s="117" t="str">
        <f>IF(ISNUMBER($A133),VLOOKUP($A133,Methuselahs!$A$7:$E$206,5,0),"")</f>
        <v/>
      </c>
      <c r="C133" s="232" t="str">
        <f>Standings!$D132</f>
        <v/>
      </c>
      <c r="D133" s="117" t="str">
        <f>IF(ISNUMBER($A133),VLOOKUP($A133,Methuselahs!$A$7:$F$206,COLUMN(Methuselahs!$F$7),0),"")</f>
        <v/>
      </c>
      <c r="E133" s="116" t="str">
        <f>IF(ISNUMBER($A133),Standings!$E132,"")</f>
        <v/>
      </c>
      <c r="F133" s="273" t="str">
        <f>IF(ISNUMBER($A133),Standings!$F132+Standings!$G132,"")</f>
        <v/>
      </c>
      <c r="G133" s="423" t="str">
        <f>IF(Standings!$A132&gt;5,"",Standings!$A132)</f>
        <v/>
      </c>
    </row>
    <row r="134" spans="1:7" x14ac:dyDescent="0.2">
      <c r="A134" s="272" t="str">
        <f>IF(ISNUMBER(Standings!$A133),Standings!$C133,"")</f>
        <v/>
      </c>
      <c r="B134" s="117" t="str">
        <f>IF(ISNUMBER($A134),VLOOKUP($A134,Methuselahs!$A$7:$E$206,5,0),"")</f>
        <v/>
      </c>
      <c r="C134" s="232" t="str">
        <f>Standings!$D133</f>
        <v/>
      </c>
      <c r="D134" s="117" t="str">
        <f>IF(ISNUMBER($A134),VLOOKUP($A134,Methuselahs!$A$7:$F$206,COLUMN(Methuselahs!$F$7),0),"")</f>
        <v/>
      </c>
      <c r="E134" s="116" t="str">
        <f>IF(ISNUMBER($A134),Standings!$E133,"")</f>
        <v/>
      </c>
      <c r="F134" s="273" t="str">
        <f>IF(ISNUMBER($A134),Standings!$F133+Standings!$G133,"")</f>
        <v/>
      </c>
      <c r="G134" s="423" t="str">
        <f>IF(Standings!$A133&gt;5,"",Standings!$A133)</f>
        <v/>
      </c>
    </row>
    <row r="135" spans="1:7" x14ac:dyDescent="0.2">
      <c r="A135" s="272" t="str">
        <f>IF(ISNUMBER(Standings!$A134),Standings!$C134,"")</f>
        <v/>
      </c>
      <c r="B135" s="117" t="str">
        <f>IF(ISNUMBER($A135),VLOOKUP($A135,Methuselahs!$A$7:$E$206,5,0),"")</f>
        <v/>
      </c>
      <c r="C135" s="232" t="str">
        <f>Standings!$D134</f>
        <v/>
      </c>
      <c r="D135" s="117" t="str">
        <f>IF(ISNUMBER($A135),VLOOKUP($A135,Methuselahs!$A$7:$F$206,COLUMN(Methuselahs!$F$7),0),"")</f>
        <v/>
      </c>
      <c r="E135" s="116" t="str">
        <f>IF(ISNUMBER($A135),Standings!$E134,"")</f>
        <v/>
      </c>
      <c r="F135" s="273" t="str">
        <f>IF(ISNUMBER($A135),Standings!$F134+Standings!$G134,"")</f>
        <v/>
      </c>
      <c r="G135" s="423" t="str">
        <f>IF(Standings!$A134&gt;5,"",Standings!$A134)</f>
        <v/>
      </c>
    </row>
    <row r="136" spans="1:7" x14ac:dyDescent="0.2">
      <c r="A136" s="272" t="str">
        <f>IF(ISNUMBER(Standings!$A135),Standings!$C135,"")</f>
        <v/>
      </c>
      <c r="B136" s="117" t="str">
        <f>IF(ISNUMBER($A136),VLOOKUP($A136,Methuselahs!$A$7:$E$206,5,0),"")</f>
        <v/>
      </c>
      <c r="C136" s="232" t="str">
        <f>Standings!$D135</f>
        <v/>
      </c>
      <c r="D136" s="117" t="str">
        <f>IF(ISNUMBER($A136),VLOOKUP($A136,Methuselahs!$A$7:$F$206,COLUMN(Methuselahs!$F$7),0),"")</f>
        <v/>
      </c>
      <c r="E136" s="116" t="str">
        <f>IF(ISNUMBER($A136),Standings!$E135,"")</f>
        <v/>
      </c>
      <c r="F136" s="273" t="str">
        <f>IF(ISNUMBER($A136),Standings!$F135+Standings!$G135,"")</f>
        <v/>
      </c>
      <c r="G136" s="423" t="str">
        <f>IF(Standings!$A135&gt;5,"",Standings!$A135)</f>
        <v/>
      </c>
    </row>
    <row r="137" spans="1:7" x14ac:dyDescent="0.2">
      <c r="A137" s="272" t="str">
        <f>IF(ISNUMBER(Standings!$A136),Standings!$C136,"")</f>
        <v/>
      </c>
      <c r="B137" s="117" t="str">
        <f>IF(ISNUMBER($A137),VLOOKUP($A137,Methuselahs!$A$7:$E$206,5,0),"")</f>
        <v/>
      </c>
      <c r="C137" s="232" t="str">
        <f>Standings!$D136</f>
        <v/>
      </c>
      <c r="D137" s="117" t="str">
        <f>IF(ISNUMBER($A137),VLOOKUP($A137,Methuselahs!$A$7:$F$206,COLUMN(Methuselahs!$F$7),0),"")</f>
        <v/>
      </c>
      <c r="E137" s="116" t="str">
        <f>IF(ISNUMBER($A137),Standings!$E136,"")</f>
        <v/>
      </c>
      <c r="F137" s="273" t="str">
        <f>IF(ISNUMBER($A137),Standings!$F136+Standings!$G136,"")</f>
        <v/>
      </c>
      <c r="G137" s="423" t="str">
        <f>IF(Standings!$A136&gt;5,"",Standings!$A136)</f>
        <v/>
      </c>
    </row>
    <row r="138" spans="1:7" x14ac:dyDescent="0.2">
      <c r="A138" s="272" t="str">
        <f>IF(ISNUMBER(Standings!$A137),Standings!$C137,"")</f>
        <v/>
      </c>
      <c r="B138" s="117" t="str">
        <f>IF(ISNUMBER($A138),VLOOKUP($A138,Methuselahs!$A$7:$E$206,5,0),"")</f>
        <v/>
      </c>
      <c r="C138" s="232" t="str">
        <f>Standings!$D137</f>
        <v/>
      </c>
      <c r="D138" s="117" t="str">
        <f>IF(ISNUMBER($A138),VLOOKUP($A138,Methuselahs!$A$7:$F$206,COLUMN(Methuselahs!$F$7),0),"")</f>
        <v/>
      </c>
      <c r="E138" s="116" t="str">
        <f>IF(ISNUMBER($A138),Standings!$E137,"")</f>
        <v/>
      </c>
      <c r="F138" s="273" t="str">
        <f>IF(ISNUMBER($A138),Standings!$F137+Standings!$G137,"")</f>
        <v/>
      </c>
      <c r="G138" s="423" t="str">
        <f>IF(Standings!$A137&gt;5,"",Standings!$A137)</f>
        <v/>
      </c>
    </row>
    <row r="139" spans="1:7" x14ac:dyDescent="0.2">
      <c r="A139" s="272" t="str">
        <f>IF(ISNUMBER(Standings!$A138),Standings!$C138,"")</f>
        <v/>
      </c>
      <c r="B139" s="117" t="str">
        <f>IF(ISNUMBER($A139),VLOOKUP($A139,Methuselahs!$A$7:$E$206,5,0),"")</f>
        <v/>
      </c>
      <c r="C139" s="232" t="str">
        <f>Standings!$D138</f>
        <v/>
      </c>
      <c r="D139" s="117" t="str">
        <f>IF(ISNUMBER($A139),VLOOKUP($A139,Methuselahs!$A$7:$F$206,COLUMN(Methuselahs!$F$7),0),"")</f>
        <v/>
      </c>
      <c r="E139" s="116" t="str">
        <f>IF(ISNUMBER($A139),Standings!$E138,"")</f>
        <v/>
      </c>
      <c r="F139" s="273" t="str">
        <f>IF(ISNUMBER($A139),Standings!$F138+Standings!$G138,"")</f>
        <v/>
      </c>
      <c r="G139" s="423" t="str">
        <f>IF(Standings!$A138&gt;5,"",Standings!$A138)</f>
        <v/>
      </c>
    </row>
    <row r="140" spans="1:7" x14ac:dyDescent="0.2">
      <c r="A140" s="272" t="str">
        <f>IF(ISNUMBER(Standings!$A139),Standings!$C139,"")</f>
        <v/>
      </c>
      <c r="B140" s="117" t="str">
        <f>IF(ISNUMBER($A140),VLOOKUP($A140,Methuselahs!$A$7:$E$206,5,0),"")</f>
        <v/>
      </c>
      <c r="C140" s="232" t="str">
        <f>Standings!$D139</f>
        <v/>
      </c>
      <c r="D140" s="117" t="str">
        <f>IF(ISNUMBER($A140),VLOOKUP($A140,Methuselahs!$A$7:$F$206,COLUMN(Methuselahs!$F$7),0),"")</f>
        <v/>
      </c>
      <c r="E140" s="116" t="str">
        <f>IF(ISNUMBER($A140),Standings!$E139,"")</f>
        <v/>
      </c>
      <c r="F140" s="273" t="str">
        <f>IF(ISNUMBER($A140),Standings!$F139+Standings!$G139,"")</f>
        <v/>
      </c>
      <c r="G140" s="423" t="str">
        <f>IF(Standings!$A139&gt;5,"",Standings!$A139)</f>
        <v/>
      </c>
    </row>
    <row r="141" spans="1:7" x14ac:dyDescent="0.2">
      <c r="A141" s="272" t="str">
        <f>IF(ISNUMBER(Standings!$A140),Standings!$C140,"")</f>
        <v/>
      </c>
      <c r="B141" s="117" t="str">
        <f>IF(ISNUMBER($A141),VLOOKUP($A141,Methuselahs!$A$7:$E$206,5,0),"")</f>
        <v/>
      </c>
      <c r="C141" s="232" t="str">
        <f>Standings!$D140</f>
        <v/>
      </c>
      <c r="D141" s="117" t="str">
        <f>IF(ISNUMBER($A141),VLOOKUP($A141,Methuselahs!$A$7:$F$206,COLUMN(Methuselahs!$F$7),0),"")</f>
        <v/>
      </c>
      <c r="E141" s="116" t="str">
        <f>IF(ISNUMBER($A141),Standings!$E140,"")</f>
        <v/>
      </c>
      <c r="F141" s="273" t="str">
        <f>IF(ISNUMBER($A141),Standings!$F140+Standings!$G140,"")</f>
        <v/>
      </c>
      <c r="G141" s="423" t="str">
        <f>IF(Standings!$A140&gt;5,"",Standings!$A140)</f>
        <v/>
      </c>
    </row>
    <row r="142" spans="1:7" x14ac:dyDescent="0.2">
      <c r="A142" s="272" t="str">
        <f>IF(ISNUMBER(Standings!$A141),Standings!$C141,"")</f>
        <v/>
      </c>
      <c r="B142" s="117" t="str">
        <f>IF(ISNUMBER($A142),VLOOKUP($A142,Methuselahs!$A$7:$E$206,5,0),"")</f>
        <v/>
      </c>
      <c r="C142" s="232" t="str">
        <f>Standings!$D141</f>
        <v/>
      </c>
      <c r="D142" s="117" t="str">
        <f>IF(ISNUMBER($A142),VLOOKUP($A142,Methuselahs!$A$7:$F$206,COLUMN(Methuselahs!$F$7),0),"")</f>
        <v/>
      </c>
      <c r="E142" s="116" t="str">
        <f>IF(ISNUMBER($A142),Standings!$E141,"")</f>
        <v/>
      </c>
      <c r="F142" s="273" t="str">
        <f>IF(ISNUMBER($A142),Standings!$F141+Standings!$G141,"")</f>
        <v/>
      </c>
      <c r="G142" s="423" t="str">
        <f>IF(Standings!$A141&gt;5,"",Standings!$A141)</f>
        <v/>
      </c>
    </row>
    <row r="143" spans="1:7" x14ac:dyDescent="0.2">
      <c r="A143" s="272" t="str">
        <f>IF(ISNUMBER(Standings!$A142),Standings!$C142,"")</f>
        <v/>
      </c>
      <c r="B143" s="117" t="str">
        <f>IF(ISNUMBER($A143),VLOOKUP($A143,Methuselahs!$A$7:$E$206,5,0),"")</f>
        <v/>
      </c>
      <c r="C143" s="232" t="str">
        <f>Standings!$D142</f>
        <v/>
      </c>
      <c r="D143" s="117" t="str">
        <f>IF(ISNUMBER($A143),VLOOKUP($A143,Methuselahs!$A$7:$F$206,COLUMN(Methuselahs!$F$7),0),"")</f>
        <v/>
      </c>
      <c r="E143" s="116" t="str">
        <f>IF(ISNUMBER($A143),Standings!$E142,"")</f>
        <v/>
      </c>
      <c r="F143" s="273" t="str">
        <f>IF(ISNUMBER($A143),Standings!$F142+Standings!$G142,"")</f>
        <v/>
      </c>
      <c r="G143" s="423" t="str">
        <f>IF(Standings!$A142&gt;5,"",Standings!$A142)</f>
        <v/>
      </c>
    </row>
    <row r="144" spans="1:7" x14ac:dyDescent="0.2">
      <c r="A144" s="272" t="str">
        <f>IF(ISNUMBER(Standings!$A143),Standings!$C143,"")</f>
        <v/>
      </c>
      <c r="B144" s="117" t="str">
        <f>IF(ISNUMBER($A144),VLOOKUP($A144,Methuselahs!$A$7:$E$206,5,0),"")</f>
        <v/>
      </c>
      <c r="C144" s="232" t="str">
        <f>Standings!$D143</f>
        <v/>
      </c>
      <c r="D144" s="117" t="str">
        <f>IF(ISNUMBER($A144),VLOOKUP($A144,Methuselahs!$A$7:$F$206,COLUMN(Methuselahs!$F$7),0),"")</f>
        <v/>
      </c>
      <c r="E144" s="116" t="str">
        <f>IF(ISNUMBER($A144),Standings!$E143,"")</f>
        <v/>
      </c>
      <c r="F144" s="273" t="str">
        <f>IF(ISNUMBER($A144),Standings!$F143+Standings!$G143,"")</f>
        <v/>
      </c>
      <c r="G144" s="423" t="str">
        <f>IF(Standings!$A143&gt;5,"",Standings!$A143)</f>
        <v/>
      </c>
    </row>
    <row r="145" spans="1:7" x14ac:dyDescent="0.2">
      <c r="A145" s="272" t="str">
        <f>IF(ISNUMBER(Standings!$A144),Standings!$C144,"")</f>
        <v/>
      </c>
      <c r="B145" s="117" t="str">
        <f>IF(ISNUMBER($A145),VLOOKUP($A145,Methuselahs!$A$7:$E$206,5,0),"")</f>
        <v/>
      </c>
      <c r="C145" s="232" t="str">
        <f>Standings!$D144</f>
        <v/>
      </c>
      <c r="D145" s="117" t="str">
        <f>IF(ISNUMBER($A145),VLOOKUP($A145,Methuselahs!$A$7:$F$206,COLUMN(Methuselahs!$F$7),0),"")</f>
        <v/>
      </c>
      <c r="E145" s="116" t="str">
        <f>IF(ISNUMBER($A145),Standings!$E144,"")</f>
        <v/>
      </c>
      <c r="F145" s="273" t="str">
        <f>IF(ISNUMBER($A145),Standings!$F144+Standings!$G144,"")</f>
        <v/>
      </c>
      <c r="G145" s="423" t="str">
        <f>IF(Standings!$A144&gt;5,"",Standings!$A144)</f>
        <v/>
      </c>
    </row>
    <row r="146" spans="1:7" x14ac:dyDescent="0.2">
      <c r="A146" s="272" t="str">
        <f>IF(ISNUMBER(Standings!$A145),Standings!$C145,"")</f>
        <v/>
      </c>
      <c r="B146" s="117" t="str">
        <f>IF(ISNUMBER($A146),VLOOKUP($A146,Methuselahs!$A$7:$E$206,5,0),"")</f>
        <v/>
      </c>
      <c r="C146" s="232" t="str">
        <f>Standings!$D145</f>
        <v/>
      </c>
      <c r="D146" s="117" t="str">
        <f>IF(ISNUMBER($A146),VLOOKUP($A146,Methuselahs!$A$7:$F$206,COLUMN(Methuselahs!$F$7),0),"")</f>
        <v/>
      </c>
      <c r="E146" s="116" t="str">
        <f>IF(ISNUMBER($A146),Standings!$E145,"")</f>
        <v/>
      </c>
      <c r="F146" s="273" t="str">
        <f>IF(ISNUMBER($A146),Standings!$F145+Standings!$G145,"")</f>
        <v/>
      </c>
      <c r="G146" s="423" t="str">
        <f>IF(Standings!$A145&gt;5,"",Standings!$A145)</f>
        <v/>
      </c>
    </row>
    <row r="147" spans="1:7" x14ac:dyDescent="0.2">
      <c r="A147" s="272" t="str">
        <f>IF(ISNUMBER(Standings!$A146),Standings!$C146,"")</f>
        <v/>
      </c>
      <c r="B147" s="117" t="str">
        <f>IF(ISNUMBER($A147),VLOOKUP($A147,Methuselahs!$A$7:$E$206,5,0),"")</f>
        <v/>
      </c>
      <c r="C147" s="232" t="str">
        <f>Standings!$D146</f>
        <v/>
      </c>
      <c r="D147" s="117" t="str">
        <f>IF(ISNUMBER($A147),VLOOKUP($A147,Methuselahs!$A$7:$F$206,COLUMN(Methuselahs!$F$7),0),"")</f>
        <v/>
      </c>
      <c r="E147" s="116" t="str">
        <f>IF(ISNUMBER($A147),Standings!$E146,"")</f>
        <v/>
      </c>
      <c r="F147" s="273" t="str">
        <f>IF(ISNUMBER($A147),Standings!$F146+Standings!$G146,"")</f>
        <v/>
      </c>
      <c r="G147" s="423" t="str">
        <f>IF(Standings!$A146&gt;5,"",Standings!$A146)</f>
        <v/>
      </c>
    </row>
    <row r="148" spans="1:7" x14ac:dyDescent="0.2">
      <c r="A148" s="272" t="str">
        <f>IF(ISNUMBER(Standings!$A147),Standings!$C147,"")</f>
        <v/>
      </c>
      <c r="B148" s="117" t="str">
        <f>IF(ISNUMBER($A148),VLOOKUP($A148,Methuselahs!$A$7:$E$206,5,0),"")</f>
        <v/>
      </c>
      <c r="C148" s="232" t="str">
        <f>Standings!$D147</f>
        <v/>
      </c>
      <c r="D148" s="117" t="str">
        <f>IF(ISNUMBER($A148),VLOOKUP($A148,Methuselahs!$A$7:$F$206,COLUMN(Methuselahs!$F$7),0),"")</f>
        <v/>
      </c>
      <c r="E148" s="116" t="str">
        <f>IF(ISNUMBER($A148),Standings!$E147,"")</f>
        <v/>
      </c>
      <c r="F148" s="273" t="str">
        <f>IF(ISNUMBER($A148),Standings!$F147+Standings!$G147,"")</f>
        <v/>
      </c>
      <c r="G148" s="423" t="str">
        <f>IF(Standings!$A147&gt;5,"",Standings!$A147)</f>
        <v/>
      </c>
    </row>
    <row r="149" spans="1:7" x14ac:dyDescent="0.2">
      <c r="A149" s="272" t="str">
        <f>IF(ISNUMBER(Standings!$A148),Standings!$C148,"")</f>
        <v/>
      </c>
      <c r="B149" s="117" t="str">
        <f>IF(ISNUMBER($A149),VLOOKUP($A149,Methuselahs!$A$7:$E$206,5,0),"")</f>
        <v/>
      </c>
      <c r="C149" s="232" t="str">
        <f>Standings!$D148</f>
        <v/>
      </c>
      <c r="D149" s="117" t="str">
        <f>IF(ISNUMBER($A149),VLOOKUP($A149,Methuselahs!$A$7:$F$206,COLUMN(Methuselahs!$F$7),0),"")</f>
        <v/>
      </c>
      <c r="E149" s="116" t="str">
        <f>IF(ISNUMBER($A149),Standings!$E148,"")</f>
        <v/>
      </c>
      <c r="F149" s="273" t="str">
        <f>IF(ISNUMBER($A149),Standings!$F148+Standings!$G148,"")</f>
        <v/>
      </c>
      <c r="G149" s="423" t="str">
        <f>IF(Standings!$A148&gt;5,"",Standings!$A148)</f>
        <v/>
      </c>
    </row>
    <row r="150" spans="1:7" x14ac:dyDescent="0.2">
      <c r="A150" s="272" t="str">
        <f>IF(ISNUMBER(Standings!$A149),Standings!$C149,"")</f>
        <v/>
      </c>
      <c r="B150" s="117" t="str">
        <f>IF(ISNUMBER($A150),VLOOKUP($A150,Methuselahs!$A$7:$E$206,5,0),"")</f>
        <v/>
      </c>
      <c r="C150" s="232" t="str">
        <f>Standings!$D149</f>
        <v/>
      </c>
      <c r="D150" s="117" t="str">
        <f>IF(ISNUMBER($A150),VLOOKUP($A150,Methuselahs!$A$7:$F$206,COLUMN(Methuselahs!$F$7),0),"")</f>
        <v/>
      </c>
      <c r="E150" s="116" t="str">
        <f>IF(ISNUMBER($A150),Standings!$E149,"")</f>
        <v/>
      </c>
      <c r="F150" s="273" t="str">
        <f>IF(ISNUMBER($A150),Standings!$F149+Standings!$G149,"")</f>
        <v/>
      </c>
      <c r="G150" s="423" t="str">
        <f>IF(Standings!$A149&gt;5,"",Standings!$A149)</f>
        <v/>
      </c>
    </row>
    <row r="151" spans="1:7" x14ac:dyDescent="0.2">
      <c r="A151" s="272" t="str">
        <f>IF(ISNUMBER(Standings!$A150),Standings!$C150,"")</f>
        <v/>
      </c>
      <c r="B151" s="117" t="str">
        <f>IF(ISNUMBER($A151),VLOOKUP($A151,Methuselahs!$A$7:$E$206,5,0),"")</f>
        <v/>
      </c>
      <c r="C151" s="232" t="str">
        <f>Standings!$D150</f>
        <v/>
      </c>
      <c r="D151" s="117" t="str">
        <f>IF(ISNUMBER($A151),VLOOKUP($A151,Methuselahs!$A$7:$F$206,COLUMN(Methuselahs!$F$7),0),"")</f>
        <v/>
      </c>
      <c r="E151" s="116" t="str">
        <f>IF(ISNUMBER($A151),Standings!$E150,"")</f>
        <v/>
      </c>
      <c r="F151" s="273" t="str">
        <f>IF(ISNUMBER($A151),Standings!$F150+Standings!$G150,"")</f>
        <v/>
      </c>
      <c r="G151" s="423" t="str">
        <f>IF(Standings!$A150&gt;5,"",Standings!$A150)</f>
        <v/>
      </c>
    </row>
    <row r="152" spans="1:7" x14ac:dyDescent="0.2">
      <c r="A152" s="272" t="str">
        <f>IF(ISNUMBER(Standings!$A151),Standings!$C151,"")</f>
        <v/>
      </c>
      <c r="B152" s="117" t="str">
        <f>IF(ISNUMBER($A152),VLOOKUP($A152,Methuselahs!$A$7:$E$206,5,0),"")</f>
        <v/>
      </c>
      <c r="C152" s="232" t="str">
        <f>Standings!$D151</f>
        <v/>
      </c>
      <c r="D152" s="117" t="str">
        <f>IF(ISNUMBER($A152),VLOOKUP($A152,Methuselahs!$A$7:$F$206,COLUMN(Methuselahs!$F$7),0),"")</f>
        <v/>
      </c>
      <c r="E152" s="116" t="str">
        <f>IF(ISNUMBER($A152),Standings!$E151,"")</f>
        <v/>
      </c>
      <c r="F152" s="273" t="str">
        <f>IF(ISNUMBER($A152),Standings!$F151+Standings!$G151,"")</f>
        <v/>
      </c>
      <c r="G152" s="423" t="str">
        <f>IF(Standings!$A151&gt;5,"",Standings!$A151)</f>
        <v/>
      </c>
    </row>
    <row r="153" spans="1:7" x14ac:dyDescent="0.2">
      <c r="A153" s="272" t="str">
        <f>IF(ISNUMBER(Standings!$A152),Standings!$C152,"")</f>
        <v/>
      </c>
      <c r="B153" s="117" t="str">
        <f>IF(ISNUMBER($A153),VLOOKUP($A153,Methuselahs!$A$7:$E$206,5,0),"")</f>
        <v/>
      </c>
      <c r="C153" s="232" t="str">
        <f>Standings!$D152</f>
        <v/>
      </c>
      <c r="D153" s="117" t="str">
        <f>IF(ISNUMBER($A153),VLOOKUP($A153,Methuselahs!$A$7:$F$206,COLUMN(Methuselahs!$F$7),0),"")</f>
        <v/>
      </c>
      <c r="E153" s="116" t="str">
        <f>IF(ISNUMBER($A153),Standings!$E152,"")</f>
        <v/>
      </c>
      <c r="F153" s="273" t="str">
        <f>IF(ISNUMBER($A153),Standings!$F152+Standings!$G152,"")</f>
        <v/>
      </c>
      <c r="G153" s="423" t="str">
        <f>IF(Standings!$A152&gt;5,"",Standings!$A152)</f>
        <v/>
      </c>
    </row>
    <row r="154" spans="1:7" x14ac:dyDescent="0.2">
      <c r="A154" s="272" t="str">
        <f>IF(ISNUMBER(Standings!$A153),Standings!$C153,"")</f>
        <v/>
      </c>
      <c r="B154" s="117" t="str">
        <f>IF(ISNUMBER($A154),VLOOKUP($A154,Methuselahs!$A$7:$E$206,5,0),"")</f>
        <v/>
      </c>
      <c r="C154" s="232" t="str">
        <f>Standings!$D153</f>
        <v/>
      </c>
      <c r="D154" s="117" t="str">
        <f>IF(ISNUMBER($A154),VLOOKUP($A154,Methuselahs!$A$7:$F$206,COLUMN(Methuselahs!$F$7),0),"")</f>
        <v/>
      </c>
      <c r="E154" s="116" t="str">
        <f>IF(ISNUMBER($A154),Standings!$E153,"")</f>
        <v/>
      </c>
      <c r="F154" s="273" t="str">
        <f>IF(ISNUMBER($A154),Standings!$F153+Standings!$G153,"")</f>
        <v/>
      </c>
      <c r="G154" s="423" t="str">
        <f>IF(Standings!$A153&gt;5,"",Standings!$A153)</f>
        <v/>
      </c>
    </row>
    <row r="155" spans="1:7" x14ac:dyDescent="0.2">
      <c r="A155" s="272" t="str">
        <f>IF(ISNUMBER(Standings!$A154),Standings!$C154,"")</f>
        <v/>
      </c>
      <c r="B155" s="117" t="str">
        <f>IF(ISNUMBER($A155),VLOOKUP($A155,Methuselahs!$A$7:$E$206,5,0),"")</f>
        <v/>
      </c>
      <c r="C155" s="232" t="str">
        <f>Standings!$D154</f>
        <v/>
      </c>
      <c r="D155" s="117" t="str">
        <f>IF(ISNUMBER($A155),VLOOKUP($A155,Methuselahs!$A$7:$F$206,COLUMN(Methuselahs!$F$7),0),"")</f>
        <v/>
      </c>
      <c r="E155" s="116" t="str">
        <f>IF(ISNUMBER($A155),Standings!$E154,"")</f>
        <v/>
      </c>
      <c r="F155" s="273" t="str">
        <f>IF(ISNUMBER($A155),Standings!$F154+Standings!$G154,"")</f>
        <v/>
      </c>
      <c r="G155" s="423" t="str">
        <f>IF(Standings!$A154&gt;5,"",Standings!$A154)</f>
        <v/>
      </c>
    </row>
    <row r="156" spans="1:7" x14ac:dyDescent="0.2">
      <c r="A156" s="272" t="str">
        <f>IF(ISNUMBER(Standings!$A155),Standings!$C155,"")</f>
        <v/>
      </c>
      <c r="B156" s="117" t="str">
        <f>IF(ISNUMBER($A156),VLOOKUP($A156,Methuselahs!$A$7:$E$206,5,0),"")</f>
        <v/>
      </c>
      <c r="C156" s="232" t="str">
        <f>Standings!$D155</f>
        <v/>
      </c>
      <c r="D156" s="117" t="str">
        <f>IF(ISNUMBER($A156),VLOOKUP($A156,Methuselahs!$A$7:$F$206,COLUMN(Methuselahs!$F$7),0),"")</f>
        <v/>
      </c>
      <c r="E156" s="116" t="str">
        <f>IF(ISNUMBER($A156),Standings!$E155,"")</f>
        <v/>
      </c>
      <c r="F156" s="273" t="str">
        <f>IF(ISNUMBER($A156),Standings!$F155+Standings!$G155,"")</f>
        <v/>
      </c>
      <c r="G156" s="423" t="str">
        <f>IF(Standings!$A155&gt;5,"",Standings!$A155)</f>
        <v/>
      </c>
    </row>
    <row r="157" spans="1:7" x14ac:dyDescent="0.2">
      <c r="A157" s="272" t="str">
        <f>IF(ISNUMBER(Standings!$A156),Standings!$C156,"")</f>
        <v/>
      </c>
      <c r="B157" s="117" t="str">
        <f>IF(ISNUMBER($A157),VLOOKUP($A157,Methuselahs!$A$7:$E$206,5,0),"")</f>
        <v/>
      </c>
      <c r="C157" s="232" t="str">
        <f>Standings!$D156</f>
        <v/>
      </c>
      <c r="D157" s="117" t="str">
        <f>IF(ISNUMBER($A157),VLOOKUP($A157,Methuselahs!$A$7:$F$206,COLUMN(Methuselahs!$F$7),0),"")</f>
        <v/>
      </c>
      <c r="E157" s="116" t="str">
        <f>IF(ISNUMBER($A157),Standings!$E156,"")</f>
        <v/>
      </c>
      <c r="F157" s="273" t="str">
        <f>IF(ISNUMBER($A157),Standings!$F156+Standings!$G156,"")</f>
        <v/>
      </c>
      <c r="G157" s="423" t="str">
        <f>IF(Standings!$A156&gt;5,"",Standings!$A156)</f>
        <v/>
      </c>
    </row>
    <row r="158" spans="1:7" x14ac:dyDescent="0.2">
      <c r="A158" s="272" t="str">
        <f>IF(ISNUMBER(Standings!$A157),Standings!$C157,"")</f>
        <v/>
      </c>
      <c r="B158" s="117" t="str">
        <f>IF(ISNUMBER($A158),VLOOKUP($A158,Methuselahs!$A$7:$E$206,5,0),"")</f>
        <v/>
      </c>
      <c r="C158" s="232" t="str">
        <f>Standings!$D157</f>
        <v/>
      </c>
      <c r="D158" s="117" t="str">
        <f>IF(ISNUMBER($A158),VLOOKUP($A158,Methuselahs!$A$7:$F$206,COLUMN(Methuselahs!$F$7),0),"")</f>
        <v/>
      </c>
      <c r="E158" s="116" t="str">
        <f>IF(ISNUMBER($A158),Standings!$E157,"")</f>
        <v/>
      </c>
      <c r="F158" s="273" t="str">
        <f>IF(ISNUMBER($A158),Standings!$F157+Standings!$G157,"")</f>
        <v/>
      </c>
      <c r="G158" s="423" t="str">
        <f>IF(Standings!$A157&gt;5,"",Standings!$A157)</f>
        <v/>
      </c>
    </row>
    <row r="159" spans="1:7" x14ac:dyDescent="0.2">
      <c r="A159" s="272" t="str">
        <f>IF(ISNUMBER(Standings!$A158),Standings!$C158,"")</f>
        <v/>
      </c>
      <c r="B159" s="117" t="str">
        <f>IF(ISNUMBER($A159),VLOOKUP($A159,Methuselahs!$A$7:$E$206,5,0),"")</f>
        <v/>
      </c>
      <c r="C159" s="232" t="str">
        <f>Standings!$D158</f>
        <v/>
      </c>
      <c r="D159" s="117" t="str">
        <f>IF(ISNUMBER($A159),VLOOKUP($A159,Methuselahs!$A$7:$F$206,COLUMN(Methuselahs!$F$7),0),"")</f>
        <v/>
      </c>
      <c r="E159" s="116" t="str">
        <f>IF(ISNUMBER($A159),Standings!$E158,"")</f>
        <v/>
      </c>
      <c r="F159" s="273" t="str">
        <f>IF(ISNUMBER($A159),Standings!$F158+Standings!$G158,"")</f>
        <v/>
      </c>
      <c r="G159" s="423" t="str">
        <f>IF(Standings!$A158&gt;5,"",Standings!$A158)</f>
        <v/>
      </c>
    </row>
    <row r="160" spans="1:7" x14ac:dyDescent="0.2">
      <c r="A160" s="272" t="str">
        <f>IF(ISNUMBER(Standings!$A159),Standings!$C159,"")</f>
        <v/>
      </c>
      <c r="B160" s="117" t="str">
        <f>IF(ISNUMBER($A160),VLOOKUP($A160,Methuselahs!$A$7:$E$206,5,0),"")</f>
        <v/>
      </c>
      <c r="C160" s="232" t="str">
        <f>Standings!$D159</f>
        <v/>
      </c>
      <c r="D160" s="117" t="str">
        <f>IF(ISNUMBER($A160),VLOOKUP($A160,Methuselahs!$A$7:$F$206,COLUMN(Methuselahs!$F$7),0),"")</f>
        <v/>
      </c>
      <c r="E160" s="116" t="str">
        <f>IF(ISNUMBER($A160),Standings!$E159,"")</f>
        <v/>
      </c>
      <c r="F160" s="273" t="str">
        <f>IF(ISNUMBER($A160),Standings!$F159+Standings!$G159,"")</f>
        <v/>
      </c>
      <c r="G160" s="423" t="str">
        <f>IF(Standings!$A159&gt;5,"",Standings!$A159)</f>
        <v/>
      </c>
    </row>
    <row r="161" spans="1:7" x14ac:dyDescent="0.2">
      <c r="A161" s="272" t="str">
        <f>IF(ISNUMBER(Standings!$A160),Standings!$C160,"")</f>
        <v/>
      </c>
      <c r="B161" s="117" t="str">
        <f>IF(ISNUMBER($A161),VLOOKUP($A161,Methuselahs!$A$7:$E$206,5,0),"")</f>
        <v/>
      </c>
      <c r="C161" s="232" t="str">
        <f>Standings!$D160</f>
        <v/>
      </c>
      <c r="D161" s="117" t="str">
        <f>IF(ISNUMBER($A161),VLOOKUP($A161,Methuselahs!$A$7:$F$206,COLUMN(Methuselahs!$F$7),0),"")</f>
        <v/>
      </c>
      <c r="E161" s="116" t="str">
        <f>IF(ISNUMBER($A161),Standings!$E160,"")</f>
        <v/>
      </c>
      <c r="F161" s="273" t="str">
        <f>IF(ISNUMBER($A161),Standings!$F160+Standings!$G160,"")</f>
        <v/>
      </c>
      <c r="G161" s="423" t="str">
        <f>IF(Standings!$A160&gt;5,"",Standings!$A160)</f>
        <v/>
      </c>
    </row>
    <row r="162" spans="1:7" x14ac:dyDescent="0.2">
      <c r="A162" s="272" t="str">
        <f>IF(ISNUMBER(Standings!$A161),Standings!$C161,"")</f>
        <v/>
      </c>
      <c r="B162" s="117" t="str">
        <f>IF(ISNUMBER($A162),VLOOKUP($A162,Methuselahs!$A$7:$E$206,5,0),"")</f>
        <v/>
      </c>
      <c r="C162" s="232" t="str">
        <f>Standings!$D161</f>
        <v/>
      </c>
      <c r="D162" s="117" t="str">
        <f>IF(ISNUMBER($A162),VLOOKUP($A162,Methuselahs!$A$7:$F$206,COLUMN(Methuselahs!$F$7),0),"")</f>
        <v/>
      </c>
      <c r="E162" s="116" t="str">
        <f>IF(ISNUMBER($A162),Standings!$E161,"")</f>
        <v/>
      </c>
      <c r="F162" s="273" t="str">
        <f>IF(ISNUMBER($A162),Standings!$F161+Standings!$G161,"")</f>
        <v/>
      </c>
      <c r="G162" s="423" t="str">
        <f>IF(Standings!$A161&gt;5,"",Standings!$A161)</f>
        <v/>
      </c>
    </row>
    <row r="163" spans="1:7" x14ac:dyDescent="0.2">
      <c r="A163" s="272" t="str">
        <f>IF(ISNUMBER(Standings!$A162),Standings!$C162,"")</f>
        <v/>
      </c>
      <c r="B163" s="117" t="str">
        <f>IF(ISNUMBER($A163),VLOOKUP($A163,Methuselahs!$A$7:$E$206,5,0),"")</f>
        <v/>
      </c>
      <c r="C163" s="232" t="str">
        <f>Standings!$D162</f>
        <v/>
      </c>
      <c r="D163" s="117" t="str">
        <f>IF(ISNUMBER($A163),VLOOKUP($A163,Methuselahs!$A$7:$F$206,COLUMN(Methuselahs!$F$7),0),"")</f>
        <v/>
      </c>
      <c r="E163" s="116" t="str">
        <f>IF(ISNUMBER($A163),Standings!$E162,"")</f>
        <v/>
      </c>
      <c r="F163" s="273" t="str">
        <f>IF(ISNUMBER($A163),Standings!$F162+Standings!$G162,"")</f>
        <v/>
      </c>
      <c r="G163" s="423" t="str">
        <f>IF(Standings!$A162&gt;5,"",Standings!$A162)</f>
        <v/>
      </c>
    </row>
    <row r="164" spans="1:7" x14ac:dyDescent="0.2">
      <c r="A164" s="272" t="str">
        <f>IF(ISNUMBER(Standings!$A163),Standings!$C163,"")</f>
        <v/>
      </c>
      <c r="B164" s="117" t="str">
        <f>IF(ISNUMBER($A164),VLOOKUP($A164,Methuselahs!$A$7:$E$206,5,0),"")</f>
        <v/>
      </c>
      <c r="C164" s="232" t="str">
        <f>Standings!$D163</f>
        <v/>
      </c>
      <c r="D164" s="117" t="str">
        <f>IF(ISNUMBER($A164),VLOOKUP($A164,Methuselahs!$A$7:$F$206,COLUMN(Methuselahs!$F$7),0),"")</f>
        <v/>
      </c>
      <c r="E164" s="116" t="str">
        <f>IF(ISNUMBER($A164),Standings!$E163,"")</f>
        <v/>
      </c>
      <c r="F164" s="273" t="str">
        <f>IF(ISNUMBER($A164),Standings!$F163+Standings!$G163,"")</f>
        <v/>
      </c>
      <c r="G164" s="423" t="str">
        <f>IF(Standings!$A163&gt;5,"",Standings!$A163)</f>
        <v/>
      </c>
    </row>
    <row r="165" spans="1:7" x14ac:dyDescent="0.2">
      <c r="A165" s="272" t="str">
        <f>IF(ISNUMBER(Standings!$A164),Standings!$C164,"")</f>
        <v/>
      </c>
      <c r="B165" s="117" t="str">
        <f>IF(ISNUMBER($A165),VLOOKUP($A165,Methuselahs!$A$7:$E$206,5,0),"")</f>
        <v/>
      </c>
      <c r="C165" s="232" t="str">
        <f>Standings!$D164</f>
        <v/>
      </c>
      <c r="D165" s="117" t="str">
        <f>IF(ISNUMBER($A165),VLOOKUP($A165,Methuselahs!$A$7:$F$206,COLUMN(Methuselahs!$F$7),0),"")</f>
        <v/>
      </c>
      <c r="E165" s="116" t="str">
        <f>IF(ISNUMBER($A165),Standings!$E164,"")</f>
        <v/>
      </c>
      <c r="F165" s="273" t="str">
        <f>IF(ISNUMBER($A165),Standings!$F164+Standings!$G164,"")</f>
        <v/>
      </c>
      <c r="G165" s="423" t="str">
        <f>IF(Standings!$A164&gt;5,"",Standings!$A164)</f>
        <v/>
      </c>
    </row>
    <row r="166" spans="1:7" x14ac:dyDescent="0.2">
      <c r="A166" s="272" t="str">
        <f>IF(ISNUMBER(Standings!$A165),Standings!$C165,"")</f>
        <v/>
      </c>
      <c r="B166" s="117" t="str">
        <f>IF(ISNUMBER($A166),VLOOKUP($A166,Methuselahs!$A$7:$E$206,5,0),"")</f>
        <v/>
      </c>
      <c r="C166" s="232" t="str">
        <f>Standings!$D165</f>
        <v/>
      </c>
      <c r="D166" s="117" t="str">
        <f>IF(ISNUMBER($A166),VLOOKUP($A166,Methuselahs!$A$7:$F$206,COLUMN(Methuselahs!$F$7),0),"")</f>
        <v/>
      </c>
      <c r="E166" s="116" t="str">
        <f>IF(ISNUMBER($A166),Standings!$E165,"")</f>
        <v/>
      </c>
      <c r="F166" s="273" t="str">
        <f>IF(ISNUMBER($A166),Standings!$F165+Standings!$G165,"")</f>
        <v/>
      </c>
      <c r="G166" s="423" t="str">
        <f>IF(Standings!$A165&gt;5,"",Standings!$A165)</f>
        <v/>
      </c>
    </row>
    <row r="167" spans="1:7" x14ac:dyDescent="0.2">
      <c r="A167" s="272" t="str">
        <f>IF(ISNUMBER(Standings!$A166),Standings!$C166,"")</f>
        <v/>
      </c>
      <c r="B167" s="117" t="str">
        <f>IF(ISNUMBER($A167),VLOOKUP($A167,Methuselahs!$A$7:$E$206,5,0),"")</f>
        <v/>
      </c>
      <c r="C167" s="232" t="str">
        <f>Standings!$D166</f>
        <v/>
      </c>
      <c r="D167" s="117" t="str">
        <f>IF(ISNUMBER($A167),VLOOKUP($A167,Methuselahs!$A$7:$F$206,COLUMN(Methuselahs!$F$7),0),"")</f>
        <v/>
      </c>
      <c r="E167" s="116" t="str">
        <f>IF(ISNUMBER($A167),Standings!$E166,"")</f>
        <v/>
      </c>
      <c r="F167" s="273" t="str">
        <f>IF(ISNUMBER($A167),Standings!$F166+Standings!$G166,"")</f>
        <v/>
      </c>
      <c r="G167" s="423" t="str">
        <f>IF(Standings!$A166&gt;5,"",Standings!$A166)</f>
        <v/>
      </c>
    </row>
    <row r="168" spans="1:7" x14ac:dyDescent="0.2">
      <c r="A168" s="272" t="str">
        <f>IF(ISNUMBER(Standings!$A167),Standings!$C167,"")</f>
        <v/>
      </c>
      <c r="B168" s="117" t="str">
        <f>IF(ISNUMBER($A168),VLOOKUP($A168,Methuselahs!$A$7:$E$206,5,0),"")</f>
        <v/>
      </c>
      <c r="C168" s="232" t="str">
        <f>Standings!$D167</f>
        <v/>
      </c>
      <c r="D168" s="117" t="str">
        <f>IF(ISNUMBER($A168),VLOOKUP($A168,Methuselahs!$A$7:$F$206,COLUMN(Methuselahs!$F$7),0),"")</f>
        <v/>
      </c>
      <c r="E168" s="116" t="str">
        <f>IF(ISNUMBER($A168),Standings!$E167,"")</f>
        <v/>
      </c>
      <c r="F168" s="273" t="str">
        <f>IF(ISNUMBER($A168),Standings!$F167+Standings!$G167,"")</f>
        <v/>
      </c>
      <c r="G168" s="423" t="str">
        <f>IF(Standings!$A167&gt;5,"",Standings!$A167)</f>
        <v/>
      </c>
    </row>
    <row r="169" spans="1:7" x14ac:dyDescent="0.2">
      <c r="A169" s="272" t="str">
        <f>IF(ISNUMBER(Standings!$A168),Standings!$C168,"")</f>
        <v/>
      </c>
      <c r="B169" s="117" t="str">
        <f>IF(ISNUMBER($A169),VLOOKUP($A169,Methuselahs!$A$7:$E$206,5,0),"")</f>
        <v/>
      </c>
      <c r="C169" s="232" t="str">
        <f>Standings!$D168</f>
        <v/>
      </c>
      <c r="D169" s="117" t="str">
        <f>IF(ISNUMBER($A169),VLOOKUP($A169,Methuselahs!$A$7:$F$206,COLUMN(Methuselahs!$F$7),0),"")</f>
        <v/>
      </c>
      <c r="E169" s="116" t="str">
        <f>IF(ISNUMBER($A169),Standings!$E168,"")</f>
        <v/>
      </c>
      <c r="F169" s="273" t="str">
        <f>IF(ISNUMBER($A169),Standings!$F168+Standings!$G168,"")</f>
        <v/>
      </c>
      <c r="G169" s="423" t="str">
        <f>IF(Standings!$A168&gt;5,"",Standings!$A168)</f>
        <v/>
      </c>
    </row>
    <row r="170" spans="1:7" x14ac:dyDescent="0.2">
      <c r="A170" s="272" t="str">
        <f>IF(ISNUMBER(Standings!$A169),Standings!$C169,"")</f>
        <v/>
      </c>
      <c r="B170" s="117" t="str">
        <f>IF(ISNUMBER($A170),VLOOKUP($A170,Methuselahs!$A$7:$E$206,5,0),"")</f>
        <v/>
      </c>
      <c r="C170" s="232" t="str">
        <f>Standings!$D169</f>
        <v/>
      </c>
      <c r="D170" s="117" t="str">
        <f>IF(ISNUMBER($A170),VLOOKUP($A170,Methuselahs!$A$7:$F$206,COLUMN(Methuselahs!$F$7),0),"")</f>
        <v/>
      </c>
      <c r="E170" s="116" t="str">
        <f>IF(ISNUMBER($A170),Standings!$E169,"")</f>
        <v/>
      </c>
      <c r="F170" s="273" t="str">
        <f>IF(ISNUMBER($A170),Standings!$F169+Standings!$G169,"")</f>
        <v/>
      </c>
      <c r="G170" s="423" t="str">
        <f>IF(Standings!$A169&gt;5,"",Standings!$A169)</f>
        <v/>
      </c>
    </row>
    <row r="171" spans="1:7" x14ac:dyDescent="0.2">
      <c r="A171" s="272" t="str">
        <f>IF(ISNUMBER(Standings!$A170),Standings!$C170,"")</f>
        <v/>
      </c>
      <c r="B171" s="117" t="str">
        <f>IF(ISNUMBER($A171),VLOOKUP($A171,Methuselahs!$A$7:$E$206,5,0),"")</f>
        <v/>
      </c>
      <c r="C171" s="232" t="str">
        <f>Standings!$D170</f>
        <v/>
      </c>
      <c r="D171" s="117" t="str">
        <f>IF(ISNUMBER($A171),VLOOKUP($A171,Methuselahs!$A$7:$F$206,COLUMN(Methuselahs!$F$7),0),"")</f>
        <v/>
      </c>
      <c r="E171" s="116" t="str">
        <f>IF(ISNUMBER($A171),Standings!$E170,"")</f>
        <v/>
      </c>
      <c r="F171" s="273" t="str">
        <f>IF(ISNUMBER($A171),Standings!$F170+Standings!$G170,"")</f>
        <v/>
      </c>
      <c r="G171" s="423" t="str">
        <f>IF(Standings!$A170&gt;5,"",Standings!$A170)</f>
        <v/>
      </c>
    </row>
    <row r="172" spans="1:7" x14ac:dyDescent="0.2">
      <c r="A172" s="272" t="str">
        <f>IF(ISNUMBER(Standings!$A171),Standings!$C171,"")</f>
        <v/>
      </c>
      <c r="B172" s="117" t="str">
        <f>IF(ISNUMBER($A172),VLOOKUP($A172,Methuselahs!$A$7:$E$206,5,0),"")</f>
        <v/>
      </c>
      <c r="C172" s="232" t="str">
        <f>Standings!$D171</f>
        <v/>
      </c>
      <c r="D172" s="117" t="str">
        <f>IF(ISNUMBER($A172),VLOOKUP($A172,Methuselahs!$A$7:$F$206,COLUMN(Methuselahs!$F$7),0),"")</f>
        <v/>
      </c>
      <c r="E172" s="116" t="str">
        <f>IF(ISNUMBER($A172),Standings!$E171,"")</f>
        <v/>
      </c>
      <c r="F172" s="273" t="str">
        <f>IF(ISNUMBER($A172),Standings!$F171+Standings!$G171,"")</f>
        <v/>
      </c>
      <c r="G172" s="423" t="str">
        <f>IF(Standings!$A171&gt;5,"",Standings!$A171)</f>
        <v/>
      </c>
    </row>
    <row r="173" spans="1:7" x14ac:dyDescent="0.2">
      <c r="A173" s="272" t="str">
        <f>IF(ISNUMBER(Standings!$A172),Standings!$C172,"")</f>
        <v/>
      </c>
      <c r="B173" s="117" t="str">
        <f>IF(ISNUMBER($A173),VLOOKUP($A173,Methuselahs!$A$7:$E$206,5,0),"")</f>
        <v/>
      </c>
      <c r="C173" s="232" t="str">
        <f>Standings!$D172</f>
        <v/>
      </c>
      <c r="D173" s="117" t="str">
        <f>IF(ISNUMBER($A173),VLOOKUP($A173,Methuselahs!$A$7:$F$206,COLUMN(Methuselahs!$F$7),0),"")</f>
        <v/>
      </c>
      <c r="E173" s="116" t="str">
        <f>IF(ISNUMBER($A173),Standings!$E172,"")</f>
        <v/>
      </c>
      <c r="F173" s="273" t="str">
        <f>IF(ISNUMBER($A173),Standings!$F172+Standings!$G172,"")</f>
        <v/>
      </c>
      <c r="G173" s="423" t="str">
        <f>IF(Standings!$A172&gt;5,"",Standings!$A172)</f>
        <v/>
      </c>
    </row>
    <row r="174" spans="1:7" x14ac:dyDescent="0.2">
      <c r="A174" s="272" t="str">
        <f>IF(ISNUMBER(Standings!$A173),Standings!$C173,"")</f>
        <v/>
      </c>
      <c r="B174" s="117" t="str">
        <f>IF(ISNUMBER($A174),VLOOKUP($A174,Methuselahs!$A$7:$E$206,5,0),"")</f>
        <v/>
      </c>
      <c r="C174" s="232" t="str">
        <f>Standings!$D173</f>
        <v/>
      </c>
      <c r="D174" s="117" t="str">
        <f>IF(ISNUMBER($A174),VLOOKUP($A174,Methuselahs!$A$7:$F$206,COLUMN(Methuselahs!$F$7),0),"")</f>
        <v/>
      </c>
      <c r="E174" s="116" t="str">
        <f>IF(ISNUMBER($A174),Standings!$E173,"")</f>
        <v/>
      </c>
      <c r="F174" s="273" t="str">
        <f>IF(ISNUMBER($A174),Standings!$F173+Standings!$G173,"")</f>
        <v/>
      </c>
      <c r="G174" s="423" t="str">
        <f>IF(Standings!$A173&gt;5,"",Standings!$A173)</f>
        <v/>
      </c>
    </row>
    <row r="175" spans="1:7" x14ac:dyDescent="0.2">
      <c r="A175" s="272" t="str">
        <f>IF(ISNUMBER(Standings!$A174),Standings!$C174,"")</f>
        <v/>
      </c>
      <c r="B175" s="117" t="str">
        <f>IF(ISNUMBER($A175),VLOOKUP($A175,Methuselahs!$A$7:$E$206,5,0),"")</f>
        <v/>
      </c>
      <c r="C175" s="232" t="str">
        <f>Standings!$D174</f>
        <v/>
      </c>
      <c r="D175" s="117" t="str">
        <f>IF(ISNUMBER($A175),VLOOKUP($A175,Methuselahs!$A$7:$F$206,COLUMN(Methuselahs!$F$7),0),"")</f>
        <v/>
      </c>
      <c r="E175" s="116" t="str">
        <f>IF(ISNUMBER($A175),Standings!$E174,"")</f>
        <v/>
      </c>
      <c r="F175" s="273" t="str">
        <f>IF(ISNUMBER($A175),Standings!$F174+Standings!$G174,"")</f>
        <v/>
      </c>
      <c r="G175" s="423" t="str">
        <f>IF(Standings!$A174&gt;5,"",Standings!$A174)</f>
        <v/>
      </c>
    </row>
    <row r="176" spans="1:7" x14ac:dyDescent="0.2">
      <c r="A176" s="272" t="str">
        <f>IF(ISNUMBER(Standings!$A175),Standings!$C175,"")</f>
        <v/>
      </c>
      <c r="B176" s="117" t="str">
        <f>IF(ISNUMBER($A176),VLOOKUP($A176,Methuselahs!$A$7:$E$206,5,0),"")</f>
        <v/>
      </c>
      <c r="C176" s="232" t="str">
        <f>Standings!$D175</f>
        <v/>
      </c>
      <c r="D176" s="117" t="str">
        <f>IF(ISNUMBER($A176),VLOOKUP($A176,Methuselahs!$A$7:$F$206,COLUMN(Methuselahs!$F$7),0),"")</f>
        <v/>
      </c>
      <c r="E176" s="116" t="str">
        <f>IF(ISNUMBER($A176),Standings!$E175,"")</f>
        <v/>
      </c>
      <c r="F176" s="273" t="str">
        <f>IF(ISNUMBER($A176),Standings!$F175+Standings!$G175,"")</f>
        <v/>
      </c>
      <c r="G176" s="423" t="str">
        <f>IF(Standings!$A175&gt;5,"",Standings!$A175)</f>
        <v/>
      </c>
    </row>
    <row r="177" spans="1:7" x14ac:dyDescent="0.2">
      <c r="A177" s="272" t="str">
        <f>IF(ISNUMBER(Standings!$A176),Standings!$C176,"")</f>
        <v/>
      </c>
      <c r="B177" s="117" t="str">
        <f>IF(ISNUMBER($A177),VLOOKUP($A177,Methuselahs!$A$7:$E$206,5,0),"")</f>
        <v/>
      </c>
      <c r="C177" s="232" t="str">
        <f>Standings!$D176</f>
        <v/>
      </c>
      <c r="D177" s="117" t="str">
        <f>IF(ISNUMBER($A177),VLOOKUP($A177,Methuselahs!$A$7:$F$206,COLUMN(Methuselahs!$F$7),0),"")</f>
        <v/>
      </c>
      <c r="E177" s="116" t="str">
        <f>IF(ISNUMBER($A177),Standings!$E176,"")</f>
        <v/>
      </c>
      <c r="F177" s="273" t="str">
        <f>IF(ISNUMBER($A177),Standings!$F176+Standings!$G176,"")</f>
        <v/>
      </c>
      <c r="G177" s="423" t="str">
        <f>IF(Standings!$A176&gt;5,"",Standings!$A176)</f>
        <v/>
      </c>
    </row>
    <row r="178" spans="1:7" x14ac:dyDescent="0.2">
      <c r="A178" s="272" t="str">
        <f>IF(ISNUMBER(Standings!$A177),Standings!$C177,"")</f>
        <v/>
      </c>
      <c r="B178" s="117" t="str">
        <f>IF(ISNUMBER($A178),VLOOKUP($A178,Methuselahs!$A$7:$E$206,5,0),"")</f>
        <v/>
      </c>
      <c r="C178" s="232" t="str">
        <f>Standings!$D177</f>
        <v/>
      </c>
      <c r="D178" s="117" t="str">
        <f>IF(ISNUMBER($A178),VLOOKUP($A178,Methuselahs!$A$7:$F$206,COLUMN(Methuselahs!$F$7),0),"")</f>
        <v/>
      </c>
      <c r="E178" s="116" t="str">
        <f>IF(ISNUMBER($A178),Standings!$E177,"")</f>
        <v/>
      </c>
      <c r="F178" s="273" t="str">
        <f>IF(ISNUMBER($A178),Standings!$F177+Standings!$G177,"")</f>
        <v/>
      </c>
      <c r="G178" s="423" t="str">
        <f>IF(Standings!$A177&gt;5,"",Standings!$A177)</f>
        <v/>
      </c>
    </row>
    <row r="179" spans="1:7" x14ac:dyDescent="0.2">
      <c r="A179" s="272" t="str">
        <f>IF(ISNUMBER(Standings!$A178),Standings!$C178,"")</f>
        <v/>
      </c>
      <c r="B179" s="117" t="str">
        <f>IF(ISNUMBER($A179),VLOOKUP($A179,Methuselahs!$A$7:$E$206,5,0),"")</f>
        <v/>
      </c>
      <c r="C179" s="232" t="str">
        <f>Standings!$D178</f>
        <v/>
      </c>
      <c r="D179" s="117" t="str">
        <f>IF(ISNUMBER($A179),VLOOKUP($A179,Methuselahs!$A$7:$F$206,COLUMN(Methuselahs!$F$7),0),"")</f>
        <v/>
      </c>
      <c r="E179" s="116" t="str">
        <f>IF(ISNUMBER($A179),Standings!$E178,"")</f>
        <v/>
      </c>
      <c r="F179" s="273" t="str">
        <f>IF(ISNUMBER($A179),Standings!$F178+Standings!$G178,"")</f>
        <v/>
      </c>
      <c r="G179" s="423" t="str">
        <f>IF(Standings!$A178&gt;5,"",Standings!$A178)</f>
        <v/>
      </c>
    </row>
    <row r="180" spans="1:7" x14ac:dyDescent="0.2">
      <c r="A180" s="272" t="str">
        <f>IF(ISNUMBER(Standings!$A179),Standings!$C179,"")</f>
        <v/>
      </c>
      <c r="B180" s="117" t="str">
        <f>IF(ISNUMBER($A180),VLOOKUP($A180,Methuselahs!$A$7:$E$206,5,0),"")</f>
        <v/>
      </c>
      <c r="C180" s="232" t="str">
        <f>Standings!$D179</f>
        <v/>
      </c>
      <c r="D180" s="117" t="str">
        <f>IF(ISNUMBER($A180),VLOOKUP($A180,Methuselahs!$A$7:$F$206,COLUMN(Methuselahs!$F$7),0),"")</f>
        <v/>
      </c>
      <c r="E180" s="116" t="str">
        <f>IF(ISNUMBER($A180),Standings!$E179,"")</f>
        <v/>
      </c>
      <c r="F180" s="273" t="str">
        <f>IF(ISNUMBER($A180),Standings!$F179+Standings!$G179,"")</f>
        <v/>
      </c>
      <c r="G180" s="423" t="str">
        <f>IF(Standings!$A179&gt;5,"",Standings!$A179)</f>
        <v/>
      </c>
    </row>
    <row r="181" spans="1:7" x14ac:dyDescent="0.2">
      <c r="A181" s="272" t="str">
        <f>IF(ISNUMBER(Standings!$A180),Standings!$C180,"")</f>
        <v/>
      </c>
      <c r="B181" s="117" t="str">
        <f>IF(ISNUMBER($A181),VLOOKUP($A181,Methuselahs!$A$7:$E$206,5,0),"")</f>
        <v/>
      </c>
      <c r="C181" s="232" t="str">
        <f>Standings!$D180</f>
        <v/>
      </c>
      <c r="D181" s="117" t="str">
        <f>IF(ISNUMBER($A181),VLOOKUP($A181,Methuselahs!$A$7:$F$206,COLUMN(Methuselahs!$F$7),0),"")</f>
        <v/>
      </c>
      <c r="E181" s="116" t="str">
        <f>IF(ISNUMBER($A181),Standings!$E180,"")</f>
        <v/>
      </c>
      <c r="F181" s="273" t="str">
        <f>IF(ISNUMBER($A181),Standings!$F180+Standings!$G180,"")</f>
        <v/>
      </c>
      <c r="G181" s="423" t="str">
        <f>IF(Standings!$A180&gt;5,"",Standings!$A180)</f>
        <v/>
      </c>
    </row>
    <row r="182" spans="1:7" x14ac:dyDescent="0.2">
      <c r="A182" s="272" t="str">
        <f>IF(ISNUMBER(Standings!$A181),Standings!$C181,"")</f>
        <v/>
      </c>
      <c r="B182" s="117" t="str">
        <f>IF(ISNUMBER($A182),VLOOKUP($A182,Methuselahs!$A$7:$E$206,5,0),"")</f>
        <v/>
      </c>
      <c r="C182" s="232" t="str">
        <f>Standings!$D181</f>
        <v/>
      </c>
      <c r="D182" s="117" t="str">
        <f>IF(ISNUMBER($A182),VLOOKUP($A182,Methuselahs!$A$7:$F$206,COLUMN(Methuselahs!$F$7),0),"")</f>
        <v/>
      </c>
      <c r="E182" s="116" t="str">
        <f>IF(ISNUMBER($A182),Standings!$E181,"")</f>
        <v/>
      </c>
      <c r="F182" s="273" t="str">
        <f>IF(ISNUMBER($A182),Standings!$F181+Standings!$G181,"")</f>
        <v/>
      </c>
      <c r="G182" s="423" t="str">
        <f>IF(Standings!$A181&gt;5,"",Standings!$A181)</f>
        <v/>
      </c>
    </row>
    <row r="183" spans="1:7" x14ac:dyDescent="0.2">
      <c r="A183" s="272" t="str">
        <f>IF(ISNUMBER(Standings!$A182),Standings!$C182,"")</f>
        <v/>
      </c>
      <c r="B183" s="117" t="str">
        <f>IF(ISNUMBER($A183),VLOOKUP($A183,Methuselahs!$A$7:$E$206,5,0),"")</f>
        <v/>
      </c>
      <c r="C183" s="232" t="str">
        <f>Standings!$D182</f>
        <v/>
      </c>
      <c r="D183" s="117" t="str">
        <f>IF(ISNUMBER($A183),VLOOKUP($A183,Methuselahs!$A$7:$F$206,COLUMN(Methuselahs!$F$7),0),"")</f>
        <v/>
      </c>
      <c r="E183" s="116" t="str">
        <f>IF(ISNUMBER($A183),Standings!$E182,"")</f>
        <v/>
      </c>
      <c r="F183" s="273" t="str">
        <f>IF(ISNUMBER($A183),Standings!$F182+Standings!$G182,"")</f>
        <v/>
      </c>
      <c r="G183" s="423" t="str">
        <f>IF(Standings!$A182&gt;5,"",Standings!$A182)</f>
        <v/>
      </c>
    </row>
    <row r="184" spans="1:7" x14ac:dyDescent="0.2">
      <c r="A184" s="272" t="str">
        <f>IF(ISNUMBER(Standings!$A183),Standings!$C183,"")</f>
        <v/>
      </c>
      <c r="B184" s="117" t="str">
        <f>IF(ISNUMBER($A184),VLOOKUP($A184,Methuselahs!$A$7:$E$206,5,0),"")</f>
        <v/>
      </c>
      <c r="C184" s="232" t="str">
        <f>Standings!$D183</f>
        <v/>
      </c>
      <c r="D184" s="117" t="str">
        <f>IF(ISNUMBER($A184),VLOOKUP($A184,Methuselahs!$A$7:$F$206,COLUMN(Methuselahs!$F$7),0),"")</f>
        <v/>
      </c>
      <c r="E184" s="116" t="str">
        <f>IF(ISNUMBER($A184),Standings!$E183,"")</f>
        <v/>
      </c>
      <c r="F184" s="273" t="str">
        <f>IF(ISNUMBER($A184),Standings!$F183+Standings!$G183,"")</f>
        <v/>
      </c>
      <c r="G184" s="423" t="str">
        <f>IF(Standings!$A183&gt;5,"",Standings!$A183)</f>
        <v/>
      </c>
    </row>
    <row r="185" spans="1:7" x14ac:dyDescent="0.2">
      <c r="A185" s="272" t="str">
        <f>IF(ISNUMBER(Standings!$A184),Standings!$C184,"")</f>
        <v/>
      </c>
      <c r="B185" s="117" t="str">
        <f>IF(ISNUMBER($A185),VLOOKUP($A185,Methuselahs!$A$7:$E$206,5,0),"")</f>
        <v/>
      </c>
      <c r="C185" s="232" t="str">
        <f>Standings!$D184</f>
        <v/>
      </c>
      <c r="D185" s="117" t="str">
        <f>IF(ISNUMBER($A185),VLOOKUP($A185,Methuselahs!$A$7:$F$206,COLUMN(Methuselahs!$F$7),0),"")</f>
        <v/>
      </c>
      <c r="E185" s="116" t="str">
        <f>IF(ISNUMBER($A185),Standings!$E184,"")</f>
        <v/>
      </c>
      <c r="F185" s="273" t="str">
        <f>IF(ISNUMBER($A185),Standings!$F184+Standings!$G184,"")</f>
        <v/>
      </c>
      <c r="G185" s="423" t="str">
        <f>IF(Standings!$A184&gt;5,"",Standings!$A184)</f>
        <v/>
      </c>
    </row>
    <row r="186" spans="1:7" x14ac:dyDescent="0.2">
      <c r="A186" s="272" t="str">
        <f>IF(ISNUMBER(Standings!$A185),Standings!$C185,"")</f>
        <v/>
      </c>
      <c r="B186" s="117" t="str">
        <f>IF(ISNUMBER($A186),VLOOKUP($A186,Methuselahs!$A$7:$E$206,5,0),"")</f>
        <v/>
      </c>
      <c r="C186" s="232" t="str">
        <f>Standings!$D185</f>
        <v/>
      </c>
      <c r="D186" s="117" t="str">
        <f>IF(ISNUMBER($A186),VLOOKUP($A186,Methuselahs!$A$7:$F$206,COLUMN(Methuselahs!$F$7),0),"")</f>
        <v/>
      </c>
      <c r="E186" s="116" t="str">
        <f>IF(ISNUMBER($A186),Standings!$E185,"")</f>
        <v/>
      </c>
      <c r="F186" s="273" t="str">
        <f>IF(ISNUMBER($A186),Standings!$F185+Standings!$G185,"")</f>
        <v/>
      </c>
      <c r="G186" s="423" t="str">
        <f>IF(Standings!$A185&gt;5,"",Standings!$A185)</f>
        <v/>
      </c>
    </row>
    <row r="187" spans="1:7" x14ac:dyDescent="0.2">
      <c r="A187" s="272" t="str">
        <f>IF(ISNUMBER(Standings!$A186),Standings!$C186,"")</f>
        <v/>
      </c>
      <c r="B187" s="117" t="str">
        <f>IF(ISNUMBER($A187),VLOOKUP($A187,Methuselahs!$A$7:$E$206,5,0),"")</f>
        <v/>
      </c>
      <c r="C187" s="232" t="str">
        <f>Standings!$D186</f>
        <v/>
      </c>
      <c r="D187" s="117" t="str">
        <f>IF(ISNUMBER($A187),VLOOKUP($A187,Methuselahs!$A$7:$F$206,COLUMN(Methuselahs!$F$7),0),"")</f>
        <v/>
      </c>
      <c r="E187" s="116" t="str">
        <f>IF(ISNUMBER($A187),Standings!$E186,"")</f>
        <v/>
      </c>
      <c r="F187" s="273" t="str">
        <f>IF(ISNUMBER($A187),Standings!$F186+Standings!$G186,"")</f>
        <v/>
      </c>
      <c r="G187" s="423" t="str">
        <f>IF(Standings!$A186&gt;5,"",Standings!$A186)</f>
        <v/>
      </c>
    </row>
    <row r="188" spans="1:7" x14ac:dyDescent="0.2">
      <c r="A188" s="272" t="str">
        <f>IF(ISNUMBER(Standings!$A187),Standings!$C187,"")</f>
        <v/>
      </c>
      <c r="B188" s="117" t="str">
        <f>IF(ISNUMBER($A188),VLOOKUP($A188,Methuselahs!$A$7:$E$206,5,0),"")</f>
        <v/>
      </c>
      <c r="C188" s="232" t="str">
        <f>Standings!$D187</f>
        <v/>
      </c>
      <c r="D188" s="117" t="str">
        <f>IF(ISNUMBER($A188),VLOOKUP($A188,Methuselahs!$A$7:$F$206,COLUMN(Methuselahs!$F$7),0),"")</f>
        <v/>
      </c>
      <c r="E188" s="116" t="str">
        <f>IF(ISNUMBER($A188),Standings!$E187,"")</f>
        <v/>
      </c>
      <c r="F188" s="273" t="str">
        <f>IF(ISNUMBER($A188),Standings!$F187+Standings!$G187,"")</f>
        <v/>
      </c>
      <c r="G188" s="423" t="str">
        <f>IF(Standings!$A187&gt;5,"",Standings!$A187)</f>
        <v/>
      </c>
    </row>
    <row r="189" spans="1:7" x14ac:dyDescent="0.2">
      <c r="A189" s="272" t="str">
        <f>IF(ISNUMBER(Standings!$A188),Standings!$C188,"")</f>
        <v/>
      </c>
      <c r="B189" s="117" t="str">
        <f>IF(ISNUMBER($A189),VLOOKUP($A189,Methuselahs!$A$7:$E$206,5,0),"")</f>
        <v/>
      </c>
      <c r="C189" s="232" t="str">
        <f>Standings!$D188</f>
        <v/>
      </c>
      <c r="D189" s="117" t="str">
        <f>IF(ISNUMBER($A189),VLOOKUP($A189,Methuselahs!$A$7:$F$206,COLUMN(Methuselahs!$F$7),0),"")</f>
        <v/>
      </c>
      <c r="E189" s="116" t="str">
        <f>IF(ISNUMBER($A189),Standings!$E188,"")</f>
        <v/>
      </c>
      <c r="F189" s="273" t="str">
        <f>IF(ISNUMBER($A189),Standings!$F188+Standings!$G188,"")</f>
        <v/>
      </c>
      <c r="G189" s="423" t="str">
        <f>IF(Standings!$A188&gt;5,"",Standings!$A188)</f>
        <v/>
      </c>
    </row>
    <row r="190" spans="1:7" x14ac:dyDescent="0.2">
      <c r="A190" s="272" t="str">
        <f>IF(ISNUMBER(Standings!$A189),Standings!$C189,"")</f>
        <v/>
      </c>
      <c r="B190" s="117" t="str">
        <f>IF(ISNUMBER($A190),VLOOKUP($A190,Methuselahs!$A$7:$E$206,5,0),"")</f>
        <v/>
      </c>
      <c r="C190" s="232" t="str">
        <f>Standings!$D189</f>
        <v/>
      </c>
      <c r="D190" s="117" t="str">
        <f>IF(ISNUMBER($A190),VLOOKUP($A190,Methuselahs!$A$7:$F$206,COLUMN(Methuselahs!$F$7),0),"")</f>
        <v/>
      </c>
      <c r="E190" s="116" t="str">
        <f>IF(ISNUMBER($A190),Standings!$E189,"")</f>
        <v/>
      </c>
      <c r="F190" s="273" t="str">
        <f>IF(ISNUMBER($A190),Standings!$F189+Standings!$G189,"")</f>
        <v/>
      </c>
      <c r="G190" s="423" t="str">
        <f>IF(Standings!$A189&gt;5,"",Standings!$A189)</f>
        <v/>
      </c>
    </row>
    <row r="191" spans="1:7" x14ac:dyDescent="0.2">
      <c r="A191" s="272" t="str">
        <f>IF(ISNUMBER(Standings!$A190),Standings!$C190,"")</f>
        <v/>
      </c>
      <c r="B191" s="117" t="str">
        <f>IF(ISNUMBER($A191),VLOOKUP($A191,Methuselahs!$A$7:$E$206,5,0),"")</f>
        <v/>
      </c>
      <c r="C191" s="232" t="str">
        <f>Standings!$D190</f>
        <v/>
      </c>
      <c r="D191" s="117" t="str">
        <f>IF(ISNUMBER($A191),VLOOKUP($A191,Methuselahs!$A$7:$F$206,COLUMN(Methuselahs!$F$7),0),"")</f>
        <v/>
      </c>
      <c r="E191" s="116" t="str">
        <f>IF(ISNUMBER($A191),Standings!$E190,"")</f>
        <v/>
      </c>
      <c r="F191" s="273" t="str">
        <f>IF(ISNUMBER($A191),Standings!$F190+Standings!$G190,"")</f>
        <v/>
      </c>
      <c r="G191" s="423" t="str">
        <f>IF(Standings!$A190&gt;5,"",Standings!$A190)</f>
        <v/>
      </c>
    </row>
    <row r="192" spans="1:7" x14ac:dyDescent="0.2">
      <c r="A192" s="272" t="str">
        <f>IF(ISNUMBER(Standings!$A191),Standings!$C191,"")</f>
        <v/>
      </c>
      <c r="B192" s="117" t="str">
        <f>IF(ISNUMBER($A192),VLOOKUP($A192,Methuselahs!$A$7:$E$206,5,0),"")</f>
        <v/>
      </c>
      <c r="C192" s="232" t="str">
        <f>Standings!$D191</f>
        <v/>
      </c>
      <c r="D192" s="117" t="str">
        <f>IF(ISNUMBER($A192),VLOOKUP($A192,Methuselahs!$A$7:$F$206,COLUMN(Methuselahs!$F$7),0),"")</f>
        <v/>
      </c>
      <c r="E192" s="116" t="str">
        <f>IF(ISNUMBER($A192),Standings!$E191,"")</f>
        <v/>
      </c>
      <c r="F192" s="273" t="str">
        <f>IF(ISNUMBER($A192),Standings!$F191+Standings!$G191,"")</f>
        <v/>
      </c>
      <c r="G192" s="423" t="str">
        <f>IF(Standings!$A191&gt;5,"",Standings!$A191)</f>
        <v/>
      </c>
    </row>
    <row r="193" spans="1:7" x14ac:dyDescent="0.2">
      <c r="A193" s="272" t="str">
        <f>IF(ISNUMBER(Standings!$A192),Standings!$C192,"")</f>
        <v/>
      </c>
      <c r="B193" s="117" t="str">
        <f>IF(ISNUMBER($A193),VLOOKUP($A193,Methuselahs!$A$7:$E$206,5,0),"")</f>
        <v/>
      </c>
      <c r="C193" s="232" t="str">
        <f>Standings!$D192</f>
        <v/>
      </c>
      <c r="D193" s="117" t="str">
        <f>IF(ISNUMBER($A193),VLOOKUP($A193,Methuselahs!$A$7:$F$206,COLUMN(Methuselahs!$F$7),0),"")</f>
        <v/>
      </c>
      <c r="E193" s="116" t="str">
        <f>IF(ISNUMBER($A193),Standings!$E192,"")</f>
        <v/>
      </c>
      <c r="F193" s="273" t="str">
        <f>IF(ISNUMBER($A193),Standings!$F192+Standings!$G192,"")</f>
        <v/>
      </c>
      <c r="G193" s="423" t="str">
        <f>IF(Standings!$A192&gt;5,"",Standings!$A192)</f>
        <v/>
      </c>
    </row>
    <row r="194" spans="1:7" x14ac:dyDescent="0.2">
      <c r="A194" s="272" t="str">
        <f>IF(ISNUMBER(Standings!$A193),Standings!$C193,"")</f>
        <v/>
      </c>
      <c r="B194" s="117" t="str">
        <f>IF(ISNUMBER($A194),VLOOKUP($A194,Methuselahs!$A$7:$E$206,5,0),"")</f>
        <v/>
      </c>
      <c r="C194" s="232" t="str">
        <f>Standings!$D193</f>
        <v/>
      </c>
      <c r="D194" s="117" t="str">
        <f>IF(ISNUMBER($A194),VLOOKUP($A194,Methuselahs!$A$7:$F$206,COLUMN(Methuselahs!$F$7),0),"")</f>
        <v/>
      </c>
      <c r="E194" s="116" t="str">
        <f>IF(ISNUMBER($A194),Standings!$E193,"")</f>
        <v/>
      </c>
      <c r="F194" s="273" t="str">
        <f>IF(ISNUMBER($A194),Standings!$F193+Standings!$G193,"")</f>
        <v/>
      </c>
      <c r="G194" s="423" t="str">
        <f>IF(Standings!$A193&gt;5,"",Standings!$A193)</f>
        <v/>
      </c>
    </row>
    <row r="195" spans="1:7" x14ac:dyDescent="0.2">
      <c r="A195" s="272" t="str">
        <f>IF(ISNUMBER(Standings!$A194),Standings!$C194,"")</f>
        <v/>
      </c>
      <c r="B195" s="117" t="str">
        <f>IF(ISNUMBER($A195),VLOOKUP($A195,Methuselahs!$A$7:$E$206,5,0),"")</f>
        <v/>
      </c>
      <c r="C195" s="232" t="str">
        <f>Standings!$D194</f>
        <v/>
      </c>
      <c r="D195" s="117" t="str">
        <f>IF(ISNUMBER($A195),VLOOKUP($A195,Methuselahs!$A$7:$F$206,COLUMN(Methuselahs!$F$7),0),"")</f>
        <v/>
      </c>
      <c r="E195" s="116" t="str">
        <f>IF(ISNUMBER($A195),Standings!$E194,"")</f>
        <v/>
      </c>
      <c r="F195" s="273" t="str">
        <f>IF(ISNUMBER($A195),Standings!$F194+Standings!$G194,"")</f>
        <v/>
      </c>
      <c r="G195" s="423" t="str">
        <f>IF(Standings!$A194&gt;5,"",Standings!$A194)</f>
        <v/>
      </c>
    </row>
    <row r="196" spans="1:7" x14ac:dyDescent="0.2">
      <c r="A196" s="272" t="str">
        <f>IF(ISNUMBER(Standings!$A195),Standings!$C195,"")</f>
        <v/>
      </c>
      <c r="B196" s="117" t="str">
        <f>IF(ISNUMBER($A196),VLOOKUP($A196,Methuselahs!$A$7:$E$206,5,0),"")</f>
        <v/>
      </c>
      <c r="C196" s="232" t="str">
        <f>Standings!$D195</f>
        <v/>
      </c>
      <c r="D196" s="117" t="str">
        <f>IF(ISNUMBER($A196),VLOOKUP($A196,Methuselahs!$A$7:$F$206,COLUMN(Methuselahs!$F$7),0),"")</f>
        <v/>
      </c>
      <c r="E196" s="116" t="str">
        <f>IF(ISNUMBER($A196),Standings!$E195,"")</f>
        <v/>
      </c>
      <c r="F196" s="273" t="str">
        <f>IF(ISNUMBER($A196),Standings!$F195+Standings!$G195,"")</f>
        <v/>
      </c>
      <c r="G196" s="423" t="str">
        <f>IF(Standings!$A195&gt;5,"",Standings!$A195)</f>
        <v/>
      </c>
    </row>
    <row r="197" spans="1:7" x14ac:dyDescent="0.2">
      <c r="A197" s="272" t="str">
        <f>IF(ISNUMBER(Standings!$A196),Standings!$C196,"")</f>
        <v/>
      </c>
      <c r="B197" s="117" t="str">
        <f>IF(ISNUMBER($A197),VLOOKUP($A197,Methuselahs!$A$7:$E$206,5,0),"")</f>
        <v/>
      </c>
      <c r="C197" s="232" t="str">
        <f>Standings!$D196</f>
        <v/>
      </c>
      <c r="D197" s="117" t="str">
        <f>IF(ISNUMBER($A197),VLOOKUP($A197,Methuselahs!$A$7:$F$206,COLUMN(Methuselahs!$F$7),0),"")</f>
        <v/>
      </c>
      <c r="E197" s="116" t="str">
        <f>IF(ISNUMBER($A197),Standings!$E196,"")</f>
        <v/>
      </c>
      <c r="F197" s="273" t="str">
        <f>IF(ISNUMBER($A197),Standings!$F196+Standings!$G196,"")</f>
        <v/>
      </c>
      <c r="G197" s="423" t="str">
        <f>IF(Standings!$A196&gt;5,"",Standings!$A196)</f>
        <v/>
      </c>
    </row>
    <row r="198" spans="1:7" x14ac:dyDescent="0.2">
      <c r="A198" s="272" t="str">
        <f>IF(ISNUMBER(Standings!$A197),Standings!$C197,"")</f>
        <v/>
      </c>
      <c r="B198" s="117" t="str">
        <f>IF(ISNUMBER($A198),VLOOKUP($A198,Methuselahs!$A$7:$E$206,5,0),"")</f>
        <v/>
      </c>
      <c r="C198" s="232" t="str">
        <f>Standings!$D197</f>
        <v/>
      </c>
      <c r="D198" s="117" t="str">
        <f>IF(ISNUMBER($A198),VLOOKUP($A198,Methuselahs!$A$7:$F$206,COLUMN(Methuselahs!$F$7),0),"")</f>
        <v/>
      </c>
      <c r="E198" s="116" t="str">
        <f>IF(ISNUMBER($A198),Standings!$E197,"")</f>
        <v/>
      </c>
      <c r="F198" s="273" t="str">
        <f>IF(ISNUMBER($A198),Standings!$F197+Standings!$G197,"")</f>
        <v/>
      </c>
      <c r="G198" s="423" t="str">
        <f>IF(Standings!$A197&gt;5,"",Standings!$A197)</f>
        <v/>
      </c>
    </row>
    <row r="199" spans="1:7" x14ac:dyDescent="0.2">
      <c r="A199" s="272" t="str">
        <f>IF(ISNUMBER(Standings!$A198),Standings!$C198,"")</f>
        <v/>
      </c>
      <c r="B199" s="117" t="str">
        <f>IF(ISNUMBER($A199),VLOOKUP($A199,Methuselahs!$A$7:$E$206,5,0),"")</f>
        <v/>
      </c>
      <c r="C199" s="232" t="str">
        <f>Standings!$D198</f>
        <v/>
      </c>
      <c r="D199" s="117" t="str">
        <f>IF(ISNUMBER($A199),VLOOKUP($A199,Methuselahs!$A$7:$F$206,COLUMN(Methuselahs!$F$7),0),"")</f>
        <v/>
      </c>
      <c r="E199" s="116" t="str">
        <f>IF(ISNUMBER($A199),Standings!$E198,"")</f>
        <v/>
      </c>
      <c r="F199" s="273" t="str">
        <f>IF(ISNUMBER($A199),Standings!$F198+Standings!$G198,"")</f>
        <v/>
      </c>
      <c r="G199" s="423" t="str">
        <f>IF(Standings!$A198&gt;5,"",Standings!$A198)</f>
        <v/>
      </c>
    </row>
    <row r="200" spans="1:7" x14ac:dyDescent="0.2">
      <c r="A200" s="272" t="str">
        <f>IF(ISNUMBER(Standings!$A199),Standings!$C199,"")</f>
        <v/>
      </c>
      <c r="B200" s="117" t="str">
        <f>IF(ISNUMBER($A200),VLOOKUP($A200,Methuselahs!$A$7:$E$206,5,0),"")</f>
        <v/>
      </c>
      <c r="C200" s="232" t="str">
        <f>Standings!$D199</f>
        <v/>
      </c>
      <c r="D200" s="117" t="str">
        <f>IF(ISNUMBER($A200),VLOOKUP($A200,Methuselahs!$A$7:$F$206,COLUMN(Methuselahs!$F$7),0),"")</f>
        <v/>
      </c>
      <c r="E200" s="116" t="str">
        <f>IF(ISNUMBER($A200),Standings!$E199,"")</f>
        <v/>
      </c>
      <c r="F200" s="273" t="str">
        <f>IF(ISNUMBER($A200),Standings!$F199+Standings!$G199,"")</f>
        <v/>
      </c>
      <c r="G200" s="423" t="str">
        <f>IF(Standings!$A199&gt;5,"",Standings!$A199)</f>
        <v/>
      </c>
    </row>
    <row r="201" spans="1:7" x14ac:dyDescent="0.2">
      <c r="A201" s="272" t="str">
        <f>IF(ISNUMBER(Standings!$A200),Standings!$C200,"")</f>
        <v/>
      </c>
      <c r="B201" s="117" t="str">
        <f>IF(ISNUMBER($A201),VLOOKUP($A201,Methuselahs!$A$7:$E$206,5,0),"")</f>
        <v/>
      </c>
      <c r="C201" s="232" t="str">
        <f>Standings!$D200</f>
        <v/>
      </c>
      <c r="D201" s="117" t="str">
        <f>IF(ISNUMBER($A201),VLOOKUP($A201,Methuselahs!$A$7:$F$206,COLUMN(Methuselahs!$F$7),0),"")</f>
        <v/>
      </c>
      <c r="E201" s="116" t="str">
        <f>IF(ISNUMBER($A201),Standings!$E200,"")</f>
        <v/>
      </c>
      <c r="F201" s="273" t="str">
        <f>IF(ISNUMBER($A201),Standings!$F200+Standings!$G200,"")</f>
        <v/>
      </c>
      <c r="G201" s="423" t="str">
        <f>IF(Standings!$A200&gt;5,"",Standings!$A200)</f>
        <v/>
      </c>
    </row>
    <row r="202" spans="1:7" x14ac:dyDescent="0.2">
      <c r="A202" s="272" t="str">
        <f>IF(ISNUMBER(Standings!$A201),Standings!$C201,"")</f>
        <v/>
      </c>
      <c r="B202" s="117" t="str">
        <f>IF(ISNUMBER($A202),VLOOKUP($A202,Methuselahs!$A$7:$E$206,5,0),"")</f>
        <v/>
      </c>
      <c r="C202" s="232" t="str">
        <f>Standings!$D201</f>
        <v/>
      </c>
      <c r="D202" s="117" t="str">
        <f>IF(ISNUMBER($A202),VLOOKUP($A202,Methuselahs!$A$7:$F$206,COLUMN(Methuselahs!$F$7),0),"")</f>
        <v/>
      </c>
      <c r="E202" s="116" t="str">
        <f>IF(ISNUMBER($A202),Standings!$E201,"")</f>
        <v/>
      </c>
      <c r="F202" s="273" t="str">
        <f>IF(ISNUMBER($A202),Standings!$F201+Standings!$G201,"")</f>
        <v/>
      </c>
      <c r="G202" s="423" t="str">
        <f>IF(Standings!$A201&gt;5,"",Standings!$A201)</f>
        <v/>
      </c>
    </row>
    <row r="203" spans="1:7" x14ac:dyDescent="0.2">
      <c r="A203" s="272" t="str">
        <f>IF(ISNUMBER(Standings!$A202),Standings!$C202,"")</f>
        <v/>
      </c>
      <c r="B203" s="117" t="str">
        <f>IF(ISNUMBER($A203),VLOOKUP($A203,Methuselahs!$A$7:$E$206,5,0),"")</f>
        <v/>
      </c>
      <c r="C203" s="232" t="str">
        <f>Standings!$D202</f>
        <v/>
      </c>
      <c r="D203" s="117" t="str">
        <f>IF(ISNUMBER($A203),VLOOKUP($A203,Methuselahs!$A$7:$F$206,COLUMN(Methuselahs!$F$7),0),"")</f>
        <v/>
      </c>
      <c r="E203" s="116" t="str">
        <f>IF(ISNUMBER($A203),Standings!$E202,"")</f>
        <v/>
      </c>
      <c r="F203" s="273" t="str">
        <f>IF(ISNUMBER($A203),Standings!$F202+Standings!$G202,"")</f>
        <v/>
      </c>
      <c r="G203" s="423" t="str">
        <f>IF(Standings!$A202&gt;5,"",Standings!$A202)</f>
        <v/>
      </c>
    </row>
    <row r="204" spans="1:7" x14ac:dyDescent="0.2">
      <c r="A204" s="272" t="str">
        <f>IF(ISNUMBER(Standings!$A203),Standings!$C203,"")</f>
        <v/>
      </c>
      <c r="B204" s="117" t="str">
        <f>IF(ISNUMBER($A204),VLOOKUP($A204,Methuselahs!$A$7:$E$206,5,0),"")</f>
        <v/>
      </c>
      <c r="C204" s="232" t="str">
        <f>Standings!$D203</f>
        <v/>
      </c>
      <c r="D204" s="117" t="str">
        <f>IF(ISNUMBER($A204),VLOOKUP($A204,Methuselahs!$A$7:$F$206,COLUMN(Methuselahs!$F$7),0),"")</f>
        <v/>
      </c>
      <c r="E204" s="116" t="str">
        <f>IF(ISNUMBER($A204),Standings!$E203,"")</f>
        <v/>
      </c>
      <c r="F204" s="273" t="str">
        <f>IF(ISNUMBER($A204),Standings!$F203+Standings!$G203,"")</f>
        <v/>
      </c>
      <c r="G204" s="423" t="str">
        <f>IF(Standings!$A203&gt;5,"",Standings!$A203)</f>
        <v/>
      </c>
    </row>
    <row r="205" spans="1:7" x14ac:dyDescent="0.2">
      <c r="A205" s="272" t="str">
        <f>IF(ISNUMBER(Standings!$A204),Standings!$C204,"")</f>
        <v/>
      </c>
      <c r="B205" s="117" t="str">
        <f>IF(ISNUMBER($A205),VLOOKUP($A205,Methuselahs!$A$7:$E$206,5,0),"")</f>
        <v/>
      </c>
      <c r="C205" s="232" t="str">
        <f>Standings!$D204</f>
        <v/>
      </c>
      <c r="D205" s="117" t="str">
        <f>IF(ISNUMBER($A205),VLOOKUP($A205,Methuselahs!$A$7:$F$206,COLUMN(Methuselahs!$F$7),0),"")</f>
        <v/>
      </c>
      <c r="E205" s="116" t="str">
        <f>IF(ISNUMBER($A205),Standings!$E204,"")</f>
        <v/>
      </c>
      <c r="F205" s="273" t="str">
        <f>IF(ISNUMBER($A205),Standings!$F204+Standings!$G204,"")</f>
        <v/>
      </c>
      <c r="G205" s="423" t="str">
        <f>IF(Standings!$A204&gt;5,"",Standings!$A204)</f>
        <v/>
      </c>
    </row>
    <row r="206" spans="1:7" x14ac:dyDescent="0.2">
      <c r="A206" s="424" t="str">
        <f>IF(ISNUMBER(Standings!$A205),Standings!$C205,"")</f>
        <v/>
      </c>
      <c r="B206" s="154" t="str">
        <f>IF(ISNUMBER($A206),VLOOKUP($A206,Methuselahs!$A$7:$E$206,5,0),"")</f>
        <v/>
      </c>
      <c r="C206" s="425" t="str">
        <f>Standings!$D205</f>
        <v/>
      </c>
      <c r="D206" s="154" t="str">
        <f>IF(ISNUMBER($A206),VLOOKUP($A206,Methuselahs!$A$7:$F$206,COLUMN(Methuselahs!$F$7),0),"")</f>
        <v/>
      </c>
      <c r="E206" s="153" t="str">
        <f>IF(ISNUMBER($A206),Standings!$E205,"")</f>
        <v/>
      </c>
      <c r="F206" s="426" t="str">
        <f>IF(ISNUMBER($A206),Standings!$F205+Standings!$G205,"")</f>
        <v/>
      </c>
      <c r="G206" s="427" t="str">
        <f>IF(Standings!$A205&gt;5,"",Standings!$A205)</f>
        <v/>
      </c>
    </row>
  </sheetData>
  <sheetProtection sheet="1" objects="1" scenarios="1"/>
  <mergeCells count="2">
    <mergeCell ref="A1:L1"/>
    <mergeCell ref="A3:L3"/>
  </mergeCells>
  <pageMargins left="0.74791666666666701" right="0.74791666666666701" top="0.98402777777777795" bottom="0.98402777777777795" header="0.51180555555555496" footer="0.51180555555555496"/>
  <pageSetup firstPageNumber="0" orientation="landscape"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25"/>
  <sheetViews>
    <sheetView zoomScaleNormal="100" workbookViewId="0">
      <selection activeCell="A6" sqref="A6"/>
    </sheetView>
  </sheetViews>
  <sheetFormatPr defaultColWidth="8.85546875" defaultRowHeight="12.75" x14ac:dyDescent="0.2"/>
  <cols>
    <col min="1" max="1" width="9.85546875" customWidth="1"/>
    <col min="3" max="3" width="11.5703125" hidden="1" customWidth="1"/>
    <col min="4" max="4" width="77.42578125" customWidth="1"/>
  </cols>
  <sheetData>
    <row r="1" spans="1:4" ht="25.5" x14ac:dyDescent="0.35">
      <c r="A1" s="37" t="str">
        <f>IF(ISBLANK('Tournament Info'!B3),"Vampire: The Eternal Struggle Tournament",'Tournament Info'!B3)</f>
        <v>German Nationals 2024</v>
      </c>
    </row>
    <row r="2" spans="1:4" x14ac:dyDescent="0.2">
      <c r="A2" s="36"/>
    </row>
    <row r="3" spans="1:4" ht="20.25" x14ac:dyDescent="0.3">
      <c r="A3" s="428" t="s">
        <v>236</v>
      </c>
      <c r="B3" s="429"/>
      <c r="C3" s="429"/>
      <c r="D3" s="430" t="s">
        <v>237</v>
      </c>
    </row>
    <row r="4" spans="1:4" s="434" customFormat="1" ht="15" x14ac:dyDescent="0.2">
      <c r="A4" s="431" t="s">
        <v>238</v>
      </c>
      <c r="B4" s="432"/>
      <c r="C4" s="432"/>
      <c r="D4" s="433"/>
    </row>
    <row r="5" spans="1:4" s="434" customFormat="1" ht="14.25" customHeight="1" x14ac:dyDescent="0.2">
      <c r="A5" s="435" t="s">
        <v>239</v>
      </c>
      <c r="B5" s="436" t="s">
        <v>240</v>
      </c>
      <c r="C5" s="436" t="s">
        <v>241</v>
      </c>
      <c r="D5" s="437" t="s">
        <v>242</v>
      </c>
    </row>
    <row r="6" spans="1:4" x14ac:dyDescent="0.2">
      <c r="A6" s="438"/>
      <c r="B6" s="439"/>
      <c r="C6" s="440">
        <f t="shared" ref="C6:C37" si="0">IF(A6="F","F",B6*5+A6)</f>
        <v>0</v>
      </c>
      <c r="D6" s="441"/>
    </row>
    <row r="7" spans="1:4" x14ac:dyDescent="0.2">
      <c r="A7" s="442"/>
      <c r="B7" s="443"/>
      <c r="C7" s="444">
        <f t="shared" si="0"/>
        <v>0</v>
      </c>
      <c r="D7" s="445"/>
    </row>
    <row r="8" spans="1:4" x14ac:dyDescent="0.2">
      <c r="A8" s="442"/>
      <c r="B8" s="443"/>
      <c r="C8" s="444">
        <f t="shared" si="0"/>
        <v>0</v>
      </c>
      <c r="D8" s="445"/>
    </row>
    <row r="9" spans="1:4" x14ac:dyDescent="0.2">
      <c r="A9" s="442"/>
      <c r="B9" s="443"/>
      <c r="C9" s="444">
        <f t="shared" si="0"/>
        <v>0</v>
      </c>
      <c r="D9" s="445"/>
    </row>
    <row r="10" spans="1:4" x14ac:dyDescent="0.2">
      <c r="A10" s="442"/>
      <c r="B10" s="443"/>
      <c r="C10" s="444">
        <f t="shared" si="0"/>
        <v>0</v>
      </c>
      <c r="D10" s="445"/>
    </row>
    <row r="11" spans="1:4" x14ac:dyDescent="0.2">
      <c r="A11" s="442"/>
      <c r="B11" s="443"/>
      <c r="C11" s="444">
        <f t="shared" si="0"/>
        <v>0</v>
      </c>
      <c r="D11" s="445"/>
    </row>
    <row r="12" spans="1:4" x14ac:dyDescent="0.2">
      <c r="A12" s="442"/>
      <c r="B12" s="443"/>
      <c r="C12" s="444">
        <f t="shared" si="0"/>
        <v>0</v>
      </c>
      <c r="D12" s="445"/>
    </row>
    <row r="13" spans="1:4" x14ac:dyDescent="0.2">
      <c r="A13" s="442"/>
      <c r="B13" s="443"/>
      <c r="C13" s="444">
        <f t="shared" si="0"/>
        <v>0</v>
      </c>
      <c r="D13" s="445"/>
    </row>
    <row r="14" spans="1:4" x14ac:dyDescent="0.2">
      <c r="A14" s="442"/>
      <c r="B14" s="443"/>
      <c r="C14" s="444">
        <f t="shared" si="0"/>
        <v>0</v>
      </c>
      <c r="D14" s="445"/>
    </row>
    <row r="15" spans="1:4" x14ac:dyDescent="0.2">
      <c r="A15" s="442"/>
      <c r="B15" s="443"/>
      <c r="C15" s="444">
        <f t="shared" si="0"/>
        <v>0</v>
      </c>
      <c r="D15" s="445"/>
    </row>
    <row r="16" spans="1:4" x14ac:dyDescent="0.2">
      <c r="A16" s="442"/>
      <c r="B16" s="443"/>
      <c r="C16" s="444">
        <f t="shared" si="0"/>
        <v>0</v>
      </c>
      <c r="D16" s="445"/>
    </row>
    <row r="17" spans="1:4" x14ac:dyDescent="0.2">
      <c r="A17" s="442"/>
      <c r="B17" s="443"/>
      <c r="C17" s="444">
        <f t="shared" si="0"/>
        <v>0</v>
      </c>
      <c r="D17" s="445"/>
    </row>
    <row r="18" spans="1:4" x14ac:dyDescent="0.2">
      <c r="A18" s="442"/>
      <c r="B18" s="443"/>
      <c r="C18" s="444">
        <f t="shared" si="0"/>
        <v>0</v>
      </c>
      <c r="D18" s="445"/>
    </row>
    <row r="19" spans="1:4" x14ac:dyDescent="0.2">
      <c r="A19" s="442"/>
      <c r="B19" s="443"/>
      <c r="C19" s="444">
        <f t="shared" si="0"/>
        <v>0</v>
      </c>
      <c r="D19" s="445"/>
    </row>
    <row r="20" spans="1:4" x14ac:dyDescent="0.2">
      <c r="A20" s="442"/>
      <c r="B20" s="443"/>
      <c r="C20" s="444">
        <f t="shared" si="0"/>
        <v>0</v>
      </c>
      <c r="D20" s="445"/>
    </row>
    <row r="21" spans="1:4" x14ac:dyDescent="0.2">
      <c r="A21" s="442"/>
      <c r="B21" s="443"/>
      <c r="C21" s="444">
        <f t="shared" si="0"/>
        <v>0</v>
      </c>
      <c r="D21" s="445"/>
    </row>
    <row r="22" spans="1:4" x14ac:dyDescent="0.2">
      <c r="A22" s="442"/>
      <c r="B22" s="443"/>
      <c r="C22" s="444">
        <f t="shared" si="0"/>
        <v>0</v>
      </c>
      <c r="D22" s="445"/>
    </row>
    <row r="23" spans="1:4" x14ac:dyDescent="0.2">
      <c r="A23" s="442"/>
      <c r="B23" s="443"/>
      <c r="C23" s="444">
        <f t="shared" si="0"/>
        <v>0</v>
      </c>
      <c r="D23" s="445"/>
    </row>
    <row r="24" spans="1:4" x14ac:dyDescent="0.2">
      <c r="A24" s="442"/>
      <c r="B24" s="443"/>
      <c r="C24" s="444">
        <f t="shared" si="0"/>
        <v>0</v>
      </c>
      <c r="D24" s="445"/>
    </row>
    <row r="25" spans="1:4" x14ac:dyDescent="0.2">
      <c r="A25" s="442"/>
      <c r="B25" s="443"/>
      <c r="C25" s="444">
        <f t="shared" si="0"/>
        <v>0</v>
      </c>
      <c r="D25" s="445"/>
    </row>
    <row r="26" spans="1:4" x14ac:dyDescent="0.2">
      <c r="A26" s="442"/>
      <c r="B26" s="443"/>
      <c r="C26" s="444">
        <f t="shared" si="0"/>
        <v>0</v>
      </c>
      <c r="D26" s="445"/>
    </row>
    <row r="27" spans="1:4" x14ac:dyDescent="0.2">
      <c r="A27" s="442"/>
      <c r="B27" s="443"/>
      <c r="C27" s="444">
        <f t="shared" si="0"/>
        <v>0</v>
      </c>
      <c r="D27" s="445"/>
    </row>
    <row r="28" spans="1:4" x14ac:dyDescent="0.2">
      <c r="A28" s="442"/>
      <c r="B28" s="443"/>
      <c r="C28" s="444">
        <f t="shared" si="0"/>
        <v>0</v>
      </c>
      <c r="D28" s="445"/>
    </row>
    <row r="29" spans="1:4" x14ac:dyDescent="0.2">
      <c r="A29" s="442"/>
      <c r="B29" s="443"/>
      <c r="C29" s="444">
        <f t="shared" si="0"/>
        <v>0</v>
      </c>
      <c r="D29" s="445"/>
    </row>
    <row r="30" spans="1:4" x14ac:dyDescent="0.2">
      <c r="A30" s="442"/>
      <c r="B30" s="443"/>
      <c r="C30" s="444">
        <f t="shared" si="0"/>
        <v>0</v>
      </c>
      <c r="D30" s="445"/>
    </row>
    <row r="31" spans="1:4" x14ac:dyDescent="0.2">
      <c r="A31" s="442"/>
      <c r="B31" s="443"/>
      <c r="C31" s="444">
        <f t="shared" si="0"/>
        <v>0</v>
      </c>
      <c r="D31" s="445"/>
    </row>
    <row r="32" spans="1:4" x14ac:dyDescent="0.2">
      <c r="A32" s="442"/>
      <c r="B32" s="443"/>
      <c r="C32" s="444">
        <f t="shared" si="0"/>
        <v>0</v>
      </c>
      <c r="D32" s="445"/>
    </row>
    <row r="33" spans="1:4" x14ac:dyDescent="0.2">
      <c r="A33" s="442"/>
      <c r="B33" s="443"/>
      <c r="C33" s="444">
        <f t="shared" si="0"/>
        <v>0</v>
      </c>
      <c r="D33" s="445"/>
    </row>
    <row r="34" spans="1:4" x14ac:dyDescent="0.2">
      <c r="A34" s="442"/>
      <c r="B34" s="443"/>
      <c r="C34" s="444">
        <f t="shared" si="0"/>
        <v>0</v>
      </c>
      <c r="D34" s="445"/>
    </row>
    <row r="35" spans="1:4" x14ac:dyDescent="0.2">
      <c r="A35" s="442"/>
      <c r="B35" s="443"/>
      <c r="C35" s="444">
        <f t="shared" si="0"/>
        <v>0</v>
      </c>
      <c r="D35" s="445"/>
    </row>
    <row r="36" spans="1:4" x14ac:dyDescent="0.2">
      <c r="A36" s="442"/>
      <c r="B36" s="443"/>
      <c r="C36" s="444">
        <f t="shared" si="0"/>
        <v>0</v>
      </c>
      <c r="D36" s="445"/>
    </row>
    <row r="37" spans="1:4" x14ac:dyDescent="0.2">
      <c r="A37" s="442"/>
      <c r="B37" s="443"/>
      <c r="C37" s="444">
        <f t="shared" si="0"/>
        <v>0</v>
      </c>
      <c r="D37" s="445"/>
    </row>
    <row r="38" spans="1:4" x14ac:dyDescent="0.2">
      <c r="A38" s="442"/>
      <c r="B38" s="443"/>
      <c r="C38" s="444">
        <f t="shared" ref="C38:C69" si="1">IF(A38="F","F",B38*5+A38)</f>
        <v>0</v>
      </c>
      <c r="D38" s="445"/>
    </row>
    <row r="39" spans="1:4" x14ac:dyDescent="0.2">
      <c r="A39" s="442"/>
      <c r="B39" s="443"/>
      <c r="C39" s="444">
        <f t="shared" si="1"/>
        <v>0</v>
      </c>
      <c r="D39" s="445"/>
    </row>
    <row r="40" spans="1:4" x14ac:dyDescent="0.2">
      <c r="A40" s="442"/>
      <c r="B40" s="443"/>
      <c r="C40" s="444">
        <f t="shared" si="1"/>
        <v>0</v>
      </c>
      <c r="D40" s="445"/>
    </row>
    <row r="41" spans="1:4" x14ac:dyDescent="0.2">
      <c r="A41" s="442"/>
      <c r="B41" s="443"/>
      <c r="C41" s="444">
        <f t="shared" si="1"/>
        <v>0</v>
      </c>
      <c r="D41" s="445"/>
    </row>
    <row r="42" spans="1:4" x14ac:dyDescent="0.2">
      <c r="A42" s="442"/>
      <c r="B42" s="443"/>
      <c r="C42" s="444">
        <f t="shared" si="1"/>
        <v>0</v>
      </c>
      <c r="D42" s="445"/>
    </row>
    <row r="43" spans="1:4" x14ac:dyDescent="0.2">
      <c r="A43" s="442"/>
      <c r="B43" s="443"/>
      <c r="C43" s="444">
        <f t="shared" si="1"/>
        <v>0</v>
      </c>
      <c r="D43" s="445"/>
    </row>
    <row r="44" spans="1:4" x14ac:dyDescent="0.2">
      <c r="A44" s="442"/>
      <c r="B44" s="443"/>
      <c r="C44" s="444">
        <f t="shared" si="1"/>
        <v>0</v>
      </c>
      <c r="D44" s="445"/>
    </row>
    <row r="45" spans="1:4" x14ac:dyDescent="0.2">
      <c r="A45" s="442"/>
      <c r="B45" s="443"/>
      <c r="C45" s="444">
        <f t="shared" si="1"/>
        <v>0</v>
      </c>
      <c r="D45" s="445"/>
    </row>
    <row r="46" spans="1:4" x14ac:dyDescent="0.2">
      <c r="A46" s="442"/>
      <c r="B46" s="443"/>
      <c r="C46" s="444">
        <f t="shared" si="1"/>
        <v>0</v>
      </c>
      <c r="D46" s="445"/>
    </row>
    <row r="47" spans="1:4" x14ac:dyDescent="0.2">
      <c r="A47" s="442"/>
      <c r="B47" s="443"/>
      <c r="C47" s="444">
        <f t="shared" si="1"/>
        <v>0</v>
      </c>
      <c r="D47" s="445"/>
    </row>
    <row r="48" spans="1:4" x14ac:dyDescent="0.2">
      <c r="A48" s="442"/>
      <c r="B48" s="443"/>
      <c r="C48" s="444">
        <f t="shared" si="1"/>
        <v>0</v>
      </c>
      <c r="D48" s="445"/>
    </row>
    <row r="49" spans="1:4" x14ac:dyDescent="0.2">
      <c r="A49" s="442"/>
      <c r="B49" s="443"/>
      <c r="C49" s="444">
        <f t="shared" si="1"/>
        <v>0</v>
      </c>
      <c r="D49" s="445"/>
    </row>
    <row r="50" spans="1:4" x14ac:dyDescent="0.2">
      <c r="A50" s="442"/>
      <c r="B50" s="443"/>
      <c r="C50" s="444">
        <f t="shared" si="1"/>
        <v>0</v>
      </c>
      <c r="D50" s="445"/>
    </row>
    <row r="51" spans="1:4" x14ac:dyDescent="0.2">
      <c r="A51" s="442"/>
      <c r="B51" s="443"/>
      <c r="C51" s="444">
        <f t="shared" si="1"/>
        <v>0</v>
      </c>
      <c r="D51" s="445"/>
    </row>
    <row r="52" spans="1:4" x14ac:dyDescent="0.2">
      <c r="A52" s="442"/>
      <c r="B52" s="443"/>
      <c r="C52" s="444">
        <f t="shared" si="1"/>
        <v>0</v>
      </c>
      <c r="D52" s="445"/>
    </row>
    <row r="53" spans="1:4" x14ac:dyDescent="0.2">
      <c r="A53" s="442"/>
      <c r="B53" s="443"/>
      <c r="C53" s="444">
        <f t="shared" si="1"/>
        <v>0</v>
      </c>
      <c r="D53" s="445"/>
    </row>
    <row r="54" spans="1:4" x14ac:dyDescent="0.2">
      <c r="A54" s="442"/>
      <c r="B54" s="443"/>
      <c r="C54" s="444">
        <f t="shared" si="1"/>
        <v>0</v>
      </c>
      <c r="D54" s="445"/>
    </row>
    <row r="55" spans="1:4" x14ac:dyDescent="0.2">
      <c r="A55" s="442"/>
      <c r="B55" s="443"/>
      <c r="C55" s="444">
        <f t="shared" si="1"/>
        <v>0</v>
      </c>
      <c r="D55" s="445"/>
    </row>
    <row r="56" spans="1:4" x14ac:dyDescent="0.2">
      <c r="A56" s="442"/>
      <c r="B56" s="443"/>
      <c r="C56" s="444">
        <f t="shared" si="1"/>
        <v>0</v>
      </c>
      <c r="D56" s="445"/>
    </row>
    <row r="57" spans="1:4" x14ac:dyDescent="0.2">
      <c r="A57" s="442"/>
      <c r="B57" s="443"/>
      <c r="C57" s="444">
        <f t="shared" si="1"/>
        <v>0</v>
      </c>
      <c r="D57" s="445"/>
    </row>
    <row r="58" spans="1:4" x14ac:dyDescent="0.2">
      <c r="A58" s="442"/>
      <c r="B58" s="443"/>
      <c r="C58" s="444">
        <f t="shared" si="1"/>
        <v>0</v>
      </c>
      <c r="D58" s="445"/>
    </row>
    <row r="59" spans="1:4" x14ac:dyDescent="0.2">
      <c r="A59" s="442"/>
      <c r="B59" s="443"/>
      <c r="C59" s="444">
        <f t="shared" si="1"/>
        <v>0</v>
      </c>
      <c r="D59" s="445"/>
    </row>
    <row r="60" spans="1:4" x14ac:dyDescent="0.2">
      <c r="A60" s="442"/>
      <c r="B60" s="443"/>
      <c r="C60" s="444">
        <f t="shared" si="1"/>
        <v>0</v>
      </c>
      <c r="D60" s="445"/>
    </row>
    <row r="61" spans="1:4" x14ac:dyDescent="0.2">
      <c r="A61" s="442"/>
      <c r="B61" s="443"/>
      <c r="C61" s="444">
        <f t="shared" si="1"/>
        <v>0</v>
      </c>
      <c r="D61" s="445"/>
    </row>
    <row r="62" spans="1:4" x14ac:dyDescent="0.2">
      <c r="A62" s="442"/>
      <c r="B62" s="443"/>
      <c r="C62" s="444">
        <f t="shared" si="1"/>
        <v>0</v>
      </c>
      <c r="D62" s="445"/>
    </row>
    <row r="63" spans="1:4" x14ac:dyDescent="0.2">
      <c r="A63" s="442"/>
      <c r="B63" s="443"/>
      <c r="C63" s="444">
        <f t="shared" si="1"/>
        <v>0</v>
      </c>
      <c r="D63" s="445"/>
    </row>
    <row r="64" spans="1:4" x14ac:dyDescent="0.2">
      <c r="A64" s="442"/>
      <c r="B64" s="443"/>
      <c r="C64" s="444">
        <f t="shared" si="1"/>
        <v>0</v>
      </c>
      <c r="D64" s="445"/>
    </row>
    <row r="65" spans="1:4" x14ac:dyDescent="0.2">
      <c r="A65" s="442"/>
      <c r="B65" s="443"/>
      <c r="C65" s="444">
        <f t="shared" si="1"/>
        <v>0</v>
      </c>
      <c r="D65" s="445"/>
    </row>
    <row r="66" spans="1:4" x14ac:dyDescent="0.2">
      <c r="A66" s="442"/>
      <c r="B66" s="443"/>
      <c r="C66" s="444">
        <f t="shared" si="1"/>
        <v>0</v>
      </c>
      <c r="D66" s="445"/>
    </row>
    <row r="67" spans="1:4" x14ac:dyDescent="0.2">
      <c r="A67" s="442"/>
      <c r="B67" s="443"/>
      <c r="C67" s="444">
        <f t="shared" si="1"/>
        <v>0</v>
      </c>
      <c r="D67" s="445"/>
    </row>
    <row r="68" spans="1:4" x14ac:dyDescent="0.2">
      <c r="A68" s="442"/>
      <c r="B68" s="443"/>
      <c r="C68" s="444">
        <f t="shared" si="1"/>
        <v>0</v>
      </c>
      <c r="D68" s="445"/>
    </row>
    <row r="69" spans="1:4" x14ac:dyDescent="0.2">
      <c r="A69" s="442"/>
      <c r="B69" s="443"/>
      <c r="C69" s="444">
        <f t="shared" si="1"/>
        <v>0</v>
      </c>
      <c r="D69" s="445"/>
    </row>
    <row r="70" spans="1:4" x14ac:dyDescent="0.2">
      <c r="A70" s="442"/>
      <c r="B70" s="443"/>
      <c r="C70" s="444">
        <f t="shared" ref="C70:C101" si="2">IF(A70="F","F",B70*5+A70)</f>
        <v>0</v>
      </c>
      <c r="D70" s="445"/>
    </row>
    <row r="71" spans="1:4" x14ac:dyDescent="0.2">
      <c r="A71" s="442"/>
      <c r="B71" s="443"/>
      <c r="C71" s="444">
        <f t="shared" si="2"/>
        <v>0</v>
      </c>
      <c r="D71" s="445"/>
    </row>
    <row r="72" spans="1:4" x14ac:dyDescent="0.2">
      <c r="A72" s="442"/>
      <c r="B72" s="443"/>
      <c r="C72" s="444">
        <f t="shared" si="2"/>
        <v>0</v>
      </c>
      <c r="D72" s="445"/>
    </row>
    <row r="73" spans="1:4" x14ac:dyDescent="0.2">
      <c r="A73" s="442"/>
      <c r="B73" s="443"/>
      <c r="C73" s="444">
        <f t="shared" si="2"/>
        <v>0</v>
      </c>
      <c r="D73" s="445"/>
    </row>
    <row r="74" spans="1:4" x14ac:dyDescent="0.2">
      <c r="A74" s="442"/>
      <c r="B74" s="443"/>
      <c r="C74" s="444">
        <f t="shared" si="2"/>
        <v>0</v>
      </c>
      <c r="D74" s="445"/>
    </row>
    <row r="75" spans="1:4" x14ac:dyDescent="0.2">
      <c r="A75" s="442"/>
      <c r="B75" s="443"/>
      <c r="C75" s="444">
        <f t="shared" si="2"/>
        <v>0</v>
      </c>
      <c r="D75" s="445"/>
    </row>
    <row r="76" spans="1:4" x14ac:dyDescent="0.2">
      <c r="A76" s="442"/>
      <c r="B76" s="443"/>
      <c r="C76" s="444">
        <f t="shared" si="2"/>
        <v>0</v>
      </c>
      <c r="D76" s="445"/>
    </row>
    <row r="77" spans="1:4" x14ac:dyDescent="0.2">
      <c r="A77" s="442"/>
      <c r="B77" s="443"/>
      <c r="C77" s="444">
        <f t="shared" si="2"/>
        <v>0</v>
      </c>
      <c r="D77" s="445"/>
    </row>
    <row r="78" spans="1:4" x14ac:dyDescent="0.2">
      <c r="A78" s="442"/>
      <c r="B78" s="443"/>
      <c r="C78" s="444">
        <f t="shared" si="2"/>
        <v>0</v>
      </c>
      <c r="D78" s="445"/>
    </row>
    <row r="79" spans="1:4" x14ac:dyDescent="0.2">
      <c r="A79" s="442"/>
      <c r="B79" s="443"/>
      <c r="C79" s="444">
        <f t="shared" si="2"/>
        <v>0</v>
      </c>
      <c r="D79" s="445"/>
    </row>
    <row r="80" spans="1:4" x14ac:dyDescent="0.2">
      <c r="A80" s="442"/>
      <c r="B80" s="443"/>
      <c r="C80" s="444">
        <f t="shared" si="2"/>
        <v>0</v>
      </c>
      <c r="D80" s="445"/>
    </row>
    <row r="81" spans="1:4" x14ac:dyDescent="0.2">
      <c r="A81" s="442"/>
      <c r="B81" s="443"/>
      <c r="C81" s="444">
        <f t="shared" si="2"/>
        <v>0</v>
      </c>
      <c r="D81" s="445"/>
    </row>
    <row r="82" spans="1:4" x14ac:dyDescent="0.2">
      <c r="A82" s="442"/>
      <c r="B82" s="443"/>
      <c r="C82" s="444">
        <f t="shared" si="2"/>
        <v>0</v>
      </c>
      <c r="D82" s="445"/>
    </row>
    <row r="83" spans="1:4" x14ac:dyDescent="0.2">
      <c r="A83" s="442"/>
      <c r="B83" s="443"/>
      <c r="C83" s="444">
        <f t="shared" si="2"/>
        <v>0</v>
      </c>
      <c r="D83" s="445"/>
    </row>
    <row r="84" spans="1:4" x14ac:dyDescent="0.2">
      <c r="A84" s="442"/>
      <c r="B84" s="443"/>
      <c r="C84" s="444">
        <f t="shared" si="2"/>
        <v>0</v>
      </c>
      <c r="D84" s="445"/>
    </row>
    <row r="85" spans="1:4" x14ac:dyDescent="0.2">
      <c r="A85" s="442"/>
      <c r="B85" s="443"/>
      <c r="C85" s="444">
        <f t="shared" si="2"/>
        <v>0</v>
      </c>
      <c r="D85" s="445"/>
    </row>
    <row r="86" spans="1:4" x14ac:dyDescent="0.2">
      <c r="A86" s="442"/>
      <c r="B86" s="443"/>
      <c r="C86" s="444">
        <f t="shared" si="2"/>
        <v>0</v>
      </c>
      <c r="D86" s="445"/>
    </row>
    <row r="87" spans="1:4" x14ac:dyDescent="0.2">
      <c r="A87" s="442"/>
      <c r="B87" s="443"/>
      <c r="C87" s="444">
        <f t="shared" si="2"/>
        <v>0</v>
      </c>
      <c r="D87" s="445"/>
    </row>
    <row r="88" spans="1:4" x14ac:dyDescent="0.2">
      <c r="A88" s="442"/>
      <c r="B88" s="443"/>
      <c r="C88" s="444">
        <f t="shared" si="2"/>
        <v>0</v>
      </c>
      <c r="D88" s="445"/>
    </row>
    <row r="89" spans="1:4" x14ac:dyDescent="0.2">
      <c r="A89" s="442"/>
      <c r="B89" s="443"/>
      <c r="C89" s="444">
        <f t="shared" si="2"/>
        <v>0</v>
      </c>
      <c r="D89" s="445"/>
    </row>
    <row r="90" spans="1:4" x14ac:dyDescent="0.2">
      <c r="A90" s="442"/>
      <c r="B90" s="443"/>
      <c r="C90" s="444">
        <f t="shared" si="2"/>
        <v>0</v>
      </c>
      <c r="D90" s="445"/>
    </row>
    <row r="91" spans="1:4" x14ac:dyDescent="0.2">
      <c r="A91" s="442"/>
      <c r="B91" s="443"/>
      <c r="C91" s="444">
        <f t="shared" si="2"/>
        <v>0</v>
      </c>
      <c r="D91" s="445"/>
    </row>
    <row r="92" spans="1:4" x14ac:dyDescent="0.2">
      <c r="A92" s="442"/>
      <c r="B92" s="443"/>
      <c r="C92" s="444">
        <f t="shared" si="2"/>
        <v>0</v>
      </c>
      <c r="D92" s="445"/>
    </row>
    <row r="93" spans="1:4" x14ac:dyDescent="0.2">
      <c r="A93" s="442"/>
      <c r="B93" s="443"/>
      <c r="C93" s="444">
        <f t="shared" si="2"/>
        <v>0</v>
      </c>
      <c r="D93" s="445"/>
    </row>
    <row r="94" spans="1:4" x14ac:dyDescent="0.2">
      <c r="A94" s="442"/>
      <c r="B94" s="443"/>
      <c r="C94" s="444">
        <f t="shared" si="2"/>
        <v>0</v>
      </c>
      <c r="D94" s="445"/>
    </row>
    <row r="95" spans="1:4" x14ac:dyDescent="0.2">
      <c r="A95" s="442"/>
      <c r="B95" s="443"/>
      <c r="C95" s="444">
        <f t="shared" si="2"/>
        <v>0</v>
      </c>
      <c r="D95" s="445"/>
    </row>
    <row r="96" spans="1:4" x14ac:dyDescent="0.2">
      <c r="A96" s="442"/>
      <c r="B96" s="443"/>
      <c r="C96" s="444">
        <f t="shared" si="2"/>
        <v>0</v>
      </c>
      <c r="D96" s="445"/>
    </row>
    <row r="97" spans="1:4" x14ac:dyDescent="0.2">
      <c r="A97" s="442"/>
      <c r="B97" s="443"/>
      <c r="C97" s="444">
        <f t="shared" si="2"/>
        <v>0</v>
      </c>
      <c r="D97" s="445"/>
    </row>
    <row r="98" spans="1:4" x14ac:dyDescent="0.2">
      <c r="A98" s="442"/>
      <c r="B98" s="443"/>
      <c r="C98" s="444">
        <f t="shared" si="2"/>
        <v>0</v>
      </c>
      <c r="D98" s="445"/>
    </row>
    <row r="99" spans="1:4" x14ac:dyDescent="0.2">
      <c r="A99" s="442"/>
      <c r="B99" s="443"/>
      <c r="C99" s="444">
        <f t="shared" si="2"/>
        <v>0</v>
      </c>
      <c r="D99" s="445"/>
    </row>
    <row r="100" spans="1:4" x14ac:dyDescent="0.2">
      <c r="A100" s="442"/>
      <c r="B100" s="443"/>
      <c r="C100" s="444">
        <f t="shared" si="2"/>
        <v>0</v>
      </c>
      <c r="D100" s="445"/>
    </row>
    <row r="101" spans="1:4" x14ac:dyDescent="0.2">
      <c r="A101" s="442"/>
      <c r="B101" s="443"/>
      <c r="C101" s="444">
        <f t="shared" si="2"/>
        <v>0</v>
      </c>
      <c r="D101" s="445"/>
    </row>
    <row r="102" spans="1:4" x14ac:dyDescent="0.2">
      <c r="A102" s="442"/>
      <c r="B102" s="443"/>
      <c r="C102" s="444">
        <f t="shared" ref="C102:C125" si="3">IF(A102="F","F",B102*5+A102)</f>
        <v>0</v>
      </c>
      <c r="D102" s="445"/>
    </row>
    <row r="103" spans="1:4" x14ac:dyDescent="0.2">
      <c r="A103" s="442"/>
      <c r="B103" s="443"/>
      <c r="C103" s="444">
        <f t="shared" si="3"/>
        <v>0</v>
      </c>
      <c r="D103" s="445"/>
    </row>
    <row r="104" spans="1:4" x14ac:dyDescent="0.2">
      <c r="A104" s="442"/>
      <c r="B104" s="443"/>
      <c r="C104" s="444">
        <f t="shared" si="3"/>
        <v>0</v>
      </c>
      <c r="D104" s="445"/>
    </row>
    <row r="105" spans="1:4" x14ac:dyDescent="0.2">
      <c r="A105" s="442"/>
      <c r="B105" s="443"/>
      <c r="C105" s="444">
        <f t="shared" si="3"/>
        <v>0</v>
      </c>
      <c r="D105" s="445"/>
    </row>
    <row r="106" spans="1:4" x14ac:dyDescent="0.2">
      <c r="A106" s="442"/>
      <c r="B106" s="443"/>
      <c r="C106" s="444">
        <f t="shared" si="3"/>
        <v>0</v>
      </c>
      <c r="D106" s="445"/>
    </row>
    <row r="107" spans="1:4" x14ac:dyDescent="0.2">
      <c r="A107" s="442"/>
      <c r="B107" s="443"/>
      <c r="C107" s="444">
        <f t="shared" si="3"/>
        <v>0</v>
      </c>
      <c r="D107" s="445"/>
    </row>
    <row r="108" spans="1:4" x14ac:dyDescent="0.2">
      <c r="A108" s="442"/>
      <c r="B108" s="443"/>
      <c r="C108" s="444">
        <f t="shared" si="3"/>
        <v>0</v>
      </c>
      <c r="D108" s="445"/>
    </row>
    <row r="109" spans="1:4" x14ac:dyDescent="0.2">
      <c r="A109" s="442"/>
      <c r="B109" s="443"/>
      <c r="C109" s="444">
        <f t="shared" si="3"/>
        <v>0</v>
      </c>
      <c r="D109" s="445"/>
    </row>
    <row r="110" spans="1:4" x14ac:dyDescent="0.2">
      <c r="A110" s="442"/>
      <c r="B110" s="443"/>
      <c r="C110" s="444">
        <f t="shared" si="3"/>
        <v>0</v>
      </c>
      <c r="D110" s="445"/>
    </row>
    <row r="111" spans="1:4" x14ac:dyDescent="0.2">
      <c r="A111" s="442"/>
      <c r="B111" s="443"/>
      <c r="C111" s="444">
        <f t="shared" si="3"/>
        <v>0</v>
      </c>
      <c r="D111" s="445"/>
    </row>
    <row r="112" spans="1:4" x14ac:dyDescent="0.2">
      <c r="A112" s="442"/>
      <c r="B112" s="443"/>
      <c r="C112" s="444">
        <f t="shared" si="3"/>
        <v>0</v>
      </c>
      <c r="D112" s="445"/>
    </row>
    <row r="113" spans="1:4" x14ac:dyDescent="0.2">
      <c r="A113" s="442"/>
      <c r="B113" s="443"/>
      <c r="C113" s="444">
        <f t="shared" si="3"/>
        <v>0</v>
      </c>
      <c r="D113" s="445"/>
    </row>
    <row r="114" spans="1:4" x14ac:dyDescent="0.2">
      <c r="A114" s="442"/>
      <c r="B114" s="443"/>
      <c r="C114" s="444">
        <f t="shared" si="3"/>
        <v>0</v>
      </c>
      <c r="D114" s="445"/>
    </row>
    <row r="115" spans="1:4" x14ac:dyDescent="0.2">
      <c r="A115" s="442"/>
      <c r="B115" s="443"/>
      <c r="C115" s="444">
        <f t="shared" si="3"/>
        <v>0</v>
      </c>
      <c r="D115" s="445"/>
    </row>
    <row r="116" spans="1:4" x14ac:dyDescent="0.2">
      <c r="A116" s="442"/>
      <c r="B116" s="443"/>
      <c r="C116" s="444">
        <f t="shared" si="3"/>
        <v>0</v>
      </c>
      <c r="D116" s="445"/>
    </row>
    <row r="117" spans="1:4" x14ac:dyDescent="0.2">
      <c r="A117" s="442"/>
      <c r="B117" s="443"/>
      <c r="C117" s="444">
        <f t="shared" si="3"/>
        <v>0</v>
      </c>
      <c r="D117" s="445"/>
    </row>
    <row r="118" spans="1:4" x14ac:dyDescent="0.2">
      <c r="A118" s="442"/>
      <c r="B118" s="443"/>
      <c r="C118" s="444">
        <f t="shared" si="3"/>
        <v>0</v>
      </c>
      <c r="D118" s="445"/>
    </row>
    <row r="119" spans="1:4" x14ac:dyDescent="0.2">
      <c r="A119" s="442"/>
      <c r="B119" s="443"/>
      <c r="C119" s="444">
        <f t="shared" si="3"/>
        <v>0</v>
      </c>
      <c r="D119" s="445"/>
    </row>
    <row r="120" spans="1:4" x14ac:dyDescent="0.2">
      <c r="A120" s="442"/>
      <c r="B120" s="443"/>
      <c r="C120" s="444">
        <f t="shared" si="3"/>
        <v>0</v>
      </c>
      <c r="D120" s="445"/>
    </row>
    <row r="121" spans="1:4" x14ac:dyDescent="0.2">
      <c r="A121" s="442"/>
      <c r="B121" s="443"/>
      <c r="C121" s="444">
        <f t="shared" si="3"/>
        <v>0</v>
      </c>
      <c r="D121" s="445"/>
    </row>
    <row r="122" spans="1:4" x14ac:dyDescent="0.2">
      <c r="A122" s="442"/>
      <c r="B122" s="443"/>
      <c r="C122" s="444">
        <f t="shared" si="3"/>
        <v>0</v>
      </c>
      <c r="D122" s="445"/>
    </row>
    <row r="123" spans="1:4" x14ac:dyDescent="0.2">
      <c r="A123" s="442"/>
      <c r="B123" s="443"/>
      <c r="C123" s="444">
        <f t="shared" si="3"/>
        <v>0</v>
      </c>
      <c r="D123" s="445"/>
    </row>
    <row r="124" spans="1:4" x14ac:dyDescent="0.2">
      <c r="A124" s="442"/>
      <c r="B124" s="443"/>
      <c r="C124" s="444">
        <f t="shared" si="3"/>
        <v>0</v>
      </c>
      <c r="D124" s="445"/>
    </row>
    <row r="125" spans="1:4" x14ac:dyDescent="0.2">
      <c r="A125" s="446"/>
      <c r="B125" s="447"/>
      <c r="C125" s="448">
        <f t="shared" si="3"/>
        <v>0</v>
      </c>
      <c r="D125" s="449"/>
    </row>
  </sheetData>
  <pageMargins left="0.74791666666666701" right="0.74791666666666701" top="0.98402777777777795" bottom="0.98402777777777795" header="0.51180555555555496" footer="0.51180555555555496"/>
  <pageSetup firstPageNumber="0" orientation="portrait" horizontalDpi="300" verticalDpi="300"/>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3"/>
  <sheetViews>
    <sheetView zoomScaleNormal="100" workbookViewId="0">
      <selection activeCell="A4" sqref="A4"/>
    </sheetView>
  </sheetViews>
  <sheetFormatPr defaultColWidth="8.85546875" defaultRowHeight="12.75" x14ac:dyDescent="0.2"/>
  <cols>
    <col min="1" max="1" width="80.7109375" style="450" customWidth="1"/>
    <col min="2" max="1024" width="8.85546875" style="450"/>
  </cols>
  <sheetData>
    <row r="1" spans="1:1" s="36" customFormat="1" ht="25.5" x14ac:dyDescent="0.35">
      <c r="A1" s="37" t="str">
        <f>IF(ISBLANK('Tournament Info'!B3),"Vampire: The Eternal Struggle Tournament",'Tournament Info'!B3)</f>
        <v>German Nationals 2024</v>
      </c>
    </row>
    <row r="2" spans="1:1" s="36" customFormat="1" x14ac:dyDescent="0.2"/>
    <row r="3" spans="1:1" s="452" customFormat="1" ht="15" x14ac:dyDescent="0.2">
      <c r="A3" s="451" t="s">
        <v>243</v>
      </c>
    </row>
  </sheetData>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090"/>
  <sheetViews>
    <sheetView topLeftCell="D1" zoomScaleNormal="100" workbookViewId="0">
      <selection activeCell="D6" sqref="D6"/>
    </sheetView>
  </sheetViews>
  <sheetFormatPr defaultColWidth="3.7109375" defaultRowHeight="12.75" x14ac:dyDescent="0.2"/>
  <cols>
    <col min="1" max="3" width="3.85546875" style="36" hidden="1" customWidth="1"/>
    <col min="4" max="4" width="3.85546875" style="36" customWidth="1"/>
    <col min="5" max="5" width="9.42578125" style="453" customWidth="1"/>
    <col min="6" max="1024" width="3.7109375" style="36"/>
  </cols>
  <sheetData>
    <row r="1" spans="1:10" ht="25.5" customHeight="1" x14ac:dyDescent="0.35">
      <c r="D1" s="454" t="s">
        <v>244</v>
      </c>
    </row>
    <row r="2" spans="1:10" ht="9.9499999999999993" hidden="1" customHeight="1" x14ac:dyDescent="0.2">
      <c r="E2" s="82" t="s">
        <v>2</v>
      </c>
    </row>
    <row r="3" spans="1:10" ht="12.75" customHeight="1" x14ac:dyDescent="0.2">
      <c r="E3" s="453" t="s">
        <v>245</v>
      </c>
    </row>
    <row r="4" spans="1:10" x14ac:dyDescent="0.2">
      <c r="E4" s="453" t="s">
        <v>246</v>
      </c>
    </row>
    <row r="5" spans="1:10" x14ac:dyDescent="0.2">
      <c r="A5" s="36">
        <f>IF(OR(NOT(ISNUMBER('Tournament Info'!B11)),'Tournament Info'!B11=4),Methuselahs!$A$4,0)</f>
        <v>32</v>
      </c>
      <c r="E5" s="453" t="s">
        <v>247</v>
      </c>
    </row>
    <row r="6" spans="1:10" x14ac:dyDescent="0.2">
      <c r="A6" s="453">
        <f>IF(A5&gt;200,1,IF(A5&gt;=4,(A5-4)*5+ROW(F8),1))</f>
        <v>148</v>
      </c>
      <c r="B6" s="453">
        <f>A6+1</f>
        <v>149</v>
      </c>
      <c r="C6" s="453">
        <f>B6+1</f>
        <v>150</v>
      </c>
    </row>
    <row r="7" spans="1:10" x14ac:dyDescent="0.2">
      <c r="A7" s="36">
        <f t="shared" ref="A7:C26" ca="1" si="0">IF(INDIRECT(ADDRESS(A$6,ROW()-ROW(A$6)-1+COLUMN($F$8)))&gt;0,INDIRECT(ADDRESS(A$6,ROW()-ROW(A$6)-1+COLUMN($F$8))),"")</f>
        <v>1</v>
      </c>
      <c r="B7" s="36">
        <f t="shared" ca="1" si="0"/>
        <v>27</v>
      </c>
      <c r="C7" s="36">
        <f t="shared" ca="1" si="0"/>
        <v>12</v>
      </c>
      <c r="D7" s="455">
        <v>4</v>
      </c>
      <c r="E7" s="35" t="s">
        <v>248</v>
      </c>
    </row>
    <row r="8" spans="1:10" s="15" customFormat="1" x14ac:dyDescent="0.2">
      <c r="A8" s="36">
        <f t="shared" ca="1" si="0"/>
        <v>2</v>
      </c>
      <c r="B8" s="36">
        <f t="shared" ca="1" si="0"/>
        <v>18</v>
      </c>
      <c r="C8" s="36">
        <f t="shared" ca="1" si="0"/>
        <v>32</v>
      </c>
      <c r="E8" s="36" t="s">
        <v>196</v>
      </c>
      <c r="F8" s="456">
        <v>1</v>
      </c>
      <c r="G8" s="457">
        <v>2</v>
      </c>
      <c r="H8" s="457">
        <v>3</v>
      </c>
      <c r="I8" s="458">
        <v>4</v>
      </c>
    </row>
    <row r="9" spans="1:10" s="15" customFormat="1" x14ac:dyDescent="0.2">
      <c r="A9" s="36">
        <f t="shared" ca="1" si="0"/>
        <v>3</v>
      </c>
      <c r="B9" s="36">
        <f t="shared" ca="1" si="0"/>
        <v>21</v>
      </c>
      <c r="C9" s="36">
        <f t="shared" ca="1" si="0"/>
        <v>22</v>
      </c>
      <c r="E9" s="36" t="s">
        <v>230</v>
      </c>
      <c r="F9" s="456">
        <v>3</v>
      </c>
      <c r="G9" s="457">
        <v>1</v>
      </c>
      <c r="H9" s="457">
        <v>4</v>
      </c>
      <c r="I9" s="458">
        <v>2</v>
      </c>
    </row>
    <row r="10" spans="1:10" s="15" customFormat="1" x14ac:dyDescent="0.2">
      <c r="A10" s="36">
        <f t="shared" ca="1" si="0"/>
        <v>4</v>
      </c>
      <c r="B10" s="36">
        <f t="shared" ca="1" si="0"/>
        <v>29</v>
      </c>
      <c r="C10" s="36">
        <f t="shared" ca="1" si="0"/>
        <v>2</v>
      </c>
      <c r="E10" s="36" t="s">
        <v>231</v>
      </c>
      <c r="F10" s="456">
        <v>2</v>
      </c>
      <c r="G10" s="457">
        <v>4</v>
      </c>
      <c r="H10" s="457">
        <v>1</v>
      </c>
      <c r="I10" s="458">
        <v>3</v>
      </c>
    </row>
    <row r="11" spans="1:10" s="15" customFormat="1" x14ac:dyDescent="0.2">
      <c r="A11" s="36">
        <f t="shared" ca="1" si="0"/>
        <v>5</v>
      </c>
      <c r="B11" s="36">
        <f t="shared" ca="1" si="0"/>
        <v>6</v>
      </c>
      <c r="C11" s="36">
        <f t="shared" ca="1" si="0"/>
        <v>8</v>
      </c>
    </row>
    <row r="12" spans="1:10" s="15" customFormat="1" x14ac:dyDescent="0.2">
      <c r="A12" s="36">
        <f t="shared" ca="1" si="0"/>
        <v>6</v>
      </c>
      <c r="B12" s="36">
        <f t="shared" ca="1" si="0"/>
        <v>32</v>
      </c>
      <c r="C12" s="36">
        <f t="shared" ca="1" si="0"/>
        <v>31</v>
      </c>
      <c r="D12" s="455">
        <v>5</v>
      </c>
      <c r="E12" s="35" t="s">
        <v>248</v>
      </c>
    </row>
    <row r="13" spans="1:10" s="15" customFormat="1" x14ac:dyDescent="0.2">
      <c r="A13" s="36">
        <f t="shared" ca="1" si="0"/>
        <v>7</v>
      </c>
      <c r="B13" s="36">
        <f t="shared" ca="1" si="0"/>
        <v>24</v>
      </c>
      <c r="C13" s="36">
        <f t="shared" ca="1" si="0"/>
        <v>3</v>
      </c>
      <c r="E13" s="36" t="s">
        <v>196</v>
      </c>
      <c r="F13" s="456">
        <v>1</v>
      </c>
      <c r="G13" s="457">
        <v>2</v>
      </c>
      <c r="H13" s="457">
        <v>3</v>
      </c>
      <c r="I13" s="457">
        <v>4</v>
      </c>
      <c r="J13" s="458">
        <v>5</v>
      </c>
    </row>
    <row r="14" spans="1:10" s="15" customFormat="1" x14ac:dyDescent="0.2">
      <c r="A14" s="36">
        <f t="shared" ca="1" si="0"/>
        <v>8</v>
      </c>
      <c r="B14" s="36">
        <f t="shared" ca="1" si="0"/>
        <v>28</v>
      </c>
      <c r="C14" s="36">
        <f t="shared" ca="1" si="0"/>
        <v>19</v>
      </c>
      <c r="E14" s="36" t="s">
        <v>230</v>
      </c>
      <c r="F14" s="456">
        <v>4</v>
      </c>
      <c r="G14" s="457">
        <v>1</v>
      </c>
      <c r="H14" s="457">
        <v>3</v>
      </c>
      <c r="I14" s="457">
        <v>5</v>
      </c>
      <c r="J14" s="458">
        <v>2</v>
      </c>
    </row>
    <row r="15" spans="1:10" s="15" customFormat="1" x14ac:dyDescent="0.2">
      <c r="A15" s="36">
        <f t="shared" ca="1" si="0"/>
        <v>9</v>
      </c>
      <c r="B15" s="36">
        <f t="shared" ca="1" si="0"/>
        <v>13</v>
      </c>
      <c r="C15" s="36">
        <f t="shared" ca="1" si="0"/>
        <v>25</v>
      </c>
      <c r="E15" s="36" t="s">
        <v>231</v>
      </c>
      <c r="F15" s="456">
        <v>2</v>
      </c>
      <c r="G15" s="457">
        <v>5</v>
      </c>
      <c r="H15" s="457">
        <v>3</v>
      </c>
      <c r="I15" s="457">
        <v>1</v>
      </c>
      <c r="J15" s="458">
        <v>4</v>
      </c>
    </row>
    <row r="16" spans="1:10" s="15" customFormat="1" x14ac:dyDescent="0.2">
      <c r="A16" s="36">
        <f t="shared" ca="1" si="0"/>
        <v>10</v>
      </c>
      <c r="B16" s="36">
        <f t="shared" ca="1" si="0"/>
        <v>4</v>
      </c>
      <c r="C16" s="36">
        <f t="shared" ca="1" si="0"/>
        <v>21</v>
      </c>
    </row>
    <row r="17" spans="1:14" s="15" customFormat="1" x14ac:dyDescent="0.2">
      <c r="A17" s="36">
        <f t="shared" ca="1" si="0"/>
        <v>11</v>
      </c>
      <c r="B17" s="36">
        <f t="shared" ca="1" si="0"/>
        <v>10</v>
      </c>
      <c r="C17" s="36">
        <f t="shared" ca="1" si="0"/>
        <v>20</v>
      </c>
      <c r="D17" s="455">
        <v>6</v>
      </c>
      <c r="E17" s="35" t="s">
        <v>249</v>
      </c>
    </row>
    <row r="18" spans="1:14" s="15" customFormat="1" x14ac:dyDescent="0.2">
      <c r="A18" s="36">
        <f t="shared" ca="1" si="0"/>
        <v>12</v>
      </c>
      <c r="B18" s="36">
        <f t="shared" ca="1" si="0"/>
        <v>25</v>
      </c>
      <c r="C18" s="36">
        <f t="shared" ca="1" si="0"/>
        <v>29</v>
      </c>
      <c r="E18" s="36" t="s">
        <v>196</v>
      </c>
      <c r="F18" s="456">
        <v>1</v>
      </c>
      <c r="G18" s="457">
        <v>2</v>
      </c>
      <c r="H18" s="457">
        <v>3</v>
      </c>
      <c r="I18" s="458">
        <v>4</v>
      </c>
    </row>
    <row r="19" spans="1:14" s="15" customFormat="1" x14ac:dyDescent="0.2">
      <c r="A19" s="36">
        <f t="shared" ca="1" si="0"/>
        <v>13</v>
      </c>
      <c r="B19" s="36">
        <f t="shared" ca="1" si="0"/>
        <v>30</v>
      </c>
      <c r="C19" s="36">
        <f t="shared" ca="1" si="0"/>
        <v>5</v>
      </c>
      <c r="E19" s="36" t="s">
        <v>230</v>
      </c>
      <c r="F19" s="456">
        <v>5</v>
      </c>
      <c r="G19" s="457">
        <v>4</v>
      </c>
      <c r="H19" s="457">
        <v>6</v>
      </c>
      <c r="I19" s="458">
        <v>1</v>
      </c>
    </row>
    <row r="20" spans="1:14" s="15" customFormat="1" x14ac:dyDescent="0.2">
      <c r="A20" s="36">
        <f t="shared" ca="1" si="0"/>
        <v>14</v>
      </c>
      <c r="B20" s="36">
        <f t="shared" ca="1" si="0"/>
        <v>11</v>
      </c>
      <c r="C20" s="36">
        <f t="shared" ca="1" si="0"/>
        <v>23</v>
      </c>
      <c r="E20" s="36" t="s">
        <v>231</v>
      </c>
      <c r="F20" s="456">
        <v>6</v>
      </c>
      <c r="G20" s="457">
        <v>3</v>
      </c>
      <c r="H20" s="457">
        <v>5</v>
      </c>
      <c r="I20" s="458">
        <v>2</v>
      </c>
    </row>
    <row r="21" spans="1:14" s="15" customFormat="1" x14ac:dyDescent="0.2">
      <c r="A21" s="36">
        <f t="shared" ca="1" si="0"/>
        <v>15</v>
      </c>
      <c r="B21" s="36">
        <f t="shared" ca="1" si="0"/>
        <v>22</v>
      </c>
      <c r="C21" s="36">
        <f t="shared" ca="1" si="0"/>
        <v>26</v>
      </c>
    </row>
    <row r="22" spans="1:14" s="15" customFormat="1" x14ac:dyDescent="0.2">
      <c r="A22" s="36">
        <f t="shared" ca="1" si="0"/>
        <v>16</v>
      </c>
      <c r="B22" s="36">
        <f t="shared" ca="1" si="0"/>
        <v>26</v>
      </c>
      <c r="C22" s="36">
        <f t="shared" ca="1" si="0"/>
        <v>17</v>
      </c>
      <c r="D22" s="455">
        <v>7</v>
      </c>
      <c r="E22" s="35" t="s">
        <v>249</v>
      </c>
    </row>
    <row r="23" spans="1:14" s="15" customFormat="1" x14ac:dyDescent="0.2">
      <c r="A23" s="36">
        <f t="shared" ca="1" si="0"/>
        <v>17</v>
      </c>
      <c r="B23" s="36">
        <f t="shared" ca="1" si="0"/>
        <v>9</v>
      </c>
      <c r="C23" s="36">
        <f t="shared" ca="1" si="0"/>
        <v>28</v>
      </c>
      <c r="E23" s="36" t="s">
        <v>196</v>
      </c>
      <c r="F23" s="456">
        <v>1</v>
      </c>
      <c r="G23" s="457">
        <v>2</v>
      </c>
      <c r="H23" s="457">
        <v>3</v>
      </c>
      <c r="I23" s="457">
        <v>4</v>
      </c>
      <c r="J23" s="458">
        <v>5</v>
      </c>
    </row>
    <row r="24" spans="1:14" s="15" customFormat="1" x14ac:dyDescent="0.2">
      <c r="A24" s="36">
        <f t="shared" ca="1" si="0"/>
        <v>18</v>
      </c>
      <c r="B24" s="36">
        <f t="shared" ca="1" si="0"/>
        <v>16</v>
      </c>
      <c r="C24" s="36">
        <f t="shared" ca="1" si="0"/>
        <v>14</v>
      </c>
      <c r="E24" s="36" t="s">
        <v>230</v>
      </c>
      <c r="F24" s="459">
        <v>6</v>
      </c>
      <c r="G24" s="460">
        <v>1</v>
      </c>
      <c r="H24" s="460">
        <v>7</v>
      </c>
      <c r="I24" s="461">
        <v>2</v>
      </c>
    </row>
    <row r="25" spans="1:14" s="15" customFormat="1" x14ac:dyDescent="0.2">
      <c r="A25" s="36">
        <f t="shared" ca="1" si="0"/>
        <v>19</v>
      </c>
      <c r="B25" s="36">
        <f t="shared" ca="1" si="0"/>
        <v>31</v>
      </c>
      <c r="C25" s="36">
        <f t="shared" ca="1" si="0"/>
        <v>30</v>
      </c>
      <c r="E25" s="36" t="s">
        <v>231</v>
      </c>
      <c r="F25" s="456">
        <v>5</v>
      </c>
      <c r="G25" s="457">
        <v>7</v>
      </c>
      <c r="H25" s="457">
        <v>4</v>
      </c>
      <c r="I25" s="457">
        <v>6</v>
      </c>
      <c r="J25" s="458">
        <v>3</v>
      </c>
    </row>
    <row r="26" spans="1:14" s="15" customFormat="1" x14ac:dyDescent="0.2">
      <c r="A26" s="36">
        <f t="shared" ca="1" si="0"/>
        <v>20</v>
      </c>
      <c r="B26" s="36">
        <f t="shared" ca="1" si="0"/>
        <v>1</v>
      </c>
      <c r="C26" s="36">
        <f t="shared" ca="1" si="0"/>
        <v>7</v>
      </c>
    </row>
    <row r="27" spans="1:14" s="15" customFormat="1" x14ac:dyDescent="0.2">
      <c r="A27" s="36">
        <f t="shared" ref="A27:C46" ca="1" si="1">IF(INDIRECT(ADDRESS(A$6,ROW()-ROW(A$6)-1+COLUMN($F$8)))&gt;0,INDIRECT(ADDRESS(A$6,ROW()-ROW(A$6)-1+COLUMN($F$8))),"")</f>
        <v>21</v>
      </c>
      <c r="B27" s="36">
        <f t="shared" ca="1" si="1"/>
        <v>19</v>
      </c>
      <c r="C27" s="36">
        <f t="shared" ca="1" si="1"/>
        <v>24</v>
      </c>
      <c r="D27" s="455">
        <v>8</v>
      </c>
      <c r="E27" s="35" t="s">
        <v>248</v>
      </c>
    </row>
    <row r="28" spans="1:14" s="15" customFormat="1" x14ac:dyDescent="0.2">
      <c r="A28" s="36">
        <f t="shared" ca="1" si="1"/>
        <v>22</v>
      </c>
      <c r="B28" s="36">
        <f t="shared" ca="1" si="1"/>
        <v>5</v>
      </c>
      <c r="C28" s="36">
        <f t="shared" ca="1" si="1"/>
        <v>11</v>
      </c>
      <c r="E28" s="36" t="s">
        <v>196</v>
      </c>
      <c r="F28" s="456">
        <v>1</v>
      </c>
      <c r="G28" s="457">
        <v>2</v>
      </c>
      <c r="H28" s="457">
        <v>3</v>
      </c>
      <c r="I28" s="458">
        <v>4</v>
      </c>
      <c r="K28" s="456">
        <v>5</v>
      </c>
      <c r="L28" s="457">
        <v>6</v>
      </c>
      <c r="M28" s="457">
        <v>7</v>
      </c>
      <c r="N28" s="458">
        <v>8</v>
      </c>
    </row>
    <row r="29" spans="1:14" s="15" customFormat="1" x14ac:dyDescent="0.2">
      <c r="A29" s="36">
        <f t="shared" ca="1" si="1"/>
        <v>23</v>
      </c>
      <c r="B29" s="36">
        <f t="shared" ca="1" si="1"/>
        <v>7</v>
      </c>
      <c r="C29" s="36">
        <f t="shared" ca="1" si="1"/>
        <v>6</v>
      </c>
      <c r="E29" s="36" t="s">
        <v>230</v>
      </c>
      <c r="F29" s="456">
        <v>2</v>
      </c>
      <c r="G29" s="457">
        <v>4</v>
      </c>
      <c r="H29" s="457">
        <v>5</v>
      </c>
      <c r="I29" s="458">
        <v>7</v>
      </c>
      <c r="K29" s="456">
        <v>3</v>
      </c>
      <c r="L29" s="457">
        <v>8</v>
      </c>
      <c r="M29" s="457">
        <v>6</v>
      </c>
      <c r="N29" s="458">
        <v>1</v>
      </c>
    </row>
    <row r="30" spans="1:14" s="15" customFormat="1" x14ac:dyDescent="0.2">
      <c r="A30" s="36">
        <f t="shared" ca="1" si="1"/>
        <v>24</v>
      </c>
      <c r="B30" s="36">
        <f t="shared" ca="1" si="1"/>
        <v>12</v>
      </c>
      <c r="C30" s="36">
        <f t="shared" ca="1" si="1"/>
        <v>16</v>
      </c>
      <c r="E30" s="36" t="s">
        <v>231</v>
      </c>
      <c r="F30" s="456">
        <v>7</v>
      </c>
      <c r="G30" s="457">
        <v>1</v>
      </c>
      <c r="H30" s="457">
        <v>8</v>
      </c>
      <c r="I30" s="458">
        <v>2</v>
      </c>
      <c r="K30" s="456">
        <v>6</v>
      </c>
      <c r="L30" s="457">
        <v>5</v>
      </c>
      <c r="M30" s="457">
        <v>4</v>
      </c>
      <c r="N30" s="458">
        <v>3</v>
      </c>
    </row>
    <row r="31" spans="1:14" s="15" customFormat="1" x14ac:dyDescent="0.2">
      <c r="A31" s="36" t="str">
        <f t="shared" ca="1" si="1"/>
        <v/>
      </c>
      <c r="B31" s="36" t="str">
        <f t="shared" ca="1" si="1"/>
        <v/>
      </c>
      <c r="C31" s="36" t="str">
        <f t="shared" ca="1" si="1"/>
        <v/>
      </c>
    </row>
    <row r="32" spans="1:14" s="15" customFormat="1" x14ac:dyDescent="0.2">
      <c r="A32" s="36">
        <f t="shared" ca="1" si="1"/>
        <v>25</v>
      </c>
      <c r="B32" s="36">
        <f t="shared" ca="1" si="1"/>
        <v>15</v>
      </c>
      <c r="C32" s="36">
        <f t="shared" ca="1" si="1"/>
        <v>13</v>
      </c>
      <c r="D32" s="455">
        <v>9</v>
      </c>
      <c r="E32" s="35" t="s">
        <v>248</v>
      </c>
    </row>
    <row r="33" spans="1:19" s="15" customFormat="1" x14ac:dyDescent="0.2">
      <c r="A33" s="36">
        <f t="shared" ca="1" si="1"/>
        <v>26</v>
      </c>
      <c r="B33" s="36">
        <f t="shared" ca="1" si="1"/>
        <v>23</v>
      </c>
      <c r="C33" s="36">
        <f t="shared" ca="1" si="1"/>
        <v>10</v>
      </c>
      <c r="E33" s="36" t="s">
        <v>196</v>
      </c>
      <c r="F33" s="456">
        <v>1</v>
      </c>
      <c r="G33" s="457">
        <v>2</v>
      </c>
      <c r="H33" s="457">
        <v>3</v>
      </c>
      <c r="I33" s="457">
        <v>4</v>
      </c>
      <c r="J33" s="458">
        <v>5</v>
      </c>
      <c r="K33" s="456">
        <v>6</v>
      </c>
      <c r="L33" s="457">
        <v>7</v>
      </c>
      <c r="M33" s="457">
        <v>8</v>
      </c>
      <c r="N33" s="458">
        <v>9</v>
      </c>
    </row>
    <row r="34" spans="1:19" s="15" customFormat="1" x14ac:dyDescent="0.2">
      <c r="A34" s="36">
        <f t="shared" ca="1" si="1"/>
        <v>27</v>
      </c>
      <c r="B34" s="36">
        <f t="shared" ca="1" si="1"/>
        <v>2</v>
      </c>
      <c r="C34" s="36">
        <f t="shared" ca="1" si="1"/>
        <v>1</v>
      </c>
      <c r="E34" s="36" t="s">
        <v>230</v>
      </c>
      <c r="F34" s="456">
        <v>9</v>
      </c>
      <c r="G34" s="457">
        <v>1</v>
      </c>
      <c r="H34" s="457">
        <v>5</v>
      </c>
      <c r="I34" s="457">
        <v>2</v>
      </c>
      <c r="J34" s="458">
        <v>7</v>
      </c>
      <c r="K34" s="456">
        <v>4</v>
      </c>
      <c r="L34" s="457">
        <v>3</v>
      </c>
      <c r="M34" s="457">
        <v>6</v>
      </c>
      <c r="N34" s="458">
        <v>8</v>
      </c>
    </row>
    <row r="35" spans="1:19" s="15" customFormat="1" x14ac:dyDescent="0.2">
      <c r="A35" s="36">
        <f t="shared" ca="1" si="1"/>
        <v>28</v>
      </c>
      <c r="B35" s="36">
        <f t="shared" ca="1" si="1"/>
        <v>17</v>
      </c>
      <c r="C35" s="36">
        <f t="shared" ca="1" si="1"/>
        <v>27</v>
      </c>
      <c r="E35" s="36" t="s">
        <v>231</v>
      </c>
      <c r="F35" s="456">
        <v>7</v>
      </c>
      <c r="G35" s="457">
        <v>4</v>
      </c>
      <c r="H35" s="457">
        <v>2</v>
      </c>
      <c r="I35" s="457">
        <v>6</v>
      </c>
      <c r="J35" s="458">
        <v>1</v>
      </c>
      <c r="K35" s="456">
        <v>8</v>
      </c>
      <c r="L35" s="457">
        <v>5</v>
      </c>
      <c r="M35" s="457">
        <v>9</v>
      </c>
      <c r="N35" s="458">
        <v>3</v>
      </c>
    </row>
    <row r="36" spans="1:19" s="15" customFormat="1" x14ac:dyDescent="0.2">
      <c r="A36" s="36" t="str">
        <f t="shared" ca="1" si="1"/>
        <v/>
      </c>
      <c r="B36" s="36" t="str">
        <f t="shared" ca="1" si="1"/>
        <v/>
      </c>
      <c r="C36" s="36" t="str">
        <f t="shared" ca="1" si="1"/>
        <v/>
      </c>
    </row>
    <row r="37" spans="1:19" s="15" customFormat="1" x14ac:dyDescent="0.2">
      <c r="A37" s="36">
        <f t="shared" ca="1" si="1"/>
        <v>29</v>
      </c>
      <c r="B37" s="36">
        <f t="shared" ca="1" si="1"/>
        <v>14</v>
      </c>
      <c r="C37" s="36">
        <f t="shared" ca="1" si="1"/>
        <v>4</v>
      </c>
      <c r="D37" s="455">
        <v>10</v>
      </c>
      <c r="E37" s="35" t="s">
        <v>248</v>
      </c>
    </row>
    <row r="38" spans="1:19" s="15" customFormat="1" x14ac:dyDescent="0.2">
      <c r="A38" s="36">
        <f t="shared" ca="1" si="1"/>
        <v>30</v>
      </c>
      <c r="B38" s="36">
        <f t="shared" ca="1" si="1"/>
        <v>8</v>
      </c>
      <c r="C38" s="36">
        <f t="shared" ca="1" si="1"/>
        <v>15</v>
      </c>
      <c r="E38" s="36" t="s">
        <v>196</v>
      </c>
      <c r="F38" s="456">
        <v>1</v>
      </c>
      <c r="G38" s="457">
        <v>2</v>
      </c>
      <c r="H38" s="457">
        <v>3</v>
      </c>
      <c r="I38" s="457">
        <v>4</v>
      </c>
      <c r="J38" s="458">
        <v>5</v>
      </c>
      <c r="K38" s="456">
        <v>6</v>
      </c>
      <c r="L38" s="457">
        <v>7</v>
      </c>
      <c r="M38" s="457">
        <v>8</v>
      </c>
      <c r="N38" s="457">
        <v>9</v>
      </c>
      <c r="O38" s="458">
        <v>10</v>
      </c>
    </row>
    <row r="39" spans="1:19" s="15" customFormat="1" x14ac:dyDescent="0.2">
      <c r="A39" s="36">
        <f t="shared" ca="1" si="1"/>
        <v>31</v>
      </c>
      <c r="B39" s="36">
        <f t="shared" ca="1" si="1"/>
        <v>20</v>
      </c>
      <c r="C39" s="36">
        <f t="shared" ca="1" si="1"/>
        <v>9</v>
      </c>
      <c r="E39" s="36" t="s">
        <v>230</v>
      </c>
      <c r="F39" s="456">
        <v>3</v>
      </c>
      <c r="G39" s="457">
        <v>1</v>
      </c>
      <c r="H39" s="457">
        <v>10</v>
      </c>
      <c r="I39" s="457">
        <v>7</v>
      </c>
      <c r="J39" s="458">
        <v>6</v>
      </c>
      <c r="K39" s="456">
        <v>5</v>
      </c>
      <c r="L39" s="457">
        <v>8</v>
      </c>
      <c r="M39" s="457">
        <v>4</v>
      </c>
      <c r="N39" s="457">
        <v>2</v>
      </c>
      <c r="O39" s="458">
        <v>9</v>
      </c>
    </row>
    <row r="40" spans="1:19" s="15" customFormat="1" x14ac:dyDescent="0.2">
      <c r="A40" s="36">
        <f t="shared" ca="1" si="1"/>
        <v>32</v>
      </c>
      <c r="B40" s="36">
        <f t="shared" ca="1" si="1"/>
        <v>3</v>
      </c>
      <c r="C40" s="36">
        <f t="shared" ca="1" si="1"/>
        <v>18</v>
      </c>
      <c r="E40" s="36" t="s">
        <v>231</v>
      </c>
      <c r="F40" s="456">
        <v>10</v>
      </c>
      <c r="G40" s="457">
        <v>4</v>
      </c>
      <c r="H40" s="457">
        <v>1</v>
      </c>
      <c r="I40" s="457">
        <v>6</v>
      </c>
      <c r="J40" s="458">
        <v>8</v>
      </c>
      <c r="K40" s="456">
        <v>7</v>
      </c>
      <c r="L40" s="457">
        <v>9</v>
      </c>
      <c r="M40" s="457">
        <v>2</v>
      </c>
      <c r="N40" s="457">
        <v>5</v>
      </c>
      <c r="O40" s="458">
        <v>3</v>
      </c>
    </row>
    <row r="41" spans="1:19" s="15" customFormat="1" x14ac:dyDescent="0.2">
      <c r="A41" s="36" t="str">
        <f t="shared" ca="1" si="1"/>
        <v/>
      </c>
      <c r="B41" s="36" t="str">
        <f t="shared" ca="1" si="1"/>
        <v/>
      </c>
      <c r="C41" s="36" t="str">
        <f t="shared" ca="1" si="1"/>
        <v/>
      </c>
    </row>
    <row r="42" spans="1:19" s="15" customFormat="1" x14ac:dyDescent="0.2">
      <c r="A42" s="36" t="str">
        <f t="shared" ca="1" si="1"/>
        <v/>
      </c>
      <c r="B42" s="36" t="str">
        <f t="shared" ca="1" si="1"/>
        <v/>
      </c>
      <c r="C42" s="36" t="str">
        <f t="shared" ca="1" si="1"/>
        <v/>
      </c>
      <c r="D42" s="455">
        <v>11</v>
      </c>
      <c r="E42" s="35" t="s">
        <v>249</v>
      </c>
    </row>
    <row r="43" spans="1:19" s="15" customFormat="1" x14ac:dyDescent="0.2">
      <c r="A43" s="36" t="str">
        <f t="shared" ca="1" si="1"/>
        <v/>
      </c>
      <c r="B43" s="36" t="str">
        <f t="shared" ca="1" si="1"/>
        <v/>
      </c>
      <c r="C43" s="36" t="str">
        <f t="shared" ca="1" si="1"/>
        <v/>
      </c>
      <c r="E43" s="36" t="s">
        <v>196</v>
      </c>
      <c r="F43" s="456">
        <v>4</v>
      </c>
      <c r="G43" s="457">
        <v>5</v>
      </c>
      <c r="H43" s="457">
        <v>6</v>
      </c>
      <c r="I43" s="457">
        <v>7</v>
      </c>
      <c r="J43" s="458"/>
      <c r="K43" s="457">
        <v>8</v>
      </c>
      <c r="L43" s="457">
        <v>9</v>
      </c>
      <c r="M43" s="457">
        <v>10</v>
      </c>
      <c r="N43" s="458">
        <v>11</v>
      </c>
    </row>
    <row r="44" spans="1:19" s="15" customFormat="1" x14ac:dyDescent="0.2">
      <c r="A44" s="36" t="str">
        <f t="shared" ca="1" si="1"/>
        <v/>
      </c>
      <c r="B44" s="36" t="str">
        <f t="shared" ca="1" si="1"/>
        <v/>
      </c>
      <c r="C44" s="36" t="str">
        <f t="shared" ca="1" si="1"/>
        <v/>
      </c>
      <c r="E44" s="36" t="s">
        <v>230</v>
      </c>
      <c r="F44" s="456">
        <v>10</v>
      </c>
      <c r="G44" s="457">
        <v>8</v>
      </c>
      <c r="H44" s="457">
        <v>7</v>
      </c>
      <c r="I44" s="457">
        <v>2</v>
      </c>
      <c r="J44" s="458"/>
      <c r="K44" s="15">
        <v>9</v>
      </c>
      <c r="L44" s="15">
        <v>11</v>
      </c>
      <c r="M44" s="15">
        <v>3</v>
      </c>
      <c r="N44" s="15">
        <v>1</v>
      </c>
    </row>
    <row r="45" spans="1:19" s="15" customFormat="1" x14ac:dyDescent="0.2">
      <c r="A45" s="36" t="str">
        <f t="shared" ca="1" si="1"/>
        <v/>
      </c>
      <c r="B45" s="36" t="str">
        <f t="shared" ca="1" si="1"/>
        <v/>
      </c>
      <c r="C45" s="36" t="str">
        <f t="shared" ca="1" si="1"/>
        <v/>
      </c>
      <c r="E45" s="36" t="s">
        <v>231</v>
      </c>
      <c r="F45" s="456">
        <v>1</v>
      </c>
      <c r="G45" s="457">
        <v>3</v>
      </c>
      <c r="H45" s="457">
        <v>4</v>
      </c>
      <c r="I45" s="458">
        <v>10</v>
      </c>
      <c r="K45" s="456">
        <v>11</v>
      </c>
      <c r="L45" s="457">
        <v>6</v>
      </c>
      <c r="M45" s="457">
        <v>2</v>
      </c>
      <c r="N45" s="458">
        <v>5</v>
      </c>
    </row>
    <row r="46" spans="1:19" s="15" customFormat="1" x14ac:dyDescent="0.2">
      <c r="A46" s="36" t="str">
        <f t="shared" ca="1" si="1"/>
        <v/>
      </c>
      <c r="B46" s="36" t="str">
        <f t="shared" ca="1" si="1"/>
        <v/>
      </c>
      <c r="C46" s="36" t="str">
        <f t="shared" ca="1" si="1"/>
        <v/>
      </c>
    </row>
    <row r="47" spans="1:19" s="15" customFormat="1" x14ac:dyDescent="0.2">
      <c r="A47" s="36" t="str">
        <f t="shared" ref="A47:C66" ca="1" si="2">IF(INDIRECT(ADDRESS(A$6,ROW()-ROW(A$6)-1+COLUMN($F$8)))&gt;0,INDIRECT(ADDRESS(A$6,ROW()-ROW(A$6)-1+COLUMN($F$8))),"")</f>
        <v/>
      </c>
      <c r="B47" s="36" t="str">
        <f t="shared" ca="1" si="2"/>
        <v/>
      </c>
      <c r="C47" s="36" t="str">
        <f t="shared" ca="1" si="2"/>
        <v/>
      </c>
      <c r="D47" s="455">
        <v>12</v>
      </c>
      <c r="E47" s="35" t="s">
        <v>248</v>
      </c>
    </row>
    <row r="48" spans="1:19" s="15" customFormat="1" x14ac:dyDescent="0.2">
      <c r="A48" s="36" t="str">
        <f t="shared" ca="1" si="2"/>
        <v/>
      </c>
      <c r="B48" s="36" t="str">
        <f t="shared" ca="1" si="2"/>
        <v/>
      </c>
      <c r="C48" s="36" t="str">
        <f t="shared" ca="1" si="2"/>
        <v/>
      </c>
      <c r="E48" s="36" t="s">
        <v>196</v>
      </c>
      <c r="F48" s="456">
        <v>1</v>
      </c>
      <c r="G48" s="457">
        <v>2</v>
      </c>
      <c r="H48" s="457">
        <v>3</v>
      </c>
      <c r="I48" s="458">
        <v>4</v>
      </c>
      <c r="K48" s="456">
        <v>5</v>
      </c>
      <c r="L48" s="457">
        <v>6</v>
      </c>
      <c r="M48" s="457">
        <v>7</v>
      </c>
      <c r="N48" s="458">
        <v>8</v>
      </c>
      <c r="P48" s="456">
        <v>9</v>
      </c>
      <c r="Q48" s="457">
        <v>10</v>
      </c>
      <c r="R48" s="457">
        <v>11</v>
      </c>
      <c r="S48" s="458">
        <v>12</v>
      </c>
    </row>
    <row r="49" spans="1:20" s="15" customFormat="1" x14ac:dyDescent="0.2">
      <c r="A49" s="36" t="str">
        <f t="shared" ca="1" si="2"/>
        <v/>
      </c>
      <c r="B49" s="36" t="str">
        <f t="shared" ca="1" si="2"/>
        <v/>
      </c>
      <c r="C49" s="36" t="str">
        <f t="shared" ca="1" si="2"/>
        <v/>
      </c>
      <c r="E49" s="36" t="s">
        <v>230</v>
      </c>
      <c r="F49" s="456">
        <v>6</v>
      </c>
      <c r="G49" s="457">
        <v>12</v>
      </c>
      <c r="H49" s="457">
        <v>4</v>
      </c>
      <c r="I49" s="458">
        <v>9</v>
      </c>
      <c r="K49" s="456">
        <v>11</v>
      </c>
      <c r="L49" s="457">
        <v>1</v>
      </c>
      <c r="M49" s="457">
        <v>5</v>
      </c>
      <c r="N49" s="458">
        <v>7</v>
      </c>
      <c r="P49" s="456">
        <v>8</v>
      </c>
      <c r="Q49" s="457">
        <v>3</v>
      </c>
      <c r="R49" s="457">
        <v>10</v>
      </c>
      <c r="S49" s="458">
        <v>2</v>
      </c>
    </row>
    <row r="50" spans="1:20" s="15" customFormat="1" x14ac:dyDescent="0.2">
      <c r="A50" s="36" t="str">
        <f t="shared" ca="1" si="2"/>
        <v/>
      </c>
      <c r="B50" s="36" t="str">
        <f t="shared" ca="1" si="2"/>
        <v/>
      </c>
      <c r="C50" s="36" t="str">
        <f t="shared" ca="1" si="2"/>
        <v/>
      </c>
      <c r="E50" s="36" t="s">
        <v>231</v>
      </c>
      <c r="F50" s="456">
        <v>10</v>
      </c>
      <c r="G50" s="457">
        <v>4</v>
      </c>
      <c r="H50" s="457">
        <v>2</v>
      </c>
      <c r="I50" s="458">
        <v>5</v>
      </c>
      <c r="K50" s="456">
        <v>3</v>
      </c>
      <c r="L50" s="457">
        <v>7</v>
      </c>
      <c r="M50" s="457">
        <v>9</v>
      </c>
      <c r="N50" s="458">
        <v>11</v>
      </c>
      <c r="P50" s="456">
        <v>12</v>
      </c>
      <c r="Q50" s="457">
        <v>8</v>
      </c>
      <c r="R50" s="457">
        <v>6</v>
      </c>
      <c r="S50" s="458">
        <v>1</v>
      </c>
    </row>
    <row r="51" spans="1:20" s="15" customFormat="1" x14ac:dyDescent="0.2">
      <c r="A51" s="36" t="str">
        <f t="shared" ca="1" si="2"/>
        <v/>
      </c>
      <c r="B51" s="36" t="str">
        <f t="shared" ca="1" si="2"/>
        <v/>
      </c>
      <c r="C51" s="36" t="str">
        <f t="shared" ca="1" si="2"/>
        <v/>
      </c>
    </row>
    <row r="52" spans="1:20" s="15" customFormat="1" x14ac:dyDescent="0.2">
      <c r="A52" s="36" t="str">
        <f t="shared" ca="1" si="2"/>
        <v/>
      </c>
      <c r="B52" s="36" t="str">
        <f t="shared" ca="1" si="2"/>
        <v/>
      </c>
      <c r="C52" s="36" t="str">
        <f t="shared" ca="1" si="2"/>
        <v/>
      </c>
      <c r="D52" s="455">
        <v>13</v>
      </c>
      <c r="E52" s="35" t="s">
        <v>248</v>
      </c>
    </row>
    <row r="53" spans="1:20" s="15" customFormat="1" x14ac:dyDescent="0.2">
      <c r="A53" s="36" t="str">
        <f t="shared" ca="1" si="2"/>
        <v/>
      </c>
      <c r="B53" s="36" t="str">
        <f t="shared" ca="1" si="2"/>
        <v/>
      </c>
      <c r="C53" s="36" t="str">
        <f t="shared" ca="1" si="2"/>
        <v/>
      </c>
      <c r="E53" s="36" t="s">
        <v>196</v>
      </c>
      <c r="F53" s="456">
        <v>1</v>
      </c>
      <c r="G53" s="457">
        <v>2</v>
      </c>
      <c r="H53" s="457">
        <v>3</v>
      </c>
      <c r="I53" s="457">
        <v>4</v>
      </c>
      <c r="J53" s="458">
        <v>5</v>
      </c>
      <c r="K53" s="456">
        <v>6</v>
      </c>
      <c r="L53" s="457">
        <v>7</v>
      </c>
      <c r="M53" s="457">
        <v>8</v>
      </c>
      <c r="N53" s="458">
        <v>9</v>
      </c>
      <c r="P53" s="456">
        <v>10</v>
      </c>
      <c r="Q53" s="457">
        <v>11</v>
      </c>
      <c r="R53" s="457">
        <v>12</v>
      </c>
      <c r="S53" s="458">
        <v>13</v>
      </c>
    </row>
    <row r="54" spans="1:20" s="15" customFormat="1" x14ac:dyDescent="0.2">
      <c r="A54" s="36" t="str">
        <f t="shared" ca="1" si="2"/>
        <v/>
      </c>
      <c r="B54" s="36" t="str">
        <f t="shared" ca="1" si="2"/>
        <v/>
      </c>
      <c r="C54" s="36" t="str">
        <f t="shared" ca="1" si="2"/>
        <v/>
      </c>
      <c r="E54" s="36" t="s">
        <v>230</v>
      </c>
      <c r="F54" s="456">
        <v>12</v>
      </c>
      <c r="G54" s="457">
        <v>10</v>
      </c>
      <c r="H54" s="457">
        <v>1</v>
      </c>
      <c r="I54" s="457">
        <v>6</v>
      </c>
      <c r="J54" s="458">
        <v>8</v>
      </c>
      <c r="K54" s="456">
        <v>11</v>
      </c>
      <c r="L54" s="457">
        <v>4</v>
      </c>
      <c r="M54" s="457">
        <v>2</v>
      </c>
      <c r="N54" s="458">
        <v>7</v>
      </c>
      <c r="P54" s="456">
        <v>13</v>
      </c>
      <c r="Q54" s="457">
        <v>5</v>
      </c>
      <c r="R54" s="457">
        <v>9</v>
      </c>
      <c r="S54" s="458">
        <v>3</v>
      </c>
    </row>
    <row r="55" spans="1:20" s="15" customFormat="1" x14ac:dyDescent="0.2">
      <c r="A55" s="36" t="str">
        <f t="shared" ca="1" si="2"/>
        <v/>
      </c>
      <c r="B55" s="36" t="str">
        <f t="shared" ca="1" si="2"/>
        <v/>
      </c>
      <c r="C55" s="36" t="str">
        <f t="shared" ca="1" si="2"/>
        <v/>
      </c>
      <c r="E55" s="36" t="s">
        <v>231</v>
      </c>
      <c r="F55" s="456">
        <v>9</v>
      </c>
      <c r="G55" s="457">
        <v>13</v>
      </c>
      <c r="H55" s="457">
        <v>7</v>
      </c>
      <c r="I55" s="457">
        <v>1</v>
      </c>
      <c r="J55" s="458">
        <v>11</v>
      </c>
      <c r="K55" s="456">
        <v>5</v>
      </c>
      <c r="L55" s="457">
        <v>6</v>
      </c>
      <c r="M55" s="457">
        <v>10</v>
      </c>
      <c r="N55" s="458">
        <v>2</v>
      </c>
      <c r="P55" s="456">
        <v>3</v>
      </c>
      <c r="Q55" s="457">
        <v>8</v>
      </c>
      <c r="R55" s="457">
        <v>4</v>
      </c>
      <c r="S55" s="458">
        <v>12</v>
      </c>
    </row>
    <row r="56" spans="1:20" s="15" customFormat="1" x14ac:dyDescent="0.2">
      <c r="A56" s="36" t="str">
        <f t="shared" ca="1" si="2"/>
        <v/>
      </c>
      <c r="B56" s="36" t="str">
        <f t="shared" ca="1" si="2"/>
        <v/>
      </c>
      <c r="C56" s="36" t="str">
        <f t="shared" ca="1" si="2"/>
        <v/>
      </c>
    </row>
    <row r="57" spans="1:20" s="15" customFormat="1" x14ac:dyDescent="0.2">
      <c r="A57" s="36" t="str">
        <f t="shared" ca="1" si="2"/>
        <v/>
      </c>
      <c r="B57" s="36" t="str">
        <f t="shared" ca="1" si="2"/>
        <v/>
      </c>
      <c r="C57" s="36" t="str">
        <f t="shared" ca="1" si="2"/>
        <v/>
      </c>
      <c r="D57" s="455">
        <v>14</v>
      </c>
      <c r="E57" s="35" t="s">
        <v>248</v>
      </c>
    </row>
    <row r="58" spans="1:20" s="15" customFormat="1" x14ac:dyDescent="0.2">
      <c r="A58" s="36" t="str">
        <f t="shared" ca="1" si="2"/>
        <v/>
      </c>
      <c r="B58" s="36" t="str">
        <f t="shared" ca="1" si="2"/>
        <v/>
      </c>
      <c r="C58" s="36" t="str">
        <f t="shared" ca="1" si="2"/>
        <v/>
      </c>
      <c r="E58" s="36" t="s">
        <v>196</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x14ac:dyDescent="0.2">
      <c r="A59" s="36" t="str">
        <f t="shared" ca="1" si="2"/>
        <v/>
      </c>
      <c r="B59" s="36" t="str">
        <f t="shared" ca="1" si="2"/>
        <v/>
      </c>
      <c r="C59" s="36" t="str">
        <f t="shared" ca="1" si="2"/>
        <v/>
      </c>
      <c r="E59" s="36" t="s">
        <v>230</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x14ac:dyDescent="0.2">
      <c r="A60" s="36" t="str">
        <f t="shared" ca="1" si="2"/>
        <v/>
      </c>
      <c r="B60" s="36" t="str">
        <f t="shared" ca="1" si="2"/>
        <v/>
      </c>
      <c r="C60" s="36" t="str">
        <f t="shared" ca="1" si="2"/>
        <v/>
      </c>
      <c r="E60" s="36" t="s">
        <v>231</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x14ac:dyDescent="0.2">
      <c r="A61" s="36" t="str">
        <f t="shared" ca="1" si="2"/>
        <v/>
      </c>
      <c r="B61" s="36" t="str">
        <f t="shared" ca="1" si="2"/>
        <v/>
      </c>
      <c r="C61" s="36" t="str">
        <f t="shared" ca="1" si="2"/>
        <v/>
      </c>
    </row>
    <row r="62" spans="1:20" s="15" customFormat="1" x14ac:dyDescent="0.2">
      <c r="A62" s="36" t="str">
        <f t="shared" ca="1" si="2"/>
        <v/>
      </c>
      <c r="B62" s="36" t="str">
        <f t="shared" ca="1" si="2"/>
        <v/>
      </c>
      <c r="C62" s="36" t="str">
        <f t="shared" ca="1" si="2"/>
        <v/>
      </c>
      <c r="D62" s="455">
        <v>15</v>
      </c>
      <c r="E62" s="35" t="s">
        <v>248</v>
      </c>
    </row>
    <row r="63" spans="1:20" s="15" customFormat="1" x14ac:dyDescent="0.2">
      <c r="A63" s="36" t="str">
        <f t="shared" ca="1" si="2"/>
        <v/>
      </c>
      <c r="B63" s="36" t="str">
        <f t="shared" ca="1" si="2"/>
        <v/>
      </c>
      <c r="C63" s="36" t="str">
        <f t="shared" ca="1" si="2"/>
        <v/>
      </c>
      <c r="E63" s="36" t="s">
        <v>196</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x14ac:dyDescent="0.2">
      <c r="A64" s="36" t="str">
        <f t="shared" ca="1" si="2"/>
        <v/>
      </c>
      <c r="B64" s="36" t="str">
        <f t="shared" ca="1" si="2"/>
        <v/>
      </c>
      <c r="C64" s="36" t="str">
        <f t="shared" ca="1" si="2"/>
        <v/>
      </c>
      <c r="E64" s="36" t="s">
        <v>230</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x14ac:dyDescent="0.2">
      <c r="A65" s="36" t="str">
        <f t="shared" ca="1" si="2"/>
        <v/>
      </c>
      <c r="B65" s="36" t="str">
        <f t="shared" ca="1" si="2"/>
        <v/>
      </c>
      <c r="C65" s="36" t="str">
        <f t="shared" ca="1" si="2"/>
        <v/>
      </c>
      <c r="E65" s="36" t="s">
        <v>231</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x14ac:dyDescent="0.2">
      <c r="A66" s="36" t="str">
        <f t="shared" ca="1" si="2"/>
        <v/>
      </c>
      <c r="B66" s="36" t="str">
        <f t="shared" ca="1" si="2"/>
        <v/>
      </c>
      <c r="C66" s="36" t="str">
        <f t="shared" ca="1" si="2"/>
        <v/>
      </c>
    </row>
    <row r="67" spans="1:24" s="15" customFormat="1" x14ac:dyDescent="0.2">
      <c r="A67" s="36" t="str">
        <f t="shared" ref="A67:C86" ca="1" si="3">IF(INDIRECT(ADDRESS(A$6,ROW()-ROW(A$6)-1+COLUMN($F$8)))&gt;0,INDIRECT(ADDRESS(A$6,ROW()-ROW(A$6)-1+COLUMN($F$8))),"")</f>
        <v/>
      </c>
      <c r="B67" s="36" t="str">
        <f t="shared" ca="1" si="3"/>
        <v/>
      </c>
      <c r="C67" s="36" t="str">
        <f t="shared" ca="1" si="3"/>
        <v/>
      </c>
      <c r="D67" s="455">
        <v>16</v>
      </c>
      <c r="E67" s="35" t="s">
        <v>248</v>
      </c>
    </row>
    <row r="68" spans="1:24" s="15" customFormat="1" x14ac:dyDescent="0.2">
      <c r="A68" s="36" t="str">
        <f t="shared" ca="1" si="3"/>
        <v/>
      </c>
      <c r="B68" s="36" t="str">
        <f t="shared" ca="1" si="3"/>
        <v/>
      </c>
      <c r="C68" s="36" t="str">
        <f t="shared" ca="1" si="3"/>
        <v/>
      </c>
      <c r="E68" s="36" t="s">
        <v>196</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x14ac:dyDescent="0.2">
      <c r="A69" s="36" t="str">
        <f t="shared" ca="1" si="3"/>
        <v/>
      </c>
      <c r="B69" s="36" t="str">
        <f t="shared" ca="1" si="3"/>
        <v/>
      </c>
      <c r="C69" s="36" t="str">
        <f t="shared" ca="1" si="3"/>
        <v/>
      </c>
      <c r="E69" s="36" t="s">
        <v>230</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x14ac:dyDescent="0.2">
      <c r="A70" s="36" t="str">
        <f t="shared" ca="1" si="3"/>
        <v/>
      </c>
      <c r="B70" s="36" t="str">
        <f t="shared" ca="1" si="3"/>
        <v/>
      </c>
      <c r="C70" s="36" t="str">
        <f t="shared" ca="1" si="3"/>
        <v/>
      </c>
      <c r="E70" s="36" t="s">
        <v>231</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x14ac:dyDescent="0.2">
      <c r="A71" s="36" t="str">
        <f t="shared" ca="1" si="3"/>
        <v/>
      </c>
      <c r="B71" s="36" t="str">
        <f t="shared" ca="1" si="3"/>
        <v/>
      </c>
      <c r="C71" s="36" t="str">
        <f t="shared" ca="1" si="3"/>
        <v/>
      </c>
    </row>
    <row r="72" spans="1:24" s="15" customFormat="1" x14ac:dyDescent="0.2">
      <c r="A72" s="36" t="str">
        <f t="shared" ca="1" si="3"/>
        <v/>
      </c>
      <c r="B72" s="36" t="str">
        <f t="shared" ca="1" si="3"/>
        <v/>
      </c>
      <c r="C72" s="36" t="str">
        <f t="shared" ca="1" si="3"/>
        <v/>
      </c>
      <c r="D72" s="455">
        <v>17</v>
      </c>
      <c r="E72" s="35" t="s">
        <v>248</v>
      </c>
    </row>
    <row r="73" spans="1:24" s="15" customFormat="1" x14ac:dyDescent="0.2">
      <c r="A73" s="36" t="str">
        <f t="shared" ca="1" si="3"/>
        <v/>
      </c>
      <c r="B73" s="36" t="str">
        <f t="shared" ca="1" si="3"/>
        <v/>
      </c>
      <c r="C73" s="36" t="str">
        <f t="shared" ca="1" si="3"/>
        <v/>
      </c>
      <c r="E73" s="36" t="s">
        <v>196</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x14ac:dyDescent="0.2">
      <c r="A74" s="36" t="str">
        <f t="shared" ca="1" si="3"/>
        <v/>
      </c>
      <c r="B74" s="36" t="str">
        <f t="shared" ca="1" si="3"/>
        <v/>
      </c>
      <c r="C74" s="36" t="str">
        <f t="shared" ca="1" si="3"/>
        <v/>
      </c>
      <c r="E74" s="36" t="s">
        <v>230</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x14ac:dyDescent="0.2">
      <c r="A75" s="36" t="str">
        <f t="shared" ca="1" si="3"/>
        <v/>
      </c>
      <c r="B75" s="36" t="str">
        <f t="shared" ca="1" si="3"/>
        <v/>
      </c>
      <c r="C75" s="36" t="str">
        <f t="shared" ca="1" si="3"/>
        <v/>
      </c>
      <c r="E75" s="36" t="s">
        <v>231</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x14ac:dyDescent="0.2">
      <c r="A76" s="36" t="str">
        <f t="shared" ca="1" si="3"/>
        <v/>
      </c>
      <c r="B76" s="36" t="str">
        <f t="shared" ca="1" si="3"/>
        <v/>
      </c>
      <c r="C76" s="36" t="str">
        <f t="shared" ca="1" si="3"/>
        <v/>
      </c>
    </row>
    <row r="77" spans="1:24" s="15" customFormat="1" x14ac:dyDescent="0.2">
      <c r="A77" s="36" t="str">
        <f t="shared" ca="1" si="3"/>
        <v/>
      </c>
      <c r="B77" s="36" t="str">
        <f t="shared" ca="1" si="3"/>
        <v/>
      </c>
      <c r="C77" s="36" t="str">
        <f t="shared" ca="1" si="3"/>
        <v/>
      </c>
      <c r="D77" s="455">
        <v>18</v>
      </c>
      <c r="E77" s="35" t="s">
        <v>248</v>
      </c>
    </row>
    <row r="78" spans="1:24" s="15" customFormat="1" x14ac:dyDescent="0.2">
      <c r="A78" s="36" t="str">
        <f t="shared" ca="1" si="3"/>
        <v/>
      </c>
      <c r="B78" s="36" t="str">
        <f t="shared" ca="1" si="3"/>
        <v/>
      </c>
      <c r="C78" s="36" t="str">
        <f t="shared" ca="1" si="3"/>
        <v/>
      </c>
      <c r="E78" s="36" t="s">
        <v>196</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x14ac:dyDescent="0.2">
      <c r="A79" s="36" t="str">
        <f t="shared" ca="1" si="3"/>
        <v/>
      </c>
      <c r="B79" s="36" t="str">
        <f t="shared" ca="1" si="3"/>
        <v/>
      </c>
      <c r="C79" s="36" t="str">
        <f t="shared" ca="1" si="3"/>
        <v/>
      </c>
      <c r="E79" s="36" t="s">
        <v>230</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x14ac:dyDescent="0.2">
      <c r="A80" s="36" t="str">
        <f t="shared" ca="1" si="3"/>
        <v/>
      </c>
      <c r="B80" s="36" t="str">
        <f t="shared" ca="1" si="3"/>
        <v/>
      </c>
      <c r="C80" s="36" t="str">
        <f t="shared" ca="1" si="3"/>
        <v/>
      </c>
      <c r="E80" s="36" t="s">
        <v>231</v>
      </c>
      <c r="F80" s="15">
        <v>7</v>
      </c>
      <c r="G80" s="15">
        <v>18</v>
      </c>
      <c r="H80" s="15">
        <v>4</v>
      </c>
      <c r="I80" s="15">
        <v>12</v>
      </c>
      <c r="J80" s="15">
        <v>17</v>
      </c>
      <c r="K80" s="15">
        <v>14</v>
      </c>
      <c r="L80" s="15">
        <v>8</v>
      </c>
      <c r="M80" s="15">
        <v>15</v>
      </c>
      <c r="N80" s="15">
        <v>11</v>
      </c>
      <c r="O80" s="15">
        <v>2</v>
      </c>
      <c r="P80" s="15">
        <v>10</v>
      </c>
      <c r="Q80" s="15">
        <v>13</v>
      </c>
      <c r="R80" s="15">
        <v>6</v>
      </c>
      <c r="S80" s="15">
        <v>1</v>
      </c>
      <c r="U80" s="15">
        <v>9</v>
      </c>
      <c r="V80" s="15">
        <v>3</v>
      </c>
      <c r="W80" s="15">
        <v>5</v>
      </c>
      <c r="X80" s="15">
        <v>16</v>
      </c>
    </row>
    <row r="81" spans="1:29" s="15" customFormat="1" x14ac:dyDescent="0.2">
      <c r="A81" s="36" t="str">
        <f t="shared" ca="1" si="3"/>
        <v/>
      </c>
      <c r="B81" s="36" t="str">
        <f t="shared" ca="1" si="3"/>
        <v/>
      </c>
      <c r="C81" s="36" t="str">
        <f t="shared" ca="1" si="3"/>
        <v/>
      </c>
    </row>
    <row r="82" spans="1:29" s="15" customFormat="1" x14ac:dyDescent="0.2">
      <c r="A82" s="36" t="str">
        <f t="shared" ca="1" si="3"/>
        <v/>
      </c>
      <c r="B82" s="36" t="str">
        <f t="shared" ca="1" si="3"/>
        <v/>
      </c>
      <c r="C82" s="36" t="str">
        <f t="shared" ca="1" si="3"/>
        <v/>
      </c>
      <c r="D82" s="455">
        <v>19</v>
      </c>
      <c r="E82" s="35" t="s">
        <v>248</v>
      </c>
    </row>
    <row r="83" spans="1:29" s="15" customFormat="1" x14ac:dyDescent="0.2">
      <c r="A83" s="36" t="str">
        <f t="shared" ca="1" si="3"/>
        <v/>
      </c>
      <c r="B83" s="36" t="str">
        <f t="shared" ca="1" si="3"/>
        <v/>
      </c>
      <c r="C83" s="36" t="str">
        <f t="shared" ca="1" si="3"/>
        <v/>
      </c>
      <c r="E83" s="36" t="s">
        <v>196</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x14ac:dyDescent="0.2">
      <c r="A84" s="36" t="str">
        <f t="shared" ca="1" si="3"/>
        <v/>
      </c>
      <c r="B84" s="36" t="str">
        <f t="shared" ca="1" si="3"/>
        <v/>
      </c>
      <c r="C84" s="36" t="str">
        <f t="shared" ca="1" si="3"/>
        <v/>
      </c>
      <c r="E84" s="36" t="s">
        <v>230</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x14ac:dyDescent="0.2">
      <c r="A85" s="36" t="str">
        <f t="shared" ca="1" si="3"/>
        <v/>
      </c>
      <c r="B85" s="36" t="str">
        <f t="shared" ca="1" si="3"/>
        <v/>
      </c>
      <c r="C85" s="36" t="str">
        <f t="shared" ca="1" si="3"/>
        <v/>
      </c>
      <c r="E85" s="36" t="s">
        <v>231</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x14ac:dyDescent="0.2">
      <c r="A86" s="36" t="str">
        <f t="shared" ca="1" si="3"/>
        <v/>
      </c>
      <c r="B86" s="36" t="str">
        <f t="shared" ca="1" si="3"/>
        <v/>
      </c>
      <c r="C86" s="36" t="str">
        <f t="shared" ca="1" si="3"/>
        <v/>
      </c>
    </row>
    <row r="87" spans="1:29" s="15" customFormat="1" x14ac:dyDescent="0.2">
      <c r="A87" s="36" t="str">
        <f t="shared" ref="A87:C109" ca="1" si="4">IF(INDIRECT(ADDRESS(A$6,ROW()-ROW(A$6)-1+COLUMN($F$8)))&gt;0,INDIRECT(ADDRESS(A$6,ROW()-ROW(A$6)-1+COLUMN($F$8))),"")</f>
        <v/>
      </c>
      <c r="B87" s="36" t="str">
        <f t="shared" ca="1" si="4"/>
        <v/>
      </c>
      <c r="C87" s="36" t="str">
        <f t="shared" ca="1" si="4"/>
        <v/>
      </c>
      <c r="D87" s="455">
        <v>20</v>
      </c>
      <c r="E87" s="35" t="s">
        <v>248</v>
      </c>
    </row>
    <row r="88" spans="1:29" s="15" customFormat="1" x14ac:dyDescent="0.2">
      <c r="A88" s="36" t="str">
        <f t="shared" ca="1" si="4"/>
        <v/>
      </c>
      <c r="B88" s="36" t="str">
        <f t="shared" ca="1" si="4"/>
        <v/>
      </c>
      <c r="C88" s="36" t="str">
        <f t="shared" ca="1" si="4"/>
        <v/>
      </c>
      <c r="E88" s="36" t="s">
        <v>196</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x14ac:dyDescent="0.2">
      <c r="A89" s="36" t="str">
        <f t="shared" ca="1" si="4"/>
        <v/>
      </c>
      <c r="B89" s="36" t="str">
        <f t="shared" ca="1" si="4"/>
        <v/>
      </c>
      <c r="C89" s="36" t="str">
        <f t="shared" ca="1" si="4"/>
        <v/>
      </c>
      <c r="E89" s="36" t="s">
        <v>230</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x14ac:dyDescent="0.2">
      <c r="A90" s="36" t="str">
        <f t="shared" ca="1" si="4"/>
        <v/>
      </c>
      <c r="B90" s="36" t="str">
        <f t="shared" ca="1" si="4"/>
        <v/>
      </c>
      <c r="C90" s="36" t="str">
        <f t="shared" ca="1" si="4"/>
        <v/>
      </c>
      <c r="E90" s="36" t="s">
        <v>231</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x14ac:dyDescent="0.2">
      <c r="A91" s="36" t="str">
        <f t="shared" ca="1" si="4"/>
        <v/>
      </c>
      <c r="B91" s="36" t="str">
        <f t="shared" ca="1" si="4"/>
        <v/>
      </c>
      <c r="C91" s="36" t="str">
        <f t="shared" ca="1" si="4"/>
        <v/>
      </c>
    </row>
    <row r="92" spans="1:29" s="15" customFormat="1" x14ac:dyDescent="0.2">
      <c r="A92" s="36" t="str">
        <f t="shared" ca="1" si="4"/>
        <v/>
      </c>
      <c r="B92" s="36" t="str">
        <f t="shared" ca="1" si="4"/>
        <v/>
      </c>
      <c r="C92" s="36" t="str">
        <f t="shared" ca="1" si="4"/>
        <v/>
      </c>
      <c r="D92" s="455">
        <v>21</v>
      </c>
      <c r="E92" s="35" t="s">
        <v>248</v>
      </c>
    </row>
    <row r="93" spans="1:29" s="15" customFormat="1" x14ac:dyDescent="0.2">
      <c r="A93" s="36" t="str">
        <f t="shared" ca="1" si="4"/>
        <v/>
      </c>
      <c r="B93" s="36" t="str">
        <f t="shared" ca="1" si="4"/>
        <v/>
      </c>
      <c r="C93" s="36" t="str">
        <f t="shared" ca="1" si="4"/>
        <v/>
      </c>
      <c r="E93" s="36" t="s">
        <v>196</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x14ac:dyDescent="0.2">
      <c r="A94" s="36" t="str">
        <f t="shared" ca="1" si="4"/>
        <v/>
      </c>
      <c r="B94" s="36" t="str">
        <f t="shared" ca="1" si="4"/>
        <v/>
      </c>
      <c r="C94" s="36" t="str">
        <f t="shared" ca="1" si="4"/>
        <v/>
      </c>
      <c r="E94" s="36" t="s">
        <v>230</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x14ac:dyDescent="0.2">
      <c r="A95" s="36" t="str">
        <f t="shared" ca="1" si="4"/>
        <v/>
      </c>
      <c r="B95" s="36" t="str">
        <f t="shared" ca="1" si="4"/>
        <v/>
      </c>
      <c r="C95" s="36" t="str">
        <f t="shared" ca="1" si="4"/>
        <v/>
      </c>
      <c r="E95" s="36" t="s">
        <v>231</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x14ac:dyDescent="0.2">
      <c r="A96" s="36" t="str">
        <f t="shared" ca="1" si="4"/>
        <v/>
      </c>
      <c r="B96" s="36" t="str">
        <f t="shared" ca="1" si="4"/>
        <v/>
      </c>
      <c r="C96" s="36" t="str">
        <f t="shared" ca="1" si="4"/>
        <v/>
      </c>
    </row>
    <row r="97" spans="1:29" s="15" customFormat="1" x14ac:dyDescent="0.2">
      <c r="A97" s="36" t="str">
        <f t="shared" ca="1" si="4"/>
        <v/>
      </c>
      <c r="B97" s="36" t="str">
        <f t="shared" ca="1" si="4"/>
        <v/>
      </c>
      <c r="C97" s="36" t="str">
        <f t="shared" ca="1" si="4"/>
        <v/>
      </c>
      <c r="D97" s="455">
        <v>22</v>
      </c>
      <c r="E97" s="35" t="s">
        <v>248</v>
      </c>
    </row>
    <row r="98" spans="1:29" s="15" customFormat="1" x14ac:dyDescent="0.2">
      <c r="A98" s="36" t="str">
        <f t="shared" ca="1" si="4"/>
        <v/>
      </c>
      <c r="B98" s="36" t="str">
        <f t="shared" ca="1" si="4"/>
        <v/>
      </c>
      <c r="C98" s="36" t="str">
        <f t="shared" ca="1" si="4"/>
        <v/>
      </c>
      <c r="E98" s="36" t="s">
        <v>196</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x14ac:dyDescent="0.2">
      <c r="A99" s="36" t="str">
        <f t="shared" ca="1" si="4"/>
        <v/>
      </c>
      <c r="B99" s="36" t="str">
        <f t="shared" ca="1" si="4"/>
        <v/>
      </c>
      <c r="C99" s="36" t="str">
        <f t="shared" ca="1" si="4"/>
        <v/>
      </c>
      <c r="E99" s="36" t="s">
        <v>230</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x14ac:dyDescent="0.2">
      <c r="A100" s="36" t="str">
        <f t="shared" ca="1" si="4"/>
        <v/>
      </c>
      <c r="B100" s="36" t="str">
        <f t="shared" ca="1" si="4"/>
        <v/>
      </c>
      <c r="C100" s="36" t="str">
        <f t="shared" ca="1" si="4"/>
        <v/>
      </c>
      <c r="E100" s="36" t="s">
        <v>231</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x14ac:dyDescent="0.2">
      <c r="A101" s="36" t="str">
        <f t="shared" ca="1" si="4"/>
        <v/>
      </c>
      <c r="B101" s="36" t="str">
        <f t="shared" ca="1" si="4"/>
        <v/>
      </c>
      <c r="C101" s="36" t="str">
        <f t="shared" ca="1" si="4"/>
        <v/>
      </c>
    </row>
    <row r="102" spans="1:29" s="15" customFormat="1" x14ac:dyDescent="0.2">
      <c r="A102" s="36" t="str">
        <f t="shared" ca="1" si="4"/>
        <v/>
      </c>
      <c r="B102" s="36" t="str">
        <f t="shared" ca="1" si="4"/>
        <v/>
      </c>
      <c r="C102" s="36" t="str">
        <f t="shared" ca="1" si="4"/>
        <v/>
      </c>
      <c r="D102" s="455">
        <v>23</v>
      </c>
      <c r="E102" s="35" t="s">
        <v>248</v>
      </c>
    </row>
    <row r="103" spans="1:29" s="15" customFormat="1" x14ac:dyDescent="0.2">
      <c r="A103" s="36" t="str">
        <f t="shared" ca="1" si="4"/>
        <v/>
      </c>
      <c r="B103" s="36" t="str">
        <f t="shared" ca="1" si="4"/>
        <v/>
      </c>
      <c r="C103" s="36" t="str">
        <f t="shared" ca="1" si="4"/>
        <v/>
      </c>
      <c r="E103" s="36" t="s">
        <v>196</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x14ac:dyDescent="0.2">
      <c r="A104" s="36" t="str">
        <f t="shared" ca="1" si="4"/>
        <v/>
      </c>
      <c r="B104" s="36" t="str">
        <f t="shared" ca="1" si="4"/>
        <v/>
      </c>
      <c r="C104" s="36" t="str">
        <f t="shared" ca="1" si="4"/>
        <v/>
      </c>
      <c r="E104" s="36" t="s">
        <v>230</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x14ac:dyDescent="0.2">
      <c r="A105" s="36" t="str">
        <f t="shared" ca="1" si="4"/>
        <v/>
      </c>
      <c r="B105" s="36" t="str">
        <f t="shared" ca="1" si="4"/>
        <v/>
      </c>
      <c r="C105" s="36" t="str">
        <f t="shared" ca="1" si="4"/>
        <v/>
      </c>
      <c r="E105" s="36" t="s">
        <v>231</v>
      </c>
      <c r="F105" s="15">
        <v>7</v>
      </c>
      <c r="G105" s="15">
        <v>14</v>
      </c>
      <c r="H105" s="15">
        <v>20</v>
      </c>
      <c r="I105" s="15">
        <v>17</v>
      </c>
      <c r="J105" s="15">
        <v>21</v>
      </c>
      <c r="K105" s="15">
        <v>15</v>
      </c>
      <c r="L105" s="15">
        <v>23</v>
      </c>
      <c r="M105" s="15">
        <v>2</v>
      </c>
      <c r="N105" s="15">
        <v>18</v>
      </c>
      <c r="O105" s="15">
        <v>8</v>
      </c>
      <c r="P105" s="15">
        <v>19</v>
      </c>
      <c r="Q105" s="15">
        <v>5</v>
      </c>
      <c r="R105" s="15">
        <v>16</v>
      </c>
      <c r="S105" s="15">
        <v>22</v>
      </c>
      <c r="T105" s="15">
        <v>6</v>
      </c>
      <c r="U105" s="15">
        <v>13</v>
      </c>
      <c r="V105" s="15">
        <v>11</v>
      </c>
      <c r="W105" s="15">
        <v>9</v>
      </c>
      <c r="X105" s="15">
        <v>1</v>
      </c>
      <c r="Z105" s="15">
        <v>10</v>
      </c>
      <c r="AA105" s="15">
        <v>4</v>
      </c>
      <c r="AB105" s="15">
        <v>12</v>
      </c>
      <c r="AC105" s="15">
        <v>3</v>
      </c>
    </row>
    <row r="106" spans="1:29" s="15" customFormat="1" x14ac:dyDescent="0.2">
      <c r="A106" s="36" t="str">
        <f t="shared" ca="1" si="4"/>
        <v/>
      </c>
      <c r="B106" s="36" t="str">
        <f t="shared" ca="1" si="4"/>
        <v/>
      </c>
      <c r="C106" s="36" t="str">
        <f t="shared" ca="1" si="4"/>
        <v/>
      </c>
    </row>
    <row r="107" spans="1:29" s="15" customFormat="1" x14ac:dyDescent="0.2">
      <c r="A107" s="36" t="str">
        <f t="shared" ca="1" si="4"/>
        <v/>
      </c>
      <c r="B107" s="36" t="str">
        <f t="shared" ca="1" si="4"/>
        <v/>
      </c>
      <c r="C107" s="36" t="str">
        <f t="shared" ca="1" si="4"/>
        <v/>
      </c>
      <c r="D107" s="455">
        <v>24</v>
      </c>
      <c r="E107" s="35" t="s">
        <v>248</v>
      </c>
    </row>
    <row r="108" spans="1:29" s="15" customFormat="1" x14ac:dyDescent="0.2">
      <c r="A108" s="36" t="str">
        <f t="shared" ca="1" si="4"/>
        <v/>
      </c>
      <c r="B108" s="36" t="str">
        <f t="shared" ca="1" si="4"/>
        <v/>
      </c>
      <c r="C108" s="36" t="str">
        <f t="shared" ca="1" si="4"/>
        <v/>
      </c>
      <c r="E108" s="36" t="s">
        <v>196</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x14ac:dyDescent="0.2">
      <c r="A109" s="36" t="str">
        <f t="shared" ca="1" si="4"/>
        <v/>
      </c>
      <c r="B109" s="36" t="str">
        <f t="shared" ca="1" si="4"/>
        <v/>
      </c>
      <c r="C109" s="36" t="str">
        <f t="shared" ca="1" si="4"/>
        <v/>
      </c>
      <c r="E109" s="36" t="s">
        <v>230</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x14ac:dyDescent="0.2">
      <c r="A110" s="36" t="str">
        <f t="shared" ref="A110:B129" ca="1" si="5">IF(INDIRECT(ADDRESS(A$6,ROW()-ROW(A$6)-1+COLUMN($F$8)))&gt;0,INDIRECT(ADDRESS(A$6,ROW()-ROW(A$6)-1+COLUMN($F$8))),"")</f>
        <v/>
      </c>
      <c r="B110" s="36" t="str">
        <f t="shared" ca="1" si="5"/>
        <v/>
      </c>
      <c r="C110" s="36" t="s">
        <v>116</v>
      </c>
      <c r="E110" s="36" t="s">
        <v>231</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x14ac:dyDescent="0.2">
      <c r="A111" s="36" t="str">
        <f t="shared" ca="1" si="5"/>
        <v/>
      </c>
      <c r="B111" s="36" t="str">
        <f t="shared" ca="1" si="5"/>
        <v/>
      </c>
      <c r="C111" s="462" t="s">
        <v>117</v>
      </c>
    </row>
    <row r="112" spans="1:29" s="15" customFormat="1" x14ac:dyDescent="0.2">
      <c r="A112" s="36" t="str">
        <f t="shared" ca="1" si="5"/>
        <v/>
      </c>
      <c r="B112" s="36" t="str">
        <f t="shared" ca="1" si="5"/>
        <v/>
      </c>
      <c r="C112" s="36" t="str">
        <f t="shared" ref="C112:C143" ca="1" si="6">IF(INDIRECT(ADDRESS(C$6,ROW()-ROW(C$6)-1+COLUMN($F$8)))&gt;0,INDIRECT(ADDRESS(C$6,ROW()-ROW(C$6)-1+COLUMN($F$8))),"")</f>
        <v/>
      </c>
      <c r="D112" s="455">
        <v>25</v>
      </c>
      <c r="E112" s="35" t="s">
        <v>248</v>
      </c>
    </row>
    <row r="113" spans="1:34" s="15" customFormat="1" x14ac:dyDescent="0.2">
      <c r="A113" s="36" t="str">
        <f t="shared" ca="1" si="5"/>
        <v/>
      </c>
      <c r="B113" s="36" t="str">
        <f t="shared" ca="1" si="5"/>
        <v/>
      </c>
      <c r="C113" s="36" t="str">
        <f t="shared" ca="1" si="6"/>
        <v/>
      </c>
      <c r="E113" s="36" t="s">
        <v>196</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x14ac:dyDescent="0.2">
      <c r="A114" s="36" t="str">
        <f t="shared" ca="1" si="5"/>
        <v/>
      </c>
      <c r="B114" s="36" t="str">
        <f t="shared" ca="1" si="5"/>
        <v/>
      </c>
      <c r="C114" s="36" t="str">
        <f t="shared" ca="1" si="6"/>
        <v/>
      </c>
      <c r="E114" s="36" t="s">
        <v>230</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x14ac:dyDescent="0.2">
      <c r="A115" s="36" t="str">
        <f t="shared" ca="1" si="5"/>
        <v/>
      </c>
      <c r="B115" s="36" t="str">
        <f t="shared" ca="1" si="5"/>
        <v/>
      </c>
      <c r="C115" s="36" t="str">
        <f t="shared" ca="1" si="6"/>
        <v/>
      </c>
      <c r="E115" s="36" t="s">
        <v>231</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x14ac:dyDescent="0.2">
      <c r="A116" s="36" t="str">
        <f t="shared" ca="1" si="5"/>
        <v/>
      </c>
      <c r="B116" s="36" t="str">
        <f t="shared" ca="1" si="5"/>
        <v/>
      </c>
      <c r="C116" s="36" t="str">
        <f t="shared" ca="1" si="6"/>
        <v/>
      </c>
    </row>
    <row r="117" spans="1:34" s="15" customFormat="1" x14ac:dyDescent="0.2">
      <c r="A117" s="36" t="str">
        <f t="shared" ca="1" si="5"/>
        <v/>
      </c>
      <c r="B117" s="36" t="str">
        <f t="shared" ca="1" si="5"/>
        <v/>
      </c>
      <c r="C117" s="36" t="str">
        <f t="shared" ca="1" si="6"/>
        <v/>
      </c>
      <c r="D117" s="455">
        <v>26</v>
      </c>
      <c r="E117" s="35" t="s">
        <v>248</v>
      </c>
    </row>
    <row r="118" spans="1:34" s="15" customFormat="1" x14ac:dyDescent="0.2">
      <c r="A118" s="36" t="str">
        <f t="shared" ca="1" si="5"/>
        <v/>
      </c>
      <c r="B118" s="36" t="str">
        <f t="shared" ca="1" si="5"/>
        <v/>
      </c>
      <c r="C118" s="36" t="str">
        <f t="shared" ca="1" si="6"/>
        <v/>
      </c>
      <c r="E118" s="36" t="s">
        <v>196</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x14ac:dyDescent="0.2">
      <c r="A119" s="36" t="str">
        <f t="shared" ca="1" si="5"/>
        <v/>
      </c>
      <c r="B119" s="36" t="str">
        <f t="shared" ca="1" si="5"/>
        <v/>
      </c>
      <c r="C119" s="36" t="str">
        <f t="shared" ca="1" si="6"/>
        <v/>
      </c>
      <c r="E119" s="36" t="s">
        <v>230</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x14ac:dyDescent="0.2">
      <c r="A120" s="36" t="str">
        <f t="shared" ca="1" si="5"/>
        <v/>
      </c>
      <c r="B120" s="36" t="str">
        <f t="shared" ca="1" si="5"/>
        <v/>
      </c>
      <c r="C120" s="36" t="str">
        <f t="shared" ca="1" si="6"/>
        <v/>
      </c>
      <c r="E120" s="36" t="s">
        <v>231</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x14ac:dyDescent="0.2">
      <c r="A121" s="36" t="str">
        <f t="shared" ca="1" si="5"/>
        <v/>
      </c>
      <c r="B121" s="36" t="str">
        <f t="shared" ca="1" si="5"/>
        <v/>
      </c>
      <c r="C121" s="36" t="str">
        <f t="shared" ca="1" si="6"/>
        <v/>
      </c>
    </row>
    <row r="122" spans="1:34" s="15" customFormat="1" x14ac:dyDescent="0.2">
      <c r="A122" s="36" t="str">
        <f t="shared" ca="1" si="5"/>
        <v/>
      </c>
      <c r="B122" s="36" t="str">
        <f t="shared" ca="1" si="5"/>
        <v/>
      </c>
      <c r="C122" s="36" t="str">
        <f t="shared" ca="1" si="6"/>
        <v/>
      </c>
      <c r="D122" s="455">
        <v>27</v>
      </c>
      <c r="E122" s="35" t="s">
        <v>248</v>
      </c>
    </row>
    <row r="123" spans="1:34" s="15" customFormat="1" x14ac:dyDescent="0.2">
      <c r="A123" s="36" t="str">
        <f t="shared" ca="1" si="5"/>
        <v/>
      </c>
      <c r="B123" s="36" t="str">
        <f t="shared" ca="1" si="5"/>
        <v/>
      </c>
      <c r="C123" s="36" t="str">
        <f t="shared" ca="1" si="6"/>
        <v/>
      </c>
      <c r="E123" s="36" t="s">
        <v>196</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x14ac:dyDescent="0.2">
      <c r="A124" s="36" t="str">
        <f t="shared" ca="1" si="5"/>
        <v/>
      </c>
      <c r="B124" s="36" t="str">
        <f t="shared" ca="1" si="5"/>
        <v/>
      </c>
      <c r="C124" s="36" t="str">
        <f t="shared" ca="1" si="6"/>
        <v/>
      </c>
      <c r="E124" s="36" t="s">
        <v>230</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x14ac:dyDescent="0.2">
      <c r="A125" s="36" t="str">
        <f t="shared" ca="1" si="5"/>
        <v/>
      </c>
      <c r="B125" s="36" t="str">
        <f t="shared" ca="1" si="5"/>
        <v/>
      </c>
      <c r="C125" s="36" t="str">
        <f t="shared" ca="1" si="6"/>
        <v/>
      </c>
      <c r="E125" s="36" t="s">
        <v>231</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x14ac:dyDescent="0.2">
      <c r="A126" s="36" t="str">
        <f t="shared" ca="1" si="5"/>
        <v/>
      </c>
      <c r="B126" s="36" t="str">
        <f t="shared" ca="1" si="5"/>
        <v/>
      </c>
      <c r="C126" s="36" t="str">
        <f t="shared" ca="1" si="6"/>
        <v/>
      </c>
    </row>
    <row r="127" spans="1:34" s="15" customFormat="1" x14ac:dyDescent="0.2">
      <c r="A127" s="36" t="str">
        <f t="shared" ca="1" si="5"/>
        <v/>
      </c>
      <c r="B127" s="36" t="str">
        <f t="shared" ca="1" si="5"/>
        <v/>
      </c>
      <c r="C127" s="36" t="str">
        <f t="shared" ca="1" si="6"/>
        <v/>
      </c>
      <c r="D127" s="455">
        <v>28</v>
      </c>
      <c r="E127" s="35" t="s">
        <v>248</v>
      </c>
    </row>
    <row r="128" spans="1:34" s="15" customFormat="1" x14ac:dyDescent="0.2">
      <c r="A128" s="36" t="str">
        <f t="shared" ca="1" si="5"/>
        <v/>
      </c>
      <c r="B128" s="36" t="str">
        <f t="shared" ca="1" si="5"/>
        <v/>
      </c>
      <c r="C128" s="36" t="str">
        <f t="shared" ca="1" si="6"/>
        <v/>
      </c>
      <c r="E128" s="36" t="s">
        <v>196</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x14ac:dyDescent="0.2">
      <c r="A129" s="36" t="str">
        <f t="shared" ca="1" si="5"/>
        <v/>
      </c>
      <c r="B129" s="36" t="str">
        <f t="shared" ca="1" si="5"/>
        <v/>
      </c>
      <c r="C129" s="36" t="str">
        <f t="shared" ca="1" si="6"/>
        <v/>
      </c>
      <c r="E129" s="36" t="s">
        <v>230</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x14ac:dyDescent="0.2">
      <c r="A130" s="36" t="str">
        <f t="shared" ref="A130:B149" ca="1" si="7">IF(INDIRECT(ADDRESS(A$6,ROW()-ROW(A$6)-1+COLUMN($F$8)))&gt;0,INDIRECT(ADDRESS(A$6,ROW()-ROW(A$6)-1+COLUMN($F$8))),"")</f>
        <v/>
      </c>
      <c r="B130" s="36" t="str">
        <f t="shared" ca="1" si="7"/>
        <v/>
      </c>
      <c r="C130" s="36" t="str">
        <f t="shared" ca="1" si="6"/>
        <v/>
      </c>
      <c r="E130" s="36" t="s">
        <v>231</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x14ac:dyDescent="0.2">
      <c r="A131" s="36" t="str">
        <f t="shared" ca="1" si="7"/>
        <v/>
      </c>
      <c r="B131" s="36" t="str">
        <f t="shared" ca="1" si="7"/>
        <v/>
      </c>
      <c r="C131" s="36" t="str">
        <f t="shared" ca="1" si="6"/>
        <v/>
      </c>
    </row>
    <row r="132" spans="1:39" s="15" customFormat="1" x14ac:dyDescent="0.2">
      <c r="A132" s="36" t="str">
        <f t="shared" ca="1" si="7"/>
        <v/>
      </c>
      <c r="B132" s="36" t="str">
        <f t="shared" ca="1" si="7"/>
        <v/>
      </c>
      <c r="C132" s="36" t="str">
        <f t="shared" ca="1" si="6"/>
        <v/>
      </c>
      <c r="D132" s="455">
        <v>29</v>
      </c>
      <c r="E132" s="35" t="s">
        <v>248</v>
      </c>
    </row>
    <row r="133" spans="1:39" s="15" customFormat="1" x14ac:dyDescent="0.2">
      <c r="A133" s="36" t="str">
        <f t="shared" ca="1" si="7"/>
        <v/>
      </c>
      <c r="B133" s="36" t="str">
        <f t="shared" ca="1" si="7"/>
        <v/>
      </c>
      <c r="C133" s="36" t="str">
        <f t="shared" ca="1" si="6"/>
        <v/>
      </c>
      <c r="E133" s="36" t="s">
        <v>196</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x14ac:dyDescent="0.2">
      <c r="A134" s="36" t="str">
        <f t="shared" ca="1" si="7"/>
        <v/>
      </c>
      <c r="B134" s="36" t="str">
        <f t="shared" ca="1" si="7"/>
        <v/>
      </c>
      <c r="C134" s="36" t="str">
        <f t="shared" ca="1" si="6"/>
        <v/>
      </c>
      <c r="E134" s="36" t="s">
        <v>230</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x14ac:dyDescent="0.2">
      <c r="A135" s="36" t="str">
        <f t="shared" ca="1" si="7"/>
        <v/>
      </c>
      <c r="B135" s="36" t="str">
        <f t="shared" ca="1" si="7"/>
        <v/>
      </c>
      <c r="C135" s="36" t="str">
        <f t="shared" ca="1" si="6"/>
        <v/>
      </c>
      <c r="E135" s="36" t="s">
        <v>231</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x14ac:dyDescent="0.2">
      <c r="A136" s="36" t="str">
        <f t="shared" ca="1" si="7"/>
        <v/>
      </c>
      <c r="B136" s="36" t="str">
        <f t="shared" ca="1" si="7"/>
        <v/>
      </c>
      <c r="C136" s="36" t="str">
        <f t="shared" ca="1" si="6"/>
        <v/>
      </c>
    </row>
    <row r="137" spans="1:39" s="15" customFormat="1" x14ac:dyDescent="0.2">
      <c r="A137" s="36" t="str">
        <f t="shared" ca="1" si="7"/>
        <v/>
      </c>
      <c r="B137" s="36" t="str">
        <f t="shared" ca="1" si="7"/>
        <v/>
      </c>
      <c r="C137" s="36" t="str">
        <f t="shared" ca="1" si="6"/>
        <v/>
      </c>
      <c r="D137" s="455">
        <v>30</v>
      </c>
      <c r="E137" s="35" t="s">
        <v>248</v>
      </c>
    </row>
    <row r="138" spans="1:39" s="15" customFormat="1" x14ac:dyDescent="0.2">
      <c r="A138" s="36" t="str">
        <f t="shared" ca="1" si="7"/>
        <v/>
      </c>
      <c r="B138" s="36" t="str">
        <f t="shared" ca="1" si="7"/>
        <v/>
      </c>
      <c r="C138" s="36" t="str">
        <f t="shared" ca="1" si="6"/>
        <v/>
      </c>
      <c r="E138" s="36" t="s">
        <v>196</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x14ac:dyDescent="0.2">
      <c r="A139" s="36" t="str">
        <f t="shared" ca="1" si="7"/>
        <v/>
      </c>
      <c r="B139" s="36" t="str">
        <f t="shared" ca="1" si="7"/>
        <v/>
      </c>
      <c r="C139" s="36" t="str">
        <f t="shared" ca="1" si="6"/>
        <v/>
      </c>
      <c r="E139" s="36" t="s">
        <v>230</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x14ac:dyDescent="0.2">
      <c r="A140" s="36" t="str">
        <f t="shared" ca="1" si="7"/>
        <v/>
      </c>
      <c r="B140" s="36" t="str">
        <f t="shared" ca="1" si="7"/>
        <v/>
      </c>
      <c r="C140" s="36" t="str">
        <f t="shared" ca="1" si="6"/>
        <v/>
      </c>
      <c r="E140" s="36" t="s">
        <v>231</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x14ac:dyDescent="0.2">
      <c r="A141" s="36" t="str">
        <f t="shared" ca="1" si="7"/>
        <v/>
      </c>
      <c r="B141" s="36" t="str">
        <f t="shared" ca="1" si="7"/>
        <v/>
      </c>
      <c r="C141" s="36" t="str">
        <f t="shared" ca="1" si="6"/>
        <v/>
      </c>
    </row>
    <row r="142" spans="1:39" s="15" customFormat="1" x14ac:dyDescent="0.2">
      <c r="A142" s="36" t="str">
        <f t="shared" ca="1" si="7"/>
        <v/>
      </c>
      <c r="B142" s="36" t="str">
        <f t="shared" ca="1" si="7"/>
        <v/>
      </c>
      <c r="C142" s="36" t="str">
        <f t="shared" ca="1" si="6"/>
        <v/>
      </c>
      <c r="D142" s="455">
        <v>31</v>
      </c>
      <c r="E142" s="35" t="s">
        <v>248</v>
      </c>
    </row>
    <row r="143" spans="1:39" s="15" customFormat="1" x14ac:dyDescent="0.2">
      <c r="A143" s="36" t="str">
        <f t="shared" ca="1" si="7"/>
        <v/>
      </c>
      <c r="B143" s="36" t="str">
        <f t="shared" ca="1" si="7"/>
        <v/>
      </c>
      <c r="C143" s="36" t="str">
        <f t="shared" ca="1" si="6"/>
        <v/>
      </c>
      <c r="E143" s="36" t="s">
        <v>196</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x14ac:dyDescent="0.2">
      <c r="A144" s="36" t="str">
        <f t="shared" ca="1" si="7"/>
        <v/>
      </c>
      <c r="B144" s="36" t="str">
        <f t="shared" ca="1" si="7"/>
        <v/>
      </c>
      <c r="C144" s="36" t="str">
        <f t="shared" ref="C144:C175" ca="1" si="8">IF(INDIRECT(ADDRESS(C$6,ROW()-ROW(C$6)-1+COLUMN($F$8)))&gt;0,INDIRECT(ADDRESS(C$6,ROW()-ROW(C$6)-1+COLUMN($F$8))),"")</f>
        <v/>
      </c>
      <c r="E144" s="36" t="s">
        <v>230</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x14ac:dyDescent="0.2">
      <c r="A145" s="36" t="str">
        <f t="shared" ca="1" si="7"/>
        <v/>
      </c>
      <c r="B145" s="36" t="str">
        <f t="shared" ca="1" si="7"/>
        <v/>
      </c>
      <c r="C145" s="36" t="str">
        <f t="shared" ca="1" si="8"/>
        <v/>
      </c>
      <c r="E145" s="36" t="s">
        <v>231</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x14ac:dyDescent="0.2">
      <c r="A146" s="36" t="str">
        <f t="shared" ca="1" si="7"/>
        <v/>
      </c>
      <c r="B146" s="36" t="str">
        <f t="shared" ca="1" si="7"/>
        <v/>
      </c>
      <c r="C146" s="36" t="str">
        <f t="shared" ca="1" si="8"/>
        <v/>
      </c>
    </row>
    <row r="147" spans="1:39" s="15" customFormat="1" x14ac:dyDescent="0.2">
      <c r="A147" s="36" t="str">
        <f t="shared" ca="1" si="7"/>
        <v/>
      </c>
      <c r="B147" s="36" t="str">
        <f t="shared" ca="1" si="7"/>
        <v/>
      </c>
      <c r="C147" s="36" t="str">
        <f t="shared" ca="1" si="8"/>
        <v/>
      </c>
      <c r="D147" s="455">
        <v>32</v>
      </c>
      <c r="E147" s="35" t="s">
        <v>248</v>
      </c>
    </row>
    <row r="148" spans="1:39" s="15" customFormat="1" x14ac:dyDescent="0.2">
      <c r="A148" s="36" t="str">
        <f t="shared" ca="1" si="7"/>
        <v/>
      </c>
      <c r="B148" s="36" t="str">
        <f t="shared" ca="1" si="7"/>
        <v/>
      </c>
      <c r="C148" s="36" t="str">
        <f t="shared" ca="1" si="8"/>
        <v/>
      </c>
      <c r="E148" s="36" t="s">
        <v>196</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x14ac:dyDescent="0.2">
      <c r="A149" s="36" t="str">
        <f t="shared" ca="1" si="7"/>
        <v/>
      </c>
      <c r="B149" s="36" t="str">
        <f t="shared" ca="1" si="7"/>
        <v/>
      </c>
      <c r="C149" s="36" t="str">
        <f t="shared" ca="1" si="8"/>
        <v/>
      </c>
      <c r="E149" s="36" t="s">
        <v>230</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x14ac:dyDescent="0.2">
      <c r="A150" s="36" t="str">
        <f t="shared" ref="A150:B169" ca="1" si="9">IF(INDIRECT(ADDRESS(A$6,ROW()-ROW(A$6)-1+COLUMN($F$8)))&gt;0,INDIRECT(ADDRESS(A$6,ROW()-ROW(A$6)-1+COLUMN($F$8))),"")</f>
        <v/>
      </c>
      <c r="B150" s="36" t="str">
        <f t="shared" ca="1" si="9"/>
        <v/>
      </c>
      <c r="C150" s="36" t="str">
        <f t="shared" ca="1" si="8"/>
        <v/>
      </c>
      <c r="E150" s="36" t="s">
        <v>231</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x14ac:dyDescent="0.2">
      <c r="A151" s="36" t="str">
        <f t="shared" ca="1" si="9"/>
        <v/>
      </c>
      <c r="B151" s="36" t="str">
        <f t="shared" ca="1" si="9"/>
        <v/>
      </c>
      <c r="C151" s="36" t="str">
        <f t="shared" ca="1" si="8"/>
        <v/>
      </c>
    </row>
    <row r="152" spans="1:39" s="15" customFormat="1" x14ac:dyDescent="0.2">
      <c r="A152" s="36" t="str">
        <f t="shared" ca="1" si="9"/>
        <v/>
      </c>
      <c r="B152" s="36" t="str">
        <f t="shared" ca="1" si="9"/>
        <v/>
      </c>
      <c r="C152" s="36" t="str">
        <f t="shared" ca="1" si="8"/>
        <v/>
      </c>
      <c r="D152" s="455">
        <v>33</v>
      </c>
      <c r="E152" s="35" t="s">
        <v>248</v>
      </c>
    </row>
    <row r="153" spans="1:39" s="15" customFormat="1" x14ac:dyDescent="0.2">
      <c r="A153" s="36" t="str">
        <f t="shared" ca="1" si="9"/>
        <v/>
      </c>
      <c r="B153" s="36" t="str">
        <f t="shared" ca="1" si="9"/>
        <v/>
      </c>
      <c r="C153" s="36" t="str">
        <f t="shared" ca="1" si="8"/>
        <v/>
      </c>
      <c r="E153" s="36" t="s">
        <v>196</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x14ac:dyDescent="0.2">
      <c r="A154" s="36" t="str">
        <f t="shared" ca="1" si="9"/>
        <v/>
      </c>
      <c r="B154" s="36" t="str">
        <f t="shared" ca="1" si="9"/>
        <v/>
      </c>
      <c r="C154" s="36" t="str">
        <f t="shared" ca="1" si="8"/>
        <v/>
      </c>
      <c r="E154" s="36" t="s">
        <v>230</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x14ac:dyDescent="0.2">
      <c r="A155" s="36" t="str">
        <f t="shared" ca="1" si="9"/>
        <v/>
      </c>
      <c r="B155" s="36" t="str">
        <f t="shared" ca="1" si="9"/>
        <v/>
      </c>
      <c r="C155" s="36" t="str">
        <f t="shared" ca="1" si="8"/>
        <v/>
      </c>
      <c r="E155" s="36" t="s">
        <v>231</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x14ac:dyDescent="0.2">
      <c r="A156" s="36" t="str">
        <f t="shared" ca="1" si="9"/>
        <v/>
      </c>
      <c r="B156" s="36" t="str">
        <f t="shared" ca="1" si="9"/>
        <v/>
      </c>
      <c r="C156" s="36" t="str">
        <f t="shared" ca="1" si="8"/>
        <v/>
      </c>
    </row>
    <row r="157" spans="1:39" s="15" customFormat="1" x14ac:dyDescent="0.2">
      <c r="A157" s="36" t="str">
        <f t="shared" ca="1" si="9"/>
        <v/>
      </c>
      <c r="B157" s="36" t="str">
        <f t="shared" ca="1" si="9"/>
        <v/>
      </c>
      <c r="C157" s="36" t="str">
        <f t="shared" ca="1" si="8"/>
        <v/>
      </c>
      <c r="D157" s="455">
        <v>34</v>
      </c>
      <c r="E157" s="35" t="s">
        <v>248</v>
      </c>
    </row>
    <row r="158" spans="1:39" s="15" customFormat="1" x14ac:dyDescent="0.2">
      <c r="A158" s="36" t="str">
        <f t="shared" ca="1" si="9"/>
        <v/>
      </c>
      <c r="B158" s="36" t="str">
        <f t="shared" ca="1" si="9"/>
        <v/>
      </c>
      <c r="C158" s="36" t="str">
        <f t="shared" ca="1" si="8"/>
        <v/>
      </c>
      <c r="E158" s="36" t="s">
        <v>196</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x14ac:dyDescent="0.2">
      <c r="A159" s="36" t="str">
        <f t="shared" ca="1" si="9"/>
        <v/>
      </c>
      <c r="B159" s="36" t="str">
        <f t="shared" ca="1" si="9"/>
        <v/>
      </c>
      <c r="C159" s="36" t="str">
        <f t="shared" ca="1" si="8"/>
        <v/>
      </c>
      <c r="E159" s="36" t="s">
        <v>230</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x14ac:dyDescent="0.2">
      <c r="A160" s="36" t="str">
        <f t="shared" ca="1" si="9"/>
        <v/>
      </c>
      <c r="B160" s="36" t="str">
        <f t="shared" ca="1" si="9"/>
        <v/>
      </c>
      <c r="C160" s="36" t="str">
        <f t="shared" ca="1" si="8"/>
        <v/>
      </c>
      <c r="E160" s="36" t="s">
        <v>231</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x14ac:dyDescent="0.2">
      <c r="A161" s="36" t="str">
        <f t="shared" ca="1" si="9"/>
        <v/>
      </c>
      <c r="B161" s="36" t="str">
        <f t="shared" ca="1" si="9"/>
        <v/>
      </c>
      <c r="C161" s="36" t="str">
        <f t="shared" ca="1" si="8"/>
        <v/>
      </c>
    </row>
    <row r="162" spans="1:44" s="15" customFormat="1" x14ac:dyDescent="0.2">
      <c r="A162" s="36" t="str">
        <f t="shared" ca="1" si="9"/>
        <v/>
      </c>
      <c r="B162" s="36" t="str">
        <f t="shared" ca="1" si="9"/>
        <v/>
      </c>
      <c r="C162" s="36" t="str">
        <f t="shared" ca="1" si="8"/>
        <v/>
      </c>
      <c r="D162" s="455">
        <v>35</v>
      </c>
      <c r="E162" s="35" t="s">
        <v>248</v>
      </c>
    </row>
    <row r="163" spans="1:44" s="15" customFormat="1" x14ac:dyDescent="0.2">
      <c r="A163" s="36" t="str">
        <f t="shared" ca="1" si="9"/>
        <v/>
      </c>
      <c r="B163" s="36" t="str">
        <f t="shared" ca="1" si="9"/>
        <v/>
      </c>
      <c r="C163" s="36" t="str">
        <f t="shared" ca="1" si="8"/>
        <v/>
      </c>
      <c r="E163" s="36" t="s">
        <v>196</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x14ac:dyDescent="0.2">
      <c r="A164" s="36" t="str">
        <f t="shared" ca="1" si="9"/>
        <v/>
      </c>
      <c r="B164" s="36" t="str">
        <f t="shared" ca="1" si="9"/>
        <v/>
      </c>
      <c r="C164" s="36" t="str">
        <f t="shared" ca="1" si="8"/>
        <v/>
      </c>
      <c r="E164" s="36" t="s">
        <v>230</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x14ac:dyDescent="0.2">
      <c r="A165" s="36" t="str">
        <f t="shared" ca="1" si="9"/>
        <v/>
      </c>
      <c r="B165" s="36" t="str">
        <f t="shared" ca="1" si="9"/>
        <v/>
      </c>
      <c r="C165" s="36" t="str">
        <f t="shared" ca="1" si="8"/>
        <v/>
      </c>
      <c r="E165" s="36" t="s">
        <v>231</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x14ac:dyDescent="0.2">
      <c r="A166" s="36" t="str">
        <f t="shared" ca="1" si="9"/>
        <v/>
      </c>
      <c r="B166" s="36" t="str">
        <f t="shared" ca="1" si="9"/>
        <v/>
      </c>
      <c r="C166" s="36" t="str">
        <f t="shared" ca="1" si="8"/>
        <v/>
      </c>
    </row>
    <row r="167" spans="1:44" s="15" customFormat="1" x14ac:dyDescent="0.2">
      <c r="A167" s="36" t="str">
        <f t="shared" ca="1" si="9"/>
        <v/>
      </c>
      <c r="B167" s="36" t="str">
        <f t="shared" ca="1" si="9"/>
        <v/>
      </c>
      <c r="C167" s="36" t="str">
        <f t="shared" ca="1" si="8"/>
        <v/>
      </c>
      <c r="D167" s="455">
        <v>36</v>
      </c>
      <c r="E167" s="35" t="s">
        <v>248</v>
      </c>
    </row>
    <row r="168" spans="1:44" s="15" customFormat="1" x14ac:dyDescent="0.2">
      <c r="A168" s="36" t="str">
        <f t="shared" ca="1" si="9"/>
        <v/>
      </c>
      <c r="B168" s="36" t="str">
        <f t="shared" ca="1" si="9"/>
        <v/>
      </c>
      <c r="C168" s="36" t="str">
        <f t="shared" ca="1" si="8"/>
        <v/>
      </c>
      <c r="E168" s="36" t="s">
        <v>196</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x14ac:dyDescent="0.2">
      <c r="A169" s="36" t="str">
        <f t="shared" ca="1" si="9"/>
        <v/>
      </c>
      <c r="B169" s="36" t="str">
        <f t="shared" ca="1" si="9"/>
        <v/>
      </c>
      <c r="C169" s="36" t="str">
        <f t="shared" ca="1" si="8"/>
        <v/>
      </c>
      <c r="E169" s="36" t="s">
        <v>230</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x14ac:dyDescent="0.2">
      <c r="A170" s="36" t="str">
        <f t="shared" ref="A170:B189" ca="1" si="10">IF(INDIRECT(ADDRESS(A$6,ROW()-ROW(A$6)-1+COLUMN($F$8)))&gt;0,INDIRECT(ADDRESS(A$6,ROW()-ROW(A$6)-1+COLUMN($F$8))),"")</f>
        <v/>
      </c>
      <c r="B170" s="36" t="str">
        <f t="shared" ca="1" si="10"/>
        <v/>
      </c>
      <c r="C170" s="36" t="str">
        <f t="shared" ca="1" si="8"/>
        <v/>
      </c>
      <c r="E170" s="36" t="s">
        <v>231</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x14ac:dyDescent="0.2">
      <c r="A171" s="36" t="str">
        <f t="shared" ca="1" si="10"/>
        <v/>
      </c>
      <c r="B171" s="36" t="str">
        <f t="shared" ca="1" si="10"/>
        <v/>
      </c>
      <c r="C171" s="36" t="str">
        <f t="shared" ca="1" si="8"/>
        <v/>
      </c>
    </row>
    <row r="172" spans="1:44" s="15" customFormat="1" x14ac:dyDescent="0.2">
      <c r="A172" s="36" t="str">
        <f t="shared" ca="1" si="10"/>
        <v/>
      </c>
      <c r="B172" s="36" t="str">
        <f t="shared" ca="1" si="10"/>
        <v/>
      </c>
      <c r="C172" s="36" t="str">
        <f t="shared" ca="1" si="8"/>
        <v/>
      </c>
      <c r="D172" s="455">
        <v>37</v>
      </c>
      <c r="E172" s="35" t="s">
        <v>248</v>
      </c>
    </row>
    <row r="173" spans="1:44" s="15" customFormat="1" x14ac:dyDescent="0.2">
      <c r="A173" s="36" t="str">
        <f t="shared" ca="1" si="10"/>
        <v/>
      </c>
      <c r="B173" s="36" t="str">
        <f t="shared" ca="1" si="10"/>
        <v/>
      </c>
      <c r="C173" s="36" t="str">
        <f t="shared" ca="1" si="8"/>
        <v/>
      </c>
      <c r="E173" s="36" t="s">
        <v>196</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x14ac:dyDescent="0.2">
      <c r="A174" s="36" t="str">
        <f t="shared" ca="1" si="10"/>
        <v/>
      </c>
      <c r="B174" s="36" t="str">
        <f t="shared" ca="1" si="10"/>
        <v/>
      </c>
      <c r="C174" s="36" t="str">
        <f t="shared" ca="1" si="8"/>
        <v/>
      </c>
      <c r="E174" s="36" t="s">
        <v>230</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x14ac:dyDescent="0.2">
      <c r="A175" s="36" t="str">
        <f t="shared" ca="1" si="10"/>
        <v/>
      </c>
      <c r="B175" s="36" t="str">
        <f t="shared" ca="1" si="10"/>
        <v/>
      </c>
      <c r="C175" s="36" t="str">
        <f t="shared" ca="1" si="8"/>
        <v/>
      </c>
      <c r="E175" s="36" t="s">
        <v>231</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x14ac:dyDescent="0.2">
      <c r="A176" s="36" t="str">
        <f t="shared" ca="1" si="10"/>
        <v/>
      </c>
      <c r="B176" s="36" t="str">
        <f t="shared" ca="1" si="10"/>
        <v/>
      </c>
      <c r="C176" s="36" t="str">
        <f t="shared" ref="C176:C207" ca="1" si="11">IF(INDIRECT(ADDRESS(C$6,ROW()-ROW(C$6)-1+COLUMN($F$8)))&gt;0,INDIRECT(ADDRESS(C$6,ROW()-ROW(C$6)-1+COLUMN($F$8))),"")</f>
        <v/>
      </c>
    </row>
    <row r="177" spans="1:45" s="15" customFormat="1" x14ac:dyDescent="0.2">
      <c r="A177" s="36" t="str">
        <f t="shared" ca="1" si="10"/>
        <v/>
      </c>
      <c r="B177" s="36" t="str">
        <f t="shared" ca="1" si="10"/>
        <v/>
      </c>
      <c r="C177" s="36" t="str">
        <f t="shared" ca="1" si="11"/>
        <v/>
      </c>
      <c r="D177" s="455">
        <v>38</v>
      </c>
      <c r="E177" s="35" t="s">
        <v>248</v>
      </c>
    </row>
    <row r="178" spans="1:45" s="15" customFormat="1" x14ac:dyDescent="0.2">
      <c r="A178" s="36" t="str">
        <f t="shared" ca="1" si="10"/>
        <v/>
      </c>
      <c r="B178" s="36" t="str">
        <f t="shared" ca="1" si="10"/>
        <v/>
      </c>
      <c r="C178" s="36" t="str">
        <f t="shared" ca="1" si="11"/>
        <v/>
      </c>
      <c r="E178" s="36" t="s">
        <v>196</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x14ac:dyDescent="0.2">
      <c r="A179" s="36" t="str">
        <f t="shared" ca="1" si="10"/>
        <v/>
      </c>
      <c r="B179" s="36" t="str">
        <f t="shared" ca="1" si="10"/>
        <v/>
      </c>
      <c r="C179" s="36" t="str">
        <f t="shared" ca="1" si="11"/>
        <v/>
      </c>
      <c r="E179" s="36" t="s">
        <v>230</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x14ac:dyDescent="0.2">
      <c r="A180" s="36" t="str">
        <f t="shared" ca="1" si="10"/>
        <v/>
      </c>
      <c r="B180" s="36" t="str">
        <f t="shared" ca="1" si="10"/>
        <v/>
      </c>
      <c r="C180" s="36" t="str">
        <f t="shared" ca="1" si="11"/>
        <v/>
      </c>
      <c r="E180" s="36" t="s">
        <v>231</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x14ac:dyDescent="0.2">
      <c r="A181" s="36" t="str">
        <f t="shared" ca="1" si="10"/>
        <v/>
      </c>
      <c r="B181" s="36" t="str">
        <f t="shared" ca="1" si="10"/>
        <v/>
      </c>
      <c r="C181" s="36" t="str">
        <f t="shared" ca="1" si="11"/>
        <v/>
      </c>
    </row>
    <row r="182" spans="1:45" s="15" customFormat="1" x14ac:dyDescent="0.2">
      <c r="A182" s="36" t="str">
        <f t="shared" ca="1" si="10"/>
        <v/>
      </c>
      <c r="B182" s="36" t="str">
        <f t="shared" ca="1" si="10"/>
        <v/>
      </c>
      <c r="C182" s="36" t="str">
        <f t="shared" ca="1" si="11"/>
        <v/>
      </c>
      <c r="D182" s="455">
        <v>39</v>
      </c>
      <c r="E182" s="35" t="s">
        <v>248</v>
      </c>
    </row>
    <row r="183" spans="1:45" s="15" customFormat="1" x14ac:dyDescent="0.2">
      <c r="A183" s="36" t="str">
        <f t="shared" ca="1" si="10"/>
        <v/>
      </c>
      <c r="B183" s="36" t="str">
        <f t="shared" ca="1" si="10"/>
        <v/>
      </c>
      <c r="C183" s="36" t="str">
        <f t="shared" ca="1" si="11"/>
        <v/>
      </c>
      <c r="E183" s="36" t="s">
        <v>196</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x14ac:dyDescent="0.2">
      <c r="A184" s="36" t="str">
        <f t="shared" ca="1" si="10"/>
        <v/>
      </c>
      <c r="B184" s="36" t="str">
        <f t="shared" ca="1" si="10"/>
        <v/>
      </c>
      <c r="C184" s="36" t="str">
        <f t="shared" ca="1" si="11"/>
        <v/>
      </c>
      <c r="E184" s="36" t="s">
        <v>230</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x14ac:dyDescent="0.2">
      <c r="A185" s="36" t="str">
        <f t="shared" ca="1" si="10"/>
        <v/>
      </c>
      <c r="B185" s="36" t="str">
        <f t="shared" ca="1" si="10"/>
        <v/>
      </c>
      <c r="C185" s="36" t="str">
        <f t="shared" ca="1" si="11"/>
        <v/>
      </c>
      <c r="E185" s="36" t="s">
        <v>231</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x14ac:dyDescent="0.2">
      <c r="A186" s="36" t="str">
        <f t="shared" ca="1" si="10"/>
        <v/>
      </c>
      <c r="B186" s="36" t="str">
        <f t="shared" ca="1" si="10"/>
        <v/>
      </c>
      <c r="C186" s="36" t="str">
        <f t="shared" ca="1" si="11"/>
        <v/>
      </c>
    </row>
    <row r="187" spans="1:45" s="15" customFormat="1" x14ac:dyDescent="0.2">
      <c r="A187" s="36" t="str">
        <f t="shared" ca="1" si="10"/>
        <v/>
      </c>
      <c r="B187" s="36" t="str">
        <f t="shared" ca="1" si="10"/>
        <v/>
      </c>
      <c r="C187" s="36" t="str">
        <f t="shared" ca="1" si="11"/>
        <v/>
      </c>
      <c r="D187" s="455">
        <v>40</v>
      </c>
      <c r="E187" s="35" t="s">
        <v>248</v>
      </c>
    </row>
    <row r="188" spans="1:45" s="15" customFormat="1" x14ac:dyDescent="0.2">
      <c r="A188" s="36" t="str">
        <f t="shared" ca="1" si="10"/>
        <v/>
      </c>
      <c r="B188" s="36" t="str">
        <f t="shared" ca="1" si="10"/>
        <v/>
      </c>
      <c r="C188" s="36" t="str">
        <f t="shared" ca="1" si="11"/>
        <v/>
      </c>
      <c r="E188" s="36" t="s">
        <v>196</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x14ac:dyDescent="0.2">
      <c r="A189" s="36" t="str">
        <f t="shared" ca="1" si="10"/>
        <v/>
      </c>
      <c r="B189" s="36" t="str">
        <f t="shared" ca="1" si="10"/>
        <v/>
      </c>
      <c r="C189" s="36" t="str">
        <f t="shared" ca="1" si="11"/>
        <v/>
      </c>
      <c r="E189" s="36" t="s">
        <v>230</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x14ac:dyDescent="0.2">
      <c r="A190" s="36" t="str">
        <f t="shared" ref="A190:B209" ca="1" si="12">IF(INDIRECT(ADDRESS(A$6,ROW()-ROW(A$6)-1+COLUMN($F$8)))&gt;0,INDIRECT(ADDRESS(A$6,ROW()-ROW(A$6)-1+COLUMN($F$8))),"")</f>
        <v/>
      </c>
      <c r="B190" s="36" t="str">
        <f t="shared" ca="1" si="12"/>
        <v/>
      </c>
      <c r="C190" s="36" t="str">
        <f t="shared" ca="1" si="11"/>
        <v/>
      </c>
      <c r="E190" s="36" t="s">
        <v>231</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x14ac:dyDescent="0.2">
      <c r="A191" s="36" t="str">
        <f t="shared" ca="1" si="12"/>
        <v/>
      </c>
      <c r="B191" s="36" t="str">
        <f t="shared" ca="1" si="12"/>
        <v/>
      </c>
      <c r="C191" s="36" t="str">
        <f t="shared" ca="1" si="11"/>
        <v/>
      </c>
    </row>
    <row r="192" spans="1:45" s="15" customFormat="1" x14ac:dyDescent="0.2">
      <c r="A192" s="36" t="str">
        <f t="shared" ca="1" si="12"/>
        <v/>
      </c>
      <c r="B192" s="36" t="str">
        <f t="shared" ca="1" si="12"/>
        <v/>
      </c>
      <c r="C192" s="36" t="str">
        <f t="shared" ca="1" si="11"/>
        <v/>
      </c>
      <c r="D192" s="455">
        <v>41</v>
      </c>
      <c r="E192" s="35" t="s">
        <v>248</v>
      </c>
    </row>
    <row r="193" spans="1:49" s="15" customFormat="1" x14ac:dyDescent="0.2">
      <c r="A193" s="36" t="str">
        <f t="shared" ca="1" si="12"/>
        <v/>
      </c>
      <c r="B193" s="36" t="str">
        <f t="shared" ca="1" si="12"/>
        <v/>
      </c>
      <c r="C193" s="36" t="str">
        <f t="shared" ca="1" si="11"/>
        <v/>
      </c>
      <c r="E193" s="36" t="s">
        <v>196</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x14ac:dyDescent="0.2">
      <c r="A194" s="36" t="str">
        <f t="shared" ca="1" si="12"/>
        <v/>
      </c>
      <c r="B194" s="36" t="str">
        <f t="shared" ca="1" si="12"/>
        <v/>
      </c>
      <c r="C194" s="36" t="str">
        <f t="shared" ca="1" si="11"/>
        <v/>
      </c>
      <c r="E194" s="36" t="s">
        <v>230</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x14ac:dyDescent="0.2">
      <c r="A195" s="36" t="str">
        <f t="shared" ca="1" si="12"/>
        <v/>
      </c>
      <c r="B195" s="36" t="str">
        <f t="shared" ca="1" si="12"/>
        <v/>
      </c>
      <c r="C195" s="36" t="str">
        <f t="shared" ca="1" si="11"/>
        <v/>
      </c>
      <c r="E195" s="36" t="s">
        <v>231</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x14ac:dyDescent="0.2">
      <c r="A196" s="36" t="str">
        <f t="shared" ca="1" si="12"/>
        <v/>
      </c>
      <c r="B196" s="36" t="str">
        <f t="shared" ca="1" si="12"/>
        <v/>
      </c>
      <c r="C196" s="36" t="str">
        <f t="shared" ca="1" si="11"/>
        <v/>
      </c>
    </row>
    <row r="197" spans="1:49" s="15" customFormat="1" x14ac:dyDescent="0.2">
      <c r="A197" s="36" t="str">
        <f t="shared" ca="1" si="12"/>
        <v/>
      </c>
      <c r="B197" s="36" t="str">
        <f t="shared" ca="1" si="12"/>
        <v/>
      </c>
      <c r="C197" s="36" t="str">
        <f t="shared" ca="1" si="11"/>
        <v/>
      </c>
      <c r="D197" s="455">
        <v>42</v>
      </c>
      <c r="E197" s="35" t="s">
        <v>248</v>
      </c>
    </row>
    <row r="198" spans="1:49" s="15" customFormat="1" x14ac:dyDescent="0.2">
      <c r="A198" s="36" t="str">
        <f t="shared" ca="1" si="12"/>
        <v/>
      </c>
      <c r="B198" s="36" t="str">
        <f t="shared" ca="1" si="12"/>
        <v/>
      </c>
      <c r="C198" s="36" t="str">
        <f t="shared" ca="1" si="11"/>
        <v/>
      </c>
      <c r="E198" s="36" t="s">
        <v>196</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x14ac:dyDescent="0.2">
      <c r="A199" s="36" t="str">
        <f t="shared" ca="1" si="12"/>
        <v/>
      </c>
      <c r="B199" s="36" t="str">
        <f t="shared" ca="1" si="12"/>
        <v/>
      </c>
      <c r="C199" s="36" t="str">
        <f t="shared" ca="1" si="11"/>
        <v/>
      </c>
      <c r="E199" s="36" t="s">
        <v>230</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x14ac:dyDescent="0.2">
      <c r="A200" s="36" t="str">
        <f t="shared" ca="1" si="12"/>
        <v/>
      </c>
      <c r="B200" s="36" t="str">
        <f t="shared" ca="1" si="12"/>
        <v/>
      </c>
      <c r="C200" s="36" t="str">
        <f t="shared" ca="1" si="11"/>
        <v/>
      </c>
      <c r="E200" s="36" t="s">
        <v>231</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x14ac:dyDescent="0.2">
      <c r="A201" s="36" t="str">
        <f t="shared" ca="1" si="12"/>
        <v/>
      </c>
      <c r="B201" s="36" t="str">
        <f t="shared" ca="1" si="12"/>
        <v/>
      </c>
      <c r="C201" s="36" t="str">
        <f t="shared" ca="1" si="11"/>
        <v/>
      </c>
    </row>
    <row r="202" spans="1:49" s="15" customFormat="1" x14ac:dyDescent="0.2">
      <c r="A202" s="36" t="str">
        <f t="shared" ca="1" si="12"/>
        <v/>
      </c>
      <c r="B202" s="36" t="str">
        <f t="shared" ca="1" si="12"/>
        <v/>
      </c>
      <c r="C202" s="36" t="str">
        <f t="shared" ca="1" si="11"/>
        <v/>
      </c>
      <c r="D202" s="455">
        <v>43</v>
      </c>
      <c r="E202" s="35" t="s">
        <v>248</v>
      </c>
    </row>
    <row r="203" spans="1:49" s="15" customFormat="1" x14ac:dyDescent="0.2">
      <c r="A203" s="36" t="str">
        <f t="shared" ca="1" si="12"/>
        <v/>
      </c>
      <c r="B203" s="36" t="str">
        <f t="shared" ca="1" si="12"/>
        <v/>
      </c>
      <c r="C203" s="36" t="str">
        <f t="shared" ca="1" si="11"/>
        <v/>
      </c>
      <c r="E203" s="36" t="s">
        <v>196</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x14ac:dyDescent="0.2">
      <c r="A204" s="36" t="str">
        <f t="shared" ca="1" si="12"/>
        <v/>
      </c>
      <c r="B204" s="36" t="str">
        <f t="shared" ca="1" si="12"/>
        <v/>
      </c>
      <c r="C204" s="36" t="str">
        <f t="shared" ca="1" si="11"/>
        <v/>
      </c>
      <c r="E204" s="36" t="s">
        <v>230</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x14ac:dyDescent="0.2">
      <c r="A205" s="36" t="str">
        <f t="shared" ca="1" si="12"/>
        <v/>
      </c>
      <c r="B205" s="36" t="str">
        <f t="shared" ca="1" si="12"/>
        <v/>
      </c>
      <c r="C205" s="36" t="str">
        <f t="shared" ca="1" si="11"/>
        <v/>
      </c>
      <c r="E205" s="36" t="s">
        <v>231</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x14ac:dyDescent="0.2">
      <c r="A206" s="36" t="str">
        <f t="shared" ca="1" si="12"/>
        <v/>
      </c>
      <c r="B206" s="36" t="str">
        <f t="shared" ca="1" si="12"/>
        <v/>
      </c>
      <c r="C206" s="36" t="str">
        <f t="shared" ca="1" si="11"/>
        <v/>
      </c>
    </row>
    <row r="207" spans="1:49" s="15" customFormat="1" x14ac:dyDescent="0.2">
      <c r="A207" s="36" t="str">
        <f t="shared" ca="1" si="12"/>
        <v/>
      </c>
      <c r="B207" s="36" t="str">
        <f t="shared" ca="1" si="12"/>
        <v/>
      </c>
      <c r="C207" s="36" t="str">
        <f t="shared" ca="1" si="11"/>
        <v/>
      </c>
      <c r="D207" s="455">
        <v>44</v>
      </c>
      <c r="E207" s="35" t="s">
        <v>248</v>
      </c>
    </row>
    <row r="208" spans="1:49" s="15" customFormat="1" x14ac:dyDescent="0.2">
      <c r="A208" s="36" t="str">
        <f t="shared" ca="1" si="12"/>
        <v/>
      </c>
      <c r="B208" s="36" t="str">
        <f t="shared" ca="1" si="12"/>
        <v/>
      </c>
      <c r="C208" s="36" t="str">
        <f t="shared" ref="C208:C239" ca="1" si="13">IF(INDIRECT(ADDRESS(C$6,ROW()-ROW(C$6)-1+COLUMN($F$8)))&gt;0,INDIRECT(ADDRESS(C$6,ROW()-ROW(C$6)-1+COLUMN($F$8))),"")</f>
        <v/>
      </c>
      <c r="E208" s="36" t="s">
        <v>196</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x14ac:dyDescent="0.2">
      <c r="A209" s="36" t="str">
        <f t="shared" ca="1" si="12"/>
        <v/>
      </c>
      <c r="B209" s="36" t="str">
        <f t="shared" ca="1" si="12"/>
        <v/>
      </c>
      <c r="C209" s="36" t="str">
        <f t="shared" ca="1" si="13"/>
        <v/>
      </c>
      <c r="E209" s="36" t="s">
        <v>230</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x14ac:dyDescent="0.2">
      <c r="A210" s="36" t="str">
        <f t="shared" ref="A210:B229" ca="1" si="14">IF(INDIRECT(ADDRESS(A$6,ROW()-ROW(A$6)-1+COLUMN($F$8)))&gt;0,INDIRECT(ADDRESS(A$6,ROW()-ROW(A$6)-1+COLUMN($F$8))),"")</f>
        <v/>
      </c>
      <c r="B210" s="36" t="str">
        <f t="shared" ca="1" si="14"/>
        <v/>
      </c>
      <c r="C210" s="36" t="str">
        <f t="shared" ca="1" si="13"/>
        <v/>
      </c>
      <c r="E210" s="36" t="s">
        <v>231</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x14ac:dyDescent="0.2">
      <c r="A211" s="36" t="str">
        <f t="shared" ca="1" si="14"/>
        <v/>
      </c>
      <c r="B211" s="36" t="str">
        <f t="shared" ca="1" si="14"/>
        <v/>
      </c>
      <c r="C211" s="36" t="str">
        <f t="shared" ca="1" si="13"/>
        <v/>
      </c>
    </row>
    <row r="212" spans="1:54" s="15" customFormat="1" x14ac:dyDescent="0.2">
      <c r="A212" s="36" t="str">
        <f t="shared" ca="1" si="14"/>
        <v/>
      </c>
      <c r="B212" s="36" t="str">
        <f t="shared" ca="1" si="14"/>
        <v/>
      </c>
      <c r="C212" s="36" t="str">
        <f t="shared" ca="1" si="13"/>
        <v/>
      </c>
      <c r="D212" s="455">
        <v>45</v>
      </c>
      <c r="E212" s="35" t="s">
        <v>248</v>
      </c>
    </row>
    <row r="213" spans="1:54" s="15" customFormat="1" x14ac:dyDescent="0.2">
      <c r="A213" s="36" t="str">
        <f t="shared" ca="1" si="14"/>
        <v/>
      </c>
      <c r="B213" s="36" t="str">
        <f t="shared" ca="1" si="14"/>
        <v/>
      </c>
      <c r="C213" s="36" t="str">
        <f t="shared" ca="1" si="13"/>
        <v/>
      </c>
      <c r="E213" s="36" t="s">
        <v>196</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x14ac:dyDescent="0.2">
      <c r="A214" s="36" t="str">
        <f t="shared" ca="1" si="14"/>
        <v/>
      </c>
      <c r="B214" s="36" t="str">
        <f t="shared" ca="1" si="14"/>
        <v/>
      </c>
      <c r="C214" s="36" t="str">
        <f t="shared" ca="1" si="13"/>
        <v/>
      </c>
      <c r="E214" s="36" t="s">
        <v>230</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x14ac:dyDescent="0.2">
      <c r="A215" s="36" t="str">
        <f t="shared" ca="1" si="14"/>
        <v/>
      </c>
      <c r="B215" s="36" t="str">
        <f t="shared" ca="1" si="14"/>
        <v/>
      </c>
      <c r="C215" s="36" t="str">
        <f t="shared" ca="1" si="13"/>
        <v/>
      </c>
      <c r="E215" s="36" t="s">
        <v>231</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x14ac:dyDescent="0.2">
      <c r="A216" s="36" t="str">
        <f t="shared" ca="1" si="14"/>
        <v/>
      </c>
      <c r="B216" s="36" t="str">
        <f t="shared" ca="1" si="14"/>
        <v/>
      </c>
      <c r="C216" s="36" t="str">
        <f t="shared" ca="1" si="13"/>
        <v/>
      </c>
    </row>
    <row r="217" spans="1:54" s="15" customFormat="1" x14ac:dyDescent="0.2">
      <c r="A217" s="36" t="str">
        <f t="shared" ca="1" si="14"/>
        <v/>
      </c>
      <c r="B217" s="36" t="str">
        <f t="shared" ca="1" si="14"/>
        <v/>
      </c>
      <c r="C217" s="36" t="str">
        <f t="shared" ca="1" si="13"/>
        <v/>
      </c>
      <c r="D217" s="455">
        <v>46</v>
      </c>
      <c r="E217" s="35" t="s">
        <v>248</v>
      </c>
    </row>
    <row r="218" spans="1:54" s="15" customFormat="1" x14ac:dyDescent="0.2">
      <c r="A218" s="36" t="str">
        <f t="shared" ca="1" si="14"/>
        <v/>
      </c>
      <c r="B218" s="36" t="str">
        <f t="shared" ca="1" si="14"/>
        <v/>
      </c>
      <c r="C218" s="36" t="str">
        <f t="shared" ca="1" si="13"/>
        <v/>
      </c>
      <c r="E218" s="36" t="s">
        <v>196</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x14ac:dyDescent="0.2">
      <c r="A219" s="36" t="str">
        <f t="shared" ca="1" si="14"/>
        <v/>
      </c>
      <c r="B219" s="36" t="str">
        <f t="shared" ca="1" si="14"/>
        <v/>
      </c>
      <c r="C219" s="36" t="str">
        <f t="shared" ca="1" si="13"/>
        <v/>
      </c>
      <c r="E219" s="36" t="s">
        <v>230</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x14ac:dyDescent="0.2">
      <c r="A220" s="36" t="str">
        <f t="shared" ca="1" si="14"/>
        <v/>
      </c>
      <c r="B220" s="36" t="str">
        <f t="shared" ca="1" si="14"/>
        <v/>
      </c>
      <c r="C220" s="36" t="str">
        <f t="shared" ca="1" si="13"/>
        <v/>
      </c>
      <c r="E220" s="36" t="s">
        <v>231</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x14ac:dyDescent="0.2">
      <c r="A221" s="36" t="str">
        <f t="shared" ca="1" si="14"/>
        <v/>
      </c>
      <c r="B221" s="36" t="str">
        <f t="shared" ca="1" si="14"/>
        <v/>
      </c>
      <c r="C221" s="36" t="str">
        <f t="shared" ca="1" si="13"/>
        <v/>
      </c>
    </row>
    <row r="222" spans="1:54" s="15" customFormat="1" x14ac:dyDescent="0.2">
      <c r="A222" s="36" t="str">
        <f t="shared" ca="1" si="14"/>
        <v/>
      </c>
      <c r="B222" s="36" t="str">
        <f t="shared" ca="1" si="14"/>
        <v/>
      </c>
      <c r="C222" s="36" t="str">
        <f t="shared" ca="1" si="13"/>
        <v/>
      </c>
      <c r="D222" s="455">
        <v>47</v>
      </c>
      <c r="E222" s="35" t="s">
        <v>248</v>
      </c>
    </row>
    <row r="223" spans="1:54" s="15" customFormat="1" x14ac:dyDescent="0.2">
      <c r="A223" s="36" t="str">
        <f t="shared" ca="1" si="14"/>
        <v/>
      </c>
      <c r="B223" s="36" t="str">
        <f t="shared" ca="1" si="14"/>
        <v/>
      </c>
      <c r="C223" s="36" t="str">
        <f t="shared" ca="1" si="13"/>
        <v/>
      </c>
      <c r="E223" s="36" t="s">
        <v>196</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x14ac:dyDescent="0.2">
      <c r="A224" s="36" t="str">
        <f t="shared" ca="1" si="14"/>
        <v/>
      </c>
      <c r="B224" s="36" t="str">
        <f t="shared" ca="1" si="14"/>
        <v/>
      </c>
      <c r="C224" s="36" t="str">
        <f t="shared" ca="1" si="13"/>
        <v/>
      </c>
      <c r="E224" s="36" t="s">
        <v>230</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x14ac:dyDescent="0.2">
      <c r="A225" s="36" t="str">
        <f t="shared" ca="1" si="14"/>
        <v/>
      </c>
      <c r="B225" s="36" t="str">
        <f t="shared" ca="1" si="14"/>
        <v/>
      </c>
      <c r="C225" s="36" t="str">
        <f t="shared" ca="1" si="13"/>
        <v/>
      </c>
      <c r="E225" s="36" t="s">
        <v>231</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x14ac:dyDescent="0.2">
      <c r="A226" s="36" t="str">
        <f t="shared" ca="1" si="14"/>
        <v/>
      </c>
      <c r="B226" s="36" t="str">
        <f t="shared" ca="1" si="14"/>
        <v/>
      </c>
      <c r="C226" s="36" t="str">
        <f t="shared" ca="1" si="13"/>
        <v/>
      </c>
    </row>
    <row r="227" spans="1:55" s="15" customFormat="1" x14ac:dyDescent="0.2">
      <c r="A227" s="36" t="str">
        <f t="shared" ca="1" si="14"/>
        <v/>
      </c>
      <c r="B227" s="36" t="str">
        <f t="shared" ca="1" si="14"/>
        <v/>
      </c>
      <c r="C227" s="36" t="str">
        <f t="shared" ca="1" si="13"/>
        <v/>
      </c>
      <c r="D227" s="455">
        <v>48</v>
      </c>
      <c r="E227" s="35" t="s">
        <v>248</v>
      </c>
    </row>
    <row r="228" spans="1:55" s="15" customFormat="1" x14ac:dyDescent="0.2">
      <c r="A228" s="36" t="str">
        <f t="shared" ca="1" si="14"/>
        <v/>
      </c>
      <c r="B228" s="36" t="str">
        <f t="shared" ca="1" si="14"/>
        <v/>
      </c>
      <c r="C228" s="36" t="str">
        <f t="shared" ca="1" si="13"/>
        <v/>
      </c>
      <c r="E228" s="36" t="s">
        <v>196</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x14ac:dyDescent="0.2">
      <c r="A229" s="36" t="str">
        <f t="shared" ca="1" si="14"/>
        <v/>
      </c>
      <c r="B229" s="36" t="str">
        <f t="shared" ca="1" si="14"/>
        <v/>
      </c>
      <c r="C229" s="36" t="str">
        <f t="shared" ca="1" si="13"/>
        <v/>
      </c>
      <c r="E229" s="36" t="s">
        <v>230</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x14ac:dyDescent="0.2">
      <c r="A230" s="36" t="str">
        <f t="shared" ref="A230:B249" ca="1" si="15">IF(INDIRECT(ADDRESS(A$6,ROW()-ROW(A$6)-1+COLUMN($F$8)))&gt;0,INDIRECT(ADDRESS(A$6,ROW()-ROW(A$6)-1+COLUMN($F$8))),"")</f>
        <v/>
      </c>
      <c r="B230" s="36" t="str">
        <f t="shared" ca="1" si="15"/>
        <v/>
      </c>
      <c r="C230" s="36" t="str">
        <f t="shared" ca="1" si="13"/>
        <v/>
      </c>
      <c r="E230" s="36" t="s">
        <v>231</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x14ac:dyDescent="0.2">
      <c r="A231" s="36" t="str">
        <f t="shared" ca="1" si="15"/>
        <v/>
      </c>
      <c r="B231" s="36" t="str">
        <f t="shared" ca="1" si="15"/>
        <v/>
      </c>
      <c r="C231" s="36" t="str">
        <f t="shared" ca="1" si="13"/>
        <v/>
      </c>
    </row>
    <row r="232" spans="1:55" s="15" customFormat="1" x14ac:dyDescent="0.2">
      <c r="A232" s="36" t="str">
        <f t="shared" ca="1" si="15"/>
        <v/>
      </c>
      <c r="B232" s="36" t="str">
        <f t="shared" ca="1" si="15"/>
        <v/>
      </c>
      <c r="C232" s="36" t="str">
        <f t="shared" ca="1" si="13"/>
        <v/>
      </c>
      <c r="D232" s="455">
        <v>49</v>
      </c>
      <c r="E232" s="35" t="s">
        <v>248</v>
      </c>
    </row>
    <row r="233" spans="1:55" s="15" customFormat="1" x14ac:dyDescent="0.2">
      <c r="A233" s="36" t="str">
        <f t="shared" ca="1" si="15"/>
        <v/>
      </c>
      <c r="B233" s="36" t="str">
        <f t="shared" ca="1" si="15"/>
        <v/>
      </c>
      <c r="C233" s="36" t="str">
        <f t="shared" ca="1" si="13"/>
        <v/>
      </c>
      <c r="E233" s="36" t="s">
        <v>196</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x14ac:dyDescent="0.2">
      <c r="A234" s="36" t="str">
        <f t="shared" ca="1" si="15"/>
        <v/>
      </c>
      <c r="B234" s="36" t="str">
        <f t="shared" ca="1" si="15"/>
        <v/>
      </c>
      <c r="C234" s="36" t="str">
        <f t="shared" ca="1" si="13"/>
        <v/>
      </c>
      <c r="E234" s="36" t="s">
        <v>230</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x14ac:dyDescent="0.2">
      <c r="A235" s="36" t="str">
        <f t="shared" ca="1" si="15"/>
        <v/>
      </c>
      <c r="B235" s="36" t="str">
        <f t="shared" ca="1" si="15"/>
        <v/>
      </c>
      <c r="C235" s="36" t="str">
        <f t="shared" ca="1" si="13"/>
        <v/>
      </c>
      <c r="E235" s="36" t="s">
        <v>231</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x14ac:dyDescent="0.2">
      <c r="A236" s="36" t="str">
        <f t="shared" ca="1" si="15"/>
        <v/>
      </c>
      <c r="B236" s="36" t="str">
        <f t="shared" ca="1" si="15"/>
        <v/>
      </c>
      <c r="C236" s="36" t="str">
        <f t="shared" ca="1" si="13"/>
        <v/>
      </c>
    </row>
    <row r="237" spans="1:55" s="15" customFormat="1" x14ac:dyDescent="0.2">
      <c r="A237" s="36" t="str">
        <f t="shared" ca="1" si="15"/>
        <v/>
      </c>
      <c r="B237" s="36" t="str">
        <f t="shared" ca="1" si="15"/>
        <v/>
      </c>
      <c r="C237" s="36" t="str">
        <f t="shared" ca="1" si="13"/>
        <v/>
      </c>
      <c r="D237" s="455">
        <v>50</v>
      </c>
      <c r="E237" s="35" t="s">
        <v>248</v>
      </c>
    </row>
    <row r="238" spans="1:55" s="15" customFormat="1" x14ac:dyDescent="0.2">
      <c r="A238" s="36" t="str">
        <f t="shared" ca="1" si="15"/>
        <v/>
      </c>
      <c r="B238" s="36" t="str">
        <f t="shared" ca="1" si="15"/>
        <v/>
      </c>
      <c r="C238" s="36" t="str">
        <f t="shared" ca="1" si="13"/>
        <v/>
      </c>
      <c r="E238" s="36" t="s">
        <v>196</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x14ac:dyDescent="0.2">
      <c r="A239" s="36" t="str">
        <f t="shared" ca="1" si="15"/>
        <v/>
      </c>
      <c r="B239" s="36" t="str">
        <f t="shared" ca="1" si="15"/>
        <v/>
      </c>
      <c r="C239" s="36" t="str">
        <f t="shared" ca="1" si="13"/>
        <v/>
      </c>
      <c r="E239" s="36" t="s">
        <v>230</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x14ac:dyDescent="0.2">
      <c r="A240" s="36" t="str">
        <f t="shared" ca="1" si="15"/>
        <v/>
      </c>
      <c r="B240" s="36" t="str">
        <f t="shared" ca="1" si="15"/>
        <v/>
      </c>
      <c r="C240" s="36" t="str">
        <f t="shared" ref="C240:C257" ca="1" si="16">IF(INDIRECT(ADDRESS(C$6,ROW()-ROW(C$6)-1+COLUMN($F$8)))&gt;0,INDIRECT(ADDRESS(C$6,ROW()-ROW(C$6)-1+COLUMN($F$8))),"")</f>
        <v/>
      </c>
      <c r="E240" s="36" t="s">
        <v>231</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x14ac:dyDescent="0.2">
      <c r="A241" s="36" t="str">
        <f t="shared" ca="1" si="15"/>
        <v/>
      </c>
      <c r="B241" s="36" t="str">
        <f t="shared" ca="1" si="15"/>
        <v/>
      </c>
      <c r="C241" s="36" t="str">
        <f t="shared" ca="1" si="16"/>
        <v/>
      </c>
    </row>
    <row r="242" spans="1:59" s="15" customFormat="1" x14ac:dyDescent="0.2">
      <c r="A242" s="36" t="str">
        <f t="shared" ca="1" si="15"/>
        <v/>
      </c>
      <c r="B242" s="36" t="str">
        <f t="shared" ca="1" si="15"/>
        <v/>
      </c>
      <c r="C242" s="36" t="str">
        <f t="shared" ca="1" si="16"/>
        <v/>
      </c>
      <c r="D242" s="455">
        <v>51</v>
      </c>
      <c r="E242" s="35" t="s">
        <v>248</v>
      </c>
    </row>
    <row r="243" spans="1:59" s="15" customFormat="1" x14ac:dyDescent="0.2">
      <c r="A243" s="36" t="str">
        <f t="shared" ca="1" si="15"/>
        <v/>
      </c>
      <c r="B243" s="36" t="str">
        <f t="shared" ca="1" si="15"/>
        <v/>
      </c>
      <c r="C243" s="36" t="str">
        <f t="shared" ca="1" si="16"/>
        <v/>
      </c>
      <c r="E243" s="36" t="s">
        <v>196</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x14ac:dyDescent="0.2">
      <c r="A244" s="36" t="str">
        <f t="shared" ca="1" si="15"/>
        <v/>
      </c>
      <c r="B244" s="36" t="str">
        <f t="shared" ca="1" si="15"/>
        <v/>
      </c>
      <c r="C244" s="36" t="str">
        <f t="shared" ca="1" si="16"/>
        <v/>
      </c>
      <c r="E244" s="36" t="s">
        <v>230</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x14ac:dyDescent="0.2">
      <c r="A245" s="36" t="str">
        <f t="shared" ca="1" si="15"/>
        <v/>
      </c>
      <c r="B245" s="36" t="str">
        <f t="shared" ca="1" si="15"/>
        <v/>
      </c>
      <c r="C245" s="36" t="str">
        <f t="shared" ca="1" si="16"/>
        <v/>
      </c>
      <c r="E245" s="36" t="s">
        <v>231</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x14ac:dyDescent="0.2">
      <c r="A246" s="36" t="str">
        <f t="shared" ca="1" si="15"/>
        <v/>
      </c>
      <c r="B246" s="36" t="str">
        <f t="shared" ca="1" si="15"/>
        <v/>
      </c>
      <c r="C246" s="36" t="str">
        <f t="shared" ca="1" si="16"/>
        <v/>
      </c>
    </row>
    <row r="247" spans="1:59" s="15" customFormat="1" x14ac:dyDescent="0.2">
      <c r="A247" s="36" t="str">
        <f t="shared" ca="1" si="15"/>
        <v/>
      </c>
      <c r="B247" s="36" t="str">
        <f t="shared" ca="1" si="15"/>
        <v/>
      </c>
      <c r="C247" s="36" t="str">
        <f t="shared" ca="1" si="16"/>
        <v/>
      </c>
      <c r="D247" s="455">
        <v>52</v>
      </c>
      <c r="E247" s="35" t="s">
        <v>248</v>
      </c>
    </row>
    <row r="248" spans="1:59" s="15" customFormat="1" x14ac:dyDescent="0.2">
      <c r="A248" s="36" t="str">
        <f t="shared" ca="1" si="15"/>
        <v/>
      </c>
      <c r="B248" s="36" t="str">
        <f t="shared" ca="1" si="15"/>
        <v/>
      </c>
      <c r="C248" s="36" t="str">
        <f t="shared" ca="1" si="16"/>
        <v/>
      </c>
      <c r="E248" s="36" t="s">
        <v>196</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x14ac:dyDescent="0.2">
      <c r="A249" s="36" t="str">
        <f t="shared" ca="1" si="15"/>
        <v/>
      </c>
      <c r="B249" s="36" t="str">
        <f t="shared" ca="1" si="15"/>
        <v/>
      </c>
      <c r="C249" s="36" t="str">
        <f t="shared" ca="1" si="16"/>
        <v/>
      </c>
      <c r="E249" s="36" t="s">
        <v>230</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x14ac:dyDescent="0.2">
      <c r="A250" s="36" t="str">
        <f t="shared" ref="A250:B257" ca="1" si="17">IF(INDIRECT(ADDRESS(A$6,ROW()-ROW(A$6)-1+COLUMN($F$8)))&gt;0,INDIRECT(ADDRESS(A$6,ROW()-ROW(A$6)-1+COLUMN($F$8))),"")</f>
        <v/>
      </c>
      <c r="B250" s="36" t="str">
        <f t="shared" ca="1" si="17"/>
        <v/>
      </c>
      <c r="C250" s="36" t="str">
        <f t="shared" ca="1" si="16"/>
        <v/>
      </c>
      <c r="E250" s="36" t="s">
        <v>231</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x14ac:dyDescent="0.2">
      <c r="A251" s="36" t="str">
        <f t="shared" ca="1" si="17"/>
        <v/>
      </c>
      <c r="B251" s="36" t="str">
        <f t="shared" ca="1" si="17"/>
        <v/>
      </c>
      <c r="C251" s="36" t="str">
        <f t="shared" ca="1" si="16"/>
        <v/>
      </c>
    </row>
    <row r="252" spans="1:59" s="15" customFormat="1" x14ac:dyDescent="0.2">
      <c r="A252" s="36" t="str">
        <f t="shared" ca="1" si="17"/>
        <v/>
      </c>
      <c r="B252" s="36" t="str">
        <f t="shared" ca="1" si="17"/>
        <v/>
      </c>
      <c r="C252" s="36" t="str">
        <f t="shared" ca="1" si="16"/>
        <v/>
      </c>
      <c r="D252" s="455">
        <v>53</v>
      </c>
      <c r="E252" s="35" t="s">
        <v>248</v>
      </c>
    </row>
    <row r="253" spans="1:59" s="15" customFormat="1" x14ac:dyDescent="0.2">
      <c r="A253" s="36" t="str">
        <f t="shared" ca="1" si="17"/>
        <v/>
      </c>
      <c r="B253" s="36" t="str">
        <f t="shared" ca="1" si="17"/>
        <v/>
      </c>
      <c r="C253" s="36" t="str">
        <f t="shared" ca="1" si="16"/>
        <v/>
      </c>
      <c r="E253" s="36" t="s">
        <v>196</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x14ac:dyDescent="0.2">
      <c r="A254" s="36" t="str">
        <f t="shared" ca="1" si="17"/>
        <v/>
      </c>
      <c r="B254" s="36" t="str">
        <f t="shared" ca="1" si="17"/>
        <v/>
      </c>
      <c r="C254" s="36" t="str">
        <f t="shared" ca="1" si="16"/>
        <v/>
      </c>
      <c r="E254" s="36" t="s">
        <v>230</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x14ac:dyDescent="0.2">
      <c r="A255" s="36" t="str">
        <f t="shared" ca="1" si="17"/>
        <v/>
      </c>
      <c r="B255" s="36" t="str">
        <f t="shared" ca="1" si="17"/>
        <v/>
      </c>
      <c r="C255" s="36" t="str">
        <f t="shared" ca="1" si="16"/>
        <v/>
      </c>
      <c r="E255" s="36" t="s">
        <v>231</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x14ac:dyDescent="0.2">
      <c r="A256" s="36" t="str">
        <f t="shared" ca="1" si="17"/>
        <v/>
      </c>
      <c r="B256" s="36" t="str">
        <f t="shared" ca="1" si="17"/>
        <v/>
      </c>
      <c r="C256" s="36" t="str">
        <f t="shared" ca="1" si="16"/>
        <v/>
      </c>
    </row>
    <row r="257" spans="1:64" s="15" customFormat="1" x14ac:dyDescent="0.2">
      <c r="A257" s="36" t="str">
        <f t="shared" ca="1" si="17"/>
        <v/>
      </c>
      <c r="B257" s="36" t="str">
        <f t="shared" ca="1" si="17"/>
        <v/>
      </c>
      <c r="C257" s="36" t="str">
        <f t="shared" ca="1" si="16"/>
        <v/>
      </c>
      <c r="D257" s="455">
        <v>54</v>
      </c>
      <c r="E257" s="35" t="s">
        <v>248</v>
      </c>
    </row>
    <row r="258" spans="1:64" s="15" customFormat="1" x14ac:dyDescent="0.2">
      <c r="E258" s="36" t="s">
        <v>196</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x14ac:dyDescent="0.2">
      <c r="E259" s="36" t="s">
        <v>230</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x14ac:dyDescent="0.2">
      <c r="E260" s="36" t="s">
        <v>231</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x14ac:dyDescent="0.2"/>
    <row r="262" spans="1:64" s="15" customFormat="1" x14ac:dyDescent="0.2">
      <c r="D262" s="455">
        <v>55</v>
      </c>
      <c r="E262" s="35" t="s">
        <v>248</v>
      </c>
    </row>
    <row r="263" spans="1:64" s="15" customFormat="1" x14ac:dyDescent="0.2">
      <c r="E263" s="36" t="s">
        <v>196</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x14ac:dyDescent="0.2">
      <c r="E264" s="36" t="s">
        <v>230</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x14ac:dyDescent="0.2">
      <c r="E265" s="36" t="s">
        <v>231</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x14ac:dyDescent="0.2"/>
    <row r="267" spans="1:64" s="15" customFormat="1" x14ac:dyDescent="0.2">
      <c r="D267" s="455">
        <v>56</v>
      </c>
      <c r="E267" s="35" t="s">
        <v>248</v>
      </c>
    </row>
    <row r="268" spans="1:64" s="15" customFormat="1" x14ac:dyDescent="0.2">
      <c r="E268" s="36" t="s">
        <v>196</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x14ac:dyDescent="0.2">
      <c r="E269" s="36" t="s">
        <v>230</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x14ac:dyDescent="0.2">
      <c r="E270" s="36" t="s">
        <v>231</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x14ac:dyDescent="0.2"/>
    <row r="272" spans="1:64" s="15" customFormat="1" x14ac:dyDescent="0.2">
      <c r="D272" s="455">
        <v>57</v>
      </c>
      <c r="E272" s="35" t="s">
        <v>248</v>
      </c>
    </row>
    <row r="273" spans="4:65" s="15" customFormat="1" x14ac:dyDescent="0.2">
      <c r="E273" s="36" t="s">
        <v>196</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x14ac:dyDescent="0.2">
      <c r="E274" s="36" t="s">
        <v>230</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x14ac:dyDescent="0.2">
      <c r="E275" s="36" t="s">
        <v>231</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x14ac:dyDescent="0.2"/>
    <row r="277" spans="4:65" s="15" customFormat="1" x14ac:dyDescent="0.2">
      <c r="D277" s="455">
        <v>58</v>
      </c>
      <c r="E277" s="35" t="s">
        <v>248</v>
      </c>
    </row>
    <row r="278" spans="4:65" s="15" customFormat="1" x14ac:dyDescent="0.2">
      <c r="E278" s="36" t="s">
        <v>196</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x14ac:dyDescent="0.2">
      <c r="E279" s="36" t="s">
        <v>230</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x14ac:dyDescent="0.2">
      <c r="E280" s="36" t="s">
        <v>231</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x14ac:dyDescent="0.2"/>
    <row r="282" spans="4:65" s="15" customFormat="1" x14ac:dyDescent="0.2">
      <c r="D282" s="455">
        <v>59</v>
      </c>
      <c r="E282" s="35" t="s">
        <v>248</v>
      </c>
    </row>
    <row r="283" spans="4:65" s="15" customFormat="1" x14ac:dyDescent="0.2">
      <c r="E283" s="36" t="s">
        <v>196</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x14ac:dyDescent="0.2">
      <c r="E284" s="36" t="s">
        <v>230</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x14ac:dyDescent="0.2">
      <c r="E285" s="36" t="s">
        <v>231</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x14ac:dyDescent="0.2"/>
    <row r="287" spans="4:65" s="15" customFormat="1" x14ac:dyDescent="0.2">
      <c r="D287" s="455">
        <v>60</v>
      </c>
      <c r="E287" s="35" t="s">
        <v>248</v>
      </c>
    </row>
    <row r="288" spans="4:65" s="15" customFormat="1" x14ac:dyDescent="0.2">
      <c r="E288" s="36" t="s">
        <v>196</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x14ac:dyDescent="0.2">
      <c r="E289" s="36" t="s">
        <v>230</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x14ac:dyDescent="0.2">
      <c r="E290" s="36" t="s">
        <v>231</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x14ac:dyDescent="0.2"/>
    <row r="292" spans="4:69" s="15" customFormat="1" x14ac:dyDescent="0.2">
      <c r="D292" s="455">
        <v>61</v>
      </c>
      <c r="E292" s="35" t="s">
        <v>248</v>
      </c>
    </row>
    <row r="293" spans="4:69" s="15" customFormat="1" x14ac:dyDescent="0.2">
      <c r="E293" s="36" t="s">
        <v>196</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x14ac:dyDescent="0.2">
      <c r="E294" s="36" t="s">
        <v>230</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x14ac:dyDescent="0.2">
      <c r="E295" s="36" t="s">
        <v>231</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x14ac:dyDescent="0.2"/>
    <row r="297" spans="4:69" s="15" customFormat="1" x14ac:dyDescent="0.2">
      <c r="D297" s="455">
        <v>62</v>
      </c>
      <c r="E297" s="35" t="s">
        <v>248</v>
      </c>
    </row>
    <row r="298" spans="4:69" s="15" customFormat="1" x14ac:dyDescent="0.2">
      <c r="E298" s="36" t="s">
        <v>196</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x14ac:dyDescent="0.2">
      <c r="E299" s="36" t="s">
        <v>230</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x14ac:dyDescent="0.2">
      <c r="E300" s="36" t="s">
        <v>231</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x14ac:dyDescent="0.2"/>
    <row r="302" spans="4:69" s="15" customFormat="1" x14ac:dyDescent="0.2">
      <c r="D302" s="455">
        <v>63</v>
      </c>
      <c r="E302" s="35" t="s">
        <v>248</v>
      </c>
    </row>
    <row r="303" spans="4:69" s="15" customFormat="1" x14ac:dyDescent="0.2">
      <c r="E303" s="36" t="s">
        <v>196</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x14ac:dyDescent="0.2">
      <c r="E304" s="36" t="s">
        <v>230</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x14ac:dyDescent="0.2">
      <c r="E305" s="36" t="s">
        <v>231</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x14ac:dyDescent="0.2"/>
    <row r="307" spans="4:74" s="15" customFormat="1" x14ac:dyDescent="0.2">
      <c r="D307" s="455">
        <v>64</v>
      </c>
      <c r="E307" s="35" t="s">
        <v>248</v>
      </c>
    </row>
    <row r="308" spans="4:74" s="15" customFormat="1" x14ac:dyDescent="0.2">
      <c r="E308" s="36" t="s">
        <v>196</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x14ac:dyDescent="0.2">
      <c r="E309" s="36" t="s">
        <v>230</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x14ac:dyDescent="0.2">
      <c r="E310" s="36" t="s">
        <v>231</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x14ac:dyDescent="0.2"/>
    <row r="312" spans="4:74" s="15" customFormat="1" x14ac:dyDescent="0.2">
      <c r="D312" s="455">
        <v>65</v>
      </c>
      <c r="E312" s="35" t="s">
        <v>248</v>
      </c>
    </row>
    <row r="313" spans="4:74" s="15" customFormat="1" x14ac:dyDescent="0.2">
      <c r="E313" s="36" t="s">
        <v>196</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x14ac:dyDescent="0.2">
      <c r="E314" s="36" t="s">
        <v>230</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x14ac:dyDescent="0.2">
      <c r="E315" s="36" t="s">
        <v>231</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x14ac:dyDescent="0.2"/>
    <row r="317" spans="4:74" s="15" customFormat="1" x14ac:dyDescent="0.2">
      <c r="D317" s="455">
        <v>66</v>
      </c>
      <c r="E317" s="35" t="s">
        <v>248</v>
      </c>
    </row>
    <row r="318" spans="4:74" s="15" customFormat="1" x14ac:dyDescent="0.2">
      <c r="E318" s="36" t="s">
        <v>196</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x14ac:dyDescent="0.2">
      <c r="E319" s="36" t="s">
        <v>230</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x14ac:dyDescent="0.2">
      <c r="E320" s="36" t="s">
        <v>231</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x14ac:dyDescent="0.2"/>
    <row r="322" spans="4:74" s="15" customFormat="1" x14ac:dyDescent="0.2">
      <c r="D322" s="455">
        <v>67</v>
      </c>
      <c r="E322" s="35" t="s">
        <v>248</v>
      </c>
    </row>
    <row r="323" spans="4:74" s="15" customFormat="1" x14ac:dyDescent="0.2">
      <c r="E323" s="36" t="s">
        <v>196</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x14ac:dyDescent="0.2">
      <c r="E324" s="36" t="s">
        <v>230</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x14ac:dyDescent="0.2">
      <c r="E325" s="36" t="s">
        <v>231</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x14ac:dyDescent="0.2"/>
    <row r="327" spans="4:74" s="15" customFormat="1" x14ac:dyDescent="0.2">
      <c r="D327" s="455">
        <v>68</v>
      </c>
      <c r="E327" s="35" t="s">
        <v>248</v>
      </c>
    </row>
    <row r="328" spans="4:74" s="15" customFormat="1" x14ac:dyDescent="0.2">
      <c r="E328" s="36" t="s">
        <v>196</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x14ac:dyDescent="0.2">
      <c r="E329" s="36" t="s">
        <v>230</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x14ac:dyDescent="0.2">
      <c r="E330" s="36" t="s">
        <v>231</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x14ac:dyDescent="0.2"/>
    <row r="332" spans="4:74" s="15" customFormat="1" x14ac:dyDescent="0.2">
      <c r="D332" s="455">
        <v>69</v>
      </c>
      <c r="E332" s="35" t="s">
        <v>248</v>
      </c>
    </row>
    <row r="333" spans="4:74" s="15" customFormat="1" x14ac:dyDescent="0.2">
      <c r="E333" s="36" t="s">
        <v>196</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x14ac:dyDescent="0.2">
      <c r="E334" s="36" t="s">
        <v>230</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x14ac:dyDescent="0.2">
      <c r="E335" s="36" t="s">
        <v>231</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x14ac:dyDescent="0.2"/>
    <row r="337" spans="4:79" s="15" customFormat="1" x14ac:dyDescent="0.2">
      <c r="D337" s="455">
        <v>70</v>
      </c>
      <c r="E337" s="35" t="s">
        <v>248</v>
      </c>
    </row>
    <row r="338" spans="4:79" s="15" customFormat="1" x14ac:dyDescent="0.2">
      <c r="E338" s="36" t="s">
        <v>196</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x14ac:dyDescent="0.2">
      <c r="E339" s="36" t="s">
        <v>230</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x14ac:dyDescent="0.2">
      <c r="E340" s="36" t="s">
        <v>231</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x14ac:dyDescent="0.2"/>
    <row r="342" spans="4:79" s="15" customFormat="1" x14ac:dyDescent="0.2">
      <c r="D342" s="455">
        <v>71</v>
      </c>
      <c r="E342" s="35" t="s">
        <v>248</v>
      </c>
    </row>
    <row r="343" spans="4:79" s="15" customFormat="1" x14ac:dyDescent="0.2">
      <c r="E343" s="36" t="s">
        <v>196</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x14ac:dyDescent="0.2">
      <c r="E344" s="36" t="s">
        <v>230</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x14ac:dyDescent="0.2">
      <c r="E345" s="36" t="s">
        <v>231</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x14ac:dyDescent="0.2"/>
    <row r="347" spans="4:79" s="15" customFormat="1" x14ac:dyDescent="0.2">
      <c r="D347" s="455">
        <v>72</v>
      </c>
      <c r="E347" s="35" t="s">
        <v>248</v>
      </c>
    </row>
    <row r="348" spans="4:79" s="15" customFormat="1" x14ac:dyDescent="0.2">
      <c r="E348" s="36" t="s">
        <v>196</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x14ac:dyDescent="0.2">
      <c r="E349" s="36" t="s">
        <v>230</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x14ac:dyDescent="0.2">
      <c r="E350" s="36" t="s">
        <v>231</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x14ac:dyDescent="0.2"/>
    <row r="352" spans="4:79" s="15" customFormat="1" x14ac:dyDescent="0.2">
      <c r="D352" s="455">
        <v>73</v>
      </c>
      <c r="E352" s="35" t="s">
        <v>248</v>
      </c>
    </row>
    <row r="353" spans="4:84" s="15" customFormat="1" x14ac:dyDescent="0.2">
      <c r="E353" s="36" t="s">
        <v>196</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x14ac:dyDescent="0.2">
      <c r="E354" s="36" t="s">
        <v>230</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x14ac:dyDescent="0.2">
      <c r="E355" s="36" t="s">
        <v>231</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x14ac:dyDescent="0.2"/>
    <row r="357" spans="4:84" s="15" customFormat="1" x14ac:dyDescent="0.2">
      <c r="D357" s="455">
        <v>74</v>
      </c>
      <c r="E357" s="35" t="s">
        <v>248</v>
      </c>
    </row>
    <row r="358" spans="4:84" s="15" customFormat="1" x14ac:dyDescent="0.2">
      <c r="E358" s="36" t="s">
        <v>196</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x14ac:dyDescent="0.2">
      <c r="E359" s="36" t="s">
        <v>230</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x14ac:dyDescent="0.2">
      <c r="E360" s="36" t="s">
        <v>231</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x14ac:dyDescent="0.2"/>
    <row r="362" spans="4:84" s="15" customFormat="1" x14ac:dyDescent="0.2">
      <c r="D362" s="455">
        <v>75</v>
      </c>
      <c r="E362" s="35" t="s">
        <v>248</v>
      </c>
    </row>
    <row r="363" spans="4:84" s="15" customFormat="1" x14ac:dyDescent="0.2">
      <c r="E363" s="36" t="s">
        <v>196</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x14ac:dyDescent="0.2">
      <c r="E364" s="36" t="s">
        <v>230</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x14ac:dyDescent="0.2">
      <c r="E365" s="36" t="s">
        <v>231</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x14ac:dyDescent="0.2"/>
    <row r="367" spans="4:84" s="15" customFormat="1" x14ac:dyDescent="0.2">
      <c r="D367" s="455">
        <v>76</v>
      </c>
      <c r="E367" s="35" t="s">
        <v>248</v>
      </c>
    </row>
    <row r="368" spans="4:84" s="15" customFormat="1" x14ac:dyDescent="0.2">
      <c r="E368" s="36" t="s">
        <v>196</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x14ac:dyDescent="0.2">
      <c r="E369" s="36" t="s">
        <v>230</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x14ac:dyDescent="0.2">
      <c r="E370" s="36" t="s">
        <v>231</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x14ac:dyDescent="0.2"/>
    <row r="372" spans="4:84" s="15" customFormat="1" x14ac:dyDescent="0.2">
      <c r="D372" s="455">
        <v>77</v>
      </c>
      <c r="E372" s="35" t="s">
        <v>248</v>
      </c>
    </row>
    <row r="373" spans="4:84" s="15" customFormat="1" x14ac:dyDescent="0.2">
      <c r="E373" s="36" t="s">
        <v>196</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x14ac:dyDescent="0.2">
      <c r="E374" s="36" t="s">
        <v>230</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x14ac:dyDescent="0.2">
      <c r="E375" s="36" t="s">
        <v>231</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x14ac:dyDescent="0.2"/>
    <row r="377" spans="4:84" s="15" customFormat="1" x14ac:dyDescent="0.2">
      <c r="D377" s="455">
        <v>78</v>
      </c>
      <c r="E377" s="35" t="s">
        <v>248</v>
      </c>
    </row>
    <row r="378" spans="4:84" s="15" customFormat="1" x14ac:dyDescent="0.2">
      <c r="E378" s="36" t="s">
        <v>196</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x14ac:dyDescent="0.2">
      <c r="E379" s="36" t="s">
        <v>230</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x14ac:dyDescent="0.2">
      <c r="E380" s="36" t="s">
        <v>231</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x14ac:dyDescent="0.2"/>
    <row r="382" spans="4:84" s="15" customFormat="1" x14ac:dyDescent="0.2">
      <c r="D382" s="455">
        <v>79</v>
      </c>
      <c r="E382" s="35" t="s">
        <v>248</v>
      </c>
    </row>
    <row r="383" spans="4:84" s="15" customFormat="1" x14ac:dyDescent="0.2">
      <c r="E383" s="36" t="s">
        <v>196</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x14ac:dyDescent="0.2">
      <c r="E384" s="36" t="s">
        <v>230</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x14ac:dyDescent="0.2">
      <c r="E385" s="36" t="s">
        <v>231</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x14ac:dyDescent="0.2"/>
    <row r="387" spans="4:89" s="15" customFormat="1" x14ac:dyDescent="0.2">
      <c r="D387" s="455">
        <v>80</v>
      </c>
      <c r="E387" s="35" t="s">
        <v>248</v>
      </c>
    </row>
    <row r="388" spans="4:89" s="15" customFormat="1" x14ac:dyDescent="0.2">
      <c r="E388" s="36" t="s">
        <v>196</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x14ac:dyDescent="0.2">
      <c r="E389" s="36" t="s">
        <v>230</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x14ac:dyDescent="0.2">
      <c r="E390" s="36" t="s">
        <v>231</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x14ac:dyDescent="0.2"/>
    <row r="392" spans="4:89" s="15" customFormat="1" x14ac:dyDescent="0.2">
      <c r="D392" s="455">
        <v>81</v>
      </c>
      <c r="E392" s="35" t="s">
        <v>248</v>
      </c>
    </row>
    <row r="393" spans="4:89" s="15" customFormat="1" x14ac:dyDescent="0.2">
      <c r="E393" s="36" t="s">
        <v>196</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x14ac:dyDescent="0.2">
      <c r="E394" s="36" t="s">
        <v>230</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x14ac:dyDescent="0.2">
      <c r="E395" s="36" t="s">
        <v>231</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x14ac:dyDescent="0.2"/>
    <row r="397" spans="4:89" s="15" customFormat="1" x14ac:dyDescent="0.2">
      <c r="D397" s="455">
        <v>82</v>
      </c>
      <c r="E397" s="35" t="s">
        <v>248</v>
      </c>
    </row>
    <row r="398" spans="4:89" s="15" customFormat="1" x14ac:dyDescent="0.2">
      <c r="E398" s="36" t="s">
        <v>196</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x14ac:dyDescent="0.2">
      <c r="E399" s="36" t="s">
        <v>230</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x14ac:dyDescent="0.2">
      <c r="E400" s="36" t="s">
        <v>231</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x14ac:dyDescent="0.2"/>
    <row r="402" spans="4:90" s="15" customFormat="1" x14ac:dyDescent="0.2">
      <c r="D402" s="455">
        <v>83</v>
      </c>
      <c r="E402" s="35" t="s">
        <v>248</v>
      </c>
    </row>
    <row r="403" spans="4:90" s="15" customFormat="1" x14ac:dyDescent="0.2">
      <c r="E403" s="36" t="s">
        <v>196</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x14ac:dyDescent="0.2">
      <c r="E404" s="36" t="s">
        <v>230</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x14ac:dyDescent="0.2">
      <c r="E405" s="36" t="s">
        <v>231</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x14ac:dyDescent="0.2"/>
    <row r="407" spans="4:90" s="15" customFormat="1" x14ac:dyDescent="0.2">
      <c r="D407" s="455">
        <v>84</v>
      </c>
      <c r="E407" s="35" t="s">
        <v>248</v>
      </c>
    </row>
    <row r="408" spans="4:90" s="15" customFormat="1" x14ac:dyDescent="0.2">
      <c r="E408" s="36" t="s">
        <v>196</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x14ac:dyDescent="0.2">
      <c r="E409" s="36" t="s">
        <v>230</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x14ac:dyDescent="0.2">
      <c r="E410" s="36" t="s">
        <v>231</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x14ac:dyDescent="0.2"/>
    <row r="412" spans="4:90" s="15" customFormat="1" x14ac:dyDescent="0.2">
      <c r="D412" s="455">
        <v>85</v>
      </c>
      <c r="E412" s="35" t="s">
        <v>248</v>
      </c>
    </row>
    <row r="413" spans="4:90" s="15" customFormat="1" x14ac:dyDescent="0.2">
      <c r="E413" s="36" t="s">
        <v>196</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x14ac:dyDescent="0.2">
      <c r="E414" s="36" t="s">
        <v>230</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x14ac:dyDescent="0.2">
      <c r="E415" s="36" t="s">
        <v>231</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x14ac:dyDescent="0.2"/>
    <row r="417" spans="4:94" s="15" customFormat="1" x14ac:dyDescent="0.2">
      <c r="D417" s="455">
        <v>86</v>
      </c>
      <c r="E417" s="35" t="s">
        <v>248</v>
      </c>
    </row>
    <row r="418" spans="4:94" s="15" customFormat="1" x14ac:dyDescent="0.2">
      <c r="E418" s="36" t="s">
        <v>196</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x14ac:dyDescent="0.2">
      <c r="E419" s="36" t="s">
        <v>230</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x14ac:dyDescent="0.2">
      <c r="E420" s="36" t="s">
        <v>231</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x14ac:dyDescent="0.2"/>
    <row r="422" spans="4:94" s="15" customFormat="1" x14ac:dyDescent="0.2">
      <c r="D422" s="455">
        <v>87</v>
      </c>
      <c r="E422" s="35" t="s">
        <v>248</v>
      </c>
    </row>
    <row r="423" spans="4:94" s="15" customFormat="1" x14ac:dyDescent="0.2">
      <c r="E423" s="36" t="s">
        <v>196</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x14ac:dyDescent="0.2">
      <c r="E424" s="36" t="s">
        <v>230</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x14ac:dyDescent="0.2">
      <c r="E425" s="36" t="s">
        <v>231</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x14ac:dyDescent="0.2"/>
    <row r="427" spans="4:94" s="15" customFormat="1" x14ac:dyDescent="0.2">
      <c r="D427" s="455">
        <v>88</v>
      </c>
      <c r="E427" s="35" t="s">
        <v>248</v>
      </c>
    </row>
    <row r="428" spans="4:94" s="15" customFormat="1" x14ac:dyDescent="0.2">
      <c r="E428" s="36" t="s">
        <v>196</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x14ac:dyDescent="0.2">
      <c r="E429" s="36" t="s">
        <v>230</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x14ac:dyDescent="0.2">
      <c r="E430" s="36" t="s">
        <v>231</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x14ac:dyDescent="0.2"/>
    <row r="432" spans="4:94" s="15" customFormat="1" x14ac:dyDescent="0.2">
      <c r="D432" s="455">
        <v>89</v>
      </c>
      <c r="E432" s="35" t="s">
        <v>248</v>
      </c>
    </row>
    <row r="433" spans="4:99" s="15" customFormat="1" x14ac:dyDescent="0.2">
      <c r="E433" s="36" t="s">
        <v>196</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x14ac:dyDescent="0.2">
      <c r="E434" s="36" t="s">
        <v>230</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x14ac:dyDescent="0.2">
      <c r="E435" s="36" t="s">
        <v>231</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x14ac:dyDescent="0.2"/>
    <row r="437" spans="4:99" s="15" customFormat="1" x14ac:dyDescent="0.2">
      <c r="D437" s="455">
        <v>90</v>
      </c>
      <c r="E437" s="35" t="s">
        <v>248</v>
      </c>
    </row>
    <row r="438" spans="4:99" s="15" customFormat="1" x14ac:dyDescent="0.2">
      <c r="E438" s="36" t="s">
        <v>196</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x14ac:dyDescent="0.2">
      <c r="E439" s="36" t="s">
        <v>230</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x14ac:dyDescent="0.2">
      <c r="E440" s="36" t="s">
        <v>231</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x14ac:dyDescent="0.2"/>
    <row r="442" spans="4:99" s="15" customFormat="1" x14ac:dyDescent="0.2">
      <c r="D442" s="455">
        <v>91</v>
      </c>
      <c r="E442" s="35" t="s">
        <v>248</v>
      </c>
    </row>
    <row r="443" spans="4:99" s="15" customFormat="1" x14ac:dyDescent="0.2">
      <c r="E443" s="36" t="s">
        <v>196</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x14ac:dyDescent="0.2">
      <c r="E444" s="36" t="s">
        <v>230</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x14ac:dyDescent="0.2">
      <c r="E445" s="36" t="s">
        <v>231</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x14ac:dyDescent="0.2"/>
    <row r="447" spans="4:99" s="15" customFormat="1" x14ac:dyDescent="0.2">
      <c r="D447" s="455">
        <v>92</v>
      </c>
      <c r="E447" s="35" t="s">
        <v>248</v>
      </c>
    </row>
    <row r="448" spans="4:99" s="15" customFormat="1" x14ac:dyDescent="0.2">
      <c r="E448" s="36" t="s">
        <v>196</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x14ac:dyDescent="0.2">
      <c r="E449" s="36" t="s">
        <v>230</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x14ac:dyDescent="0.2">
      <c r="E450" s="36" t="s">
        <v>231</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x14ac:dyDescent="0.2"/>
    <row r="452" spans="4:100" s="15" customFormat="1" x14ac:dyDescent="0.2">
      <c r="D452" s="455">
        <v>93</v>
      </c>
      <c r="E452" s="35" t="s">
        <v>248</v>
      </c>
    </row>
    <row r="453" spans="4:100" s="15" customFormat="1" x14ac:dyDescent="0.2">
      <c r="E453" s="36" t="s">
        <v>196</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x14ac:dyDescent="0.2">
      <c r="E454" s="36" t="s">
        <v>230</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x14ac:dyDescent="0.2">
      <c r="E455" s="36" t="s">
        <v>231</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x14ac:dyDescent="0.2"/>
    <row r="457" spans="4:100" s="15" customFormat="1" x14ac:dyDescent="0.2">
      <c r="D457" s="455">
        <v>94</v>
      </c>
      <c r="E457" s="35" t="s">
        <v>248</v>
      </c>
    </row>
    <row r="458" spans="4:100" s="15" customFormat="1" x14ac:dyDescent="0.2">
      <c r="E458" s="36" t="s">
        <v>196</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x14ac:dyDescent="0.2">
      <c r="E459" s="36" t="s">
        <v>230</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x14ac:dyDescent="0.2">
      <c r="E460" s="36" t="s">
        <v>231</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x14ac:dyDescent="0.2"/>
    <row r="462" spans="4:100" s="15" customFormat="1" x14ac:dyDescent="0.2">
      <c r="D462" s="455">
        <v>95</v>
      </c>
      <c r="E462" s="35" t="s">
        <v>248</v>
      </c>
    </row>
    <row r="463" spans="4:100" s="15" customFormat="1" x14ac:dyDescent="0.2">
      <c r="E463" s="36" t="s">
        <v>196</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x14ac:dyDescent="0.2">
      <c r="E464" s="36" t="s">
        <v>230</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x14ac:dyDescent="0.2">
      <c r="E465" s="36" t="s">
        <v>231</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x14ac:dyDescent="0.2"/>
    <row r="467" spans="4:104" s="15" customFormat="1" x14ac:dyDescent="0.2">
      <c r="D467" s="455">
        <v>96</v>
      </c>
      <c r="E467" s="35" t="s">
        <v>248</v>
      </c>
    </row>
    <row r="468" spans="4:104" s="15" customFormat="1" x14ac:dyDescent="0.2">
      <c r="E468" s="36" t="s">
        <v>196</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x14ac:dyDescent="0.2">
      <c r="E469" s="36" t="s">
        <v>230</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x14ac:dyDescent="0.2">
      <c r="E470" s="36" t="s">
        <v>231</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x14ac:dyDescent="0.2"/>
    <row r="472" spans="4:104" s="15" customFormat="1" x14ac:dyDescent="0.2">
      <c r="D472" s="455">
        <v>97</v>
      </c>
      <c r="E472" s="35" t="s">
        <v>248</v>
      </c>
    </row>
    <row r="473" spans="4:104" s="15" customFormat="1" x14ac:dyDescent="0.2">
      <c r="E473" s="36" t="s">
        <v>196</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x14ac:dyDescent="0.2">
      <c r="E474" s="36" t="s">
        <v>230</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x14ac:dyDescent="0.2">
      <c r="E475" s="36" t="s">
        <v>231</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x14ac:dyDescent="0.2"/>
    <row r="477" spans="4:104" s="15" customFormat="1" x14ac:dyDescent="0.2">
      <c r="D477" s="455">
        <v>98</v>
      </c>
      <c r="E477" s="35" t="s">
        <v>248</v>
      </c>
    </row>
    <row r="478" spans="4:104" s="15" customFormat="1" x14ac:dyDescent="0.2">
      <c r="E478" s="36" t="s">
        <v>196</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x14ac:dyDescent="0.2">
      <c r="E479" s="36" t="s">
        <v>230</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x14ac:dyDescent="0.2">
      <c r="E480" s="36" t="s">
        <v>231</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x14ac:dyDescent="0.2"/>
    <row r="482" spans="4:109" s="15" customFormat="1" x14ac:dyDescent="0.2">
      <c r="D482" s="455">
        <v>99</v>
      </c>
      <c r="E482" s="35" t="s">
        <v>248</v>
      </c>
    </row>
    <row r="483" spans="4:109" s="15" customFormat="1" x14ac:dyDescent="0.2">
      <c r="E483" s="36" t="s">
        <v>196</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x14ac:dyDescent="0.2">
      <c r="E484" s="36" t="s">
        <v>230</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x14ac:dyDescent="0.2">
      <c r="E485" s="36" t="s">
        <v>231</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x14ac:dyDescent="0.2"/>
    <row r="487" spans="4:109" s="15" customFormat="1" x14ac:dyDescent="0.2">
      <c r="D487" s="455">
        <v>100</v>
      </c>
      <c r="E487" s="35" t="s">
        <v>248</v>
      </c>
    </row>
    <row r="488" spans="4:109" s="15" customFormat="1" x14ac:dyDescent="0.2">
      <c r="E488" s="36" t="s">
        <v>196</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x14ac:dyDescent="0.2">
      <c r="E489" s="36" t="s">
        <v>230</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x14ac:dyDescent="0.2">
      <c r="E490" s="36" t="s">
        <v>231</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x14ac:dyDescent="0.2"/>
    <row r="492" spans="4:109" s="15" customFormat="1" x14ac:dyDescent="0.2">
      <c r="D492" s="455">
        <v>101</v>
      </c>
      <c r="E492" s="35" t="s">
        <v>248</v>
      </c>
    </row>
    <row r="493" spans="4:109" s="15" customFormat="1" x14ac:dyDescent="0.2">
      <c r="E493" s="36" t="s">
        <v>196</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x14ac:dyDescent="0.2">
      <c r="E494" s="36" t="s">
        <v>230</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x14ac:dyDescent="0.2">
      <c r="E495" s="36" t="s">
        <v>231</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x14ac:dyDescent="0.2"/>
    <row r="497" spans="4:109" s="15" customFormat="1" x14ac:dyDescent="0.2">
      <c r="D497" s="455">
        <v>102</v>
      </c>
      <c r="E497" s="35" t="s">
        <v>248</v>
      </c>
    </row>
    <row r="498" spans="4:109" s="15" customFormat="1" x14ac:dyDescent="0.2">
      <c r="E498" s="36" t="s">
        <v>196</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x14ac:dyDescent="0.2">
      <c r="E499" s="36" t="s">
        <v>230</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x14ac:dyDescent="0.2">
      <c r="E500" s="36" t="s">
        <v>231</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x14ac:dyDescent="0.2"/>
    <row r="502" spans="4:109" s="15" customFormat="1" x14ac:dyDescent="0.2">
      <c r="D502" s="455">
        <v>103</v>
      </c>
      <c r="E502" s="35" t="s">
        <v>248</v>
      </c>
    </row>
    <row r="503" spans="4:109" s="15" customFormat="1" x14ac:dyDescent="0.2">
      <c r="E503" s="36" t="s">
        <v>196</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x14ac:dyDescent="0.2">
      <c r="E504" s="36" t="s">
        <v>230</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x14ac:dyDescent="0.2">
      <c r="E505" s="36" t="s">
        <v>231</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x14ac:dyDescent="0.2"/>
    <row r="507" spans="4:109" s="15" customFormat="1" x14ac:dyDescent="0.2">
      <c r="D507" s="455">
        <v>104</v>
      </c>
      <c r="E507" s="35" t="s">
        <v>248</v>
      </c>
    </row>
    <row r="508" spans="4:109" s="15" customFormat="1" x14ac:dyDescent="0.2">
      <c r="E508" s="36" t="s">
        <v>196</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x14ac:dyDescent="0.2">
      <c r="E509" s="36" t="s">
        <v>230</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x14ac:dyDescent="0.2">
      <c r="E510" s="36" t="s">
        <v>231</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x14ac:dyDescent="0.2"/>
    <row r="512" spans="4:109" s="15" customFormat="1" x14ac:dyDescent="0.2">
      <c r="D512" s="455">
        <v>105</v>
      </c>
      <c r="E512" s="35" t="s">
        <v>248</v>
      </c>
    </row>
    <row r="513" spans="4:114" s="15" customFormat="1" x14ac:dyDescent="0.2">
      <c r="E513" s="36" t="s">
        <v>196</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x14ac:dyDescent="0.2">
      <c r="E514" s="36" t="s">
        <v>230</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x14ac:dyDescent="0.2">
      <c r="E515" s="36" t="s">
        <v>231</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x14ac:dyDescent="0.2"/>
    <row r="517" spans="4:114" s="15" customFormat="1" x14ac:dyDescent="0.2">
      <c r="D517" s="455">
        <v>106</v>
      </c>
      <c r="E517" s="35" t="s">
        <v>248</v>
      </c>
    </row>
    <row r="518" spans="4:114" s="15" customFormat="1" x14ac:dyDescent="0.2">
      <c r="E518" s="36" t="s">
        <v>196</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x14ac:dyDescent="0.2">
      <c r="E519" s="36" t="s">
        <v>230</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x14ac:dyDescent="0.2">
      <c r="E520" s="36" t="s">
        <v>231</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x14ac:dyDescent="0.2"/>
    <row r="522" spans="4:114" s="15" customFormat="1" x14ac:dyDescent="0.2">
      <c r="D522" s="455">
        <v>107</v>
      </c>
      <c r="E522" s="35" t="s">
        <v>248</v>
      </c>
    </row>
    <row r="523" spans="4:114" s="15" customFormat="1" x14ac:dyDescent="0.2">
      <c r="E523" s="36" t="s">
        <v>196</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x14ac:dyDescent="0.2">
      <c r="E524" s="36" t="s">
        <v>230</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x14ac:dyDescent="0.2">
      <c r="E525" s="36" t="s">
        <v>231</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x14ac:dyDescent="0.2"/>
    <row r="527" spans="4:114" s="15" customFormat="1" x14ac:dyDescent="0.2">
      <c r="D527" s="455">
        <v>108</v>
      </c>
      <c r="E527" s="35" t="s">
        <v>248</v>
      </c>
    </row>
    <row r="528" spans="4:114" s="15" customFormat="1" x14ac:dyDescent="0.2">
      <c r="E528" s="36" t="s">
        <v>196</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x14ac:dyDescent="0.2">
      <c r="E529" s="36" t="s">
        <v>230</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x14ac:dyDescent="0.2">
      <c r="E530" s="36" t="s">
        <v>231</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x14ac:dyDescent="0.2"/>
    <row r="532" spans="4:119" s="15" customFormat="1" x14ac:dyDescent="0.2">
      <c r="D532" s="455">
        <v>109</v>
      </c>
      <c r="E532" s="35" t="s">
        <v>248</v>
      </c>
    </row>
    <row r="533" spans="4:119" s="15" customFormat="1" x14ac:dyDescent="0.2">
      <c r="E533" s="36" t="s">
        <v>196</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x14ac:dyDescent="0.2">
      <c r="E534" s="36" t="s">
        <v>230</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x14ac:dyDescent="0.2">
      <c r="E535" s="36" t="s">
        <v>231</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x14ac:dyDescent="0.2"/>
    <row r="537" spans="4:119" s="15" customFormat="1" x14ac:dyDescent="0.2">
      <c r="D537" s="455">
        <v>110</v>
      </c>
      <c r="E537" s="35" t="s">
        <v>248</v>
      </c>
    </row>
    <row r="538" spans="4:119" s="15" customFormat="1" x14ac:dyDescent="0.2">
      <c r="E538" s="36" t="s">
        <v>196</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x14ac:dyDescent="0.2">
      <c r="E539" s="36" t="s">
        <v>230</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x14ac:dyDescent="0.2">
      <c r="E540" s="36" t="s">
        <v>231</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x14ac:dyDescent="0.2"/>
    <row r="542" spans="4:119" s="15" customFormat="1" x14ac:dyDescent="0.2">
      <c r="D542" s="455">
        <v>111</v>
      </c>
      <c r="E542" s="35" t="s">
        <v>248</v>
      </c>
    </row>
    <row r="543" spans="4:119" s="15" customFormat="1" x14ac:dyDescent="0.2">
      <c r="E543" s="36" t="s">
        <v>196</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x14ac:dyDescent="0.2">
      <c r="E544" s="36" t="s">
        <v>230</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x14ac:dyDescent="0.2">
      <c r="E545" s="36" t="s">
        <v>231</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x14ac:dyDescent="0.2"/>
    <row r="547" spans="4:119" s="15" customFormat="1" x14ac:dyDescent="0.2">
      <c r="D547" s="455">
        <v>112</v>
      </c>
      <c r="E547" s="35" t="s">
        <v>248</v>
      </c>
    </row>
    <row r="548" spans="4:119" s="15" customFormat="1" x14ac:dyDescent="0.2">
      <c r="E548" s="36" t="s">
        <v>196</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x14ac:dyDescent="0.2">
      <c r="E549" s="36" t="s">
        <v>230</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x14ac:dyDescent="0.2">
      <c r="E550" s="36" t="s">
        <v>231</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x14ac:dyDescent="0.2"/>
    <row r="552" spans="4:119" s="15" customFormat="1" x14ac:dyDescent="0.2">
      <c r="D552" s="455">
        <v>113</v>
      </c>
      <c r="E552" s="35" t="s">
        <v>248</v>
      </c>
    </row>
    <row r="553" spans="4:119" s="15" customFormat="1" x14ac:dyDescent="0.2">
      <c r="E553" s="36" t="s">
        <v>196</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x14ac:dyDescent="0.2">
      <c r="E554" s="36" t="s">
        <v>230</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x14ac:dyDescent="0.2">
      <c r="E555" s="36" t="s">
        <v>231</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x14ac:dyDescent="0.2"/>
    <row r="557" spans="4:119" s="15" customFormat="1" x14ac:dyDescent="0.2">
      <c r="D557" s="455">
        <v>114</v>
      </c>
      <c r="E557" s="35" t="s">
        <v>248</v>
      </c>
    </row>
    <row r="558" spans="4:119" s="15" customFormat="1" x14ac:dyDescent="0.2">
      <c r="E558" s="36" t="s">
        <v>196</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x14ac:dyDescent="0.2">
      <c r="E559" s="36" t="s">
        <v>230</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x14ac:dyDescent="0.2">
      <c r="E560" s="36" t="s">
        <v>231</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x14ac:dyDescent="0.2"/>
    <row r="562" spans="4:124" s="15" customFormat="1" x14ac:dyDescent="0.2">
      <c r="D562" s="455">
        <v>115</v>
      </c>
      <c r="E562" s="35" t="s">
        <v>248</v>
      </c>
    </row>
    <row r="563" spans="4:124" s="15" customFormat="1" x14ac:dyDescent="0.2">
      <c r="E563" s="36" t="s">
        <v>196</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x14ac:dyDescent="0.2">
      <c r="E564" s="36" t="s">
        <v>230</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x14ac:dyDescent="0.2">
      <c r="E565" s="36" t="s">
        <v>231</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x14ac:dyDescent="0.2"/>
    <row r="567" spans="4:124" s="15" customFormat="1" x14ac:dyDescent="0.2">
      <c r="D567" s="455">
        <v>116</v>
      </c>
      <c r="E567" s="35" t="s">
        <v>248</v>
      </c>
    </row>
    <row r="568" spans="4:124" s="15" customFormat="1" x14ac:dyDescent="0.2">
      <c r="E568" s="36" t="s">
        <v>196</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x14ac:dyDescent="0.2">
      <c r="E569" s="36" t="s">
        <v>230</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x14ac:dyDescent="0.2">
      <c r="E570" s="36" t="s">
        <v>231</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x14ac:dyDescent="0.2"/>
    <row r="572" spans="4:124" s="15" customFormat="1" x14ac:dyDescent="0.2">
      <c r="D572" s="455">
        <v>117</v>
      </c>
      <c r="E572" s="35" t="s">
        <v>248</v>
      </c>
    </row>
    <row r="573" spans="4:124" s="15" customFormat="1" x14ac:dyDescent="0.2">
      <c r="E573" s="36" t="s">
        <v>196</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x14ac:dyDescent="0.2">
      <c r="E574" s="36" t="s">
        <v>230</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x14ac:dyDescent="0.2">
      <c r="E575" s="36" t="s">
        <v>231</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x14ac:dyDescent="0.2"/>
    <row r="577" spans="4:125" s="15" customFormat="1" x14ac:dyDescent="0.2">
      <c r="D577" s="455">
        <v>118</v>
      </c>
      <c r="E577" s="35" t="s">
        <v>248</v>
      </c>
    </row>
    <row r="578" spans="4:125" s="15" customFormat="1" x14ac:dyDescent="0.2">
      <c r="E578" s="36" t="s">
        <v>196</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x14ac:dyDescent="0.2">
      <c r="E579" s="36" t="s">
        <v>230</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x14ac:dyDescent="0.2">
      <c r="E580" s="36" t="s">
        <v>231</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x14ac:dyDescent="0.2"/>
    <row r="582" spans="4:125" s="15" customFormat="1" x14ac:dyDescent="0.2">
      <c r="D582" s="455">
        <v>119</v>
      </c>
      <c r="E582" s="35" t="s">
        <v>248</v>
      </c>
    </row>
    <row r="583" spans="4:125" s="15" customFormat="1" x14ac:dyDescent="0.2">
      <c r="E583" s="36" t="s">
        <v>196</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x14ac:dyDescent="0.2">
      <c r="E584" s="36" t="s">
        <v>230</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x14ac:dyDescent="0.2">
      <c r="E585" s="36" t="s">
        <v>231</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x14ac:dyDescent="0.2"/>
    <row r="587" spans="4:125" s="15" customFormat="1" x14ac:dyDescent="0.2">
      <c r="D587" s="455">
        <v>120</v>
      </c>
      <c r="E587" s="35" t="s">
        <v>248</v>
      </c>
    </row>
    <row r="588" spans="4:125" s="15" customFormat="1" x14ac:dyDescent="0.2">
      <c r="E588" s="36" t="s">
        <v>196</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x14ac:dyDescent="0.2">
      <c r="E589" s="36" t="s">
        <v>230</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x14ac:dyDescent="0.2">
      <c r="E590" s="36" t="s">
        <v>231</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x14ac:dyDescent="0.2"/>
    <row r="592" spans="4:125" s="15" customFormat="1" x14ac:dyDescent="0.2">
      <c r="D592" s="455">
        <v>121</v>
      </c>
      <c r="E592" s="35" t="s">
        <v>248</v>
      </c>
    </row>
    <row r="593" spans="4:129" s="15" customFormat="1" x14ac:dyDescent="0.2">
      <c r="E593" s="36" t="s">
        <v>196</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x14ac:dyDescent="0.2">
      <c r="E594" s="36" t="s">
        <v>230</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x14ac:dyDescent="0.2">
      <c r="E595" s="36" t="s">
        <v>231</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x14ac:dyDescent="0.2"/>
    <row r="597" spans="4:129" s="15" customFormat="1" x14ac:dyDescent="0.2">
      <c r="D597" s="455">
        <v>122</v>
      </c>
      <c r="E597" s="35" t="s">
        <v>248</v>
      </c>
    </row>
    <row r="598" spans="4:129" s="15" customFormat="1" x14ac:dyDescent="0.2">
      <c r="E598" s="36" t="s">
        <v>196</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x14ac:dyDescent="0.2">
      <c r="E599" s="36" t="s">
        <v>230</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x14ac:dyDescent="0.2">
      <c r="E600" s="36" t="s">
        <v>231</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x14ac:dyDescent="0.2"/>
    <row r="602" spans="4:129" s="15" customFormat="1" x14ac:dyDescent="0.2">
      <c r="D602" s="455">
        <v>123</v>
      </c>
      <c r="E602" s="35" t="s">
        <v>248</v>
      </c>
    </row>
    <row r="603" spans="4:129" s="15" customFormat="1" x14ac:dyDescent="0.2">
      <c r="E603" s="36" t="s">
        <v>196</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x14ac:dyDescent="0.2">
      <c r="E604" s="36" t="s">
        <v>230</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x14ac:dyDescent="0.2">
      <c r="E605" s="36" t="s">
        <v>231</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x14ac:dyDescent="0.2"/>
    <row r="607" spans="4:129" s="15" customFormat="1" x14ac:dyDescent="0.2">
      <c r="D607" s="455">
        <v>124</v>
      </c>
      <c r="E607" s="35" t="s">
        <v>248</v>
      </c>
    </row>
    <row r="608" spans="4:129" s="15" customFormat="1" x14ac:dyDescent="0.2">
      <c r="E608" s="36" t="s">
        <v>196</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x14ac:dyDescent="0.2">
      <c r="E609" s="36" t="s">
        <v>230</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x14ac:dyDescent="0.2">
      <c r="E610" s="36" t="s">
        <v>231</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x14ac:dyDescent="0.2"/>
    <row r="612" spans="4:134" s="15" customFormat="1" x14ac:dyDescent="0.2">
      <c r="D612" s="455">
        <v>125</v>
      </c>
      <c r="E612" s="35" t="s">
        <v>248</v>
      </c>
    </row>
    <row r="613" spans="4:134" s="15" customFormat="1" x14ac:dyDescent="0.2">
      <c r="E613" s="36" t="s">
        <v>196</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x14ac:dyDescent="0.2">
      <c r="E614" s="36" t="s">
        <v>230</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x14ac:dyDescent="0.2">
      <c r="E615" s="36" t="s">
        <v>231</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x14ac:dyDescent="0.2"/>
    <row r="617" spans="4:134" s="15" customFormat="1" x14ac:dyDescent="0.2">
      <c r="D617" s="455">
        <v>126</v>
      </c>
      <c r="E617" s="35" t="s">
        <v>248</v>
      </c>
    </row>
    <row r="618" spans="4:134" s="15" customFormat="1" x14ac:dyDescent="0.2">
      <c r="E618" s="36" t="s">
        <v>196</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x14ac:dyDescent="0.2">
      <c r="E619" s="36" t="s">
        <v>230</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x14ac:dyDescent="0.2">
      <c r="E620" s="36" t="s">
        <v>231</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x14ac:dyDescent="0.2"/>
    <row r="622" spans="4:134" s="15" customFormat="1" x14ac:dyDescent="0.2">
      <c r="D622" s="455">
        <v>127</v>
      </c>
      <c r="E622" s="35" t="s">
        <v>248</v>
      </c>
    </row>
    <row r="623" spans="4:134" s="15" customFormat="1" x14ac:dyDescent="0.2">
      <c r="E623" s="36" t="s">
        <v>196</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x14ac:dyDescent="0.2">
      <c r="E624" s="36" t="s">
        <v>230</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x14ac:dyDescent="0.2">
      <c r="E625" s="36" t="s">
        <v>231</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x14ac:dyDescent="0.2"/>
    <row r="627" spans="4:135" s="15" customFormat="1" x14ac:dyDescent="0.2">
      <c r="D627" s="455">
        <v>128</v>
      </c>
      <c r="E627" s="35" t="s">
        <v>248</v>
      </c>
    </row>
    <row r="628" spans="4:135" s="15" customFormat="1" x14ac:dyDescent="0.2">
      <c r="E628" s="36" t="s">
        <v>196</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x14ac:dyDescent="0.2">
      <c r="E629" s="36" t="s">
        <v>230</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x14ac:dyDescent="0.2">
      <c r="E630" s="36" t="s">
        <v>231</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x14ac:dyDescent="0.2"/>
    <row r="632" spans="4:135" s="15" customFormat="1" x14ac:dyDescent="0.2">
      <c r="D632" s="455">
        <v>129</v>
      </c>
      <c r="E632" s="35" t="s">
        <v>248</v>
      </c>
    </row>
    <row r="633" spans="4:135" s="15" customFormat="1" x14ac:dyDescent="0.2">
      <c r="E633" s="36" t="s">
        <v>196</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x14ac:dyDescent="0.2">
      <c r="E634" s="36" t="s">
        <v>230</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x14ac:dyDescent="0.2">
      <c r="E635" s="36" t="s">
        <v>231</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x14ac:dyDescent="0.2"/>
    <row r="637" spans="4:135" s="15" customFormat="1" x14ac:dyDescent="0.2">
      <c r="D637" s="455">
        <v>130</v>
      </c>
      <c r="E637" s="35" t="s">
        <v>248</v>
      </c>
    </row>
    <row r="638" spans="4:135" s="15" customFormat="1" x14ac:dyDescent="0.2">
      <c r="E638" s="36" t="s">
        <v>196</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x14ac:dyDescent="0.2">
      <c r="E639" s="36" t="s">
        <v>230</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x14ac:dyDescent="0.2">
      <c r="E640" s="36" t="s">
        <v>231</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x14ac:dyDescent="0.2"/>
    <row r="642" spans="4:139" s="15" customFormat="1" x14ac:dyDescent="0.2">
      <c r="D642" s="455">
        <v>131</v>
      </c>
      <c r="E642" s="35" t="s">
        <v>248</v>
      </c>
    </row>
    <row r="643" spans="4:139" s="15" customFormat="1" x14ac:dyDescent="0.2">
      <c r="E643" s="36" t="s">
        <v>196</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x14ac:dyDescent="0.2">
      <c r="E644" s="36" t="s">
        <v>230</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x14ac:dyDescent="0.2">
      <c r="E645" s="36" t="s">
        <v>231</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x14ac:dyDescent="0.2"/>
    <row r="647" spans="4:139" s="15" customFormat="1" x14ac:dyDescent="0.2">
      <c r="D647" s="455">
        <v>132</v>
      </c>
      <c r="E647" s="35" t="s">
        <v>248</v>
      </c>
    </row>
    <row r="648" spans="4:139" s="15" customFormat="1" x14ac:dyDescent="0.2">
      <c r="E648" s="36" t="s">
        <v>196</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x14ac:dyDescent="0.2">
      <c r="E649" s="36" t="s">
        <v>230</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x14ac:dyDescent="0.2">
      <c r="E650" s="36" t="s">
        <v>231</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x14ac:dyDescent="0.2"/>
    <row r="652" spans="4:139" s="15" customFormat="1" x14ac:dyDescent="0.2">
      <c r="D652" s="455">
        <v>133</v>
      </c>
      <c r="E652" s="35" t="s">
        <v>248</v>
      </c>
    </row>
    <row r="653" spans="4:139" s="15" customFormat="1" x14ac:dyDescent="0.2">
      <c r="E653" s="36" t="s">
        <v>196</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x14ac:dyDescent="0.2">
      <c r="E654" s="36" t="s">
        <v>230</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x14ac:dyDescent="0.2">
      <c r="E655" s="36" t="s">
        <v>231</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x14ac:dyDescent="0.2"/>
    <row r="657" spans="4:144" s="15" customFormat="1" x14ac:dyDescent="0.2">
      <c r="D657" s="455">
        <v>134</v>
      </c>
      <c r="E657" s="35" t="s">
        <v>248</v>
      </c>
    </row>
    <row r="658" spans="4:144" s="15" customFormat="1" x14ac:dyDescent="0.2">
      <c r="E658" s="36" t="s">
        <v>196</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x14ac:dyDescent="0.2">
      <c r="E659" s="36" t="s">
        <v>230</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x14ac:dyDescent="0.2">
      <c r="E660" s="36" t="s">
        <v>231</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x14ac:dyDescent="0.2"/>
    <row r="662" spans="4:144" s="15" customFormat="1" x14ac:dyDescent="0.2">
      <c r="D662" s="455">
        <v>135</v>
      </c>
      <c r="E662" s="35" t="s">
        <v>248</v>
      </c>
    </row>
    <row r="663" spans="4:144" s="15" customFormat="1" x14ac:dyDescent="0.2">
      <c r="E663" s="36" t="s">
        <v>196</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x14ac:dyDescent="0.2">
      <c r="E664" s="36" t="s">
        <v>230</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x14ac:dyDescent="0.2">
      <c r="E665" s="36" t="s">
        <v>231</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x14ac:dyDescent="0.2"/>
    <row r="667" spans="4:144" s="15" customFormat="1" x14ac:dyDescent="0.2">
      <c r="D667" s="455">
        <v>136</v>
      </c>
      <c r="E667" s="35" t="s">
        <v>248</v>
      </c>
    </row>
    <row r="668" spans="4:144" s="15" customFormat="1" x14ac:dyDescent="0.2">
      <c r="E668" s="36" t="s">
        <v>196</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x14ac:dyDescent="0.2">
      <c r="E669" s="36" t="s">
        <v>230</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x14ac:dyDescent="0.2">
      <c r="E670" s="36" t="s">
        <v>231</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x14ac:dyDescent="0.2"/>
    <row r="672" spans="4:144" s="15" customFormat="1" x14ac:dyDescent="0.2">
      <c r="D672" s="455">
        <v>137</v>
      </c>
      <c r="E672" s="35" t="s">
        <v>248</v>
      </c>
    </row>
    <row r="673" spans="4:145" s="15" customFormat="1" x14ac:dyDescent="0.2">
      <c r="E673" s="36" t="s">
        <v>196</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x14ac:dyDescent="0.2">
      <c r="E674" s="36" t="s">
        <v>230</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x14ac:dyDescent="0.2">
      <c r="E675" s="36" t="s">
        <v>231</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x14ac:dyDescent="0.2"/>
    <row r="677" spans="4:145" s="15" customFormat="1" x14ac:dyDescent="0.2">
      <c r="D677" s="455">
        <v>138</v>
      </c>
      <c r="E677" s="35" t="s">
        <v>248</v>
      </c>
    </row>
    <row r="678" spans="4:145" s="15" customFormat="1" x14ac:dyDescent="0.2">
      <c r="E678" s="36" t="s">
        <v>196</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x14ac:dyDescent="0.2">
      <c r="E679" s="36" t="s">
        <v>230</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x14ac:dyDescent="0.2">
      <c r="E680" s="36" t="s">
        <v>231</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x14ac:dyDescent="0.2"/>
    <row r="682" spans="4:145" s="15" customFormat="1" x14ac:dyDescent="0.2">
      <c r="D682" s="455">
        <v>139</v>
      </c>
      <c r="E682" s="35" t="s">
        <v>248</v>
      </c>
    </row>
    <row r="683" spans="4:145" s="15" customFormat="1" x14ac:dyDescent="0.2">
      <c r="E683" s="36" t="s">
        <v>196</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x14ac:dyDescent="0.2">
      <c r="E684" s="36" t="s">
        <v>230</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x14ac:dyDescent="0.2">
      <c r="E685" s="36" t="s">
        <v>231</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x14ac:dyDescent="0.2"/>
    <row r="687" spans="4:145" s="15" customFormat="1" x14ac:dyDescent="0.2">
      <c r="D687" s="455">
        <v>140</v>
      </c>
      <c r="E687" s="35" t="s">
        <v>248</v>
      </c>
    </row>
    <row r="688" spans="4:145" s="15" customFormat="1" x14ac:dyDescent="0.2">
      <c r="E688" s="36" t="s">
        <v>196</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x14ac:dyDescent="0.2">
      <c r="E689" s="36" t="s">
        <v>230</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x14ac:dyDescent="0.2">
      <c r="E690" s="36" t="s">
        <v>231</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x14ac:dyDescent="0.2"/>
    <row r="692" spans="4:149" s="15" customFormat="1" x14ac:dyDescent="0.2">
      <c r="D692" s="455">
        <v>141</v>
      </c>
      <c r="E692" s="35" t="s">
        <v>248</v>
      </c>
    </row>
    <row r="693" spans="4:149" s="15" customFormat="1" x14ac:dyDescent="0.2">
      <c r="E693" s="36" t="s">
        <v>196</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x14ac:dyDescent="0.2">
      <c r="E694" s="36" t="s">
        <v>230</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x14ac:dyDescent="0.2">
      <c r="E695" s="36" t="s">
        <v>231</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x14ac:dyDescent="0.2"/>
    <row r="697" spans="4:149" s="15" customFormat="1" x14ac:dyDescent="0.2">
      <c r="D697" s="455">
        <v>142</v>
      </c>
      <c r="E697" s="35" t="s">
        <v>248</v>
      </c>
    </row>
    <row r="698" spans="4:149" s="15" customFormat="1" x14ac:dyDescent="0.2">
      <c r="E698" s="36" t="s">
        <v>196</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x14ac:dyDescent="0.2">
      <c r="E699" s="36" t="s">
        <v>230</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x14ac:dyDescent="0.2">
      <c r="E700" s="36" t="s">
        <v>231</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x14ac:dyDescent="0.2"/>
    <row r="702" spans="4:149" s="15" customFormat="1" x14ac:dyDescent="0.2">
      <c r="D702" s="455">
        <v>143</v>
      </c>
      <c r="E702" s="35" t="s">
        <v>248</v>
      </c>
    </row>
    <row r="703" spans="4:149" s="15" customFormat="1" x14ac:dyDescent="0.2">
      <c r="E703" s="36" t="s">
        <v>196</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x14ac:dyDescent="0.2">
      <c r="E704" s="36" t="s">
        <v>230</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x14ac:dyDescent="0.2">
      <c r="E705" s="36" t="s">
        <v>231</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x14ac:dyDescent="0.2"/>
    <row r="707" spans="4:154" s="15" customFormat="1" x14ac:dyDescent="0.2">
      <c r="D707" s="455">
        <v>144</v>
      </c>
      <c r="E707" s="35" t="s">
        <v>248</v>
      </c>
    </row>
    <row r="708" spans="4:154" s="15" customFormat="1" x14ac:dyDescent="0.2">
      <c r="E708" s="36" t="s">
        <v>196</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x14ac:dyDescent="0.2">
      <c r="E709" s="36" t="s">
        <v>230</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x14ac:dyDescent="0.2">
      <c r="E710" s="36" t="s">
        <v>231</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x14ac:dyDescent="0.2"/>
    <row r="712" spans="4:154" s="15" customFormat="1" x14ac:dyDescent="0.2">
      <c r="D712" s="455">
        <v>145</v>
      </c>
      <c r="E712" s="35" t="s">
        <v>248</v>
      </c>
    </row>
    <row r="713" spans="4:154" s="15" customFormat="1" x14ac:dyDescent="0.2">
      <c r="E713" s="36" t="s">
        <v>196</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x14ac:dyDescent="0.2">
      <c r="E714" s="36" t="s">
        <v>230</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x14ac:dyDescent="0.2">
      <c r="E715" s="36" t="s">
        <v>231</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x14ac:dyDescent="0.2"/>
    <row r="717" spans="4:154" s="15" customFormat="1" x14ac:dyDescent="0.2">
      <c r="D717" s="455">
        <v>146</v>
      </c>
      <c r="E717" s="35" t="s">
        <v>248</v>
      </c>
    </row>
    <row r="718" spans="4:154" s="15" customFormat="1" x14ac:dyDescent="0.2">
      <c r="E718" s="36" t="s">
        <v>196</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x14ac:dyDescent="0.2">
      <c r="E719" s="36" t="s">
        <v>230</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x14ac:dyDescent="0.2">
      <c r="E720" s="36" t="s">
        <v>231</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x14ac:dyDescent="0.2"/>
    <row r="722" spans="4:154" s="15" customFormat="1" x14ac:dyDescent="0.2">
      <c r="D722" s="455">
        <v>147</v>
      </c>
      <c r="E722" s="35" t="s">
        <v>248</v>
      </c>
    </row>
    <row r="723" spans="4:154" s="15" customFormat="1" x14ac:dyDescent="0.2">
      <c r="E723" s="36" t="s">
        <v>196</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x14ac:dyDescent="0.2">
      <c r="E724" s="36" t="s">
        <v>230</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x14ac:dyDescent="0.2">
      <c r="E725" s="36" t="s">
        <v>231</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x14ac:dyDescent="0.2"/>
    <row r="727" spans="4:154" s="15" customFormat="1" x14ac:dyDescent="0.2">
      <c r="D727" s="455">
        <v>148</v>
      </c>
      <c r="E727" s="35" t="s">
        <v>248</v>
      </c>
    </row>
    <row r="728" spans="4:154" s="15" customFormat="1" x14ac:dyDescent="0.2">
      <c r="E728" s="36" t="s">
        <v>196</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x14ac:dyDescent="0.2">
      <c r="E729" s="36" t="s">
        <v>230</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x14ac:dyDescent="0.2">
      <c r="E730" s="36" t="s">
        <v>231</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x14ac:dyDescent="0.2"/>
    <row r="732" spans="4:154" s="15" customFormat="1" x14ac:dyDescent="0.2">
      <c r="D732" s="455">
        <v>149</v>
      </c>
      <c r="E732" s="35" t="s">
        <v>248</v>
      </c>
    </row>
    <row r="733" spans="4:154" s="15" customFormat="1" x14ac:dyDescent="0.2">
      <c r="E733" s="36" t="s">
        <v>196</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x14ac:dyDescent="0.2">
      <c r="E734" s="36" t="s">
        <v>230</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x14ac:dyDescent="0.2">
      <c r="E735" s="36" t="s">
        <v>231</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x14ac:dyDescent="0.2"/>
    <row r="737" spans="4:159" s="15" customFormat="1" x14ac:dyDescent="0.2">
      <c r="D737" s="455">
        <v>150</v>
      </c>
      <c r="E737" s="35" t="s">
        <v>248</v>
      </c>
    </row>
    <row r="738" spans="4:159" s="15" customFormat="1" x14ac:dyDescent="0.2">
      <c r="E738" s="36" t="s">
        <v>196</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x14ac:dyDescent="0.2">
      <c r="E739" s="36" t="s">
        <v>230</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x14ac:dyDescent="0.2">
      <c r="E740" s="36" t="s">
        <v>231</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x14ac:dyDescent="0.2"/>
    <row r="742" spans="4:159" s="15" customFormat="1" x14ac:dyDescent="0.2">
      <c r="D742" s="455">
        <v>151</v>
      </c>
      <c r="E742" s="35" t="s">
        <v>248</v>
      </c>
    </row>
    <row r="743" spans="4:159" s="15" customFormat="1" x14ac:dyDescent="0.2">
      <c r="E743" s="36" t="s">
        <v>196</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x14ac:dyDescent="0.2">
      <c r="E744" s="36" t="s">
        <v>230</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x14ac:dyDescent="0.2">
      <c r="E745" s="36" t="s">
        <v>231</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x14ac:dyDescent="0.2"/>
    <row r="747" spans="4:159" s="15" customFormat="1" x14ac:dyDescent="0.2">
      <c r="D747" s="455">
        <v>152</v>
      </c>
      <c r="E747" s="35" t="s">
        <v>248</v>
      </c>
    </row>
    <row r="748" spans="4:159" s="15" customFormat="1" x14ac:dyDescent="0.2">
      <c r="E748" s="36" t="s">
        <v>196</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x14ac:dyDescent="0.2">
      <c r="E749" s="36" t="s">
        <v>230</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x14ac:dyDescent="0.2">
      <c r="E750" s="36" t="s">
        <v>231</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x14ac:dyDescent="0.2"/>
    <row r="752" spans="4:159" s="15" customFormat="1" x14ac:dyDescent="0.2">
      <c r="D752" s="455">
        <v>153</v>
      </c>
      <c r="E752" s="35" t="s">
        <v>248</v>
      </c>
    </row>
    <row r="753" spans="4:164" s="15" customFormat="1" x14ac:dyDescent="0.2">
      <c r="E753" s="36" t="s">
        <v>196</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x14ac:dyDescent="0.2">
      <c r="E754" s="36" t="s">
        <v>230</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x14ac:dyDescent="0.2">
      <c r="E755" s="36" t="s">
        <v>231</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x14ac:dyDescent="0.2"/>
    <row r="757" spans="4:164" s="15" customFormat="1" x14ac:dyDescent="0.2">
      <c r="D757" s="455">
        <v>154</v>
      </c>
      <c r="E757" s="35" t="s">
        <v>248</v>
      </c>
    </row>
    <row r="758" spans="4:164" s="15" customFormat="1" x14ac:dyDescent="0.2">
      <c r="E758" s="36" t="s">
        <v>196</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x14ac:dyDescent="0.2">
      <c r="E759" s="36" t="s">
        <v>230</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x14ac:dyDescent="0.2">
      <c r="E760" s="36" t="s">
        <v>231</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x14ac:dyDescent="0.2"/>
    <row r="762" spans="4:164" s="15" customFormat="1" x14ac:dyDescent="0.2">
      <c r="D762" s="455">
        <v>155</v>
      </c>
      <c r="E762" s="35" t="s">
        <v>248</v>
      </c>
    </row>
    <row r="763" spans="4:164" s="15" customFormat="1" x14ac:dyDescent="0.2">
      <c r="E763" s="36" t="s">
        <v>196</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x14ac:dyDescent="0.2">
      <c r="E764" s="36" t="s">
        <v>230</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x14ac:dyDescent="0.2">
      <c r="E765" s="36" t="s">
        <v>231</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x14ac:dyDescent="0.2"/>
    <row r="767" spans="4:164" s="15" customFormat="1" x14ac:dyDescent="0.2">
      <c r="D767" s="455">
        <v>156</v>
      </c>
      <c r="E767" s="35" t="s">
        <v>248</v>
      </c>
    </row>
    <row r="768" spans="4:164" s="15" customFormat="1" x14ac:dyDescent="0.2">
      <c r="E768" s="36" t="s">
        <v>196</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x14ac:dyDescent="0.2">
      <c r="E769" s="36" t="s">
        <v>230</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x14ac:dyDescent="0.2">
      <c r="E770" s="36" t="s">
        <v>231</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x14ac:dyDescent="0.2"/>
    <row r="772" spans="4:164" s="15" customFormat="1" x14ac:dyDescent="0.2">
      <c r="D772" s="455">
        <v>157</v>
      </c>
      <c r="E772" s="35" t="s">
        <v>248</v>
      </c>
    </row>
    <row r="773" spans="4:164" s="15" customFormat="1" x14ac:dyDescent="0.2">
      <c r="E773" s="36" t="s">
        <v>196</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x14ac:dyDescent="0.2">
      <c r="E774" s="36" t="s">
        <v>230</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x14ac:dyDescent="0.2">
      <c r="E775" s="36" t="s">
        <v>231</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x14ac:dyDescent="0.2"/>
    <row r="777" spans="4:164" s="15" customFormat="1" x14ac:dyDescent="0.2">
      <c r="D777" s="455">
        <v>158</v>
      </c>
      <c r="E777" s="35" t="s">
        <v>248</v>
      </c>
    </row>
    <row r="778" spans="4:164" s="15" customFormat="1" x14ac:dyDescent="0.2">
      <c r="E778" s="36" t="s">
        <v>196</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x14ac:dyDescent="0.2">
      <c r="E779" s="36" t="s">
        <v>230</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x14ac:dyDescent="0.2">
      <c r="E780" s="36" t="s">
        <v>231</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x14ac:dyDescent="0.2"/>
    <row r="782" spans="4:164" s="15" customFormat="1" x14ac:dyDescent="0.2">
      <c r="D782" s="455">
        <v>159</v>
      </c>
      <c r="E782" s="35" t="s">
        <v>248</v>
      </c>
    </row>
    <row r="783" spans="4:164" s="15" customFormat="1" x14ac:dyDescent="0.2">
      <c r="E783" s="36" t="s">
        <v>196</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x14ac:dyDescent="0.2">
      <c r="E784" s="36" t="s">
        <v>230</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x14ac:dyDescent="0.2">
      <c r="E785" s="36" t="s">
        <v>231</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x14ac:dyDescent="0.2"/>
    <row r="787" spans="4:169" s="15" customFormat="1" x14ac:dyDescent="0.2">
      <c r="D787" s="455">
        <v>160</v>
      </c>
      <c r="E787" s="35" t="s">
        <v>248</v>
      </c>
    </row>
    <row r="788" spans="4:169" s="15" customFormat="1" x14ac:dyDescent="0.2">
      <c r="E788" s="36" t="s">
        <v>196</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x14ac:dyDescent="0.2">
      <c r="E789" s="36" t="s">
        <v>230</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x14ac:dyDescent="0.2">
      <c r="E790" s="36" t="s">
        <v>231</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x14ac:dyDescent="0.2"/>
    <row r="792" spans="4:169" s="15" customFormat="1" x14ac:dyDescent="0.2">
      <c r="D792" s="455">
        <v>161</v>
      </c>
      <c r="E792" s="35" t="s">
        <v>248</v>
      </c>
    </row>
    <row r="793" spans="4:169" s="15" customFormat="1" x14ac:dyDescent="0.2">
      <c r="E793" s="36" t="s">
        <v>196</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x14ac:dyDescent="0.2">
      <c r="E794" s="36" t="s">
        <v>230</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x14ac:dyDescent="0.2">
      <c r="E795" s="36" t="s">
        <v>231</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x14ac:dyDescent="0.2"/>
    <row r="797" spans="4:169" s="15" customFormat="1" x14ac:dyDescent="0.2">
      <c r="D797" s="455">
        <v>162</v>
      </c>
      <c r="E797" s="35" t="s">
        <v>248</v>
      </c>
    </row>
    <row r="798" spans="4:169" s="15" customFormat="1" x14ac:dyDescent="0.2">
      <c r="E798" s="36" t="s">
        <v>196</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x14ac:dyDescent="0.2">
      <c r="E799" s="36" t="s">
        <v>230</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x14ac:dyDescent="0.2">
      <c r="E800" s="36" t="s">
        <v>231</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x14ac:dyDescent="0.2"/>
    <row r="802" spans="4:170" s="15" customFormat="1" x14ac:dyDescent="0.2">
      <c r="D802" s="455">
        <v>163</v>
      </c>
      <c r="E802" s="35" t="s">
        <v>248</v>
      </c>
    </row>
    <row r="803" spans="4:170" s="15" customFormat="1" x14ac:dyDescent="0.2">
      <c r="E803" s="36" t="s">
        <v>196</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x14ac:dyDescent="0.2">
      <c r="E804" s="36" t="s">
        <v>230</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x14ac:dyDescent="0.2">
      <c r="E805" s="36" t="s">
        <v>231</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x14ac:dyDescent="0.2"/>
    <row r="807" spans="4:170" s="15" customFormat="1" x14ac:dyDescent="0.2">
      <c r="D807" s="455">
        <v>164</v>
      </c>
      <c r="E807" s="35" t="s">
        <v>248</v>
      </c>
    </row>
    <row r="808" spans="4:170" s="15" customFormat="1" x14ac:dyDescent="0.2">
      <c r="E808" s="36" t="s">
        <v>196</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x14ac:dyDescent="0.2">
      <c r="E809" s="36" t="s">
        <v>230</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x14ac:dyDescent="0.2">
      <c r="E810" s="36" t="s">
        <v>231</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x14ac:dyDescent="0.2"/>
    <row r="812" spans="4:170" s="15" customFormat="1" x14ac:dyDescent="0.2">
      <c r="D812" s="455">
        <v>165</v>
      </c>
      <c r="E812" s="35" t="s">
        <v>248</v>
      </c>
    </row>
    <row r="813" spans="4:170" s="15" customFormat="1" x14ac:dyDescent="0.2">
      <c r="E813" s="36" t="s">
        <v>196</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x14ac:dyDescent="0.2">
      <c r="E814" s="36" t="s">
        <v>230</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x14ac:dyDescent="0.2">
      <c r="E815" s="36" t="s">
        <v>231</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x14ac:dyDescent="0.2"/>
    <row r="817" spans="4:174" s="15" customFormat="1" x14ac:dyDescent="0.2">
      <c r="D817" s="455">
        <v>166</v>
      </c>
      <c r="E817" s="35" t="s">
        <v>248</v>
      </c>
    </row>
    <row r="818" spans="4:174" s="15" customFormat="1" x14ac:dyDescent="0.2">
      <c r="E818" s="36" t="s">
        <v>196</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x14ac:dyDescent="0.2">
      <c r="E819" s="36" t="s">
        <v>230</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x14ac:dyDescent="0.2">
      <c r="E820" s="36" t="s">
        <v>231</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x14ac:dyDescent="0.2"/>
    <row r="822" spans="4:174" s="15" customFormat="1" x14ac:dyDescent="0.2">
      <c r="D822" s="455">
        <v>167</v>
      </c>
      <c r="E822" s="35" t="s">
        <v>248</v>
      </c>
    </row>
    <row r="823" spans="4:174" s="15" customFormat="1" x14ac:dyDescent="0.2">
      <c r="E823" s="36" t="s">
        <v>196</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x14ac:dyDescent="0.2">
      <c r="E824" s="36" t="s">
        <v>230</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x14ac:dyDescent="0.2">
      <c r="E825" s="36" t="s">
        <v>231</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x14ac:dyDescent="0.2"/>
    <row r="827" spans="4:174" s="15" customFormat="1" x14ac:dyDescent="0.2">
      <c r="D827" s="455">
        <v>168</v>
      </c>
      <c r="E827" s="35" t="s">
        <v>248</v>
      </c>
    </row>
    <row r="828" spans="4:174" s="15" customFormat="1" x14ac:dyDescent="0.2">
      <c r="E828" s="36" t="s">
        <v>196</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x14ac:dyDescent="0.2">
      <c r="E829" s="36" t="s">
        <v>230</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x14ac:dyDescent="0.2">
      <c r="E830" s="36" t="s">
        <v>231</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x14ac:dyDescent="0.2"/>
    <row r="832" spans="4:174" s="15" customFormat="1" x14ac:dyDescent="0.2">
      <c r="D832" s="455">
        <v>169</v>
      </c>
      <c r="E832" s="35" t="s">
        <v>248</v>
      </c>
    </row>
    <row r="833" spans="4:179" s="15" customFormat="1" x14ac:dyDescent="0.2">
      <c r="E833" s="36" t="s">
        <v>196</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x14ac:dyDescent="0.2">
      <c r="E834" s="36" t="s">
        <v>230</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x14ac:dyDescent="0.2">
      <c r="E835" s="36" t="s">
        <v>231</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x14ac:dyDescent="0.2"/>
    <row r="837" spans="4:179" s="15" customFormat="1" x14ac:dyDescent="0.2">
      <c r="D837" s="455">
        <v>170</v>
      </c>
      <c r="E837" s="35" t="s">
        <v>248</v>
      </c>
    </row>
    <row r="838" spans="4:179" s="15" customFormat="1" x14ac:dyDescent="0.2">
      <c r="E838" s="36" t="s">
        <v>196</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x14ac:dyDescent="0.2">
      <c r="E839" s="36" t="s">
        <v>230</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x14ac:dyDescent="0.2">
      <c r="E840" s="36" t="s">
        <v>231</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x14ac:dyDescent="0.2"/>
    <row r="842" spans="4:179" s="15" customFormat="1" x14ac:dyDescent="0.2">
      <c r="D842" s="455">
        <v>171</v>
      </c>
      <c r="E842" s="35" t="s">
        <v>248</v>
      </c>
    </row>
    <row r="843" spans="4:179" s="15" customFormat="1" x14ac:dyDescent="0.2">
      <c r="E843" s="36" t="s">
        <v>196</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x14ac:dyDescent="0.2">
      <c r="E844" s="36" t="s">
        <v>230</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x14ac:dyDescent="0.2">
      <c r="E845" s="36" t="s">
        <v>231</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x14ac:dyDescent="0.2"/>
    <row r="847" spans="4:179" s="15" customFormat="1" x14ac:dyDescent="0.2">
      <c r="D847" s="455">
        <v>172</v>
      </c>
      <c r="E847" s="35" t="s">
        <v>248</v>
      </c>
    </row>
    <row r="848" spans="4:179" s="15" customFormat="1" x14ac:dyDescent="0.2">
      <c r="E848" s="36" t="s">
        <v>196</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x14ac:dyDescent="0.2">
      <c r="E849" s="36" t="s">
        <v>230</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x14ac:dyDescent="0.2">
      <c r="E850" s="36" t="s">
        <v>231</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x14ac:dyDescent="0.2"/>
    <row r="852" spans="4:180" s="15" customFormat="1" x14ac:dyDescent="0.2">
      <c r="D852" s="455">
        <v>173</v>
      </c>
      <c r="E852" s="35" t="s">
        <v>248</v>
      </c>
    </row>
    <row r="853" spans="4:180" s="15" customFormat="1" x14ac:dyDescent="0.2">
      <c r="E853" s="36" t="s">
        <v>196</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x14ac:dyDescent="0.2">
      <c r="E854" s="36" t="s">
        <v>230</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x14ac:dyDescent="0.2">
      <c r="E855" s="36" t="s">
        <v>231</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x14ac:dyDescent="0.2"/>
    <row r="857" spans="4:180" s="15" customFormat="1" x14ac:dyDescent="0.2">
      <c r="D857" s="455">
        <v>174</v>
      </c>
      <c r="E857" s="35" t="s">
        <v>248</v>
      </c>
    </row>
    <row r="858" spans="4:180" s="15" customFormat="1" x14ac:dyDescent="0.2">
      <c r="E858" s="36" t="s">
        <v>196</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x14ac:dyDescent="0.2">
      <c r="E859" s="36" t="s">
        <v>230</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x14ac:dyDescent="0.2">
      <c r="E860" s="36" t="s">
        <v>231</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x14ac:dyDescent="0.2"/>
    <row r="862" spans="4:180" s="15" customFormat="1" x14ac:dyDescent="0.2">
      <c r="D862" s="455">
        <v>175</v>
      </c>
      <c r="E862" s="35" t="s">
        <v>248</v>
      </c>
    </row>
    <row r="863" spans="4:180" s="15" customFormat="1" x14ac:dyDescent="0.2">
      <c r="E863" s="36" t="s">
        <v>196</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x14ac:dyDescent="0.2">
      <c r="E864" s="36" t="s">
        <v>230</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x14ac:dyDescent="0.2">
      <c r="E865" s="36" t="s">
        <v>231</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x14ac:dyDescent="0.2"/>
    <row r="867" spans="4:184" s="15" customFormat="1" x14ac:dyDescent="0.2">
      <c r="D867" s="455">
        <v>176</v>
      </c>
      <c r="E867" s="35" t="s">
        <v>248</v>
      </c>
    </row>
    <row r="868" spans="4:184" s="15" customFormat="1" x14ac:dyDescent="0.2">
      <c r="E868" s="36" t="s">
        <v>196</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x14ac:dyDescent="0.2">
      <c r="E869" s="36" t="s">
        <v>230</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x14ac:dyDescent="0.2">
      <c r="E870" s="36" t="s">
        <v>231</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x14ac:dyDescent="0.2"/>
    <row r="872" spans="4:184" s="15" customFormat="1" x14ac:dyDescent="0.2">
      <c r="D872" s="455">
        <v>177</v>
      </c>
      <c r="E872" s="35" t="s">
        <v>248</v>
      </c>
    </row>
    <row r="873" spans="4:184" s="15" customFormat="1" x14ac:dyDescent="0.2">
      <c r="E873" s="36" t="s">
        <v>196</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x14ac:dyDescent="0.2">
      <c r="E874" s="36" t="s">
        <v>230</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x14ac:dyDescent="0.2">
      <c r="E875" s="36" t="s">
        <v>231</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x14ac:dyDescent="0.2"/>
    <row r="877" spans="4:184" s="15" customFormat="1" x14ac:dyDescent="0.2">
      <c r="D877" s="455">
        <v>178</v>
      </c>
      <c r="E877" s="35" t="s">
        <v>248</v>
      </c>
    </row>
    <row r="878" spans="4:184" s="15" customFormat="1" x14ac:dyDescent="0.2">
      <c r="E878" s="36" t="s">
        <v>196</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x14ac:dyDescent="0.2">
      <c r="E879" s="36" t="s">
        <v>230</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x14ac:dyDescent="0.2">
      <c r="E880" s="36" t="s">
        <v>231</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x14ac:dyDescent="0.2"/>
    <row r="882" spans="4:189" s="15" customFormat="1" x14ac:dyDescent="0.2">
      <c r="D882" s="455">
        <v>179</v>
      </c>
      <c r="E882" s="35" t="s">
        <v>248</v>
      </c>
    </row>
    <row r="883" spans="4:189" s="15" customFormat="1" x14ac:dyDescent="0.2">
      <c r="E883" s="36" t="s">
        <v>196</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x14ac:dyDescent="0.2">
      <c r="E884" s="36" t="s">
        <v>230</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x14ac:dyDescent="0.2">
      <c r="E885" s="36" t="s">
        <v>231</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x14ac:dyDescent="0.2"/>
    <row r="887" spans="4:189" s="15" customFormat="1" x14ac:dyDescent="0.2">
      <c r="D887" s="455">
        <v>180</v>
      </c>
      <c r="E887" s="35" t="s">
        <v>248</v>
      </c>
    </row>
    <row r="888" spans="4:189" s="15" customFormat="1" x14ac:dyDescent="0.2">
      <c r="E888" s="36" t="s">
        <v>196</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x14ac:dyDescent="0.2">
      <c r="E889" s="36" t="s">
        <v>230</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x14ac:dyDescent="0.2">
      <c r="E890" s="36" t="s">
        <v>231</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x14ac:dyDescent="0.2"/>
    <row r="892" spans="4:189" s="15" customFormat="1" x14ac:dyDescent="0.2">
      <c r="D892" s="455">
        <v>181</v>
      </c>
      <c r="E892" s="35" t="s">
        <v>248</v>
      </c>
    </row>
    <row r="893" spans="4:189" s="15" customFormat="1" x14ac:dyDescent="0.2">
      <c r="E893" s="36" t="s">
        <v>196</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x14ac:dyDescent="0.2">
      <c r="E894" s="36" t="s">
        <v>230</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x14ac:dyDescent="0.2">
      <c r="E895" s="36" t="s">
        <v>231</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x14ac:dyDescent="0.2"/>
    <row r="897" spans="4:189" s="15" customFormat="1" x14ac:dyDescent="0.2">
      <c r="D897" s="455">
        <v>182</v>
      </c>
      <c r="E897" s="35" t="s">
        <v>248</v>
      </c>
    </row>
    <row r="898" spans="4:189" s="15" customFormat="1" x14ac:dyDescent="0.2">
      <c r="E898" s="36" t="s">
        <v>196</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x14ac:dyDescent="0.2">
      <c r="E899" s="36" t="s">
        <v>230</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x14ac:dyDescent="0.2">
      <c r="E900" s="36" t="s">
        <v>231</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x14ac:dyDescent="0.2"/>
    <row r="902" spans="4:189" s="15" customFormat="1" x14ac:dyDescent="0.2">
      <c r="D902" s="455">
        <v>183</v>
      </c>
      <c r="E902" s="35" t="s">
        <v>248</v>
      </c>
    </row>
    <row r="903" spans="4:189" s="15" customFormat="1" x14ac:dyDescent="0.2">
      <c r="E903" s="36" t="s">
        <v>196</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x14ac:dyDescent="0.2">
      <c r="E904" s="36" t="s">
        <v>230</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x14ac:dyDescent="0.2">
      <c r="E905" s="36" t="s">
        <v>231</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x14ac:dyDescent="0.2"/>
    <row r="907" spans="4:189" s="15" customFormat="1" x14ac:dyDescent="0.2">
      <c r="D907" s="455">
        <v>184</v>
      </c>
      <c r="E907" s="35" t="s">
        <v>248</v>
      </c>
    </row>
    <row r="908" spans="4:189" s="15" customFormat="1" x14ac:dyDescent="0.2">
      <c r="E908" s="36" t="s">
        <v>196</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x14ac:dyDescent="0.2">
      <c r="E909" s="36" t="s">
        <v>230</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x14ac:dyDescent="0.2">
      <c r="E910" s="36" t="s">
        <v>231</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x14ac:dyDescent="0.2"/>
    <row r="912" spans="4:189" s="15" customFormat="1" x14ac:dyDescent="0.2">
      <c r="D912" s="455">
        <v>185</v>
      </c>
      <c r="E912" s="35" t="s">
        <v>248</v>
      </c>
    </row>
    <row r="913" spans="4:194" s="15" customFormat="1" x14ac:dyDescent="0.2">
      <c r="E913" s="36" t="s">
        <v>196</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x14ac:dyDescent="0.2">
      <c r="E914" s="36" t="s">
        <v>230</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x14ac:dyDescent="0.2">
      <c r="E915" s="36" t="s">
        <v>231</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x14ac:dyDescent="0.2"/>
    <row r="917" spans="4:194" s="15" customFormat="1" x14ac:dyDescent="0.2">
      <c r="D917" s="455">
        <v>186</v>
      </c>
      <c r="E917" s="35" t="s">
        <v>248</v>
      </c>
    </row>
    <row r="918" spans="4:194" s="15" customFormat="1" x14ac:dyDescent="0.2">
      <c r="E918" s="36" t="s">
        <v>196</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x14ac:dyDescent="0.2">
      <c r="E919" s="36" t="s">
        <v>230</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x14ac:dyDescent="0.2">
      <c r="E920" s="36" t="s">
        <v>231</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x14ac:dyDescent="0.2"/>
    <row r="922" spans="4:194" s="15" customFormat="1" x14ac:dyDescent="0.2">
      <c r="D922" s="455">
        <v>187</v>
      </c>
      <c r="E922" s="35" t="s">
        <v>248</v>
      </c>
    </row>
    <row r="923" spans="4:194" s="15" customFormat="1" x14ac:dyDescent="0.2">
      <c r="E923" s="36" t="s">
        <v>196</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x14ac:dyDescent="0.2">
      <c r="E924" s="36" t="s">
        <v>230</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x14ac:dyDescent="0.2">
      <c r="E925" s="36" t="s">
        <v>231</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x14ac:dyDescent="0.2"/>
    <row r="927" spans="4:194" s="15" customFormat="1" x14ac:dyDescent="0.2">
      <c r="D927" s="455">
        <v>188</v>
      </c>
      <c r="E927" s="35" t="s">
        <v>248</v>
      </c>
    </row>
    <row r="928" spans="4:194" s="15" customFormat="1" x14ac:dyDescent="0.2">
      <c r="E928" s="36" t="s">
        <v>196</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x14ac:dyDescent="0.2">
      <c r="E929" s="36" t="s">
        <v>230</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x14ac:dyDescent="0.2">
      <c r="E930" s="36" t="s">
        <v>231</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x14ac:dyDescent="0.2"/>
    <row r="932" spans="4:199" s="15" customFormat="1" x14ac:dyDescent="0.2">
      <c r="D932" s="455">
        <v>189</v>
      </c>
      <c r="E932" s="35" t="s">
        <v>248</v>
      </c>
    </row>
    <row r="933" spans="4:199" s="15" customFormat="1" x14ac:dyDescent="0.2">
      <c r="E933" s="36" t="s">
        <v>196</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x14ac:dyDescent="0.2">
      <c r="E934" s="36" t="s">
        <v>230</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x14ac:dyDescent="0.2">
      <c r="E935" s="36" t="s">
        <v>231</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x14ac:dyDescent="0.2"/>
    <row r="937" spans="4:199" s="15" customFormat="1" x14ac:dyDescent="0.2">
      <c r="D937" s="455">
        <v>190</v>
      </c>
      <c r="E937" s="35" t="s">
        <v>248</v>
      </c>
    </row>
    <row r="938" spans="4:199" s="15" customFormat="1" x14ac:dyDescent="0.2">
      <c r="E938" s="36" t="s">
        <v>196</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x14ac:dyDescent="0.2">
      <c r="E939" s="36" t="s">
        <v>230</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x14ac:dyDescent="0.2">
      <c r="E940" s="36" t="s">
        <v>231</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x14ac:dyDescent="0.2"/>
    <row r="942" spans="4:199" s="15" customFormat="1" x14ac:dyDescent="0.2">
      <c r="D942" s="455">
        <v>191</v>
      </c>
      <c r="E942" s="35" t="s">
        <v>248</v>
      </c>
    </row>
    <row r="943" spans="4:199" s="15" customFormat="1" x14ac:dyDescent="0.2">
      <c r="E943" s="36" t="s">
        <v>196</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x14ac:dyDescent="0.2">
      <c r="E944" s="36" t="s">
        <v>230</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x14ac:dyDescent="0.2">
      <c r="E945" s="36" t="s">
        <v>231</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x14ac:dyDescent="0.2"/>
    <row r="947" spans="4:199" s="15" customFormat="1" x14ac:dyDescent="0.2">
      <c r="D947" s="455">
        <v>192</v>
      </c>
      <c r="E947" s="35" t="s">
        <v>248</v>
      </c>
    </row>
    <row r="948" spans="4:199" s="15" customFormat="1" x14ac:dyDescent="0.2">
      <c r="E948" s="36" t="s">
        <v>196</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x14ac:dyDescent="0.2">
      <c r="E949" s="36" t="s">
        <v>230</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x14ac:dyDescent="0.2">
      <c r="E950" s="36" t="s">
        <v>231</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x14ac:dyDescent="0.2"/>
    <row r="952" spans="4:199" s="15" customFormat="1" x14ac:dyDescent="0.2">
      <c r="D952" s="455">
        <v>193</v>
      </c>
      <c r="E952" s="35" t="s">
        <v>248</v>
      </c>
    </row>
    <row r="953" spans="4:199" s="15" customFormat="1" x14ac:dyDescent="0.2">
      <c r="E953" s="36" t="s">
        <v>196</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x14ac:dyDescent="0.2">
      <c r="E954" s="36" t="s">
        <v>230</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x14ac:dyDescent="0.2">
      <c r="E955" s="36" t="s">
        <v>231</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x14ac:dyDescent="0.2"/>
    <row r="957" spans="4:199" s="15" customFormat="1" x14ac:dyDescent="0.2">
      <c r="D957" s="455">
        <v>194</v>
      </c>
      <c r="E957" s="35" t="s">
        <v>248</v>
      </c>
    </row>
    <row r="958" spans="4:199" s="15" customFormat="1" x14ac:dyDescent="0.2">
      <c r="E958" s="36" t="s">
        <v>196</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x14ac:dyDescent="0.2">
      <c r="E959" s="36" t="s">
        <v>230</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x14ac:dyDescent="0.2">
      <c r="E960" s="36" t="s">
        <v>231</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x14ac:dyDescent="0.2"/>
    <row r="962" spans="4:204" s="15" customFormat="1" x14ac:dyDescent="0.2">
      <c r="D962" s="455">
        <v>195</v>
      </c>
      <c r="E962" s="35" t="s">
        <v>248</v>
      </c>
    </row>
    <row r="963" spans="4:204" s="15" customFormat="1" x14ac:dyDescent="0.2">
      <c r="E963" s="36" t="s">
        <v>196</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x14ac:dyDescent="0.2">
      <c r="E964" s="36" t="s">
        <v>230</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x14ac:dyDescent="0.2">
      <c r="E965" s="36" t="s">
        <v>231</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x14ac:dyDescent="0.2"/>
    <row r="967" spans="4:204" s="15" customFormat="1" x14ac:dyDescent="0.2">
      <c r="D967" s="455">
        <v>196</v>
      </c>
      <c r="E967" s="35" t="s">
        <v>248</v>
      </c>
    </row>
    <row r="968" spans="4:204" s="15" customFormat="1" x14ac:dyDescent="0.2">
      <c r="E968" s="36" t="s">
        <v>196</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x14ac:dyDescent="0.2">
      <c r="E969" s="36" t="s">
        <v>230</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x14ac:dyDescent="0.2">
      <c r="E970" s="36" t="s">
        <v>231</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x14ac:dyDescent="0.2"/>
    <row r="972" spans="4:204" s="15" customFormat="1" x14ac:dyDescent="0.2">
      <c r="D972" s="455">
        <v>197</v>
      </c>
      <c r="E972" s="35" t="s">
        <v>248</v>
      </c>
    </row>
    <row r="973" spans="4:204" s="15" customFormat="1" x14ac:dyDescent="0.2">
      <c r="E973" s="36" t="s">
        <v>196</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x14ac:dyDescent="0.2">
      <c r="E974" s="36" t="s">
        <v>230</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x14ac:dyDescent="0.2">
      <c r="E975" s="36" t="s">
        <v>231</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x14ac:dyDescent="0.2"/>
    <row r="977" spans="4:205" s="15" customFormat="1" x14ac:dyDescent="0.2">
      <c r="D977" s="455">
        <v>198</v>
      </c>
      <c r="E977" s="35" t="s">
        <v>248</v>
      </c>
    </row>
    <row r="978" spans="4:205" s="15" customFormat="1" x14ac:dyDescent="0.2">
      <c r="E978" s="36" t="s">
        <v>196</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x14ac:dyDescent="0.2">
      <c r="E979" s="36" t="s">
        <v>230</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x14ac:dyDescent="0.2">
      <c r="E980" s="36" t="s">
        <v>231</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x14ac:dyDescent="0.2"/>
    <row r="982" spans="4:205" s="15" customFormat="1" x14ac:dyDescent="0.2">
      <c r="D982" s="455">
        <v>199</v>
      </c>
      <c r="E982" s="35" t="s">
        <v>248</v>
      </c>
    </row>
    <row r="983" spans="4:205" s="15" customFormat="1" x14ac:dyDescent="0.2">
      <c r="E983" s="36" t="s">
        <v>196</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x14ac:dyDescent="0.2">
      <c r="E984" s="36" t="s">
        <v>230</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x14ac:dyDescent="0.2">
      <c r="E985" s="36" t="s">
        <v>231</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x14ac:dyDescent="0.2"/>
    <row r="987" spans="4:205" s="15" customFormat="1" x14ac:dyDescent="0.2">
      <c r="D987" s="455">
        <v>200</v>
      </c>
      <c r="E987" s="35" t="s">
        <v>248</v>
      </c>
    </row>
    <row r="988" spans="4:205" s="15" customFormat="1" x14ac:dyDescent="0.2">
      <c r="E988" s="36" t="s">
        <v>196</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x14ac:dyDescent="0.2">
      <c r="E989" s="36" t="s">
        <v>230</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x14ac:dyDescent="0.2">
      <c r="E990" s="36" t="s">
        <v>231</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x14ac:dyDescent="0.2"/>
    <row r="992" spans="4:205" s="15" customFormat="1" x14ac:dyDescent="0.2">
      <c r="D992" s="455">
        <v>201</v>
      </c>
      <c r="E992" s="35" t="s">
        <v>248</v>
      </c>
    </row>
    <row r="993" spans="4:209" s="15" customFormat="1" x14ac:dyDescent="0.2">
      <c r="E993" s="36" t="s">
        <v>196</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x14ac:dyDescent="0.2">
      <c r="E994" s="36" t="s">
        <v>230</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x14ac:dyDescent="0.2">
      <c r="E995" s="36" t="s">
        <v>231</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x14ac:dyDescent="0.2"/>
    <row r="997" spans="4:209" s="15" customFormat="1" x14ac:dyDescent="0.2">
      <c r="D997" s="455">
        <v>202</v>
      </c>
      <c r="E997" s="35" t="s">
        <v>248</v>
      </c>
    </row>
    <row r="998" spans="4:209" s="15" customFormat="1" x14ac:dyDescent="0.2">
      <c r="E998" s="36" t="s">
        <v>196</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x14ac:dyDescent="0.2">
      <c r="E999" s="36" t="s">
        <v>230</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x14ac:dyDescent="0.2">
      <c r="E1000" s="36" t="s">
        <v>231</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x14ac:dyDescent="0.2"/>
    <row r="1002" spans="4:209" s="15" customFormat="1" x14ac:dyDescent="0.2">
      <c r="D1002" s="455">
        <v>203</v>
      </c>
      <c r="E1002" s="35" t="s">
        <v>248</v>
      </c>
    </row>
    <row r="1003" spans="4:209" s="15" customFormat="1" x14ac:dyDescent="0.2">
      <c r="E1003" s="36" t="s">
        <v>196</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x14ac:dyDescent="0.2">
      <c r="E1004" s="36" t="s">
        <v>230</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x14ac:dyDescent="0.2">
      <c r="E1005" s="36" t="s">
        <v>231</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x14ac:dyDescent="0.2"/>
    <row r="1007" spans="4:209" s="15" customFormat="1" x14ac:dyDescent="0.2">
      <c r="D1007" s="455">
        <v>204</v>
      </c>
      <c r="E1007" s="35" t="s">
        <v>248</v>
      </c>
    </row>
    <row r="1008" spans="4:209" s="15" customFormat="1" x14ac:dyDescent="0.2">
      <c r="E1008" s="36" t="s">
        <v>196</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x14ac:dyDescent="0.2">
      <c r="E1009" s="36" t="s">
        <v>230</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x14ac:dyDescent="0.2">
      <c r="E1010" s="36" t="s">
        <v>231</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x14ac:dyDescent="0.2"/>
    <row r="1012" spans="4:214" s="15" customFormat="1" x14ac:dyDescent="0.2">
      <c r="D1012" s="455">
        <v>205</v>
      </c>
      <c r="E1012" s="35" t="s">
        <v>248</v>
      </c>
    </row>
    <row r="1013" spans="4:214" s="15" customFormat="1" x14ac:dyDescent="0.2">
      <c r="E1013" s="36" t="s">
        <v>196</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x14ac:dyDescent="0.2">
      <c r="E1014" s="36" t="s">
        <v>230</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x14ac:dyDescent="0.2">
      <c r="E1015" s="36" t="s">
        <v>231</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x14ac:dyDescent="0.2"/>
    <row r="1017" spans="4:214" s="15" customFormat="1" x14ac:dyDescent="0.2">
      <c r="D1017" s="455">
        <v>206</v>
      </c>
      <c r="E1017" s="35" t="s">
        <v>248</v>
      </c>
    </row>
    <row r="1018" spans="4:214" s="15" customFormat="1" x14ac:dyDescent="0.2">
      <c r="E1018" s="36" t="s">
        <v>196</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x14ac:dyDescent="0.2">
      <c r="E1019" s="36" t="s">
        <v>230</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x14ac:dyDescent="0.2">
      <c r="E1020" s="36" t="s">
        <v>231</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x14ac:dyDescent="0.2"/>
    <row r="1022" spans="4:214" s="15" customFormat="1" x14ac:dyDescent="0.2">
      <c r="D1022" s="455">
        <v>207</v>
      </c>
      <c r="E1022" s="35" t="s">
        <v>248</v>
      </c>
    </row>
    <row r="1023" spans="4:214" s="15" customFormat="1" x14ac:dyDescent="0.2">
      <c r="E1023" s="36" t="s">
        <v>196</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x14ac:dyDescent="0.2">
      <c r="E1024" s="36" t="s">
        <v>230</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x14ac:dyDescent="0.2">
      <c r="E1025" s="36" t="s">
        <v>231</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x14ac:dyDescent="0.2"/>
    <row r="1027" spans="4:215" s="15" customFormat="1" x14ac:dyDescent="0.2">
      <c r="D1027" s="455">
        <v>208</v>
      </c>
      <c r="E1027" s="35" t="s">
        <v>248</v>
      </c>
    </row>
    <row r="1028" spans="4:215" s="15" customFormat="1" x14ac:dyDescent="0.2">
      <c r="E1028" s="36" t="s">
        <v>196</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x14ac:dyDescent="0.2">
      <c r="E1029" s="36" t="s">
        <v>230</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x14ac:dyDescent="0.2">
      <c r="E1030" s="36" t="s">
        <v>231</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x14ac:dyDescent="0.2"/>
    <row r="1032" spans="4:215" s="15" customFormat="1" x14ac:dyDescent="0.2">
      <c r="D1032" s="455">
        <v>209</v>
      </c>
      <c r="E1032" s="35" t="s">
        <v>248</v>
      </c>
    </row>
    <row r="1033" spans="4:215" s="15" customFormat="1" x14ac:dyDescent="0.2">
      <c r="E1033" s="36" t="s">
        <v>196</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x14ac:dyDescent="0.2">
      <c r="E1034" s="36" t="s">
        <v>230</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x14ac:dyDescent="0.2">
      <c r="E1035" s="36" t="s">
        <v>231</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x14ac:dyDescent="0.2"/>
    <row r="1037" spans="4:215" s="15" customFormat="1" x14ac:dyDescent="0.2">
      <c r="D1037" s="455">
        <v>210</v>
      </c>
      <c r="E1037" s="35" t="s">
        <v>248</v>
      </c>
    </row>
    <row r="1038" spans="4:215" s="15" customFormat="1" x14ac:dyDescent="0.2">
      <c r="E1038" s="36" t="s">
        <v>196</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x14ac:dyDescent="0.2">
      <c r="E1039" s="36" t="s">
        <v>230</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x14ac:dyDescent="0.2">
      <c r="E1040" s="36" t="s">
        <v>231</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x14ac:dyDescent="0.2"/>
    <row r="1042" spans="4:219" s="15" customFormat="1" x14ac:dyDescent="0.2">
      <c r="D1042" s="455">
        <v>211</v>
      </c>
      <c r="E1042" s="35" t="s">
        <v>248</v>
      </c>
    </row>
    <row r="1043" spans="4:219" s="15" customFormat="1" x14ac:dyDescent="0.2">
      <c r="E1043" s="36" t="s">
        <v>196</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x14ac:dyDescent="0.2">
      <c r="E1044" s="36" t="s">
        <v>230</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x14ac:dyDescent="0.2">
      <c r="E1045" s="36" t="s">
        <v>231</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x14ac:dyDescent="0.2"/>
    <row r="1047" spans="4:219" s="15" customFormat="1" x14ac:dyDescent="0.2">
      <c r="D1047" s="455">
        <v>212</v>
      </c>
      <c r="E1047" s="35" t="s">
        <v>248</v>
      </c>
    </row>
    <row r="1048" spans="4:219" s="15" customFormat="1" x14ac:dyDescent="0.2">
      <c r="E1048" s="36" t="s">
        <v>196</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x14ac:dyDescent="0.2">
      <c r="E1049" s="36" t="s">
        <v>230</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x14ac:dyDescent="0.2">
      <c r="E1050" s="36" t="s">
        <v>231</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x14ac:dyDescent="0.2"/>
    <row r="1052" spans="4:219" s="15" customFormat="1" x14ac:dyDescent="0.2">
      <c r="D1052" s="455">
        <v>213</v>
      </c>
      <c r="E1052" s="35" t="s">
        <v>248</v>
      </c>
    </row>
    <row r="1053" spans="4:219" s="15" customFormat="1" x14ac:dyDescent="0.2">
      <c r="E1053" s="36" t="s">
        <v>196</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x14ac:dyDescent="0.2">
      <c r="E1054" s="36" t="s">
        <v>230</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x14ac:dyDescent="0.2">
      <c r="E1055" s="36" t="s">
        <v>231</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x14ac:dyDescent="0.2"/>
    <row r="1057" spans="4:224" s="15" customFormat="1" x14ac:dyDescent="0.2">
      <c r="D1057" s="455">
        <v>214</v>
      </c>
      <c r="E1057" s="35" t="s">
        <v>248</v>
      </c>
    </row>
    <row r="1058" spans="4:224" s="15" customFormat="1" x14ac:dyDescent="0.2">
      <c r="E1058" s="36" t="s">
        <v>196</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x14ac:dyDescent="0.2">
      <c r="E1059" s="36" t="s">
        <v>230</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x14ac:dyDescent="0.2">
      <c r="E1060" s="36" t="s">
        <v>231</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x14ac:dyDescent="0.2"/>
    <row r="1062" spans="4:224" s="15" customFormat="1" x14ac:dyDescent="0.2">
      <c r="D1062" s="455">
        <v>215</v>
      </c>
      <c r="E1062" s="35" t="s">
        <v>248</v>
      </c>
    </row>
    <row r="1063" spans="4:224" s="15" customFormat="1" x14ac:dyDescent="0.2">
      <c r="E1063" s="36" t="s">
        <v>196</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x14ac:dyDescent="0.2">
      <c r="E1064" s="36" t="s">
        <v>230</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x14ac:dyDescent="0.2">
      <c r="E1065" s="36" t="s">
        <v>231</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x14ac:dyDescent="0.2"/>
    <row r="1067" spans="4:224" s="15" customFormat="1" x14ac:dyDescent="0.2">
      <c r="D1067" s="455">
        <v>216</v>
      </c>
      <c r="E1067" s="35" t="s">
        <v>248</v>
      </c>
    </row>
    <row r="1068" spans="4:224" s="15" customFormat="1" x14ac:dyDescent="0.2">
      <c r="E1068" s="36" t="s">
        <v>196</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x14ac:dyDescent="0.2">
      <c r="E1069" s="36" t="s">
        <v>230</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x14ac:dyDescent="0.2">
      <c r="E1070" s="36" t="s">
        <v>231</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x14ac:dyDescent="0.2"/>
    <row r="1072" spans="4:224" s="15" customFormat="1" x14ac:dyDescent="0.2">
      <c r="D1072" s="455">
        <v>217</v>
      </c>
      <c r="E1072" s="35" t="s">
        <v>248</v>
      </c>
    </row>
    <row r="1073" spans="4:225" s="15" customFormat="1" x14ac:dyDescent="0.2">
      <c r="E1073" s="36" t="s">
        <v>196</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x14ac:dyDescent="0.2">
      <c r="E1074" s="36" t="s">
        <v>230</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x14ac:dyDescent="0.2">
      <c r="E1075" s="36" t="s">
        <v>231</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x14ac:dyDescent="0.2"/>
    <row r="1077" spans="4:225" s="15" customFormat="1" x14ac:dyDescent="0.2">
      <c r="D1077" s="455">
        <v>218</v>
      </c>
      <c r="E1077" s="35" t="s">
        <v>248</v>
      </c>
    </row>
    <row r="1078" spans="4:225" s="15" customFormat="1" x14ac:dyDescent="0.2">
      <c r="E1078" s="36" t="s">
        <v>196</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x14ac:dyDescent="0.2">
      <c r="E1079" s="36" t="s">
        <v>230</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x14ac:dyDescent="0.2">
      <c r="E1080" s="36" t="s">
        <v>231</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x14ac:dyDescent="0.2"/>
    <row r="1082" spans="4:225" s="15" customFormat="1" x14ac:dyDescent="0.2">
      <c r="D1082" s="455">
        <v>219</v>
      </c>
      <c r="E1082" s="35" t="s">
        <v>248</v>
      </c>
    </row>
    <row r="1083" spans="4:225" s="15" customFormat="1" x14ac:dyDescent="0.2">
      <c r="E1083" s="36" t="s">
        <v>196</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x14ac:dyDescent="0.2">
      <c r="E1084" s="36" t="s">
        <v>230</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x14ac:dyDescent="0.2">
      <c r="E1085" s="36" t="s">
        <v>231</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x14ac:dyDescent="0.2"/>
    <row r="1087" spans="4:225" s="15" customFormat="1" x14ac:dyDescent="0.2">
      <c r="D1087" s="455">
        <v>220</v>
      </c>
      <c r="E1087" s="35" t="s">
        <v>248</v>
      </c>
    </row>
    <row r="1088" spans="4:225" s="15" customFormat="1" x14ac:dyDescent="0.2">
      <c r="E1088" s="36" t="s">
        <v>196</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x14ac:dyDescent="0.2">
      <c r="E1089" s="36" t="s">
        <v>230</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x14ac:dyDescent="0.2">
      <c r="E1090" s="36" t="s">
        <v>231</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589"/>
  <sheetViews>
    <sheetView topLeftCell="D1" zoomScaleNormal="100" workbookViewId="0">
      <selection activeCell="D1" sqref="D1"/>
    </sheetView>
  </sheetViews>
  <sheetFormatPr defaultColWidth="3.7109375" defaultRowHeight="12.75" x14ac:dyDescent="0.2"/>
  <cols>
    <col min="1" max="1" width="4.85546875" style="463" hidden="1" customWidth="1"/>
    <col min="2" max="2" width="4.28515625" style="463" hidden="1" customWidth="1"/>
    <col min="3" max="3" width="6.140625" style="463" hidden="1" customWidth="1"/>
    <col min="4" max="4" width="3.85546875" style="463" customWidth="1"/>
    <col min="5" max="5" width="9.42578125" style="463" customWidth="1"/>
    <col min="6" max="1024" width="3.7109375" style="463"/>
  </cols>
  <sheetData>
    <row r="1" spans="1:28" ht="25.5" x14ac:dyDescent="0.2">
      <c r="D1" s="464" t="s">
        <v>244</v>
      </c>
    </row>
    <row r="2" spans="1:28" x14ac:dyDescent="0.2">
      <c r="E2" s="465" t="s">
        <v>2</v>
      </c>
    </row>
    <row r="3" spans="1:28" x14ac:dyDescent="0.2">
      <c r="E3" s="466" t="s">
        <v>245</v>
      </c>
    </row>
    <row r="4" spans="1:28" x14ac:dyDescent="0.2">
      <c r="E4" s="466" t="s">
        <v>246</v>
      </c>
    </row>
    <row r="5" spans="1:28" x14ac:dyDescent="0.2">
      <c r="A5" s="463">
        <f>IF(OR(NOT(ISNUMBER('Tournament Info'!B11)),'Tournament Info'!B11=3),Methuselahs!$A$4,0)</f>
        <v>0</v>
      </c>
      <c r="E5" s="466" t="s">
        <v>247</v>
      </c>
    </row>
    <row r="6" spans="1:28" x14ac:dyDescent="0.2">
      <c r="A6" s="463">
        <f>IF(A5&gt;200,1,IF(A5&gt;=4,(A5-4)*5+ROW(F8),1))</f>
        <v>1</v>
      </c>
      <c r="B6" s="463">
        <f>A6+1</f>
        <v>2</v>
      </c>
    </row>
    <row r="7" spans="1:28" x14ac:dyDescent="0.2">
      <c r="A7" s="463" t="str">
        <f t="shared" ref="A7:B26" ca="1" si="0">IF(INDIRECT(ADDRESS(A$6,ROW()-ROW(A$6)-1+COLUMN($F$8)))&gt;0,INDIRECT(ADDRESS(A$6,ROW()-ROW(A$6)-1+COLUMN($F$8))),"")</f>
        <v/>
      </c>
      <c r="B7" s="463" t="str">
        <f t="shared" ca="1" si="0"/>
        <v/>
      </c>
      <c r="D7" s="307">
        <v>4</v>
      </c>
      <c r="E7" s="467" t="s">
        <v>248</v>
      </c>
      <c r="L7" s="463" t="s">
        <v>250</v>
      </c>
    </row>
    <row r="8" spans="1:28" x14ac:dyDescent="0.2">
      <c r="A8" s="463" t="str">
        <f t="shared" ca="1" si="0"/>
        <v/>
      </c>
      <c r="B8" s="463" t="str">
        <f t="shared" ca="1" si="0"/>
        <v/>
      </c>
      <c r="E8" s="463" t="s">
        <v>196</v>
      </c>
      <c r="F8" s="468">
        <v>1</v>
      </c>
      <c r="G8" s="469">
        <v>2</v>
      </c>
      <c r="H8" s="469">
        <v>3</v>
      </c>
      <c r="I8" s="470">
        <v>4</v>
      </c>
      <c r="L8" s="463" t="s">
        <v>251</v>
      </c>
    </row>
    <row r="9" spans="1:28" x14ac:dyDescent="0.2">
      <c r="A9" s="463" t="str">
        <f t="shared" ca="1" si="0"/>
        <v/>
      </c>
      <c r="B9" s="463" t="str">
        <f t="shared" ca="1" si="0"/>
        <v/>
      </c>
      <c r="E9" s="463" t="s">
        <v>230</v>
      </c>
      <c r="F9" s="468">
        <v>3</v>
      </c>
      <c r="G9" s="469">
        <v>1</v>
      </c>
      <c r="H9" s="469">
        <v>4</v>
      </c>
      <c r="I9" s="470">
        <v>2</v>
      </c>
      <c r="L9" s="463" t="s">
        <v>252</v>
      </c>
      <c r="AB9" s="471" t="s">
        <v>253</v>
      </c>
    </row>
    <row r="10" spans="1:28" x14ac:dyDescent="0.2">
      <c r="A10" s="463" t="str">
        <f t="shared" ca="1" si="0"/>
        <v/>
      </c>
      <c r="B10" s="463" t="str">
        <f t="shared" ca="1" si="0"/>
        <v/>
      </c>
    </row>
    <row r="11" spans="1:28" x14ac:dyDescent="0.2">
      <c r="A11" s="463" t="str">
        <f t="shared" ca="1" si="0"/>
        <v/>
      </c>
      <c r="B11" s="463" t="str">
        <f t="shared" ca="1" si="0"/>
        <v/>
      </c>
      <c r="AB11" s="472" t="s">
        <v>254</v>
      </c>
    </row>
    <row r="12" spans="1:28" x14ac:dyDescent="0.2">
      <c r="A12" s="463" t="str">
        <f t="shared" ca="1" si="0"/>
        <v/>
      </c>
      <c r="B12" s="463" t="str">
        <f t="shared" ca="1" si="0"/>
        <v/>
      </c>
      <c r="D12" s="307">
        <v>5</v>
      </c>
      <c r="E12" s="467" t="s">
        <v>248</v>
      </c>
      <c r="AB12" s="473" t="s">
        <v>255</v>
      </c>
    </row>
    <row r="13" spans="1:28" x14ac:dyDescent="0.2">
      <c r="A13" s="463" t="str">
        <f t="shared" ca="1" si="0"/>
        <v/>
      </c>
      <c r="B13" s="463" t="str">
        <f t="shared" ca="1" si="0"/>
        <v/>
      </c>
      <c r="E13" s="463" t="s">
        <v>196</v>
      </c>
      <c r="F13" s="468">
        <v>1</v>
      </c>
      <c r="G13" s="469">
        <v>2</v>
      </c>
      <c r="H13" s="469">
        <v>3</v>
      </c>
      <c r="I13" s="469">
        <v>4</v>
      </c>
      <c r="J13" s="470">
        <v>5</v>
      </c>
    </row>
    <row r="14" spans="1:28" x14ac:dyDescent="0.2">
      <c r="A14" s="463" t="str">
        <f t="shared" ca="1" si="0"/>
        <v/>
      </c>
      <c r="B14" s="463" t="str">
        <f t="shared" ca="1" si="0"/>
        <v/>
      </c>
      <c r="E14" s="463" t="s">
        <v>230</v>
      </c>
      <c r="F14" s="468">
        <v>2</v>
      </c>
      <c r="G14" s="469">
        <v>5</v>
      </c>
      <c r="H14" s="469">
        <v>3</v>
      </c>
      <c r="I14" s="469">
        <v>1</v>
      </c>
      <c r="J14" s="470">
        <v>4</v>
      </c>
      <c r="AB14" s="474" t="s">
        <v>256</v>
      </c>
    </row>
    <row r="15" spans="1:28" x14ac:dyDescent="0.2">
      <c r="A15" s="463" t="str">
        <f t="shared" ca="1" si="0"/>
        <v/>
      </c>
      <c r="B15" s="463" t="str">
        <f t="shared" ca="1" si="0"/>
        <v/>
      </c>
    </row>
    <row r="16" spans="1:28" x14ac:dyDescent="0.2">
      <c r="A16" s="463" t="str">
        <f t="shared" ca="1" si="0"/>
        <v/>
      </c>
      <c r="B16" s="463" t="str">
        <f t="shared" ca="1" si="0"/>
        <v/>
      </c>
    </row>
    <row r="17" spans="1:28" x14ac:dyDescent="0.2">
      <c r="A17" s="463" t="str">
        <f t="shared" ca="1" si="0"/>
        <v/>
      </c>
      <c r="B17" s="463" t="str">
        <f t="shared" ca="1" si="0"/>
        <v/>
      </c>
      <c r="D17" s="307">
        <v>6</v>
      </c>
      <c r="E17" s="467" t="s">
        <v>249</v>
      </c>
      <c r="AB17" s="472" t="s">
        <v>257</v>
      </c>
    </row>
    <row r="18" spans="1:28" x14ac:dyDescent="0.2">
      <c r="A18" s="463" t="str">
        <f t="shared" ca="1" si="0"/>
        <v/>
      </c>
      <c r="B18" s="463" t="str">
        <f t="shared" ca="1" si="0"/>
        <v/>
      </c>
      <c r="E18" s="463" t="s">
        <v>196</v>
      </c>
      <c r="F18" s="468">
        <v>1</v>
      </c>
      <c r="G18" s="469">
        <v>2</v>
      </c>
      <c r="H18" s="469">
        <v>3</v>
      </c>
      <c r="I18" s="470">
        <v>4</v>
      </c>
      <c r="AB18" s="475" t="s">
        <v>258</v>
      </c>
    </row>
    <row r="19" spans="1:28" x14ac:dyDescent="0.2">
      <c r="A19" s="463" t="str">
        <f t="shared" ca="1" si="0"/>
        <v/>
      </c>
      <c r="B19" s="463" t="str">
        <f t="shared" ca="1" si="0"/>
        <v/>
      </c>
      <c r="E19" s="463" t="s">
        <v>230</v>
      </c>
      <c r="F19" s="476">
        <v>5</v>
      </c>
      <c r="G19" s="469">
        <v>1</v>
      </c>
      <c r="H19" s="469">
        <v>6</v>
      </c>
      <c r="I19" s="470">
        <v>2</v>
      </c>
      <c r="AB19" s="472" t="s">
        <v>259</v>
      </c>
    </row>
    <row r="20" spans="1:28" x14ac:dyDescent="0.2">
      <c r="A20" s="463" t="str">
        <f t="shared" ca="1" si="0"/>
        <v/>
      </c>
      <c r="B20" s="463" t="str">
        <f t="shared" ca="1" si="0"/>
        <v/>
      </c>
      <c r="E20" s="463" t="s">
        <v>231</v>
      </c>
      <c r="F20" s="468">
        <v>6</v>
      </c>
      <c r="G20" s="477">
        <v>4</v>
      </c>
      <c r="H20" s="477">
        <v>5</v>
      </c>
      <c r="I20" s="470">
        <v>3</v>
      </c>
      <c r="AB20" s="472" t="s">
        <v>260</v>
      </c>
    </row>
    <row r="21" spans="1:28" x14ac:dyDescent="0.2">
      <c r="A21" s="463" t="str">
        <f t="shared" ca="1" si="0"/>
        <v/>
      </c>
      <c r="B21" s="463" t="str">
        <f t="shared" ca="1" si="0"/>
        <v/>
      </c>
      <c r="AB21" s="472" t="s">
        <v>261</v>
      </c>
    </row>
    <row r="22" spans="1:28" x14ac:dyDescent="0.2">
      <c r="A22" s="463" t="str">
        <f t="shared" ca="1" si="0"/>
        <v/>
      </c>
      <c r="B22" s="463" t="str">
        <f t="shared" ca="1" si="0"/>
        <v/>
      </c>
      <c r="D22" s="307">
        <v>7</v>
      </c>
      <c r="E22" s="467" t="s">
        <v>249</v>
      </c>
      <c r="AB22" s="472" t="s">
        <v>262</v>
      </c>
    </row>
    <row r="23" spans="1:28" x14ac:dyDescent="0.2">
      <c r="A23" s="463" t="str">
        <f t="shared" ca="1" si="0"/>
        <v/>
      </c>
      <c r="B23" s="463" t="str">
        <f t="shared" ca="1" si="0"/>
        <v/>
      </c>
      <c r="E23" s="463" t="s">
        <v>196</v>
      </c>
      <c r="F23" s="468">
        <v>1</v>
      </c>
      <c r="G23" s="469">
        <v>2</v>
      </c>
      <c r="H23" s="469">
        <v>3</v>
      </c>
      <c r="I23" s="469">
        <v>4</v>
      </c>
      <c r="J23" s="470">
        <v>5</v>
      </c>
      <c r="AB23" s="472" t="s">
        <v>263</v>
      </c>
    </row>
    <row r="24" spans="1:28" x14ac:dyDescent="0.2">
      <c r="A24" s="463" t="str">
        <f t="shared" ca="1" si="0"/>
        <v/>
      </c>
      <c r="B24" s="463" t="str">
        <f t="shared" ca="1" si="0"/>
        <v/>
      </c>
      <c r="E24" s="463" t="s">
        <v>230</v>
      </c>
      <c r="F24" s="478">
        <v>6</v>
      </c>
      <c r="G24" s="479">
        <v>1</v>
      </c>
      <c r="H24" s="479">
        <v>7</v>
      </c>
      <c r="I24" s="480">
        <v>2</v>
      </c>
      <c r="AB24" s="472" t="s">
        <v>264</v>
      </c>
    </row>
    <row r="25" spans="1:28" x14ac:dyDescent="0.2">
      <c r="A25" s="463" t="str">
        <f t="shared" ca="1" si="0"/>
        <v/>
      </c>
      <c r="B25" s="463" t="str">
        <f t="shared" ca="1" si="0"/>
        <v/>
      </c>
      <c r="E25" s="463" t="s">
        <v>231</v>
      </c>
      <c r="F25" s="468">
        <v>5</v>
      </c>
      <c r="G25" s="477">
        <v>7</v>
      </c>
      <c r="H25" s="477">
        <v>4</v>
      </c>
      <c r="I25" s="477">
        <v>6</v>
      </c>
      <c r="J25" s="470">
        <v>3</v>
      </c>
      <c r="AB25" s="472" t="s">
        <v>265</v>
      </c>
    </row>
    <row r="26" spans="1:28" x14ac:dyDescent="0.2">
      <c r="A26" s="463" t="str">
        <f t="shared" ca="1" si="0"/>
        <v/>
      </c>
      <c r="B26" s="463" t="str">
        <f t="shared" ca="1" si="0"/>
        <v/>
      </c>
    </row>
    <row r="27" spans="1:28" x14ac:dyDescent="0.2">
      <c r="A27" s="463" t="str">
        <f t="shared" ref="A27:B46" ca="1" si="1">IF(INDIRECT(ADDRESS(A$6,ROW()-ROW(A$6)-1+COLUMN($F$8)))&gt;0,INDIRECT(ADDRESS(A$6,ROW()-ROW(A$6)-1+COLUMN($F$8))),"")</f>
        <v/>
      </c>
      <c r="B27" s="463" t="str">
        <f t="shared" ca="1" si="1"/>
        <v/>
      </c>
      <c r="D27" s="307">
        <v>8</v>
      </c>
      <c r="E27" s="467" t="s">
        <v>248</v>
      </c>
      <c r="AB27" s="472" t="s">
        <v>266</v>
      </c>
    </row>
    <row r="28" spans="1:28" x14ac:dyDescent="0.2">
      <c r="A28" s="463" t="str">
        <f t="shared" ca="1" si="1"/>
        <v/>
      </c>
      <c r="B28" s="463" t="str">
        <f t="shared" ca="1" si="1"/>
        <v/>
      </c>
      <c r="E28" s="463" t="s">
        <v>196</v>
      </c>
      <c r="F28" s="468">
        <v>1</v>
      </c>
      <c r="G28" s="469">
        <v>2</v>
      </c>
      <c r="H28" s="469">
        <v>3</v>
      </c>
      <c r="I28" s="470">
        <v>4</v>
      </c>
      <c r="K28" s="468">
        <v>5</v>
      </c>
      <c r="L28" s="469">
        <v>6</v>
      </c>
      <c r="M28" s="469">
        <v>7</v>
      </c>
      <c r="N28" s="470">
        <v>8</v>
      </c>
    </row>
    <row r="29" spans="1:28" x14ac:dyDescent="0.2">
      <c r="A29" s="463" t="str">
        <f t="shared" ca="1" si="1"/>
        <v/>
      </c>
      <c r="B29" s="463" t="str">
        <f t="shared" ca="1" si="1"/>
        <v/>
      </c>
      <c r="E29" s="463" t="s">
        <v>230</v>
      </c>
      <c r="F29" s="468">
        <v>7</v>
      </c>
      <c r="G29" s="477">
        <v>1</v>
      </c>
      <c r="H29" s="477">
        <v>8</v>
      </c>
      <c r="I29" s="470">
        <v>2</v>
      </c>
      <c r="K29" s="468">
        <v>3</v>
      </c>
      <c r="L29" s="477">
        <v>5</v>
      </c>
      <c r="M29" s="477">
        <v>4</v>
      </c>
      <c r="N29" s="470">
        <v>6</v>
      </c>
      <c r="AB29" s="472" t="s">
        <v>267</v>
      </c>
    </row>
    <row r="30" spans="1:28" x14ac:dyDescent="0.2">
      <c r="A30" s="463" t="str">
        <f t="shared" ca="1" si="1"/>
        <v/>
      </c>
      <c r="B30" s="463" t="str">
        <f t="shared" ca="1" si="1"/>
        <v/>
      </c>
      <c r="AB30" s="472" t="s">
        <v>268</v>
      </c>
    </row>
    <row r="31" spans="1:28" x14ac:dyDescent="0.2">
      <c r="A31" s="463" t="str">
        <f t="shared" ca="1" si="1"/>
        <v/>
      </c>
      <c r="B31" s="463" t="str">
        <f t="shared" ca="1" si="1"/>
        <v/>
      </c>
      <c r="AB31" s="472" t="s">
        <v>269</v>
      </c>
    </row>
    <row r="32" spans="1:28" x14ac:dyDescent="0.2">
      <c r="A32" s="463" t="str">
        <f t="shared" ca="1" si="1"/>
        <v/>
      </c>
      <c r="B32" s="463" t="str">
        <f t="shared" ca="1" si="1"/>
        <v/>
      </c>
      <c r="D32" s="307">
        <v>9</v>
      </c>
      <c r="E32" s="467" t="s">
        <v>248</v>
      </c>
      <c r="AB32" s="472" t="s">
        <v>270</v>
      </c>
    </row>
    <row r="33" spans="1:28" x14ac:dyDescent="0.2">
      <c r="A33" s="463" t="str">
        <f t="shared" ca="1" si="1"/>
        <v/>
      </c>
      <c r="B33" s="463" t="str">
        <f t="shared" ca="1" si="1"/>
        <v/>
      </c>
      <c r="E33" s="463" t="s">
        <v>196</v>
      </c>
      <c r="F33" s="468">
        <v>1</v>
      </c>
      <c r="G33" s="469">
        <v>2</v>
      </c>
      <c r="H33" s="469">
        <v>3</v>
      </c>
      <c r="I33" s="469">
        <v>4</v>
      </c>
      <c r="J33" s="470">
        <v>5</v>
      </c>
      <c r="K33" s="468">
        <v>6</v>
      </c>
      <c r="L33" s="469">
        <v>7</v>
      </c>
      <c r="M33" s="469">
        <v>8</v>
      </c>
      <c r="N33" s="470">
        <v>9</v>
      </c>
      <c r="AB33" s="472" t="s">
        <v>271</v>
      </c>
    </row>
    <row r="34" spans="1:28" x14ac:dyDescent="0.2">
      <c r="A34" s="463" t="str">
        <f t="shared" ca="1" si="1"/>
        <v/>
      </c>
      <c r="B34" s="463" t="str">
        <f t="shared" ca="1" si="1"/>
        <v/>
      </c>
      <c r="E34" s="463" t="s">
        <v>230</v>
      </c>
      <c r="F34" s="468">
        <v>9</v>
      </c>
      <c r="G34" s="477">
        <v>4</v>
      </c>
      <c r="H34" s="477">
        <v>2</v>
      </c>
      <c r="I34" s="477">
        <v>5</v>
      </c>
      <c r="J34" s="470">
        <v>6</v>
      </c>
      <c r="K34" s="468">
        <v>8</v>
      </c>
      <c r="L34" s="477">
        <v>3</v>
      </c>
      <c r="M34" s="477">
        <v>7</v>
      </c>
      <c r="N34" s="470">
        <v>1</v>
      </c>
    </row>
    <row r="35" spans="1:28" x14ac:dyDescent="0.2">
      <c r="A35" s="463" t="str">
        <f t="shared" ca="1" si="1"/>
        <v/>
      </c>
      <c r="B35" s="463" t="str">
        <f t="shared" ca="1" si="1"/>
        <v/>
      </c>
      <c r="AB35" s="472" t="s">
        <v>272</v>
      </c>
    </row>
    <row r="36" spans="1:28" x14ac:dyDescent="0.2">
      <c r="A36" s="463" t="str">
        <f t="shared" ca="1" si="1"/>
        <v/>
      </c>
      <c r="B36" s="463" t="str">
        <f t="shared" ca="1" si="1"/>
        <v/>
      </c>
    </row>
    <row r="37" spans="1:28" x14ac:dyDescent="0.2">
      <c r="A37" s="463" t="str">
        <f t="shared" ca="1" si="1"/>
        <v/>
      </c>
      <c r="B37" s="463" t="str">
        <f t="shared" ca="1" si="1"/>
        <v/>
      </c>
      <c r="D37" s="307">
        <v>10</v>
      </c>
      <c r="E37" s="467" t="s">
        <v>248</v>
      </c>
      <c r="AB37" s="472" t="s">
        <v>273</v>
      </c>
    </row>
    <row r="38" spans="1:28" x14ac:dyDescent="0.2">
      <c r="A38" s="463" t="str">
        <f t="shared" ca="1" si="1"/>
        <v/>
      </c>
      <c r="B38" s="463" t="str">
        <f t="shared" ca="1" si="1"/>
        <v/>
      </c>
      <c r="E38" s="463" t="s">
        <v>196</v>
      </c>
      <c r="F38" s="468">
        <v>1</v>
      </c>
      <c r="G38" s="469">
        <v>2</v>
      </c>
      <c r="H38" s="469">
        <v>3</v>
      </c>
      <c r="I38" s="469">
        <v>4</v>
      </c>
      <c r="J38" s="470">
        <v>5</v>
      </c>
      <c r="K38" s="481">
        <v>6</v>
      </c>
      <c r="L38" s="469">
        <v>7</v>
      </c>
      <c r="M38" s="469">
        <v>8</v>
      </c>
      <c r="N38" s="469">
        <v>9</v>
      </c>
      <c r="O38" s="470">
        <v>10</v>
      </c>
    </row>
    <row r="39" spans="1:28" x14ac:dyDescent="0.2">
      <c r="A39" s="463" t="str">
        <f t="shared" ca="1" si="1"/>
        <v/>
      </c>
      <c r="B39" s="463" t="str">
        <f t="shared" ca="1" si="1"/>
        <v/>
      </c>
      <c r="E39" s="463" t="s">
        <v>230</v>
      </c>
      <c r="F39" s="468">
        <v>4</v>
      </c>
      <c r="G39" s="477">
        <v>9</v>
      </c>
      <c r="H39" s="477">
        <v>2</v>
      </c>
      <c r="I39" s="477">
        <v>7</v>
      </c>
      <c r="J39" s="470">
        <v>1</v>
      </c>
      <c r="K39" s="481">
        <v>10</v>
      </c>
      <c r="L39" s="477">
        <v>3</v>
      </c>
      <c r="M39" s="477">
        <v>5</v>
      </c>
      <c r="N39" s="477">
        <v>6</v>
      </c>
      <c r="O39" s="470">
        <v>8</v>
      </c>
    </row>
    <row r="40" spans="1:28" x14ac:dyDescent="0.2">
      <c r="A40" s="463" t="str">
        <f t="shared" ca="1" si="1"/>
        <v/>
      </c>
      <c r="B40" s="463" t="str">
        <f t="shared" ca="1" si="1"/>
        <v/>
      </c>
      <c r="AB40" s="472" t="s">
        <v>274</v>
      </c>
    </row>
    <row r="41" spans="1:28" x14ac:dyDescent="0.2">
      <c r="A41" s="463" t="str">
        <f t="shared" ca="1" si="1"/>
        <v/>
      </c>
      <c r="B41" s="463" t="str">
        <f t="shared" ca="1" si="1"/>
        <v/>
      </c>
      <c r="AB41" s="472" t="s">
        <v>275</v>
      </c>
    </row>
    <row r="42" spans="1:28" x14ac:dyDescent="0.2">
      <c r="A42" s="463" t="str">
        <f t="shared" ca="1" si="1"/>
        <v/>
      </c>
      <c r="B42" s="463" t="str">
        <f t="shared" ca="1" si="1"/>
        <v/>
      </c>
      <c r="D42" s="307">
        <v>11</v>
      </c>
      <c r="E42" s="467" t="s">
        <v>249</v>
      </c>
    </row>
    <row r="43" spans="1:28" x14ac:dyDescent="0.2">
      <c r="A43" s="463" t="str">
        <f t="shared" ca="1" si="1"/>
        <v/>
      </c>
      <c r="B43" s="463" t="str">
        <f t="shared" ca="1" si="1"/>
        <v/>
      </c>
      <c r="E43" s="463" t="s">
        <v>196</v>
      </c>
      <c r="F43" s="468">
        <v>1</v>
      </c>
      <c r="G43" s="469">
        <v>2</v>
      </c>
      <c r="H43" s="469">
        <v>3</v>
      </c>
      <c r="I43" s="469">
        <v>4</v>
      </c>
      <c r="J43" s="470">
        <v>5</v>
      </c>
      <c r="K43" s="481">
        <v>6</v>
      </c>
      <c r="L43" s="469">
        <v>7</v>
      </c>
      <c r="M43" s="469">
        <v>8</v>
      </c>
      <c r="N43" s="470">
        <v>9</v>
      </c>
      <c r="AB43" s="472" t="s">
        <v>276</v>
      </c>
    </row>
    <row r="44" spans="1:28" x14ac:dyDescent="0.2">
      <c r="A44" s="463" t="str">
        <f t="shared" ca="1" si="1"/>
        <v/>
      </c>
      <c r="B44" s="463" t="str">
        <f t="shared" ca="1" si="1"/>
        <v/>
      </c>
      <c r="E44" s="463" t="s">
        <v>230</v>
      </c>
      <c r="F44" s="476">
        <v>7</v>
      </c>
      <c r="G44" s="469">
        <v>9</v>
      </c>
      <c r="H44" s="469">
        <v>11</v>
      </c>
      <c r="I44" s="469">
        <v>8</v>
      </c>
      <c r="J44" s="470">
        <v>10</v>
      </c>
      <c r="AB44" s="472" t="s">
        <v>277</v>
      </c>
    </row>
    <row r="45" spans="1:28" x14ac:dyDescent="0.2">
      <c r="A45" s="463" t="str">
        <f t="shared" ca="1" si="1"/>
        <v/>
      </c>
      <c r="B45" s="463" t="str">
        <f t="shared" ca="1" si="1"/>
        <v/>
      </c>
      <c r="E45" s="463" t="s">
        <v>231</v>
      </c>
      <c r="F45" s="468">
        <v>10</v>
      </c>
      <c r="G45" s="477">
        <v>1</v>
      </c>
      <c r="H45" s="477">
        <v>4</v>
      </c>
      <c r="I45" s="470">
        <v>2</v>
      </c>
      <c r="K45" s="481">
        <v>11</v>
      </c>
      <c r="L45" s="477">
        <v>6</v>
      </c>
      <c r="M45" s="477">
        <v>5</v>
      </c>
      <c r="N45" s="482">
        <v>3</v>
      </c>
      <c r="AB45" s="472" t="s">
        <v>278</v>
      </c>
    </row>
    <row r="46" spans="1:28" ht="15" x14ac:dyDescent="0.2">
      <c r="A46" s="463" t="str">
        <f t="shared" ca="1" si="1"/>
        <v/>
      </c>
      <c r="B46" s="463" t="str">
        <f t="shared" ca="1" si="1"/>
        <v/>
      </c>
      <c r="AB46" s="483" t="s">
        <v>279</v>
      </c>
    </row>
    <row r="47" spans="1:28" x14ac:dyDescent="0.2">
      <c r="A47" s="463" t="str">
        <f t="shared" ref="A47:B66" ca="1" si="2">IF(INDIRECT(ADDRESS(A$6,ROW()-ROW(A$6)-1+COLUMN($F$8)))&gt;0,INDIRECT(ADDRESS(A$6,ROW()-ROW(A$6)-1+COLUMN($F$8))),"")</f>
        <v/>
      </c>
      <c r="B47" s="463" t="str">
        <f t="shared" ca="1" si="2"/>
        <v/>
      </c>
      <c r="D47" s="307">
        <v>12</v>
      </c>
      <c r="E47" s="467" t="s">
        <v>248</v>
      </c>
      <c r="AB47" s="484" t="s">
        <v>280</v>
      </c>
    </row>
    <row r="48" spans="1:28" x14ac:dyDescent="0.2">
      <c r="A48" s="463" t="str">
        <f t="shared" ca="1" si="2"/>
        <v/>
      </c>
      <c r="B48" s="463" t="str">
        <f t="shared" ca="1" si="2"/>
        <v/>
      </c>
      <c r="E48" s="463" t="s">
        <v>196</v>
      </c>
      <c r="F48" s="468">
        <v>1</v>
      </c>
      <c r="G48" s="469">
        <v>2</v>
      </c>
      <c r="H48" s="469">
        <v>3</v>
      </c>
      <c r="I48" s="470">
        <v>4</v>
      </c>
      <c r="K48" s="468">
        <v>5</v>
      </c>
      <c r="L48" s="469">
        <v>6</v>
      </c>
      <c r="M48" s="469">
        <v>7</v>
      </c>
      <c r="N48" s="470">
        <v>8</v>
      </c>
      <c r="P48" s="468">
        <v>9</v>
      </c>
      <c r="Q48" s="469">
        <v>10</v>
      </c>
      <c r="R48" s="469">
        <v>11</v>
      </c>
      <c r="S48" s="470">
        <v>12</v>
      </c>
    </row>
    <row r="49" spans="1:20" x14ac:dyDescent="0.2">
      <c r="A49" s="463" t="str">
        <f t="shared" ca="1" si="2"/>
        <v/>
      </c>
      <c r="B49" s="463" t="str">
        <f t="shared" ca="1" si="2"/>
        <v/>
      </c>
      <c r="E49" s="463" t="s">
        <v>230</v>
      </c>
      <c r="F49" s="468">
        <v>4</v>
      </c>
      <c r="G49" s="477">
        <v>11</v>
      </c>
      <c r="H49" s="477">
        <v>9</v>
      </c>
      <c r="I49" s="470">
        <v>5</v>
      </c>
      <c r="K49" s="468">
        <v>8</v>
      </c>
      <c r="L49" s="477">
        <v>3</v>
      </c>
      <c r="M49" s="477">
        <v>1</v>
      </c>
      <c r="N49" s="470">
        <v>10</v>
      </c>
      <c r="P49" s="468">
        <v>12</v>
      </c>
      <c r="Q49" s="477">
        <v>7</v>
      </c>
      <c r="R49" s="477">
        <v>2</v>
      </c>
      <c r="S49" s="470">
        <v>6</v>
      </c>
    </row>
    <row r="50" spans="1:20" x14ac:dyDescent="0.2">
      <c r="A50" s="463" t="str">
        <f t="shared" ca="1" si="2"/>
        <v/>
      </c>
      <c r="B50" s="463" t="str">
        <f t="shared" ca="1" si="2"/>
        <v/>
      </c>
    </row>
    <row r="51" spans="1:20" x14ac:dyDescent="0.2">
      <c r="A51" s="463" t="str">
        <f t="shared" ca="1" si="2"/>
        <v/>
      </c>
      <c r="B51" s="463" t="str">
        <f t="shared" ca="1" si="2"/>
        <v/>
      </c>
    </row>
    <row r="52" spans="1:20" x14ac:dyDescent="0.2">
      <c r="A52" s="463" t="str">
        <f t="shared" ca="1" si="2"/>
        <v/>
      </c>
      <c r="B52" s="463" t="str">
        <f t="shared" ca="1" si="2"/>
        <v/>
      </c>
      <c r="D52" s="307">
        <v>13</v>
      </c>
      <c r="E52" s="467" t="s">
        <v>248</v>
      </c>
    </row>
    <row r="53" spans="1:20" x14ac:dyDescent="0.2">
      <c r="A53" s="463" t="str">
        <f t="shared" ca="1" si="2"/>
        <v/>
      </c>
      <c r="B53" s="463" t="str">
        <f t="shared" ca="1" si="2"/>
        <v/>
      </c>
      <c r="E53" s="463" t="s">
        <v>196</v>
      </c>
      <c r="F53" s="468">
        <v>1</v>
      </c>
      <c r="G53" s="469">
        <v>2</v>
      </c>
      <c r="H53" s="469">
        <v>3</v>
      </c>
      <c r="I53" s="469">
        <v>4</v>
      </c>
      <c r="J53" s="470">
        <v>5</v>
      </c>
      <c r="K53" s="481">
        <v>6</v>
      </c>
      <c r="L53" s="469">
        <v>7</v>
      </c>
      <c r="M53" s="469">
        <v>8</v>
      </c>
      <c r="N53" s="470">
        <v>9</v>
      </c>
      <c r="P53" s="468">
        <v>10</v>
      </c>
      <c r="Q53" s="469">
        <v>11</v>
      </c>
      <c r="R53" s="469">
        <v>12</v>
      </c>
      <c r="S53" s="470">
        <v>13</v>
      </c>
    </row>
    <row r="54" spans="1:20" x14ac:dyDescent="0.2">
      <c r="A54" s="463" t="str">
        <f t="shared" ca="1" si="2"/>
        <v/>
      </c>
      <c r="B54" s="463" t="str">
        <f t="shared" ca="1" si="2"/>
        <v/>
      </c>
      <c r="E54" s="463" t="s">
        <v>230</v>
      </c>
      <c r="F54" s="468">
        <v>4</v>
      </c>
      <c r="G54" s="477">
        <v>13</v>
      </c>
      <c r="H54" s="477">
        <v>6</v>
      </c>
      <c r="I54" s="477">
        <v>12</v>
      </c>
      <c r="J54" s="470">
        <v>7</v>
      </c>
      <c r="K54" s="481">
        <v>3</v>
      </c>
      <c r="L54" s="477">
        <v>8</v>
      </c>
      <c r="M54" s="477">
        <v>2</v>
      </c>
      <c r="N54" s="470">
        <v>10</v>
      </c>
      <c r="P54" s="468">
        <v>11</v>
      </c>
      <c r="Q54" s="477">
        <v>5</v>
      </c>
      <c r="R54" s="477">
        <v>9</v>
      </c>
      <c r="S54" s="470">
        <v>1</v>
      </c>
    </row>
    <row r="55" spans="1:20" x14ac:dyDescent="0.2">
      <c r="A55" s="463" t="str">
        <f t="shared" ca="1" si="2"/>
        <v/>
      </c>
      <c r="B55" s="463" t="str">
        <f t="shared" ca="1" si="2"/>
        <v/>
      </c>
    </row>
    <row r="56" spans="1:20" x14ac:dyDescent="0.2">
      <c r="A56" s="463" t="str">
        <f t="shared" ca="1" si="2"/>
        <v/>
      </c>
      <c r="B56" s="463" t="str">
        <f t="shared" ca="1" si="2"/>
        <v/>
      </c>
    </row>
    <row r="57" spans="1:20" x14ac:dyDescent="0.2">
      <c r="A57" s="463" t="str">
        <f t="shared" ca="1" si="2"/>
        <v/>
      </c>
      <c r="B57" s="463" t="str">
        <f t="shared" ca="1" si="2"/>
        <v/>
      </c>
      <c r="D57" s="307">
        <v>14</v>
      </c>
      <c r="E57" s="467" t="s">
        <v>248</v>
      </c>
    </row>
    <row r="58" spans="1:20" x14ac:dyDescent="0.2">
      <c r="A58" s="463" t="str">
        <f t="shared" ca="1" si="2"/>
        <v/>
      </c>
      <c r="B58" s="463" t="str">
        <f t="shared" ca="1" si="2"/>
        <v/>
      </c>
      <c r="E58" s="463" t="s">
        <v>196</v>
      </c>
      <c r="F58" s="468">
        <v>1</v>
      </c>
      <c r="G58" s="469">
        <v>2</v>
      </c>
      <c r="H58" s="469">
        <v>3</v>
      </c>
      <c r="I58" s="469">
        <v>4</v>
      </c>
      <c r="J58" s="470">
        <v>5</v>
      </c>
      <c r="K58" s="481">
        <v>6</v>
      </c>
      <c r="L58" s="469">
        <v>7</v>
      </c>
      <c r="M58" s="469">
        <v>8</v>
      </c>
      <c r="N58" s="469">
        <v>9</v>
      </c>
      <c r="O58" s="470">
        <v>10</v>
      </c>
      <c r="P58" s="481">
        <v>11</v>
      </c>
      <c r="Q58" s="469">
        <v>12</v>
      </c>
      <c r="R58" s="469">
        <v>13</v>
      </c>
      <c r="S58" s="470">
        <v>14</v>
      </c>
    </row>
    <row r="59" spans="1:20" x14ac:dyDescent="0.2">
      <c r="A59" s="463" t="str">
        <f t="shared" ca="1" si="2"/>
        <v/>
      </c>
      <c r="B59" s="463" t="str">
        <f t="shared" ca="1" si="2"/>
        <v/>
      </c>
      <c r="E59" s="463" t="s">
        <v>230</v>
      </c>
      <c r="F59" s="468">
        <v>5</v>
      </c>
      <c r="G59" s="477">
        <v>3</v>
      </c>
      <c r="H59" s="477">
        <v>12</v>
      </c>
      <c r="I59" s="477">
        <v>7</v>
      </c>
      <c r="J59" s="470">
        <v>11</v>
      </c>
      <c r="K59" s="481">
        <v>9</v>
      </c>
      <c r="L59" s="477">
        <v>13</v>
      </c>
      <c r="M59" s="477">
        <v>2</v>
      </c>
      <c r="N59" s="477">
        <v>8</v>
      </c>
      <c r="O59" s="470">
        <v>1</v>
      </c>
      <c r="P59" s="481">
        <v>14</v>
      </c>
      <c r="Q59" s="477">
        <v>10</v>
      </c>
      <c r="R59" s="477">
        <v>4</v>
      </c>
      <c r="S59" s="470">
        <v>6</v>
      </c>
    </row>
    <row r="60" spans="1:20" x14ac:dyDescent="0.2">
      <c r="A60" s="463" t="str">
        <f t="shared" ca="1" si="2"/>
        <v/>
      </c>
      <c r="B60" s="463" t="str">
        <f t="shared" ca="1" si="2"/>
        <v/>
      </c>
    </row>
    <row r="61" spans="1:20" x14ac:dyDescent="0.2">
      <c r="A61" s="463" t="str">
        <f t="shared" ca="1" si="2"/>
        <v/>
      </c>
      <c r="B61" s="463" t="str">
        <f t="shared" ca="1" si="2"/>
        <v/>
      </c>
    </row>
    <row r="62" spans="1:20" x14ac:dyDescent="0.2">
      <c r="A62" s="463" t="str">
        <f t="shared" ca="1" si="2"/>
        <v/>
      </c>
      <c r="B62" s="463" t="str">
        <f t="shared" ca="1" si="2"/>
        <v/>
      </c>
      <c r="D62" s="307">
        <v>15</v>
      </c>
      <c r="E62" s="467" t="s">
        <v>248</v>
      </c>
    </row>
    <row r="63" spans="1:20" x14ac:dyDescent="0.2">
      <c r="A63" s="463" t="str">
        <f t="shared" ca="1" si="2"/>
        <v/>
      </c>
      <c r="B63" s="463" t="str">
        <f t="shared" ca="1" si="2"/>
        <v/>
      </c>
      <c r="E63" s="463" t="s">
        <v>196</v>
      </c>
      <c r="F63" s="468">
        <v>1</v>
      </c>
      <c r="G63" s="469">
        <v>2</v>
      </c>
      <c r="H63" s="469">
        <v>3</v>
      </c>
      <c r="I63" s="469">
        <v>4</v>
      </c>
      <c r="J63" s="470">
        <v>5</v>
      </c>
      <c r="K63" s="481">
        <v>6</v>
      </c>
      <c r="L63" s="469">
        <v>7</v>
      </c>
      <c r="M63" s="469">
        <v>8</v>
      </c>
      <c r="N63" s="469">
        <v>9</v>
      </c>
      <c r="O63" s="470">
        <v>10</v>
      </c>
      <c r="P63" s="481">
        <v>11</v>
      </c>
      <c r="Q63" s="469">
        <v>12</v>
      </c>
      <c r="R63" s="469">
        <v>13</v>
      </c>
      <c r="S63" s="469">
        <v>14</v>
      </c>
      <c r="T63" s="470">
        <v>15</v>
      </c>
    </row>
    <row r="64" spans="1:20" x14ac:dyDescent="0.2">
      <c r="A64" s="463" t="str">
        <f t="shared" ca="1" si="2"/>
        <v/>
      </c>
      <c r="B64" s="463" t="str">
        <f t="shared" ca="1" si="2"/>
        <v/>
      </c>
      <c r="E64" s="463" t="s">
        <v>230</v>
      </c>
      <c r="F64" s="468">
        <v>9</v>
      </c>
      <c r="G64" s="477">
        <v>13</v>
      </c>
      <c r="H64" s="477">
        <v>7</v>
      </c>
      <c r="I64" s="477">
        <v>11</v>
      </c>
      <c r="J64" s="470">
        <v>1</v>
      </c>
      <c r="K64" s="481">
        <v>14</v>
      </c>
      <c r="L64" s="477">
        <v>5</v>
      </c>
      <c r="M64" s="477">
        <v>12</v>
      </c>
      <c r="N64" s="477">
        <v>6</v>
      </c>
      <c r="O64" s="470">
        <v>2</v>
      </c>
      <c r="P64" s="481">
        <v>15</v>
      </c>
      <c r="Q64" s="477">
        <v>4</v>
      </c>
      <c r="R64" s="477">
        <v>10</v>
      </c>
      <c r="S64" s="477">
        <v>8</v>
      </c>
      <c r="T64" s="470">
        <v>3</v>
      </c>
    </row>
    <row r="65" spans="1:24" x14ac:dyDescent="0.2">
      <c r="A65" s="463" t="str">
        <f t="shared" ca="1" si="2"/>
        <v/>
      </c>
      <c r="B65" s="463" t="str">
        <f t="shared" ca="1" si="2"/>
        <v/>
      </c>
    </row>
    <row r="66" spans="1:24" x14ac:dyDescent="0.2">
      <c r="A66" s="463" t="str">
        <f t="shared" ca="1" si="2"/>
        <v/>
      </c>
      <c r="B66" s="463" t="str">
        <f t="shared" ca="1" si="2"/>
        <v/>
      </c>
    </row>
    <row r="67" spans="1:24" x14ac:dyDescent="0.2">
      <c r="A67" s="463" t="str">
        <f t="shared" ref="A67:B86" ca="1" si="3">IF(INDIRECT(ADDRESS(A$6,ROW()-ROW(A$6)-1+COLUMN($F$8)))&gt;0,INDIRECT(ADDRESS(A$6,ROW()-ROW(A$6)-1+COLUMN($F$8))),"")</f>
        <v/>
      </c>
      <c r="B67" s="463" t="str">
        <f t="shared" ca="1" si="3"/>
        <v/>
      </c>
      <c r="D67" s="307">
        <v>16</v>
      </c>
      <c r="E67" s="467" t="s">
        <v>248</v>
      </c>
    </row>
    <row r="68" spans="1:24" x14ac:dyDescent="0.2">
      <c r="A68" s="463" t="str">
        <f t="shared" ca="1" si="3"/>
        <v/>
      </c>
      <c r="B68" s="463" t="str">
        <f t="shared" ca="1" si="3"/>
        <v/>
      </c>
      <c r="E68" s="463" t="s">
        <v>196</v>
      </c>
      <c r="F68" s="468">
        <v>1</v>
      </c>
      <c r="G68" s="469">
        <v>2</v>
      </c>
      <c r="H68" s="469">
        <v>3</v>
      </c>
      <c r="I68" s="470">
        <v>4</v>
      </c>
      <c r="K68" s="468">
        <v>5</v>
      </c>
      <c r="L68" s="469">
        <v>6</v>
      </c>
      <c r="M68" s="469">
        <v>7</v>
      </c>
      <c r="N68" s="470">
        <v>8</v>
      </c>
      <c r="P68" s="468">
        <v>9</v>
      </c>
      <c r="Q68" s="469">
        <v>10</v>
      </c>
      <c r="R68" s="469">
        <v>11</v>
      </c>
      <c r="S68" s="470">
        <v>12</v>
      </c>
      <c r="U68" s="468">
        <v>13</v>
      </c>
      <c r="V68" s="469">
        <v>14</v>
      </c>
      <c r="W68" s="469">
        <v>15</v>
      </c>
      <c r="X68" s="470">
        <v>16</v>
      </c>
    </row>
    <row r="69" spans="1:24" x14ac:dyDescent="0.2">
      <c r="A69" s="463" t="str">
        <f t="shared" ca="1" si="3"/>
        <v/>
      </c>
      <c r="B69" s="463" t="str">
        <f t="shared" ca="1" si="3"/>
        <v/>
      </c>
      <c r="E69" s="463" t="s">
        <v>230</v>
      </c>
      <c r="F69" s="468">
        <v>16</v>
      </c>
      <c r="G69" s="477">
        <v>11</v>
      </c>
      <c r="H69" s="477">
        <v>6</v>
      </c>
      <c r="I69" s="470">
        <v>1</v>
      </c>
      <c r="K69" s="468">
        <v>12</v>
      </c>
      <c r="L69" s="477">
        <v>15</v>
      </c>
      <c r="M69" s="477">
        <v>2</v>
      </c>
      <c r="N69" s="470">
        <v>5</v>
      </c>
      <c r="P69" s="468">
        <v>8</v>
      </c>
      <c r="Q69" s="477">
        <v>3</v>
      </c>
      <c r="R69" s="477">
        <v>14</v>
      </c>
      <c r="S69" s="470">
        <v>9</v>
      </c>
      <c r="U69" s="468">
        <v>4</v>
      </c>
      <c r="V69" s="477">
        <v>7</v>
      </c>
      <c r="W69" s="477">
        <v>10</v>
      </c>
      <c r="X69" s="470">
        <v>13</v>
      </c>
    </row>
    <row r="70" spans="1:24" x14ac:dyDescent="0.2">
      <c r="A70" s="463" t="str">
        <f t="shared" ca="1" si="3"/>
        <v/>
      </c>
      <c r="B70" s="463" t="str">
        <f t="shared" ca="1" si="3"/>
        <v/>
      </c>
    </row>
    <row r="71" spans="1:24" x14ac:dyDescent="0.2">
      <c r="A71" s="463" t="str">
        <f t="shared" ca="1" si="3"/>
        <v/>
      </c>
      <c r="B71" s="463" t="str">
        <f t="shared" ca="1" si="3"/>
        <v/>
      </c>
    </row>
    <row r="72" spans="1:24" x14ac:dyDescent="0.2">
      <c r="A72" s="463" t="str">
        <f t="shared" ca="1" si="3"/>
        <v/>
      </c>
      <c r="B72" s="463" t="str">
        <f t="shared" ca="1" si="3"/>
        <v/>
      </c>
      <c r="D72" s="307">
        <v>17</v>
      </c>
      <c r="E72" s="467" t="s">
        <v>248</v>
      </c>
    </row>
    <row r="73" spans="1:24" x14ac:dyDescent="0.2">
      <c r="A73" s="463" t="str">
        <f t="shared" ca="1" si="3"/>
        <v/>
      </c>
      <c r="B73" s="463" t="str">
        <f t="shared" ca="1" si="3"/>
        <v/>
      </c>
      <c r="E73" s="463" t="s">
        <v>196</v>
      </c>
      <c r="F73" s="468">
        <v>1</v>
      </c>
      <c r="G73" s="469">
        <v>2</v>
      </c>
      <c r="H73" s="469">
        <v>3</v>
      </c>
      <c r="I73" s="469">
        <v>4</v>
      </c>
      <c r="J73" s="470">
        <v>5</v>
      </c>
      <c r="K73" s="481">
        <v>6</v>
      </c>
      <c r="L73" s="469">
        <v>7</v>
      </c>
      <c r="M73" s="469">
        <v>8</v>
      </c>
      <c r="N73" s="470">
        <v>9</v>
      </c>
      <c r="P73" s="468">
        <v>10</v>
      </c>
      <c r="Q73" s="469">
        <v>11</v>
      </c>
      <c r="R73" s="469">
        <v>12</v>
      </c>
      <c r="S73" s="470">
        <v>13</v>
      </c>
      <c r="U73" s="468">
        <v>14</v>
      </c>
      <c r="V73" s="469">
        <v>15</v>
      </c>
      <c r="W73" s="469">
        <v>16</v>
      </c>
      <c r="X73" s="470">
        <v>17</v>
      </c>
    </row>
    <row r="74" spans="1:24" x14ac:dyDescent="0.2">
      <c r="A74" s="463" t="str">
        <f t="shared" ca="1" si="3"/>
        <v/>
      </c>
      <c r="B74" s="463" t="str">
        <f t="shared" ca="1" si="3"/>
        <v/>
      </c>
      <c r="E74" s="463" t="s">
        <v>230</v>
      </c>
      <c r="F74" s="468">
        <v>5</v>
      </c>
      <c r="G74" s="477">
        <v>3</v>
      </c>
      <c r="H74" s="477">
        <v>7</v>
      </c>
      <c r="I74" s="477">
        <v>14</v>
      </c>
      <c r="J74" s="470">
        <v>10</v>
      </c>
      <c r="K74" s="481">
        <v>4</v>
      </c>
      <c r="L74" s="477">
        <v>12</v>
      </c>
      <c r="M74" s="477">
        <v>15</v>
      </c>
      <c r="N74" s="470">
        <v>6</v>
      </c>
      <c r="P74" s="468">
        <v>9</v>
      </c>
      <c r="Q74" s="477">
        <v>16</v>
      </c>
      <c r="R74" s="477">
        <v>11</v>
      </c>
      <c r="S74" s="470">
        <v>1</v>
      </c>
      <c r="U74" s="468">
        <v>17</v>
      </c>
      <c r="V74" s="477">
        <v>13</v>
      </c>
      <c r="W74" s="477">
        <v>2</v>
      </c>
      <c r="X74" s="470">
        <v>8</v>
      </c>
    </row>
    <row r="75" spans="1:24" x14ac:dyDescent="0.2">
      <c r="A75" s="463" t="str">
        <f t="shared" ca="1" si="3"/>
        <v/>
      </c>
      <c r="B75" s="463" t="str">
        <f t="shared" ca="1" si="3"/>
        <v/>
      </c>
    </row>
    <row r="76" spans="1:24" x14ac:dyDescent="0.2">
      <c r="A76" s="463" t="str">
        <f t="shared" ca="1" si="3"/>
        <v/>
      </c>
      <c r="B76" s="463" t="str">
        <f t="shared" ca="1" si="3"/>
        <v/>
      </c>
    </row>
    <row r="77" spans="1:24" x14ac:dyDescent="0.2">
      <c r="A77" s="463" t="str">
        <f t="shared" ca="1" si="3"/>
        <v/>
      </c>
      <c r="B77" s="463" t="str">
        <f t="shared" ca="1" si="3"/>
        <v/>
      </c>
      <c r="D77" s="307">
        <v>18</v>
      </c>
      <c r="E77" s="467" t="s">
        <v>248</v>
      </c>
    </row>
    <row r="78" spans="1:24" x14ac:dyDescent="0.2">
      <c r="A78" s="463" t="str">
        <f t="shared" ca="1" si="3"/>
        <v/>
      </c>
      <c r="B78" s="463" t="str">
        <f t="shared" ca="1" si="3"/>
        <v/>
      </c>
      <c r="E78" s="463" t="s">
        <v>196</v>
      </c>
      <c r="F78" s="468">
        <v>1</v>
      </c>
      <c r="G78" s="469">
        <v>2</v>
      </c>
      <c r="H78" s="469">
        <v>3</v>
      </c>
      <c r="I78" s="469">
        <v>4</v>
      </c>
      <c r="J78" s="470">
        <v>5</v>
      </c>
      <c r="K78" s="481">
        <v>6</v>
      </c>
      <c r="L78" s="469">
        <v>7</v>
      </c>
      <c r="M78" s="469">
        <v>8</v>
      </c>
      <c r="N78" s="469">
        <v>9</v>
      </c>
      <c r="O78" s="470">
        <v>10</v>
      </c>
      <c r="P78" s="481">
        <v>11</v>
      </c>
      <c r="Q78" s="469">
        <v>12</v>
      </c>
      <c r="R78" s="469">
        <v>13</v>
      </c>
      <c r="S78" s="470">
        <v>14</v>
      </c>
      <c r="U78" s="468">
        <v>15</v>
      </c>
      <c r="V78" s="469">
        <v>16</v>
      </c>
      <c r="W78" s="469">
        <v>17</v>
      </c>
      <c r="X78" s="470">
        <v>18</v>
      </c>
    </row>
    <row r="79" spans="1:24" x14ac:dyDescent="0.2">
      <c r="A79" s="463" t="str">
        <f t="shared" ca="1" si="3"/>
        <v/>
      </c>
      <c r="B79" s="463" t="str">
        <f t="shared" ca="1" si="3"/>
        <v/>
      </c>
      <c r="E79" s="463" t="s">
        <v>230</v>
      </c>
      <c r="F79" s="468">
        <v>9</v>
      </c>
      <c r="G79" s="477">
        <v>5</v>
      </c>
      <c r="H79" s="477">
        <v>7</v>
      </c>
      <c r="I79" s="477">
        <v>15</v>
      </c>
      <c r="J79" s="470">
        <v>11</v>
      </c>
      <c r="K79" s="481">
        <v>4</v>
      </c>
      <c r="L79" s="477">
        <v>13</v>
      </c>
      <c r="M79" s="477">
        <v>16</v>
      </c>
      <c r="N79" s="477">
        <v>6</v>
      </c>
      <c r="O79" s="470">
        <v>1</v>
      </c>
      <c r="P79" s="481">
        <v>10</v>
      </c>
      <c r="Q79" s="477">
        <v>17</v>
      </c>
      <c r="R79" s="477">
        <v>12</v>
      </c>
      <c r="S79" s="470">
        <v>2</v>
      </c>
      <c r="U79" s="468">
        <v>18</v>
      </c>
      <c r="V79" s="477">
        <v>8</v>
      </c>
      <c r="W79" s="477">
        <v>14</v>
      </c>
      <c r="X79" s="470">
        <v>3</v>
      </c>
    </row>
    <row r="80" spans="1:24" x14ac:dyDescent="0.2">
      <c r="A80" s="463" t="str">
        <f t="shared" ca="1" si="3"/>
        <v/>
      </c>
      <c r="B80" s="463" t="str">
        <f t="shared" ca="1" si="3"/>
        <v/>
      </c>
    </row>
    <row r="81" spans="1:29" x14ac:dyDescent="0.2">
      <c r="A81" s="463" t="str">
        <f t="shared" ca="1" si="3"/>
        <v/>
      </c>
      <c r="B81" s="463" t="str">
        <f t="shared" ca="1" si="3"/>
        <v/>
      </c>
    </row>
    <row r="82" spans="1:29" x14ac:dyDescent="0.2">
      <c r="A82" s="463" t="str">
        <f t="shared" ca="1" si="3"/>
        <v/>
      </c>
      <c r="B82" s="463" t="str">
        <f t="shared" ca="1" si="3"/>
        <v/>
      </c>
      <c r="D82" s="307">
        <v>19</v>
      </c>
      <c r="E82" s="467" t="s">
        <v>248</v>
      </c>
    </row>
    <row r="83" spans="1:29" x14ac:dyDescent="0.2">
      <c r="A83" s="463" t="str">
        <f t="shared" ca="1" si="3"/>
        <v/>
      </c>
      <c r="B83" s="463" t="str">
        <f t="shared" ca="1" si="3"/>
        <v/>
      </c>
      <c r="E83" s="463" t="s">
        <v>196</v>
      </c>
      <c r="F83" s="468">
        <v>1</v>
      </c>
      <c r="G83" s="469">
        <v>2</v>
      </c>
      <c r="H83" s="469">
        <v>3</v>
      </c>
      <c r="I83" s="469">
        <v>4</v>
      </c>
      <c r="J83" s="470">
        <v>5</v>
      </c>
      <c r="K83" s="481">
        <v>6</v>
      </c>
      <c r="L83" s="469">
        <v>7</v>
      </c>
      <c r="M83" s="469">
        <v>8</v>
      </c>
      <c r="N83" s="469">
        <v>9</v>
      </c>
      <c r="O83" s="470">
        <v>10</v>
      </c>
      <c r="P83" s="481">
        <v>11</v>
      </c>
      <c r="Q83" s="469">
        <v>12</v>
      </c>
      <c r="R83" s="469">
        <v>13</v>
      </c>
      <c r="S83" s="469">
        <v>14</v>
      </c>
      <c r="T83" s="470">
        <v>15</v>
      </c>
      <c r="U83" s="481">
        <v>16</v>
      </c>
      <c r="V83" s="469">
        <v>17</v>
      </c>
      <c r="W83" s="469">
        <v>18</v>
      </c>
      <c r="X83" s="470">
        <v>19</v>
      </c>
    </row>
    <row r="84" spans="1:29" x14ac:dyDescent="0.2">
      <c r="A84" s="463" t="str">
        <f t="shared" ca="1" si="3"/>
        <v/>
      </c>
      <c r="B84" s="463" t="str">
        <f t="shared" ca="1" si="3"/>
        <v/>
      </c>
      <c r="E84" s="463" t="s">
        <v>230</v>
      </c>
      <c r="F84" s="468">
        <v>4</v>
      </c>
      <c r="G84" s="477">
        <v>18</v>
      </c>
      <c r="H84" s="477">
        <v>7</v>
      </c>
      <c r="I84" s="477">
        <v>11</v>
      </c>
      <c r="J84" s="470">
        <v>6</v>
      </c>
      <c r="K84" s="481">
        <v>19</v>
      </c>
      <c r="L84" s="477">
        <v>9</v>
      </c>
      <c r="M84" s="477">
        <v>12</v>
      </c>
      <c r="N84" s="477">
        <v>3</v>
      </c>
      <c r="O84" s="470">
        <v>1</v>
      </c>
      <c r="P84" s="481">
        <v>15</v>
      </c>
      <c r="Q84" s="477">
        <v>13</v>
      </c>
      <c r="R84" s="477">
        <v>17</v>
      </c>
      <c r="S84" s="477">
        <v>2</v>
      </c>
      <c r="T84" s="470">
        <v>8</v>
      </c>
      <c r="U84" s="481">
        <v>14</v>
      </c>
      <c r="V84" s="477">
        <v>10</v>
      </c>
      <c r="W84" s="477">
        <v>5</v>
      </c>
      <c r="X84" s="470">
        <v>16</v>
      </c>
    </row>
    <row r="85" spans="1:29" x14ac:dyDescent="0.2">
      <c r="A85" s="463" t="str">
        <f t="shared" ca="1" si="3"/>
        <v/>
      </c>
      <c r="B85" s="463" t="str">
        <f t="shared" ca="1" si="3"/>
        <v/>
      </c>
    </row>
    <row r="86" spans="1:29" x14ac:dyDescent="0.2">
      <c r="A86" s="463" t="str">
        <f t="shared" ca="1" si="3"/>
        <v/>
      </c>
      <c r="B86" s="463" t="str">
        <f t="shared" ca="1" si="3"/>
        <v/>
      </c>
    </row>
    <row r="87" spans="1:29" x14ac:dyDescent="0.2">
      <c r="A87" s="463" t="str">
        <f t="shared" ref="A87:B106" ca="1" si="4">IF(INDIRECT(ADDRESS(A$6,ROW()-ROW(A$6)-1+COLUMN($F$8)))&gt;0,INDIRECT(ADDRESS(A$6,ROW()-ROW(A$6)-1+COLUMN($F$8))),"")</f>
        <v/>
      </c>
      <c r="B87" s="463" t="str">
        <f t="shared" ca="1" si="4"/>
        <v/>
      </c>
      <c r="D87" s="307">
        <v>20</v>
      </c>
      <c r="E87" s="467" t="s">
        <v>248</v>
      </c>
    </row>
    <row r="88" spans="1:29" x14ac:dyDescent="0.2">
      <c r="A88" s="463" t="str">
        <f t="shared" ca="1" si="4"/>
        <v/>
      </c>
      <c r="B88" s="463" t="str">
        <f t="shared" ca="1" si="4"/>
        <v/>
      </c>
      <c r="E88" s="463" t="s">
        <v>196</v>
      </c>
      <c r="F88" s="468">
        <v>1</v>
      </c>
      <c r="G88" s="469">
        <v>2</v>
      </c>
      <c r="H88" s="469">
        <v>3</v>
      </c>
      <c r="I88" s="469">
        <v>4</v>
      </c>
      <c r="J88" s="470">
        <v>5</v>
      </c>
      <c r="K88" s="481">
        <v>6</v>
      </c>
      <c r="L88" s="469">
        <v>7</v>
      </c>
      <c r="M88" s="469">
        <v>8</v>
      </c>
      <c r="N88" s="469">
        <v>9</v>
      </c>
      <c r="O88" s="470">
        <v>10</v>
      </c>
      <c r="P88" s="481">
        <v>11</v>
      </c>
      <c r="Q88" s="469">
        <v>12</v>
      </c>
      <c r="R88" s="469">
        <v>13</v>
      </c>
      <c r="S88" s="469">
        <v>14</v>
      </c>
      <c r="T88" s="470">
        <v>15</v>
      </c>
      <c r="U88" s="481">
        <v>16</v>
      </c>
      <c r="V88" s="469">
        <v>17</v>
      </c>
      <c r="W88" s="469">
        <v>18</v>
      </c>
      <c r="X88" s="469">
        <v>19</v>
      </c>
      <c r="Y88" s="470">
        <v>20</v>
      </c>
    </row>
    <row r="89" spans="1:29" x14ac:dyDescent="0.2">
      <c r="A89" s="463" t="str">
        <f t="shared" ca="1" si="4"/>
        <v/>
      </c>
      <c r="B89" s="463" t="str">
        <f t="shared" ca="1" si="4"/>
        <v/>
      </c>
      <c r="E89" s="463" t="s">
        <v>230</v>
      </c>
      <c r="F89" s="468">
        <v>9</v>
      </c>
      <c r="G89" s="477">
        <v>4</v>
      </c>
      <c r="H89" s="477">
        <v>12</v>
      </c>
      <c r="I89" s="477">
        <v>16</v>
      </c>
      <c r="J89" s="470">
        <v>11</v>
      </c>
      <c r="K89" s="481">
        <v>14</v>
      </c>
      <c r="L89" s="477">
        <v>18</v>
      </c>
      <c r="M89" s="477">
        <v>7</v>
      </c>
      <c r="N89" s="477">
        <v>2</v>
      </c>
      <c r="O89" s="470">
        <v>6</v>
      </c>
      <c r="P89" s="481">
        <v>19</v>
      </c>
      <c r="Q89" s="477">
        <v>10</v>
      </c>
      <c r="R89" s="477">
        <v>17</v>
      </c>
      <c r="S89" s="477">
        <v>13</v>
      </c>
      <c r="T89" s="470">
        <v>1</v>
      </c>
      <c r="U89" s="481">
        <v>20</v>
      </c>
      <c r="V89" s="477">
        <v>15</v>
      </c>
      <c r="W89" s="477">
        <v>5</v>
      </c>
      <c r="X89" s="477">
        <v>8</v>
      </c>
      <c r="Y89" s="470">
        <v>3</v>
      </c>
    </row>
    <row r="90" spans="1:29" x14ac:dyDescent="0.2">
      <c r="A90" s="463" t="str">
        <f t="shared" ca="1" si="4"/>
        <v/>
      </c>
      <c r="B90" s="463" t="str">
        <f t="shared" ca="1" si="4"/>
        <v/>
      </c>
    </row>
    <row r="91" spans="1:29" x14ac:dyDescent="0.2">
      <c r="A91" s="463" t="str">
        <f t="shared" ca="1" si="4"/>
        <v/>
      </c>
      <c r="B91" s="463" t="str">
        <f t="shared" ca="1" si="4"/>
        <v/>
      </c>
    </row>
    <row r="92" spans="1:29" x14ac:dyDescent="0.2">
      <c r="A92" s="463" t="str">
        <f t="shared" ca="1" si="4"/>
        <v/>
      </c>
      <c r="B92" s="463" t="str">
        <f t="shared" ca="1" si="4"/>
        <v/>
      </c>
      <c r="D92" s="307">
        <v>21</v>
      </c>
      <c r="E92" s="307" t="s">
        <v>248</v>
      </c>
    </row>
    <row r="93" spans="1:29" x14ac:dyDescent="0.2">
      <c r="A93" s="463" t="str">
        <f t="shared" ca="1" si="4"/>
        <v/>
      </c>
      <c r="B93" s="463" t="str">
        <f t="shared" ca="1" si="4"/>
        <v/>
      </c>
      <c r="E93" s="463" t="s">
        <v>196</v>
      </c>
      <c r="F93" s="468">
        <v>1</v>
      </c>
      <c r="G93" s="469">
        <v>2</v>
      </c>
      <c r="H93" s="469">
        <v>3</v>
      </c>
      <c r="I93" s="469">
        <v>4</v>
      </c>
      <c r="J93" s="470">
        <v>5</v>
      </c>
      <c r="K93" s="468">
        <v>6</v>
      </c>
      <c r="L93" s="469">
        <v>7</v>
      </c>
      <c r="M93" s="469">
        <v>8</v>
      </c>
      <c r="N93" s="470">
        <v>9</v>
      </c>
      <c r="P93" s="468">
        <v>10</v>
      </c>
      <c r="Q93" s="469">
        <v>11</v>
      </c>
      <c r="R93" s="469">
        <v>12</v>
      </c>
      <c r="S93" s="470">
        <v>13</v>
      </c>
      <c r="U93" s="468">
        <v>14</v>
      </c>
      <c r="V93" s="469">
        <v>15</v>
      </c>
      <c r="W93" s="469">
        <v>16</v>
      </c>
      <c r="X93" s="470">
        <v>17</v>
      </c>
      <c r="Z93" s="468">
        <v>18</v>
      </c>
      <c r="AA93" s="469">
        <v>19</v>
      </c>
      <c r="AB93" s="469">
        <v>20</v>
      </c>
      <c r="AC93" s="470">
        <v>21</v>
      </c>
    </row>
    <row r="94" spans="1:29" x14ac:dyDescent="0.2">
      <c r="A94" s="463" t="str">
        <f t="shared" ca="1" si="4"/>
        <v/>
      </c>
      <c r="B94" s="463" t="str">
        <f t="shared" ca="1" si="4"/>
        <v/>
      </c>
      <c r="E94" s="463" t="s">
        <v>230</v>
      </c>
      <c r="F94" s="468">
        <v>4</v>
      </c>
      <c r="G94" s="469">
        <v>16</v>
      </c>
      <c r="H94" s="469">
        <v>19</v>
      </c>
      <c r="I94" s="469">
        <v>10</v>
      </c>
      <c r="J94" s="470">
        <v>8</v>
      </c>
      <c r="K94" s="468">
        <v>5</v>
      </c>
      <c r="L94" s="469">
        <v>12</v>
      </c>
      <c r="M94" s="469">
        <v>7</v>
      </c>
      <c r="N94" s="470">
        <v>18</v>
      </c>
      <c r="P94" s="468">
        <v>13</v>
      </c>
      <c r="Q94" s="469">
        <v>20</v>
      </c>
      <c r="R94" s="469">
        <v>2</v>
      </c>
      <c r="S94" s="470">
        <v>14</v>
      </c>
      <c r="U94" s="468">
        <v>21</v>
      </c>
      <c r="V94" s="469">
        <v>9</v>
      </c>
      <c r="W94" s="469">
        <v>15</v>
      </c>
      <c r="X94" s="470">
        <v>1</v>
      </c>
      <c r="Z94" s="468">
        <v>17</v>
      </c>
      <c r="AA94" s="469">
        <v>3</v>
      </c>
      <c r="AB94" s="469">
        <v>11</v>
      </c>
      <c r="AC94" s="470">
        <v>6</v>
      </c>
    </row>
    <row r="95" spans="1:29" x14ac:dyDescent="0.2">
      <c r="A95" s="463" t="str">
        <f t="shared" ca="1" si="4"/>
        <v/>
      </c>
      <c r="B95" s="463" t="str">
        <f t="shared" ca="1" si="4"/>
        <v/>
      </c>
    </row>
    <row r="96" spans="1:29" s="485" customFormat="1" x14ac:dyDescent="0.2">
      <c r="A96" s="463" t="str">
        <f t="shared" ca="1" si="4"/>
        <v/>
      </c>
      <c r="B96" s="463" t="str">
        <f t="shared" ca="1" si="4"/>
        <v/>
      </c>
    </row>
    <row r="97" spans="1:29" x14ac:dyDescent="0.2">
      <c r="A97" s="463" t="str">
        <f t="shared" ca="1" si="4"/>
        <v/>
      </c>
      <c r="B97" s="463" t="str">
        <f t="shared" ca="1" si="4"/>
        <v/>
      </c>
      <c r="D97" s="307">
        <v>22</v>
      </c>
      <c r="E97" s="307" t="s">
        <v>248</v>
      </c>
    </row>
    <row r="98" spans="1:29" x14ac:dyDescent="0.2">
      <c r="A98" s="463" t="str">
        <f t="shared" ca="1" si="4"/>
        <v/>
      </c>
      <c r="B98" s="463" t="str">
        <f t="shared" ca="1" si="4"/>
        <v/>
      </c>
      <c r="E98" s="463" t="s">
        <v>196</v>
      </c>
      <c r="F98" s="468">
        <v>1</v>
      </c>
      <c r="G98" s="469">
        <v>2</v>
      </c>
      <c r="H98" s="469">
        <v>3</v>
      </c>
      <c r="I98" s="469">
        <v>4</v>
      </c>
      <c r="J98" s="470">
        <v>5</v>
      </c>
      <c r="K98" s="468">
        <v>6</v>
      </c>
      <c r="L98" s="469">
        <v>7</v>
      </c>
      <c r="M98" s="469">
        <v>8</v>
      </c>
      <c r="N98" s="469">
        <v>9</v>
      </c>
      <c r="O98" s="470">
        <v>10</v>
      </c>
      <c r="P98" s="468">
        <v>11</v>
      </c>
      <c r="Q98" s="469">
        <v>12</v>
      </c>
      <c r="R98" s="469">
        <v>13</v>
      </c>
      <c r="S98" s="470">
        <v>14</v>
      </c>
      <c r="U98" s="468">
        <v>15</v>
      </c>
      <c r="V98" s="469">
        <v>16</v>
      </c>
      <c r="W98" s="469">
        <v>17</v>
      </c>
      <c r="X98" s="470">
        <v>18</v>
      </c>
      <c r="Z98" s="468">
        <v>19</v>
      </c>
      <c r="AA98" s="469">
        <v>20</v>
      </c>
      <c r="AB98" s="469">
        <v>21</v>
      </c>
      <c r="AC98" s="470">
        <v>22</v>
      </c>
    </row>
    <row r="99" spans="1:29" x14ac:dyDescent="0.2">
      <c r="A99" s="463" t="str">
        <f t="shared" ca="1" si="4"/>
        <v/>
      </c>
      <c r="B99" s="463" t="str">
        <f t="shared" ca="1" si="4"/>
        <v/>
      </c>
      <c r="E99" s="463" t="s">
        <v>230</v>
      </c>
      <c r="F99" s="468">
        <v>5</v>
      </c>
      <c r="G99" s="469">
        <v>17</v>
      </c>
      <c r="H99" s="469">
        <v>7</v>
      </c>
      <c r="I99" s="469">
        <v>19</v>
      </c>
      <c r="J99" s="470">
        <v>11</v>
      </c>
      <c r="K99" s="468">
        <v>14</v>
      </c>
      <c r="L99" s="469">
        <v>8</v>
      </c>
      <c r="M99" s="469">
        <v>20</v>
      </c>
      <c r="N99" s="469">
        <v>1</v>
      </c>
      <c r="O99" s="470">
        <v>15</v>
      </c>
      <c r="P99" s="468">
        <v>22</v>
      </c>
      <c r="Q99" s="469">
        <v>13</v>
      </c>
      <c r="R99" s="469">
        <v>4</v>
      </c>
      <c r="S99" s="470">
        <v>6</v>
      </c>
      <c r="U99" s="468">
        <v>18</v>
      </c>
      <c r="V99" s="469">
        <v>21</v>
      </c>
      <c r="W99" s="469">
        <v>10</v>
      </c>
      <c r="X99" s="470">
        <v>2</v>
      </c>
      <c r="Z99" s="468">
        <v>9</v>
      </c>
      <c r="AA99" s="469">
        <v>3</v>
      </c>
      <c r="AB99" s="469">
        <v>16</v>
      </c>
      <c r="AC99" s="470">
        <v>12</v>
      </c>
    </row>
    <row r="100" spans="1:29" x14ac:dyDescent="0.2">
      <c r="A100" s="463" t="str">
        <f t="shared" ca="1" si="4"/>
        <v/>
      </c>
      <c r="B100" s="463" t="str">
        <f t="shared" ca="1" si="4"/>
        <v/>
      </c>
    </row>
    <row r="101" spans="1:29" s="485" customFormat="1" x14ac:dyDescent="0.2">
      <c r="A101" s="463" t="str">
        <f t="shared" ca="1" si="4"/>
        <v/>
      </c>
      <c r="B101" s="463" t="str">
        <f t="shared" ca="1" si="4"/>
        <v/>
      </c>
    </row>
    <row r="102" spans="1:29" x14ac:dyDescent="0.2">
      <c r="A102" s="463" t="str">
        <f t="shared" ca="1" si="4"/>
        <v/>
      </c>
      <c r="B102" s="463" t="str">
        <f t="shared" ca="1" si="4"/>
        <v/>
      </c>
      <c r="D102" s="307">
        <v>23</v>
      </c>
      <c r="E102" s="307" t="s">
        <v>248</v>
      </c>
    </row>
    <row r="103" spans="1:29" x14ac:dyDescent="0.2">
      <c r="A103" s="463" t="str">
        <f t="shared" ca="1" si="4"/>
        <v/>
      </c>
      <c r="B103" s="463" t="str">
        <f t="shared" ca="1" si="4"/>
        <v/>
      </c>
      <c r="E103" s="463" t="s">
        <v>196</v>
      </c>
      <c r="F103" s="468">
        <v>1</v>
      </c>
      <c r="G103" s="469">
        <v>2</v>
      </c>
      <c r="H103" s="469">
        <v>3</v>
      </c>
      <c r="I103" s="469">
        <v>4</v>
      </c>
      <c r="J103" s="470">
        <v>5</v>
      </c>
      <c r="K103" s="468">
        <v>6</v>
      </c>
      <c r="L103" s="469">
        <v>7</v>
      </c>
      <c r="M103" s="469">
        <v>8</v>
      </c>
      <c r="N103" s="469">
        <v>9</v>
      </c>
      <c r="O103" s="470">
        <v>10</v>
      </c>
      <c r="P103" s="468">
        <v>11</v>
      </c>
      <c r="Q103" s="469">
        <v>12</v>
      </c>
      <c r="R103" s="469">
        <v>13</v>
      </c>
      <c r="S103" s="469">
        <v>14</v>
      </c>
      <c r="T103" s="470">
        <v>15</v>
      </c>
      <c r="U103" s="468">
        <v>16</v>
      </c>
      <c r="V103" s="469">
        <v>17</v>
      </c>
      <c r="W103" s="469">
        <v>18</v>
      </c>
      <c r="X103" s="470">
        <v>19</v>
      </c>
      <c r="Z103" s="468">
        <v>20</v>
      </c>
      <c r="AA103" s="469">
        <v>21</v>
      </c>
      <c r="AB103" s="469">
        <v>22</v>
      </c>
      <c r="AC103" s="470">
        <v>23</v>
      </c>
    </row>
    <row r="104" spans="1:29" x14ac:dyDescent="0.2">
      <c r="A104" s="463" t="str">
        <f t="shared" ca="1" si="4"/>
        <v/>
      </c>
      <c r="B104" s="463" t="str">
        <f t="shared" ca="1" si="4"/>
        <v/>
      </c>
      <c r="E104" s="463" t="s">
        <v>230</v>
      </c>
      <c r="F104" s="468">
        <v>5</v>
      </c>
      <c r="G104" s="469">
        <v>22</v>
      </c>
      <c r="H104" s="469">
        <v>7</v>
      </c>
      <c r="I104" s="469">
        <v>11</v>
      </c>
      <c r="J104" s="470">
        <v>16</v>
      </c>
      <c r="K104" s="468">
        <v>19</v>
      </c>
      <c r="L104" s="469">
        <v>9</v>
      </c>
      <c r="M104" s="469">
        <v>12</v>
      </c>
      <c r="N104" s="469">
        <v>20</v>
      </c>
      <c r="O104" s="470">
        <v>1</v>
      </c>
      <c r="P104" s="468">
        <v>4</v>
      </c>
      <c r="Q104" s="469">
        <v>8</v>
      </c>
      <c r="R104" s="469">
        <v>15</v>
      </c>
      <c r="S104" s="469">
        <v>18</v>
      </c>
      <c r="T104" s="470">
        <v>21</v>
      </c>
      <c r="U104" s="468">
        <v>14</v>
      </c>
      <c r="V104" s="469">
        <v>3</v>
      </c>
      <c r="W104" s="469">
        <v>23</v>
      </c>
      <c r="X104" s="470">
        <v>6</v>
      </c>
      <c r="Z104" s="468">
        <v>10</v>
      </c>
      <c r="AA104" s="469">
        <v>13</v>
      </c>
      <c r="AB104" s="469">
        <v>17</v>
      </c>
      <c r="AC104" s="470">
        <v>2</v>
      </c>
    </row>
    <row r="105" spans="1:29" x14ac:dyDescent="0.2">
      <c r="A105" s="463" t="str">
        <f t="shared" ca="1" si="4"/>
        <v/>
      </c>
      <c r="B105" s="463" t="str">
        <f t="shared" ca="1" si="4"/>
        <v/>
      </c>
    </row>
    <row r="106" spans="1:29" s="485" customFormat="1" x14ac:dyDescent="0.2">
      <c r="A106" s="463" t="str">
        <f t="shared" ca="1" si="4"/>
        <v/>
      </c>
      <c r="B106" s="463" t="str">
        <f t="shared" ca="1" si="4"/>
        <v/>
      </c>
    </row>
    <row r="107" spans="1:29" x14ac:dyDescent="0.2">
      <c r="A107" s="463" t="str">
        <f t="shared" ref="A107:B126" ca="1" si="5">IF(INDIRECT(ADDRESS(A$6,ROW()-ROW(A$6)-1+COLUMN($F$8)))&gt;0,INDIRECT(ADDRESS(A$6,ROW()-ROW(A$6)-1+COLUMN($F$8))),"")</f>
        <v/>
      </c>
      <c r="B107" s="463" t="str">
        <f t="shared" ca="1" si="5"/>
        <v/>
      </c>
      <c r="D107" s="307">
        <v>24</v>
      </c>
      <c r="E107" s="307" t="s">
        <v>248</v>
      </c>
    </row>
    <row r="108" spans="1:29" x14ac:dyDescent="0.2">
      <c r="A108" s="463" t="str">
        <f t="shared" ca="1" si="5"/>
        <v/>
      </c>
      <c r="B108" s="463" t="str">
        <f t="shared" ca="1" si="5"/>
        <v/>
      </c>
      <c r="E108" s="463" t="s">
        <v>196</v>
      </c>
      <c r="F108" s="468">
        <v>1</v>
      </c>
      <c r="G108" s="469">
        <v>2</v>
      </c>
      <c r="H108" s="469">
        <v>3</v>
      </c>
      <c r="I108" s="469">
        <v>4</v>
      </c>
      <c r="J108" s="470">
        <v>5</v>
      </c>
      <c r="K108" s="468">
        <v>6</v>
      </c>
      <c r="L108" s="469">
        <v>7</v>
      </c>
      <c r="M108" s="469">
        <v>8</v>
      </c>
      <c r="N108" s="469">
        <v>9</v>
      </c>
      <c r="O108" s="470">
        <v>10</v>
      </c>
      <c r="P108" s="468">
        <v>11</v>
      </c>
      <c r="Q108" s="469">
        <v>12</v>
      </c>
      <c r="R108" s="469">
        <v>13</v>
      </c>
      <c r="S108" s="469">
        <v>14</v>
      </c>
      <c r="T108" s="470">
        <v>15</v>
      </c>
      <c r="U108" s="468">
        <v>16</v>
      </c>
      <c r="V108" s="469">
        <v>17</v>
      </c>
      <c r="W108" s="469">
        <v>18</v>
      </c>
      <c r="X108" s="469">
        <v>19</v>
      </c>
      <c r="Y108" s="470">
        <v>20</v>
      </c>
      <c r="Z108" s="468">
        <v>21</v>
      </c>
      <c r="AA108" s="469">
        <v>22</v>
      </c>
      <c r="AB108" s="469">
        <v>23</v>
      </c>
      <c r="AC108" s="470">
        <v>24</v>
      </c>
    </row>
    <row r="109" spans="1:29" x14ac:dyDescent="0.2">
      <c r="A109" s="463" t="str">
        <f t="shared" ca="1" si="5"/>
        <v/>
      </c>
      <c r="B109" s="463" t="str">
        <f t="shared" ca="1" si="5"/>
        <v/>
      </c>
      <c r="E109" s="463" t="s">
        <v>230</v>
      </c>
      <c r="F109" s="468">
        <v>10</v>
      </c>
      <c r="G109" s="469">
        <v>23</v>
      </c>
      <c r="H109" s="469">
        <v>17</v>
      </c>
      <c r="I109" s="469">
        <v>1</v>
      </c>
      <c r="J109" s="470">
        <v>11</v>
      </c>
      <c r="K109" s="468">
        <v>4</v>
      </c>
      <c r="L109" s="469">
        <v>9</v>
      </c>
      <c r="M109" s="469">
        <v>15</v>
      </c>
      <c r="N109" s="469">
        <v>18</v>
      </c>
      <c r="O109" s="470">
        <v>21</v>
      </c>
      <c r="P109" s="468">
        <v>5</v>
      </c>
      <c r="Q109" s="469">
        <v>20</v>
      </c>
      <c r="R109" s="469">
        <v>22</v>
      </c>
      <c r="S109" s="469">
        <v>6</v>
      </c>
      <c r="T109" s="470">
        <v>13</v>
      </c>
      <c r="U109" s="468">
        <v>24</v>
      </c>
      <c r="V109" s="469">
        <v>3</v>
      </c>
      <c r="W109" s="469">
        <v>12</v>
      </c>
      <c r="X109" s="469">
        <v>16</v>
      </c>
      <c r="Y109" s="470">
        <v>8</v>
      </c>
      <c r="Z109" s="468">
        <v>14</v>
      </c>
      <c r="AA109" s="469">
        <v>19</v>
      </c>
      <c r="AB109" s="469">
        <v>2</v>
      </c>
      <c r="AC109" s="470">
        <v>7</v>
      </c>
    </row>
    <row r="110" spans="1:29" x14ac:dyDescent="0.2">
      <c r="A110" s="463" t="str">
        <f t="shared" ca="1" si="5"/>
        <v/>
      </c>
      <c r="B110" s="463" t="str">
        <f t="shared" ca="1" si="5"/>
        <v/>
      </c>
    </row>
    <row r="111" spans="1:29" s="485" customFormat="1" x14ac:dyDescent="0.2">
      <c r="A111" s="463" t="str">
        <f t="shared" ca="1" si="5"/>
        <v/>
      </c>
      <c r="B111" s="463" t="str">
        <f t="shared" ca="1" si="5"/>
        <v/>
      </c>
    </row>
    <row r="112" spans="1:29" x14ac:dyDescent="0.2">
      <c r="A112" s="463" t="str">
        <f t="shared" ca="1" si="5"/>
        <v/>
      </c>
      <c r="B112" s="463" t="str">
        <f t="shared" ca="1" si="5"/>
        <v/>
      </c>
      <c r="D112" s="307">
        <v>25</v>
      </c>
      <c r="E112" s="307" t="s">
        <v>248</v>
      </c>
    </row>
    <row r="113" spans="1:34" x14ac:dyDescent="0.2">
      <c r="A113" s="463" t="str">
        <f t="shared" ca="1" si="5"/>
        <v/>
      </c>
      <c r="B113" s="463" t="str">
        <f t="shared" ca="1" si="5"/>
        <v/>
      </c>
      <c r="E113" s="463" t="s">
        <v>196</v>
      </c>
      <c r="F113" s="468">
        <v>1</v>
      </c>
      <c r="G113" s="469">
        <v>2</v>
      </c>
      <c r="H113" s="469">
        <v>3</v>
      </c>
      <c r="I113" s="469">
        <v>4</v>
      </c>
      <c r="J113" s="470">
        <v>5</v>
      </c>
      <c r="K113" s="468">
        <v>6</v>
      </c>
      <c r="L113" s="469">
        <v>7</v>
      </c>
      <c r="M113" s="469">
        <v>8</v>
      </c>
      <c r="N113" s="469">
        <v>9</v>
      </c>
      <c r="O113" s="470">
        <v>10</v>
      </c>
      <c r="P113" s="468">
        <v>11</v>
      </c>
      <c r="Q113" s="469">
        <v>12</v>
      </c>
      <c r="R113" s="469">
        <v>13</v>
      </c>
      <c r="S113" s="469">
        <v>14</v>
      </c>
      <c r="T113" s="470">
        <v>15</v>
      </c>
      <c r="U113" s="468">
        <v>16</v>
      </c>
      <c r="V113" s="469">
        <v>17</v>
      </c>
      <c r="W113" s="469">
        <v>18</v>
      </c>
      <c r="X113" s="469">
        <v>19</v>
      </c>
      <c r="Y113" s="470">
        <v>20</v>
      </c>
      <c r="Z113" s="468">
        <v>21</v>
      </c>
      <c r="AA113" s="469">
        <v>22</v>
      </c>
      <c r="AB113" s="469">
        <v>23</v>
      </c>
      <c r="AC113" s="469">
        <v>24</v>
      </c>
      <c r="AD113" s="470">
        <v>25</v>
      </c>
    </row>
    <row r="114" spans="1:34" x14ac:dyDescent="0.2">
      <c r="A114" s="463" t="str">
        <f t="shared" ca="1" si="5"/>
        <v/>
      </c>
      <c r="B114" s="463" t="str">
        <f t="shared" ca="1" si="5"/>
        <v/>
      </c>
      <c r="E114" s="463" t="s">
        <v>230</v>
      </c>
      <c r="F114" s="468">
        <v>10</v>
      </c>
      <c r="G114" s="469">
        <v>14</v>
      </c>
      <c r="H114" s="469">
        <v>22</v>
      </c>
      <c r="I114" s="469">
        <v>18</v>
      </c>
      <c r="J114" s="470">
        <v>1</v>
      </c>
      <c r="K114" s="468">
        <v>15</v>
      </c>
      <c r="L114" s="469">
        <v>19</v>
      </c>
      <c r="M114" s="469">
        <v>2</v>
      </c>
      <c r="N114" s="469">
        <v>23</v>
      </c>
      <c r="O114" s="470">
        <v>6</v>
      </c>
      <c r="P114" s="468">
        <v>20</v>
      </c>
      <c r="Q114" s="469">
        <v>24</v>
      </c>
      <c r="R114" s="469">
        <v>7</v>
      </c>
      <c r="S114" s="469">
        <v>3</v>
      </c>
      <c r="T114" s="470">
        <v>11</v>
      </c>
      <c r="U114" s="468">
        <v>25</v>
      </c>
      <c r="V114" s="469">
        <v>4</v>
      </c>
      <c r="W114" s="469">
        <v>12</v>
      </c>
      <c r="X114" s="469">
        <v>8</v>
      </c>
      <c r="Y114" s="470">
        <v>16</v>
      </c>
      <c r="Z114" s="468">
        <v>5</v>
      </c>
      <c r="AA114" s="469">
        <v>9</v>
      </c>
      <c r="AB114" s="469">
        <v>17</v>
      </c>
      <c r="AC114" s="469">
        <v>13</v>
      </c>
      <c r="AD114" s="470">
        <v>21</v>
      </c>
    </row>
    <row r="115" spans="1:34" x14ac:dyDescent="0.2">
      <c r="A115" s="463" t="str">
        <f t="shared" ca="1" si="5"/>
        <v/>
      </c>
      <c r="B115" s="463" t="str">
        <f t="shared" ca="1" si="5"/>
        <v/>
      </c>
    </row>
    <row r="116" spans="1:34" s="485" customFormat="1" x14ac:dyDescent="0.2">
      <c r="A116" s="463" t="str">
        <f t="shared" ca="1" si="5"/>
        <v/>
      </c>
      <c r="B116" s="463" t="str">
        <f t="shared" ca="1" si="5"/>
        <v/>
      </c>
    </row>
    <row r="117" spans="1:34" x14ac:dyDescent="0.2">
      <c r="A117" s="463" t="str">
        <f t="shared" ca="1" si="5"/>
        <v/>
      </c>
      <c r="B117" s="463" t="str">
        <f t="shared" ca="1" si="5"/>
        <v/>
      </c>
      <c r="D117" s="307">
        <v>26</v>
      </c>
      <c r="E117" s="307" t="s">
        <v>248</v>
      </c>
    </row>
    <row r="118" spans="1:34" x14ac:dyDescent="0.2">
      <c r="A118" s="463" t="str">
        <f t="shared" ca="1" si="5"/>
        <v/>
      </c>
      <c r="B118" s="463" t="str">
        <f t="shared" ca="1" si="5"/>
        <v/>
      </c>
      <c r="E118" s="463" t="s">
        <v>196</v>
      </c>
      <c r="F118" s="468">
        <v>1</v>
      </c>
      <c r="G118" s="469">
        <v>2</v>
      </c>
      <c r="H118" s="469">
        <v>3</v>
      </c>
      <c r="I118" s="469">
        <v>4</v>
      </c>
      <c r="J118" s="470">
        <v>5</v>
      </c>
      <c r="K118" s="468">
        <v>6</v>
      </c>
      <c r="L118" s="469">
        <v>7</v>
      </c>
      <c r="M118" s="469">
        <v>8</v>
      </c>
      <c r="N118" s="469">
        <v>9</v>
      </c>
      <c r="O118" s="470">
        <v>10</v>
      </c>
      <c r="P118" s="468">
        <v>11</v>
      </c>
      <c r="Q118" s="469">
        <v>12</v>
      </c>
      <c r="R118" s="469">
        <v>13</v>
      </c>
      <c r="S118" s="470">
        <v>14</v>
      </c>
      <c r="U118" s="468">
        <v>15</v>
      </c>
      <c r="V118" s="469">
        <v>16</v>
      </c>
      <c r="W118" s="469">
        <v>17</v>
      </c>
      <c r="X118" s="470">
        <v>18</v>
      </c>
      <c r="Z118" s="468">
        <v>19</v>
      </c>
      <c r="AA118" s="469">
        <v>20</v>
      </c>
      <c r="AB118" s="469">
        <v>21</v>
      </c>
      <c r="AC118" s="470">
        <v>22</v>
      </c>
      <c r="AE118" s="468">
        <v>23</v>
      </c>
      <c r="AF118" s="469">
        <v>24</v>
      </c>
      <c r="AG118" s="469">
        <v>25</v>
      </c>
      <c r="AH118" s="470">
        <v>26</v>
      </c>
    </row>
    <row r="119" spans="1:34" x14ac:dyDescent="0.2">
      <c r="A119" s="463" t="str">
        <f t="shared" ca="1" si="5"/>
        <v/>
      </c>
      <c r="B119" s="463" t="str">
        <f t="shared" ca="1" si="5"/>
        <v/>
      </c>
      <c r="E119" s="463" t="s">
        <v>230</v>
      </c>
      <c r="F119" s="468">
        <v>26</v>
      </c>
      <c r="G119" s="469">
        <v>21</v>
      </c>
      <c r="H119" s="469">
        <v>7</v>
      </c>
      <c r="I119" s="469">
        <v>11</v>
      </c>
      <c r="J119" s="470">
        <v>15</v>
      </c>
      <c r="K119" s="468">
        <v>5</v>
      </c>
      <c r="L119" s="469">
        <v>25</v>
      </c>
      <c r="M119" s="469">
        <v>12</v>
      </c>
      <c r="N119" s="469">
        <v>19</v>
      </c>
      <c r="O119" s="470">
        <v>16</v>
      </c>
      <c r="P119" s="468">
        <v>4</v>
      </c>
      <c r="Q119" s="469">
        <v>22</v>
      </c>
      <c r="R119" s="469">
        <v>10</v>
      </c>
      <c r="S119" s="470">
        <v>23</v>
      </c>
      <c r="U119" s="468">
        <v>18</v>
      </c>
      <c r="V119" s="469">
        <v>13</v>
      </c>
      <c r="W119" s="469">
        <v>2</v>
      </c>
      <c r="X119" s="470">
        <v>6</v>
      </c>
      <c r="Z119" s="468">
        <v>9</v>
      </c>
      <c r="AA119" s="469">
        <v>17</v>
      </c>
      <c r="AB119" s="469">
        <v>24</v>
      </c>
      <c r="AC119" s="470">
        <v>3</v>
      </c>
      <c r="AE119" s="468">
        <v>14</v>
      </c>
      <c r="AF119" s="469">
        <v>8</v>
      </c>
      <c r="AG119" s="469">
        <v>20</v>
      </c>
      <c r="AH119" s="470">
        <v>1</v>
      </c>
    </row>
    <row r="120" spans="1:34" x14ac:dyDescent="0.2">
      <c r="A120" s="463" t="str">
        <f t="shared" ca="1" si="5"/>
        <v/>
      </c>
      <c r="B120" s="463" t="str">
        <f t="shared" ca="1" si="5"/>
        <v/>
      </c>
    </row>
    <row r="121" spans="1:34" s="485" customFormat="1" x14ac:dyDescent="0.2">
      <c r="A121" s="463" t="str">
        <f t="shared" ca="1" si="5"/>
        <v/>
      </c>
      <c r="B121" s="463" t="str">
        <f t="shared" ca="1" si="5"/>
        <v/>
      </c>
    </row>
    <row r="122" spans="1:34" x14ac:dyDescent="0.2">
      <c r="A122" s="463" t="str">
        <f t="shared" ca="1" si="5"/>
        <v/>
      </c>
      <c r="B122" s="463" t="str">
        <f t="shared" ca="1" si="5"/>
        <v/>
      </c>
      <c r="D122" s="307">
        <v>27</v>
      </c>
      <c r="E122" s="307" t="s">
        <v>248</v>
      </c>
    </row>
    <row r="123" spans="1:34" x14ac:dyDescent="0.2">
      <c r="A123" s="463" t="str">
        <f t="shared" ca="1" si="5"/>
        <v/>
      </c>
      <c r="B123" s="463" t="str">
        <f t="shared" ca="1" si="5"/>
        <v/>
      </c>
      <c r="E123" s="463" t="s">
        <v>196</v>
      </c>
      <c r="F123" s="468">
        <v>1</v>
      </c>
      <c r="G123" s="469">
        <v>2</v>
      </c>
      <c r="H123" s="469">
        <v>3</v>
      </c>
      <c r="I123" s="469">
        <v>4</v>
      </c>
      <c r="J123" s="470">
        <v>5</v>
      </c>
      <c r="K123" s="468">
        <v>6</v>
      </c>
      <c r="L123" s="469">
        <v>7</v>
      </c>
      <c r="M123" s="469">
        <v>8</v>
      </c>
      <c r="N123" s="469">
        <v>9</v>
      </c>
      <c r="O123" s="470">
        <v>10</v>
      </c>
      <c r="P123" s="468">
        <v>11</v>
      </c>
      <c r="Q123" s="469">
        <v>12</v>
      </c>
      <c r="R123" s="469">
        <v>13</v>
      </c>
      <c r="S123" s="469">
        <v>14</v>
      </c>
      <c r="T123" s="470">
        <v>15</v>
      </c>
      <c r="U123" s="468">
        <v>16</v>
      </c>
      <c r="V123" s="469">
        <v>17</v>
      </c>
      <c r="W123" s="469">
        <v>18</v>
      </c>
      <c r="X123" s="470">
        <v>19</v>
      </c>
      <c r="Z123" s="468">
        <v>20</v>
      </c>
      <c r="AA123" s="469">
        <v>21</v>
      </c>
      <c r="AB123" s="469">
        <v>22</v>
      </c>
      <c r="AC123" s="470">
        <v>23</v>
      </c>
      <c r="AE123" s="468">
        <v>24</v>
      </c>
      <c r="AF123" s="469">
        <v>25</v>
      </c>
      <c r="AG123" s="469">
        <v>26</v>
      </c>
      <c r="AH123" s="470">
        <v>27</v>
      </c>
    </row>
    <row r="124" spans="1:34" x14ac:dyDescent="0.2">
      <c r="A124" s="463" t="str">
        <f t="shared" ca="1" si="5"/>
        <v/>
      </c>
      <c r="B124" s="463" t="str">
        <f t="shared" ca="1" si="5"/>
        <v/>
      </c>
      <c r="E124" s="463" t="s">
        <v>230</v>
      </c>
      <c r="F124" s="468">
        <v>23</v>
      </c>
      <c r="G124" s="469">
        <v>8</v>
      </c>
      <c r="H124" s="469">
        <v>4</v>
      </c>
      <c r="I124" s="469">
        <v>16</v>
      </c>
      <c r="J124" s="470">
        <v>24</v>
      </c>
      <c r="K124" s="468">
        <v>10</v>
      </c>
      <c r="L124" s="469">
        <v>19</v>
      </c>
      <c r="M124" s="469">
        <v>12</v>
      </c>
      <c r="N124" s="469">
        <v>26</v>
      </c>
      <c r="O124" s="470">
        <v>20</v>
      </c>
      <c r="P124" s="468">
        <v>15</v>
      </c>
      <c r="Q124" s="469">
        <v>18</v>
      </c>
      <c r="R124" s="469">
        <v>27</v>
      </c>
      <c r="S124" s="469">
        <v>2</v>
      </c>
      <c r="T124" s="470">
        <v>21</v>
      </c>
      <c r="U124" s="468">
        <v>9</v>
      </c>
      <c r="V124" s="469">
        <v>3</v>
      </c>
      <c r="W124" s="469">
        <v>17</v>
      </c>
      <c r="X124" s="470">
        <v>11</v>
      </c>
      <c r="Z124" s="468">
        <v>22</v>
      </c>
      <c r="AA124" s="469">
        <v>14</v>
      </c>
      <c r="AB124" s="469">
        <v>7</v>
      </c>
      <c r="AC124" s="470">
        <v>1</v>
      </c>
      <c r="AE124" s="468">
        <v>5</v>
      </c>
      <c r="AF124" s="469">
        <v>13</v>
      </c>
      <c r="AG124" s="469">
        <v>25</v>
      </c>
      <c r="AH124" s="470">
        <v>6</v>
      </c>
    </row>
    <row r="125" spans="1:34" x14ac:dyDescent="0.2">
      <c r="A125" s="463" t="str">
        <f t="shared" ca="1" si="5"/>
        <v/>
      </c>
      <c r="B125" s="463" t="str">
        <f t="shared" ca="1" si="5"/>
        <v/>
      </c>
    </row>
    <row r="126" spans="1:34" s="485" customFormat="1" x14ac:dyDescent="0.2">
      <c r="A126" s="463" t="str">
        <f t="shared" ca="1" si="5"/>
        <v/>
      </c>
      <c r="B126" s="463" t="str">
        <f t="shared" ca="1" si="5"/>
        <v/>
      </c>
    </row>
    <row r="127" spans="1:34" x14ac:dyDescent="0.2">
      <c r="A127" s="463" t="str">
        <f t="shared" ref="A127:B146" ca="1" si="6">IF(INDIRECT(ADDRESS(A$6,ROW()-ROW(A$6)-1+COLUMN($F$8)))&gt;0,INDIRECT(ADDRESS(A$6,ROW()-ROW(A$6)-1+COLUMN($F$8))),"")</f>
        <v/>
      </c>
      <c r="B127" s="463" t="str">
        <f t="shared" ca="1" si="6"/>
        <v/>
      </c>
      <c r="D127" s="307">
        <v>28</v>
      </c>
      <c r="E127" s="307" t="s">
        <v>248</v>
      </c>
    </row>
    <row r="128" spans="1:34" x14ac:dyDescent="0.2">
      <c r="A128" s="463" t="str">
        <f t="shared" ca="1" si="6"/>
        <v/>
      </c>
      <c r="B128" s="463" t="str">
        <f t="shared" ca="1" si="6"/>
        <v/>
      </c>
      <c r="E128" s="463" t="s">
        <v>196</v>
      </c>
      <c r="F128" s="468">
        <v>1</v>
      </c>
      <c r="G128" s="469">
        <v>2</v>
      </c>
      <c r="H128" s="469">
        <v>3</v>
      </c>
      <c r="I128" s="469">
        <v>4</v>
      </c>
      <c r="J128" s="470">
        <v>5</v>
      </c>
      <c r="K128" s="468">
        <v>6</v>
      </c>
      <c r="L128" s="469">
        <v>7</v>
      </c>
      <c r="M128" s="469">
        <v>8</v>
      </c>
      <c r="N128" s="469">
        <v>9</v>
      </c>
      <c r="O128" s="470">
        <v>10</v>
      </c>
      <c r="P128" s="468">
        <v>11</v>
      </c>
      <c r="Q128" s="469">
        <v>12</v>
      </c>
      <c r="R128" s="469">
        <v>13</v>
      </c>
      <c r="S128" s="469">
        <v>14</v>
      </c>
      <c r="T128" s="470">
        <v>15</v>
      </c>
      <c r="U128" s="468">
        <v>16</v>
      </c>
      <c r="V128" s="469">
        <v>17</v>
      </c>
      <c r="W128" s="469">
        <v>18</v>
      </c>
      <c r="X128" s="469">
        <v>19</v>
      </c>
      <c r="Y128" s="470">
        <v>20</v>
      </c>
      <c r="Z128" s="468">
        <v>21</v>
      </c>
      <c r="AA128" s="469">
        <v>22</v>
      </c>
      <c r="AB128" s="469">
        <v>23</v>
      </c>
      <c r="AC128" s="470">
        <v>24</v>
      </c>
      <c r="AE128" s="468">
        <v>25</v>
      </c>
      <c r="AF128" s="469">
        <v>26</v>
      </c>
      <c r="AG128" s="469">
        <v>27</v>
      </c>
      <c r="AH128" s="470">
        <v>28</v>
      </c>
    </row>
    <row r="129" spans="1:39" x14ac:dyDescent="0.2">
      <c r="A129" s="463" t="str">
        <f t="shared" ca="1" si="6"/>
        <v/>
      </c>
      <c r="B129" s="463" t="str">
        <f t="shared" ca="1" si="6"/>
        <v/>
      </c>
      <c r="E129" s="463" t="s">
        <v>230</v>
      </c>
      <c r="F129" s="468">
        <v>4</v>
      </c>
      <c r="G129" s="469">
        <v>27</v>
      </c>
      <c r="H129" s="469">
        <v>7</v>
      </c>
      <c r="I129" s="469">
        <v>21</v>
      </c>
      <c r="J129" s="470">
        <v>13</v>
      </c>
      <c r="K129" s="468">
        <v>19</v>
      </c>
      <c r="L129" s="469">
        <v>24</v>
      </c>
      <c r="M129" s="469">
        <v>14</v>
      </c>
      <c r="N129" s="469">
        <v>26</v>
      </c>
      <c r="O129" s="470">
        <v>1</v>
      </c>
      <c r="P129" s="468">
        <v>15</v>
      </c>
      <c r="Q129" s="469">
        <v>23</v>
      </c>
      <c r="R129" s="469">
        <v>17</v>
      </c>
      <c r="S129" s="469">
        <v>25</v>
      </c>
      <c r="T129" s="470">
        <v>6</v>
      </c>
      <c r="U129" s="468">
        <v>9</v>
      </c>
      <c r="V129" s="469">
        <v>5</v>
      </c>
      <c r="W129" s="469">
        <v>28</v>
      </c>
      <c r="X129" s="469">
        <v>22</v>
      </c>
      <c r="Y129" s="470">
        <v>16</v>
      </c>
      <c r="Z129" s="468">
        <v>20</v>
      </c>
      <c r="AA129" s="469">
        <v>8</v>
      </c>
      <c r="AB129" s="469">
        <v>12</v>
      </c>
      <c r="AC129" s="470">
        <v>3</v>
      </c>
      <c r="AE129" s="468">
        <v>10</v>
      </c>
      <c r="AF129" s="469">
        <v>18</v>
      </c>
      <c r="AG129" s="469">
        <v>2</v>
      </c>
      <c r="AH129" s="470">
        <v>11</v>
      </c>
    </row>
    <row r="130" spans="1:39" x14ac:dyDescent="0.2">
      <c r="A130" s="463" t="str">
        <f t="shared" ca="1" si="6"/>
        <v/>
      </c>
      <c r="B130" s="463" t="str">
        <f t="shared" ca="1" si="6"/>
        <v/>
      </c>
    </row>
    <row r="131" spans="1:39" s="485" customFormat="1" x14ac:dyDescent="0.2">
      <c r="A131" s="463" t="str">
        <f t="shared" ca="1" si="6"/>
        <v/>
      </c>
      <c r="B131" s="463" t="str">
        <f t="shared" ca="1" si="6"/>
        <v/>
      </c>
    </row>
    <row r="132" spans="1:39" x14ac:dyDescent="0.2">
      <c r="A132" s="463" t="str">
        <f t="shared" ca="1" si="6"/>
        <v/>
      </c>
      <c r="B132" s="463" t="str">
        <f t="shared" ca="1" si="6"/>
        <v/>
      </c>
      <c r="D132" s="307">
        <v>29</v>
      </c>
      <c r="E132" s="307" t="s">
        <v>248</v>
      </c>
    </row>
    <row r="133" spans="1:39" x14ac:dyDescent="0.2">
      <c r="A133" s="463" t="str">
        <f t="shared" ca="1" si="6"/>
        <v/>
      </c>
      <c r="B133" s="463" t="str">
        <f t="shared" ca="1" si="6"/>
        <v/>
      </c>
      <c r="E133" s="463" t="s">
        <v>196</v>
      </c>
      <c r="F133" s="468">
        <v>1</v>
      </c>
      <c r="G133" s="469">
        <v>2</v>
      </c>
      <c r="H133" s="469">
        <v>3</v>
      </c>
      <c r="I133" s="469">
        <v>4</v>
      </c>
      <c r="J133" s="470">
        <v>5</v>
      </c>
      <c r="K133" s="468">
        <v>6</v>
      </c>
      <c r="L133" s="469">
        <v>7</v>
      </c>
      <c r="M133" s="469">
        <v>8</v>
      </c>
      <c r="N133" s="469">
        <v>9</v>
      </c>
      <c r="O133" s="470">
        <v>10</v>
      </c>
      <c r="P133" s="468">
        <v>11</v>
      </c>
      <c r="Q133" s="469">
        <v>12</v>
      </c>
      <c r="R133" s="469">
        <v>13</v>
      </c>
      <c r="S133" s="469">
        <v>14</v>
      </c>
      <c r="T133" s="470">
        <v>15</v>
      </c>
      <c r="U133" s="468">
        <v>16</v>
      </c>
      <c r="V133" s="469">
        <v>17</v>
      </c>
      <c r="W133" s="469">
        <v>18</v>
      </c>
      <c r="X133" s="469">
        <v>19</v>
      </c>
      <c r="Y133" s="470">
        <v>20</v>
      </c>
      <c r="Z133" s="468">
        <v>21</v>
      </c>
      <c r="AA133" s="469">
        <v>22</v>
      </c>
      <c r="AB133" s="469">
        <v>23</v>
      </c>
      <c r="AC133" s="469">
        <v>24</v>
      </c>
      <c r="AD133" s="470">
        <v>25</v>
      </c>
      <c r="AE133" s="468">
        <v>26</v>
      </c>
      <c r="AF133" s="469">
        <v>27</v>
      </c>
      <c r="AG133" s="469">
        <v>28</v>
      </c>
      <c r="AH133" s="470">
        <v>29</v>
      </c>
    </row>
    <row r="134" spans="1:39" x14ac:dyDescent="0.2">
      <c r="A134" s="463" t="str">
        <f t="shared" ca="1" si="6"/>
        <v/>
      </c>
      <c r="B134" s="463" t="str">
        <f t="shared" ca="1" si="6"/>
        <v/>
      </c>
      <c r="E134" s="463" t="s">
        <v>230</v>
      </c>
      <c r="F134" s="468">
        <v>20</v>
      </c>
      <c r="G134" s="469">
        <v>25</v>
      </c>
      <c r="H134" s="469">
        <v>5</v>
      </c>
      <c r="I134" s="469">
        <v>12</v>
      </c>
      <c r="J134" s="470">
        <v>6</v>
      </c>
      <c r="K134" s="468">
        <v>10</v>
      </c>
      <c r="L134" s="469">
        <v>18</v>
      </c>
      <c r="M134" s="469">
        <v>14</v>
      </c>
      <c r="N134" s="469">
        <v>22</v>
      </c>
      <c r="O134" s="470">
        <v>28</v>
      </c>
      <c r="P134" s="468">
        <v>19</v>
      </c>
      <c r="Q134" s="469">
        <v>4</v>
      </c>
      <c r="R134" s="469">
        <v>27</v>
      </c>
      <c r="S134" s="469">
        <v>8</v>
      </c>
      <c r="T134" s="470">
        <v>21</v>
      </c>
      <c r="U134" s="468">
        <v>29</v>
      </c>
      <c r="V134" s="469">
        <v>23</v>
      </c>
      <c r="W134" s="469">
        <v>2</v>
      </c>
      <c r="X134" s="469">
        <v>16</v>
      </c>
      <c r="Y134" s="470">
        <v>13</v>
      </c>
      <c r="Z134" s="468">
        <v>15</v>
      </c>
      <c r="AA134" s="469">
        <v>9</v>
      </c>
      <c r="AB134" s="469">
        <v>17</v>
      </c>
      <c r="AC134" s="469">
        <v>1</v>
      </c>
      <c r="AD134" s="470">
        <v>26</v>
      </c>
      <c r="AE134" s="468">
        <v>24</v>
      </c>
      <c r="AF134" s="469">
        <v>3</v>
      </c>
      <c r="AG134" s="469">
        <v>7</v>
      </c>
      <c r="AH134" s="470">
        <v>11</v>
      </c>
    </row>
    <row r="135" spans="1:39" x14ac:dyDescent="0.2">
      <c r="A135" s="463" t="str">
        <f t="shared" ca="1" si="6"/>
        <v/>
      </c>
      <c r="B135" s="463" t="str">
        <f t="shared" ca="1" si="6"/>
        <v/>
      </c>
    </row>
    <row r="136" spans="1:39" s="485" customFormat="1" x14ac:dyDescent="0.2">
      <c r="A136" s="463" t="str">
        <f t="shared" ca="1" si="6"/>
        <v/>
      </c>
      <c r="B136" s="463" t="str">
        <f t="shared" ca="1" si="6"/>
        <v/>
      </c>
    </row>
    <row r="137" spans="1:39" x14ac:dyDescent="0.2">
      <c r="A137" s="463" t="str">
        <f t="shared" ca="1" si="6"/>
        <v/>
      </c>
      <c r="B137" s="463" t="str">
        <f t="shared" ca="1" si="6"/>
        <v/>
      </c>
      <c r="D137" s="307">
        <v>30</v>
      </c>
      <c r="E137" s="307" t="s">
        <v>248</v>
      </c>
    </row>
    <row r="138" spans="1:39" x14ac:dyDescent="0.2">
      <c r="A138" s="463" t="str">
        <f t="shared" ca="1" si="6"/>
        <v/>
      </c>
      <c r="B138" s="463" t="str">
        <f t="shared" ca="1" si="6"/>
        <v/>
      </c>
      <c r="E138" s="463" t="s">
        <v>196</v>
      </c>
      <c r="F138" s="468">
        <v>1</v>
      </c>
      <c r="G138" s="469">
        <v>2</v>
      </c>
      <c r="H138" s="469">
        <v>3</v>
      </c>
      <c r="I138" s="469">
        <v>4</v>
      </c>
      <c r="J138" s="470">
        <v>5</v>
      </c>
      <c r="K138" s="468">
        <v>6</v>
      </c>
      <c r="L138" s="469">
        <v>7</v>
      </c>
      <c r="M138" s="469">
        <v>8</v>
      </c>
      <c r="N138" s="469">
        <v>9</v>
      </c>
      <c r="O138" s="470">
        <v>10</v>
      </c>
      <c r="P138" s="468">
        <v>11</v>
      </c>
      <c r="Q138" s="469">
        <v>12</v>
      </c>
      <c r="R138" s="469">
        <v>13</v>
      </c>
      <c r="S138" s="469">
        <v>14</v>
      </c>
      <c r="T138" s="470">
        <v>15</v>
      </c>
      <c r="U138" s="468">
        <v>16</v>
      </c>
      <c r="V138" s="469">
        <v>17</v>
      </c>
      <c r="W138" s="469">
        <v>18</v>
      </c>
      <c r="X138" s="469">
        <v>19</v>
      </c>
      <c r="Y138" s="470">
        <v>20</v>
      </c>
      <c r="Z138" s="468">
        <v>21</v>
      </c>
      <c r="AA138" s="469">
        <v>22</v>
      </c>
      <c r="AB138" s="469">
        <v>23</v>
      </c>
      <c r="AC138" s="469">
        <v>24</v>
      </c>
      <c r="AD138" s="470">
        <v>25</v>
      </c>
      <c r="AE138" s="468">
        <v>26</v>
      </c>
      <c r="AF138" s="469">
        <v>27</v>
      </c>
      <c r="AG138" s="469">
        <v>28</v>
      </c>
      <c r="AH138" s="469">
        <v>29</v>
      </c>
      <c r="AI138" s="470">
        <v>30</v>
      </c>
    </row>
    <row r="139" spans="1:39" x14ac:dyDescent="0.2">
      <c r="A139" s="463" t="str">
        <f t="shared" ca="1" si="6"/>
        <v/>
      </c>
      <c r="B139" s="463" t="str">
        <f t="shared" ca="1" si="6"/>
        <v/>
      </c>
      <c r="E139" s="463" t="s">
        <v>230</v>
      </c>
      <c r="F139" s="468">
        <v>5</v>
      </c>
      <c r="G139" s="469">
        <v>18</v>
      </c>
      <c r="H139" s="469">
        <v>12</v>
      </c>
      <c r="I139" s="469">
        <v>21</v>
      </c>
      <c r="J139" s="470">
        <v>8</v>
      </c>
      <c r="K139" s="468">
        <v>10</v>
      </c>
      <c r="L139" s="469">
        <v>14</v>
      </c>
      <c r="M139" s="469">
        <v>17</v>
      </c>
      <c r="N139" s="469">
        <v>1</v>
      </c>
      <c r="O139" s="470">
        <v>26</v>
      </c>
      <c r="P139" s="468">
        <v>20</v>
      </c>
      <c r="Q139" s="469">
        <v>25</v>
      </c>
      <c r="R139" s="469">
        <v>30</v>
      </c>
      <c r="S139" s="469">
        <v>6</v>
      </c>
      <c r="T139" s="470">
        <v>3</v>
      </c>
      <c r="U139" s="468">
        <v>9</v>
      </c>
      <c r="V139" s="469">
        <v>23</v>
      </c>
      <c r="W139" s="469">
        <v>29</v>
      </c>
      <c r="X139" s="469">
        <v>16</v>
      </c>
      <c r="Y139" s="470">
        <v>11</v>
      </c>
      <c r="Z139" s="468">
        <v>15</v>
      </c>
      <c r="AA139" s="469">
        <v>28</v>
      </c>
      <c r="AB139" s="469">
        <v>19</v>
      </c>
      <c r="AC139" s="469">
        <v>22</v>
      </c>
      <c r="AD139" s="470">
        <v>2</v>
      </c>
      <c r="AE139" s="468">
        <v>24</v>
      </c>
      <c r="AF139" s="469">
        <v>4</v>
      </c>
      <c r="AG139" s="469">
        <v>7</v>
      </c>
      <c r="AH139" s="469">
        <v>27</v>
      </c>
      <c r="AI139" s="470">
        <v>13</v>
      </c>
    </row>
    <row r="140" spans="1:39" x14ac:dyDescent="0.2">
      <c r="A140" s="463" t="str">
        <f t="shared" ca="1" si="6"/>
        <v/>
      </c>
      <c r="B140" s="463" t="str">
        <f t="shared" ca="1" si="6"/>
        <v/>
      </c>
    </row>
    <row r="141" spans="1:39" s="485" customFormat="1" x14ac:dyDescent="0.2">
      <c r="A141" s="463" t="str">
        <f t="shared" ca="1" si="6"/>
        <v/>
      </c>
      <c r="B141" s="463" t="str">
        <f t="shared" ca="1" si="6"/>
        <v/>
      </c>
    </row>
    <row r="142" spans="1:39" x14ac:dyDescent="0.2">
      <c r="A142" s="463" t="str">
        <f t="shared" ca="1" si="6"/>
        <v/>
      </c>
      <c r="B142" s="463" t="str">
        <f t="shared" ca="1" si="6"/>
        <v/>
      </c>
      <c r="D142" s="307">
        <v>31</v>
      </c>
      <c r="E142" s="307" t="s">
        <v>248</v>
      </c>
    </row>
    <row r="143" spans="1:39" x14ac:dyDescent="0.2">
      <c r="A143" s="463" t="str">
        <f t="shared" ca="1" si="6"/>
        <v/>
      </c>
      <c r="B143" s="463" t="str">
        <f t="shared" ca="1" si="6"/>
        <v/>
      </c>
      <c r="E143" s="463" t="s">
        <v>196</v>
      </c>
      <c r="F143" s="468">
        <v>1</v>
      </c>
      <c r="G143" s="469">
        <v>2</v>
      </c>
      <c r="H143" s="469">
        <v>3</v>
      </c>
      <c r="I143" s="469">
        <v>4</v>
      </c>
      <c r="J143" s="470">
        <v>5</v>
      </c>
      <c r="K143" s="468">
        <v>6</v>
      </c>
      <c r="L143" s="469">
        <v>7</v>
      </c>
      <c r="M143" s="469">
        <v>8</v>
      </c>
      <c r="N143" s="469">
        <v>9</v>
      </c>
      <c r="O143" s="470">
        <v>10</v>
      </c>
      <c r="P143" s="468">
        <v>11</v>
      </c>
      <c r="Q143" s="469">
        <v>12</v>
      </c>
      <c r="R143" s="469">
        <v>13</v>
      </c>
      <c r="S143" s="469">
        <v>14</v>
      </c>
      <c r="T143" s="470">
        <v>15</v>
      </c>
      <c r="U143" s="468">
        <v>16</v>
      </c>
      <c r="V143" s="469">
        <v>17</v>
      </c>
      <c r="W143" s="469">
        <v>18</v>
      </c>
      <c r="X143" s="470">
        <v>19</v>
      </c>
      <c r="Z143" s="468">
        <v>20</v>
      </c>
      <c r="AA143" s="469">
        <v>21</v>
      </c>
      <c r="AB143" s="469">
        <v>22</v>
      </c>
      <c r="AC143" s="470">
        <v>23</v>
      </c>
      <c r="AE143" s="468">
        <v>24</v>
      </c>
      <c r="AF143" s="469">
        <v>25</v>
      </c>
      <c r="AG143" s="469">
        <v>26</v>
      </c>
      <c r="AH143" s="470">
        <v>27</v>
      </c>
      <c r="AJ143" s="468">
        <v>28</v>
      </c>
      <c r="AK143" s="469">
        <v>29</v>
      </c>
      <c r="AL143" s="469">
        <v>30</v>
      </c>
      <c r="AM143" s="470">
        <v>31</v>
      </c>
    </row>
    <row r="144" spans="1:39" x14ac:dyDescent="0.2">
      <c r="A144" s="463" t="str">
        <f t="shared" ca="1" si="6"/>
        <v/>
      </c>
      <c r="B144" s="463" t="str">
        <f t="shared" ca="1" si="6"/>
        <v/>
      </c>
      <c r="E144" s="463" t="s">
        <v>230</v>
      </c>
      <c r="F144" s="468">
        <v>27</v>
      </c>
      <c r="G144" s="469">
        <v>22</v>
      </c>
      <c r="H144" s="469">
        <v>7</v>
      </c>
      <c r="I144" s="469">
        <v>16</v>
      </c>
      <c r="J144" s="470">
        <v>30</v>
      </c>
      <c r="K144" s="468">
        <v>31</v>
      </c>
      <c r="L144" s="469">
        <v>18</v>
      </c>
      <c r="M144" s="469">
        <v>15</v>
      </c>
      <c r="N144" s="469">
        <v>20</v>
      </c>
      <c r="O144" s="470">
        <v>25</v>
      </c>
      <c r="P144" s="468">
        <v>5</v>
      </c>
      <c r="Q144" s="469">
        <v>26</v>
      </c>
      <c r="R144" s="469">
        <v>21</v>
      </c>
      <c r="S144" s="469">
        <v>17</v>
      </c>
      <c r="T144" s="470">
        <v>28</v>
      </c>
      <c r="U144" s="468">
        <v>4</v>
      </c>
      <c r="V144" s="469">
        <v>19</v>
      </c>
      <c r="W144" s="469">
        <v>11</v>
      </c>
      <c r="X144" s="470">
        <v>6</v>
      </c>
      <c r="Z144" s="468">
        <v>9</v>
      </c>
      <c r="AA144" s="469">
        <v>13</v>
      </c>
      <c r="AB144" s="469">
        <v>24</v>
      </c>
      <c r="AC144" s="470">
        <v>3</v>
      </c>
      <c r="AE144" s="468">
        <v>14</v>
      </c>
      <c r="AF144" s="469">
        <v>10</v>
      </c>
      <c r="AG144" s="469">
        <v>29</v>
      </c>
      <c r="AH144" s="470">
        <v>1</v>
      </c>
      <c r="AJ144" s="468">
        <v>23</v>
      </c>
      <c r="AK144" s="469">
        <v>8</v>
      </c>
      <c r="AL144" s="469">
        <v>12</v>
      </c>
      <c r="AM144" s="470">
        <v>2</v>
      </c>
    </row>
    <row r="145" spans="1:39" x14ac:dyDescent="0.2">
      <c r="A145" s="463" t="str">
        <f t="shared" ca="1" si="6"/>
        <v/>
      </c>
      <c r="B145" s="463" t="str">
        <f t="shared" ca="1" si="6"/>
        <v/>
      </c>
    </row>
    <row r="146" spans="1:39" s="485" customFormat="1" x14ac:dyDescent="0.2">
      <c r="A146" s="463" t="str">
        <f t="shared" ca="1" si="6"/>
        <v/>
      </c>
      <c r="B146" s="463" t="str">
        <f t="shared" ca="1" si="6"/>
        <v/>
      </c>
    </row>
    <row r="147" spans="1:39" x14ac:dyDescent="0.2">
      <c r="A147" s="463" t="str">
        <f t="shared" ref="A147:B166" ca="1" si="7">IF(INDIRECT(ADDRESS(A$6,ROW()-ROW(A$6)-1+COLUMN($F$8)))&gt;0,INDIRECT(ADDRESS(A$6,ROW()-ROW(A$6)-1+COLUMN($F$8))),"")</f>
        <v/>
      </c>
      <c r="B147" s="463" t="str">
        <f t="shared" ca="1" si="7"/>
        <v/>
      </c>
      <c r="D147" s="307">
        <v>32</v>
      </c>
      <c r="E147" s="307" t="s">
        <v>248</v>
      </c>
    </row>
    <row r="148" spans="1:39" x14ac:dyDescent="0.2">
      <c r="A148" s="463" t="str">
        <f t="shared" ca="1" si="7"/>
        <v/>
      </c>
      <c r="B148" s="463" t="str">
        <f t="shared" ca="1" si="7"/>
        <v/>
      </c>
      <c r="E148" s="463" t="s">
        <v>196</v>
      </c>
      <c r="F148" s="468">
        <v>1</v>
      </c>
      <c r="G148" s="469">
        <v>2</v>
      </c>
      <c r="H148" s="469">
        <v>3</v>
      </c>
      <c r="I148" s="469">
        <v>4</v>
      </c>
      <c r="J148" s="470">
        <v>5</v>
      </c>
      <c r="K148" s="468">
        <v>6</v>
      </c>
      <c r="L148" s="469">
        <v>7</v>
      </c>
      <c r="M148" s="469">
        <v>8</v>
      </c>
      <c r="N148" s="469">
        <v>9</v>
      </c>
      <c r="O148" s="470">
        <v>10</v>
      </c>
      <c r="P148" s="468">
        <v>11</v>
      </c>
      <c r="Q148" s="469">
        <v>12</v>
      </c>
      <c r="R148" s="469">
        <v>13</v>
      </c>
      <c r="S148" s="469">
        <v>14</v>
      </c>
      <c r="T148" s="470">
        <v>15</v>
      </c>
      <c r="U148" s="468">
        <v>16</v>
      </c>
      <c r="V148" s="469">
        <v>17</v>
      </c>
      <c r="W148" s="469">
        <v>18</v>
      </c>
      <c r="X148" s="469">
        <v>19</v>
      </c>
      <c r="Y148" s="470">
        <v>20</v>
      </c>
      <c r="Z148" s="468">
        <v>21</v>
      </c>
      <c r="AA148" s="469">
        <v>22</v>
      </c>
      <c r="AB148" s="469">
        <v>23</v>
      </c>
      <c r="AC148" s="470">
        <v>24</v>
      </c>
      <c r="AE148" s="468">
        <v>25</v>
      </c>
      <c r="AF148" s="469">
        <v>26</v>
      </c>
      <c r="AG148" s="469">
        <v>27</v>
      </c>
      <c r="AH148" s="470">
        <v>28</v>
      </c>
      <c r="AJ148" s="468">
        <v>29</v>
      </c>
      <c r="AK148" s="469">
        <v>30</v>
      </c>
      <c r="AL148" s="469">
        <v>31</v>
      </c>
      <c r="AM148" s="470">
        <v>32</v>
      </c>
    </row>
    <row r="149" spans="1:39" x14ac:dyDescent="0.2">
      <c r="A149" s="463" t="str">
        <f t="shared" ca="1" si="7"/>
        <v/>
      </c>
      <c r="B149" s="463" t="str">
        <f t="shared" ca="1" si="7"/>
        <v/>
      </c>
      <c r="E149" s="463" t="s">
        <v>230</v>
      </c>
      <c r="F149" s="468">
        <v>24</v>
      </c>
      <c r="G149" s="469">
        <v>19</v>
      </c>
      <c r="H149" s="469">
        <v>12</v>
      </c>
      <c r="I149" s="469">
        <v>31</v>
      </c>
      <c r="J149" s="470">
        <v>26</v>
      </c>
      <c r="K149" s="468">
        <v>28</v>
      </c>
      <c r="L149" s="469">
        <v>9</v>
      </c>
      <c r="M149" s="469">
        <v>22</v>
      </c>
      <c r="N149" s="469">
        <v>29</v>
      </c>
      <c r="O149" s="470">
        <v>16</v>
      </c>
      <c r="P149" s="468">
        <v>10</v>
      </c>
      <c r="Q149" s="469">
        <v>3</v>
      </c>
      <c r="R149" s="469">
        <v>32</v>
      </c>
      <c r="S149" s="469">
        <v>27</v>
      </c>
      <c r="T149" s="470">
        <v>21</v>
      </c>
      <c r="U149" s="468">
        <v>14</v>
      </c>
      <c r="V149" s="469">
        <v>23</v>
      </c>
      <c r="W149" s="469">
        <v>30</v>
      </c>
      <c r="X149" s="469">
        <v>2</v>
      </c>
      <c r="Y149" s="470">
        <v>25</v>
      </c>
      <c r="Z149" s="468">
        <v>5</v>
      </c>
      <c r="AA149" s="469">
        <v>8</v>
      </c>
      <c r="AB149" s="469">
        <v>17</v>
      </c>
      <c r="AC149" s="470">
        <v>11</v>
      </c>
      <c r="AE149" s="468">
        <v>4</v>
      </c>
      <c r="AF149" s="469">
        <v>15</v>
      </c>
      <c r="AG149" s="469">
        <v>7</v>
      </c>
      <c r="AH149" s="470">
        <v>18</v>
      </c>
      <c r="AJ149" s="468">
        <v>20</v>
      </c>
      <c r="AK149" s="469">
        <v>13</v>
      </c>
      <c r="AL149" s="469">
        <v>1</v>
      </c>
      <c r="AM149" s="470">
        <v>6</v>
      </c>
    </row>
    <row r="150" spans="1:39" x14ac:dyDescent="0.2">
      <c r="A150" s="463" t="str">
        <f t="shared" ca="1" si="7"/>
        <v/>
      </c>
      <c r="B150" s="463" t="str">
        <f t="shared" ca="1" si="7"/>
        <v/>
      </c>
    </row>
    <row r="151" spans="1:39" s="485" customFormat="1" x14ac:dyDescent="0.2">
      <c r="A151" s="463" t="str">
        <f t="shared" ca="1" si="7"/>
        <v/>
      </c>
      <c r="B151" s="463" t="str">
        <f t="shared" ca="1" si="7"/>
        <v/>
      </c>
    </row>
    <row r="152" spans="1:39" x14ac:dyDescent="0.2">
      <c r="A152" s="463" t="str">
        <f t="shared" ca="1" si="7"/>
        <v/>
      </c>
      <c r="B152" s="463" t="str">
        <f t="shared" ca="1" si="7"/>
        <v/>
      </c>
      <c r="D152" s="307">
        <v>33</v>
      </c>
      <c r="E152" s="307" t="s">
        <v>248</v>
      </c>
    </row>
    <row r="153" spans="1:39" x14ac:dyDescent="0.2">
      <c r="A153" s="463" t="str">
        <f t="shared" ca="1" si="7"/>
        <v/>
      </c>
      <c r="B153" s="463" t="str">
        <f t="shared" ca="1" si="7"/>
        <v/>
      </c>
      <c r="E153" s="463" t="s">
        <v>196</v>
      </c>
      <c r="F153" s="468">
        <v>1</v>
      </c>
      <c r="G153" s="469">
        <v>2</v>
      </c>
      <c r="H153" s="469">
        <v>3</v>
      </c>
      <c r="I153" s="469">
        <v>4</v>
      </c>
      <c r="J153" s="470">
        <v>5</v>
      </c>
      <c r="K153" s="468">
        <v>6</v>
      </c>
      <c r="L153" s="469">
        <v>7</v>
      </c>
      <c r="M153" s="469">
        <v>8</v>
      </c>
      <c r="N153" s="469">
        <v>9</v>
      </c>
      <c r="O153" s="470">
        <v>10</v>
      </c>
      <c r="P153" s="468">
        <v>11</v>
      </c>
      <c r="Q153" s="469">
        <v>12</v>
      </c>
      <c r="R153" s="469">
        <v>13</v>
      </c>
      <c r="S153" s="469">
        <v>14</v>
      </c>
      <c r="T153" s="470">
        <v>15</v>
      </c>
      <c r="U153" s="468">
        <v>16</v>
      </c>
      <c r="V153" s="469">
        <v>17</v>
      </c>
      <c r="W153" s="469">
        <v>18</v>
      </c>
      <c r="X153" s="469">
        <v>19</v>
      </c>
      <c r="Y153" s="470">
        <v>20</v>
      </c>
      <c r="Z153" s="468">
        <v>21</v>
      </c>
      <c r="AA153" s="469">
        <v>22</v>
      </c>
      <c r="AB153" s="469">
        <v>23</v>
      </c>
      <c r="AC153" s="469">
        <v>24</v>
      </c>
      <c r="AD153" s="470">
        <v>25</v>
      </c>
      <c r="AE153" s="468">
        <v>26</v>
      </c>
      <c r="AF153" s="469">
        <v>27</v>
      </c>
      <c r="AG153" s="469">
        <v>28</v>
      </c>
      <c r="AH153" s="470">
        <v>29</v>
      </c>
      <c r="AJ153" s="468">
        <v>30</v>
      </c>
      <c r="AK153" s="469">
        <v>31</v>
      </c>
      <c r="AL153" s="469">
        <v>32</v>
      </c>
      <c r="AM153" s="470">
        <v>33</v>
      </c>
    </row>
    <row r="154" spans="1:39" x14ac:dyDescent="0.2">
      <c r="A154" s="463" t="str">
        <f t="shared" ca="1" si="7"/>
        <v/>
      </c>
      <c r="B154" s="463" t="str">
        <f t="shared" ca="1" si="7"/>
        <v/>
      </c>
      <c r="E154" s="463" t="s">
        <v>230</v>
      </c>
      <c r="F154" s="468">
        <v>24</v>
      </c>
      <c r="G154" s="469">
        <v>20</v>
      </c>
      <c r="H154" s="469">
        <v>27</v>
      </c>
      <c r="I154" s="469">
        <v>30</v>
      </c>
      <c r="J154" s="470">
        <v>1</v>
      </c>
      <c r="K154" s="468">
        <v>10</v>
      </c>
      <c r="L154" s="469">
        <v>32</v>
      </c>
      <c r="M154" s="469">
        <v>29</v>
      </c>
      <c r="N154" s="469">
        <v>17</v>
      </c>
      <c r="O154" s="470">
        <v>12</v>
      </c>
      <c r="P154" s="468">
        <v>19</v>
      </c>
      <c r="Q154" s="469">
        <v>8</v>
      </c>
      <c r="R154" s="469">
        <v>31</v>
      </c>
      <c r="S154" s="469">
        <v>2</v>
      </c>
      <c r="T154" s="470">
        <v>23</v>
      </c>
      <c r="U154" s="468">
        <v>25</v>
      </c>
      <c r="V154" s="469">
        <v>18</v>
      </c>
      <c r="W154" s="469">
        <v>7</v>
      </c>
      <c r="X154" s="469">
        <v>28</v>
      </c>
      <c r="Y154" s="470">
        <v>11</v>
      </c>
      <c r="Z154" s="468">
        <v>5</v>
      </c>
      <c r="AA154" s="469">
        <v>33</v>
      </c>
      <c r="AB154" s="469">
        <v>15</v>
      </c>
      <c r="AC154" s="469">
        <v>21</v>
      </c>
      <c r="AD154" s="470">
        <v>26</v>
      </c>
      <c r="AE154" s="468">
        <v>14</v>
      </c>
      <c r="AF154" s="469">
        <v>3</v>
      </c>
      <c r="AG154" s="469">
        <v>22</v>
      </c>
      <c r="AH154" s="470">
        <v>6</v>
      </c>
      <c r="AJ154" s="468">
        <v>9</v>
      </c>
      <c r="AK154" s="469">
        <v>13</v>
      </c>
      <c r="AL154" s="469">
        <v>4</v>
      </c>
      <c r="AM154" s="470">
        <v>16</v>
      </c>
    </row>
    <row r="155" spans="1:39" x14ac:dyDescent="0.2">
      <c r="A155" s="463" t="str">
        <f t="shared" ca="1" si="7"/>
        <v/>
      </c>
      <c r="B155" s="463" t="str">
        <f t="shared" ca="1" si="7"/>
        <v/>
      </c>
    </row>
    <row r="156" spans="1:39" s="485" customFormat="1" x14ac:dyDescent="0.2">
      <c r="A156" s="463" t="str">
        <f t="shared" ca="1" si="7"/>
        <v/>
      </c>
      <c r="B156" s="463" t="str">
        <f t="shared" ca="1" si="7"/>
        <v/>
      </c>
    </row>
    <row r="157" spans="1:39" x14ac:dyDescent="0.2">
      <c r="A157" s="463" t="str">
        <f t="shared" ca="1" si="7"/>
        <v/>
      </c>
      <c r="B157" s="463" t="str">
        <f t="shared" ca="1" si="7"/>
        <v/>
      </c>
      <c r="D157" s="307">
        <v>34</v>
      </c>
      <c r="E157" s="307" t="s">
        <v>248</v>
      </c>
    </row>
    <row r="158" spans="1:39" x14ac:dyDescent="0.2">
      <c r="A158" s="463" t="str">
        <f t="shared" ca="1" si="7"/>
        <v/>
      </c>
      <c r="B158" s="463" t="str">
        <f t="shared" ca="1" si="7"/>
        <v/>
      </c>
      <c r="E158" s="463" t="s">
        <v>196</v>
      </c>
      <c r="F158" s="468">
        <v>1</v>
      </c>
      <c r="G158" s="469">
        <v>2</v>
      </c>
      <c r="H158" s="469">
        <v>3</v>
      </c>
      <c r="I158" s="469">
        <v>4</v>
      </c>
      <c r="J158" s="470">
        <v>5</v>
      </c>
      <c r="K158" s="468">
        <v>6</v>
      </c>
      <c r="L158" s="469">
        <v>7</v>
      </c>
      <c r="M158" s="469">
        <v>8</v>
      </c>
      <c r="N158" s="469">
        <v>9</v>
      </c>
      <c r="O158" s="470">
        <v>10</v>
      </c>
      <c r="P158" s="468">
        <v>11</v>
      </c>
      <c r="Q158" s="469">
        <v>12</v>
      </c>
      <c r="R158" s="469">
        <v>13</v>
      </c>
      <c r="S158" s="469">
        <v>14</v>
      </c>
      <c r="T158" s="470">
        <v>15</v>
      </c>
      <c r="U158" s="468">
        <v>16</v>
      </c>
      <c r="V158" s="469">
        <v>17</v>
      </c>
      <c r="W158" s="469">
        <v>18</v>
      </c>
      <c r="X158" s="469">
        <v>19</v>
      </c>
      <c r="Y158" s="470">
        <v>20</v>
      </c>
      <c r="Z158" s="468">
        <v>21</v>
      </c>
      <c r="AA158" s="469">
        <v>22</v>
      </c>
      <c r="AB158" s="469">
        <v>23</v>
      </c>
      <c r="AC158" s="469">
        <v>24</v>
      </c>
      <c r="AD158" s="470">
        <v>25</v>
      </c>
      <c r="AE158" s="468">
        <v>26</v>
      </c>
      <c r="AF158" s="469">
        <v>27</v>
      </c>
      <c r="AG158" s="469">
        <v>28</v>
      </c>
      <c r="AH158" s="469">
        <v>29</v>
      </c>
      <c r="AI158" s="470">
        <v>30</v>
      </c>
      <c r="AJ158" s="468">
        <v>31</v>
      </c>
      <c r="AK158" s="469">
        <v>32</v>
      </c>
      <c r="AL158" s="469">
        <v>33</v>
      </c>
      <c r="AM158" s="470">
        <v>34</v>
      </c>
    </row>
    <row r="159" spans="1:39" x14ac:dyDescent="0.2">
      <c r="A159" s="463" t="str">
        <f t="shared" ca="1" si="7"/>
        <v/>
      </c>
      <c r="B159" s="463" t="str">
        <f t="shared" ca="1" si="7"/>
        <v/>
      </c>
      <c r="E159" s="463" t="s">
        <v>230</v>
      </c>
      <c r="F159" s="468">
        <v>24</v>
      </c>
      <c r="G159" s="469">
        <v>8</v>
      </c>
      <c r="H159" s="469">
        <v>30</v>
      </c>
      <c r="I159" s="469">
        <v>33</v>
      </c>
      <c r="J159" s="470">
        <v>1</v>
      </c>
      <c r="K159" s="468">
        <v>10</v>
      </c>
      <c r="L159" s="469">
        <v>29</v>
      </c>
      <c r="M159" s="469">
        <v>12</v>
      </c>
      <c r="N159" s="469">
        <v>31</v>
      </c>
      <c r="O159" s="470">
        <v>17</v>
      </c>
      <c r="P159" s="468">
        <v>4</v>
      </c>
      <c r="Q159" s="469">
        <v>14</v>
      </c>
      <c r="R159" s="469">
        <v>7</v>
      </c>
      <c r="S159" s="469">
        <v>21</v>
      </c>
      <c r="T159" s="470">
        <v>26</v>
      </c>
      <c r="U159" s="468">
        <v>34</v>
      </c>
      <c r="V159" s="469">
        <v>13</v>
      </c>
      <c r="W159" s="469">
        <v>9</v>
      </c>
      <c r="X159" s="469">
        <v>28</v>
      </c>
      <c r="Y159" s="470">
        <v>16</v>
      </c>
      <c r="Z159" s="468">
        <v>5</v>
      </c>
      <c r="AA159" s="469">
        <v>19</v>
      </c>
      <c r="AB159" s="469">
        <v>27</v>
      </c>
      <c r="AC159" s="469">
        <v>23</v>
      </c>
      <c r="AD159" s="470">
        <v>11</v>
      </c>
      <c r="AE159" s="468">
        <v>25</v>
      </c>
      <c r="AF159" s="469">
        <v>18</v>
      </c>
      <c r="AG159" s="469">
        <v>15</v>
      </c>
      <c r="AH159" s="469">
        <v>2</v>
      </c>
      <c r="AI159" s="470">
        <v>32</v>
      </c>
      <c r="AJ159" s="468">
        <v>20</v>
      </c>
      <c r="AK159" s="469">
        <v>3</v>
      </c>
      <c r="AL159" s="469">
        <v>22</v>
      </c>
      <c r="AM159" s="470">
        <v>6</v>
      </c>
    </row>
    <row r="160" spans="1:39" x14ac:dyDescent="0.2">
      <c r="A160" s="463" t="str">
        <f t="shared" ca="1" si="7"/>
        <v/>
      </c>
      <c r="B160" s="463" t="str">
        <f t="shared" ca="1" si="7"/>
        <v/>
      </c>
    </row>
    <row r="161" spans="1:44" s="485" customFormat="1" x14ac:dyDescent="0.2">
      <c r="A161" s="463" t="str">
        <f t="shared" ca="1" si="7"/>
        <v/>
      </c>
      <c r="B161" s="463" t="str">
        <f t="shared" ca="1" si="7"/>
        <v/>
      </c>
    </row>
    <row r="162" spans="1:44" x14ac:dyDescent="0.2">
      <c r="A162" s="463" t="str">
        <f t="shared" ca="1" si="7"/>
        <v/>
      </c>
      <c r="B162" s="463" t="str">
        <f t="shared" ca="1" si="7"/>
        <v/>
      </c>
      <c r="D162" s="307">
        <v>35</v>
      </c>
      <c r="E162" s="307" t="s">
        <v>248</v>
      </c>
    </row>
    <row r="163" spans="1:44" x14ac:dyDescent="0.2">
      <c r="A163" s="463" t="str">
        <f t="shared" ca="1" si="7"/>
        <v/>
      </c>
      <c r="B163" s="463" t="str">
        <f t="shared" ca="1" si="7"/>
        <v/>
      </c>
      <c r="E163" s="463" t="s">
        <v>196</v>
      </c>
      <c r="F163" s="468">
        <v>1</v>
      </c>
      <c r="G163" s="469">
        <v>2</v>
      </c>
      <c r="H163" s="469">
        <v>3</v>
      </c>
      <c r="I163" s="469">
        <v>4</v>
      </c>
      <c r="J163" s="470">
        <v>5</v>
      </c>
      <c r="K163" s="468">
        <v>6</v>
      </c>
      <c r="L163" s="469">
        <v>7</v>
      </c>
      <c r="M163" s="469">
        <v>8</v>
      </c>
      <c r="N163" s="469">
        <v>9</v>
      </c>
      <c r="O163" s="470">
        <v>10</v>
      </c>
      <c r="P163" s="468">
        <v>11</v>
      </c>
      <c r="Q163" s="469">
        <v>12</v>
      </c>
      <c r="R163" s="469">
        <v>13</v>
      </c>
      <c r="S163" s="469">
        <v>14</v>
      </c>
      <c r="T163" s="470">
        <v>15</v>
      </c>
      <c r="U163" s="468">
        <v>16</v>
      </c>
      <c r="V163" s="469">
        <v>17</v>
      </c>
      <c r="W163" s="469">
        <v>18</v>
      </c>
      <c r="X163" s="469">
        <v>19</v>
      </c>
      <c r="Y163" s="470">
        <v>20</v>
      </c>
      <c r="Z163" s="468">
        <v>21</v>
      </c>
      <c r="AA163" s="469">
        <v>22</v>
      </c>
      <c r="AB163" s="469">
        <v>23</v>
      </c>
      <c r="AC163" s="469">
        <v>24</v>
      </c>
      <c r="AD163" s="470">
        <v>25</v>
      </c>
      <c r="AE163" s="468">
        <v>26</v>
      </c>
      <c r="AF163" s="469">
        <v>27</v>
      </c>
      <c r="AG163" s="469">
        <v>28</v>
      </c>
      <c r="AH163" s="469">
        <v>29</v>
      </c>
      <c r="AI163" s="470">
        <v>30</v>
      </c>
      <c r="AJ163" s="468">
        <v>31</v>
      </c>
      <c r="AK163" s="469">
        <v>32</v>
      </c>
      <c r="AL163" s="469">
        <v>33</v>
      </c>
      <c r="AM163" s="469">
        <v>34</v>
      </c>
      <c r="AN163" s="470">
        <v>35</v>
      </c>
    </row>
    <row r="164" spans="1:44" x14ac:dyDescent="0.2">
      <c r="A164" s="463" t="str">
        <f t="shared" ca="1" si="7"/>
        <v/>
      </c>
      <c r="B164" s="463" t="str">
        <f t="shared" ca="1" si="7"/>
        <v/>
      </c>
      <c r="E164" s="463" t="s">
        <v>230</v>
      </c>
      <c r="F164" s="468">
        <v>34</v>
      </c>
      <c r="G164" s="469">
        <v>20</v>
      </c>
      <c r="H164" s="469">
        <v>30</v>
      </c>
      <c r="I164" s="469">
        <v>1</v>
      </c>
      <c r="J164" s="470">
        <v>13</v>
      </c>
      <c r="K164" s="468">
        <v>24</v>
      </c>
      <c r="L164" s="469">
        <v>18</v>
      </c>
      <c r="M164" s="469">
        <v>7</v>
      </c>
      <c r="N164" s="469">
        <v>26</v>
      </c>
      <c r="O164" s="470">
        <v>31</v>
      </c>
      <c r="P164" s="468">
        <v>14</v>
      </c>
      <c r="Q164" s="469">
        <v>25</v>
      </c>
      <c r="R164" s="469">
        <v>5</v>
      </c>
      <c r="S164" s="469">
        <v>6</v>
      </c>
      <c r="T164" s="470">
        <v>28</v>
      </c>
      <c r="U164" s="468">
        <v>35</v>
      </c>
      <c r="V164" s="469">
        <v>15</v>
      </c>
      <c r="W164" s="469">
        <v>27</v>
      </c>
      <c r="X164" s="469">
        <v>16</v>
      </c>
      <c r="Y164" s="470">
        <v>22</v>
      </c>
      <c r="Z164" s="468">
        <v>29</v>
      </c>
      <c r="AA164" s="469">
        <v>33</v>
      </c>
      <c r="AB164" s="469">
        <v>2</v>
      </c>
      <c r="AC164" s="469">
        <v>8</v>
      </c>
      <c r="AD164" s="470">
        <v>17</v>
      </c>
      <c r="AE164" s="468">
        <v>19</v>
      </c>
      <c r="AF164" s="469">
        <v>3</v>
      </c>
      <c r="AG164" s="469">
        <v>9</v>
      </c>
      <c r="AH164" s="469">
        <v>23</v>
      </c>
      <c r="AI164" s="470">
        <v>12</v>
      </c>
      <c r="AJ164" s="468">
        <v>10</v>
      </c>
      <c r="AK164" s="469">
        <v>4</v>
      </c>
      <c r="AL164" s="469">
        <v>32</v>
      </c>
      <c r="AM164" s="469">
        <v>11</v>
      </c>
      <c r="AN164" s="470">
        <v>21</v>
      </c>
    </row>
    <row r="165" spans="1:44" x14ac:dyDescent="0.2">
      <c r="A165" s="463" t="str">
        <f t="shared" ca="1" si="7"/>
        <v/>
      </c>
      <c r="B165" s="463" t="str">
        <f t="shared" ca="1" si="7"/>
        <v/>
      </c>
    </row>
    <row r="166" spans="1:44" s="485" customFormat="1" x14ac:dyDescent="0.2">
      <c r="A166" s="463" t="str">
        <f t="shared" ca="1" si="7"/>
        <v/>
      </c>
      <c r="B166" s="463" t="str">
        <f t="shared" ca="1" si="7"/>
        <v/>
      </c>
    </row>
    <row r="167" spans="1:44" x14ac:dyDescent="0.2">
      <c r="A167" s="463" t="str">
        <f t="shared" ref="A167:B186" ca="1" si="8">IF(INDIRECT(ADDRESS(A$6,ROW()-ROW(A$6)-1+COLUMN($F$8)))&gt;0,INDIRECT(ADDRESS(A$6,ROW()-ROW(A$6)-1+COLUMN($F$8))),"")</f>
        <v/>
      </c>
      <c r="B167" s="463" t="str">
        <f t="shared" ca="1" si="8"/>
        <v/>
      </c>
      <c r="D167" s="307">
        <v>36</v>
      </c>
      <c r="E167" s="307" t="s">
        <v>248</v>
      </c>
    </row>
    <row r="168" spans="1:44" x14ac:dyDescent="0.2">
      <c r="A168" s="463" t="str">
        <f t="shared" ca="1" si="8"/>
        <v/>
      </c>
      <c r="B168" s="463" t="str">
        <f t="shared" ca="1" si="8"/>
        <v/>
      </c>
      <c r="E168" s="463" t="s">
        <v>196</v>
      </c>
      <c r="F168" s="468">
        <v>1</v>
      </c>
      <c r="G168" s="469">
        <v>2</v>
      </c>
      <c r="H168" s="469">
        <v>3</v>
      </c>
      <c r="I168" s="469">
        <v>4</v>
      </c>
      <c r="J168" s="470">
        <v>5</v>
      </c>
      <c r="K168" s="468">
        <v>6</v>
      </c>
      <c r="L168" s="469">
        <v>7</v>
      </c>
      <c r="M168" s="469">
        <v>8</v>
      </c>
      <c r="N168" s="469">
        <v>9</v>
      </c>
      <c r="O168" s="470">
        <v>10</v>
      </c>
      <c r="P168" s="468">
        <v>11</v>
      </c>
      <c r="Q168" s="469">
        <v>12</v>
      </c>
      <c r="R168" s="469">
        <v>13</v>
      </c>
      <c r="S168" s="469">
        <v>14</v>
      </c>
      <c r="T168" s="470">
        <v>15</v>
      </c>
      <c r="U168" s="468">
        <v>16</v>
      </c>
      <c r="V168" s="469">
        <v>17</v>
      </c>
      <c r="W168" s="469">
        <v>18</v>
      </c>
      <c r="X168" s="469">
        <v>19</v>
      </c>
      <c r="Y168" s="470">
        <v>20</v>
      </c>
      <c r="Z168" s="468">
        <v>21</v>
      </c>
      <c r="AA168" s="469">
        <v>22</v>
      </c>
      <c r="AB168" s="469">
        <v>23</v>
      </c>
      <c r="AC168" s="470">
        <v>24</v>
      </c>
      <c r="AE168" s="468">
        <v>25</v>
      </c>
      <c r="AF168" s="469">
        <v>26</v>
      </c>
      <c r="AG168" s="469">
        <v>27</v>
      </c>
      <c r="AH168" s="470">
        <v>28</v>
      </c>
      <c r="AJ168" s="468">
        <v>29</v>
      </c>
      <c r="AK168" s="469">
        <v>30</v>
      </c>
      <c r="AL168" s="469">
        <v>31</v>
      </c>
      <c r="AM168" s="470">
        <v>32</v>
      </c>
      <c r="AO168" s="468">
        <v>33</v>
      </c>
      <c r="AP168" s="469">
        <v>34</v>
      </c>
      <c r="AQ168" s="469">
        <v>35</v>
      </c>
      <c r="AR168" s="470">
        <v>36</v>
      </c>
    </row>
    <row r="169" spans="1:44" x14ac:dyDescent="0.2">
      <c r="A169" s="463" t="str">
        <f t="shared" ca="1" si="8"/>
        <v/>
      </c>
      <c r="B169" s="463" t="str">
        <f t="shared" ca="1" si="8"/>
        <v/>
      </c>
      <c r="E169" s="463" t="s">
        <v>230</v>
      </c>
      <c r="F169" s="468">
        <v>36</v>
      </c>
      <c r="G169" s="469">
        <v>24</v>
      </c>
      <c r="H169" s="469">
        <v>30</v>
      </c>
      <c r="I169" s="469">
        <v>12</v>
      </c>
      <c r="J169" s="470">
        <v>25</v>
      </c>
      <c r="K169" s="468">
        <v>32</v>
      </c>
      <c r="L169" s="469">
        <v>35</v>
      </c>
      <c r="M169" s="469">
        <v>26</v>
      </c>
      <c r="N169" s="469">
        <v>16</v>
      </c>
      <c r="O169" s="470">
        <v>21</v>
      </c>
      <c r="P169" s="468">
        <v>27</v>
      </c>
      <c r="Q169" s="469">
        <v>4</v>
      </c>
      <c r="R169" s="469">
        <v>29</v>
      </c>
      <c r="S169" s="469">
        <v>22</v>
      </c>
      <c r="T169" s="470">
        <v>33</v>
      </c>
      <c r="U169" s="468">
        <v>28</v>
      </c>
      <c r="V169" s="469">
        <v>9</v>
      </c>
      <c r="W169" s="469">
        <v>34</v>
      </c>
      <c r="X169" s="469">
        <v>31</v>
      </c>
      <c r="Y169" s="470">
        <v>23</v>
      </c>
      <c r="Z169" s="468">
        <v>5</v>
      </c>
      <c r="AA169" s="469">
        <v>14</v>
      </c>
      <c r="AB169" s="469">
        <v>17</v>
      </c>
      <c r="AC169" s="470">
        <v>8</v>
      </c>
      <c r="AE169" s="468">
        <v>13</v>
      </c>
      <c r="AF169" s="469">
        <v>18</v>
      </c>
      <c r="AG169" s="469">
        <v>1</v>
      </c>
      <c r="AH169" s="470">
        <v>6</v>
      </c>
      <c r="AJ169" s="468">
        <v>19</v>
      </c>
      <c r="AK169" s="469">
        <v>3</v>
      </c>
      <c r="AL169" s="469">
        <v>10</v>
      </c>
      <c r="AM169" s="470">
        <v>11</v>
      </c>
      <c r="AO169" s="468">
        <v>15</v>
      </c>
      <c r="AP169" s="469">
        <v>20</v>
      </c>
      <c r="AQ169" s="469">
        <v>7</v>
      </c>
      <c r="AR169" s="470">
        <v>2</v>
      </c>
    </row>
    <row r="170" spans="1:44" x14ac:dyDescent="0.2">
      <c r="A170" s="463" t="str">
        <f t="shared" ca="1" si="8"/>
        <v/>
      </c>
      <c r="B170" s="463" t="str">
        <f t="shared" ca="1" si="8"/>
        <v/>
      </c>
    </row>
    <row r="171" spans="1:44" s="485" customFormat="1" x14ac:dyDescent="0.2">
      <c r="A171" s="463" t="str">
        <f t="shared" ca="1" si="8"/>
        <v/>
      </c>
      <c r="B171" s="463" t="str">
        <f t="shared" ca="1" si="8"/>
        <v/>
      </c>
    </row>
    <row r="172" spans="1:44" x14ac:dyDescent="0.2">
      <c r="A172" s="463" t="str">
        <f t="shared" ca="1" si="8"/>
        <v/>
      </c>
      <c r="B172" s="463" t="str">
        <f t="shared" ca="1" si="8"/>
        <v/>
      </c>
      <c r="D172" s="307">
        <v>37</v>
      </c>
      <c r="E172" s="307" t="s">
        <v>248</v>
      </c>
    </row>
    <row r="173" spans="1:44" x14ac:dyDescent="0.2">
      <c r="A173" s="463" t="str">
        <f t="shared" ca="1" si="8"/>
        <v/>
      </c>
      <c r="B173" s="463" t="str">
        <f t="shared" ca="1" si="8"/>
        <v/>
      </c>
      <c r="E173" s="463" t="s">
        <v>196</v>
      </c>
      <c r="F173" s="468">
        <v>1</v>
      </c>
      <c r="G173" s="469">
        <v>2</v>
      </c>
      <c r="H173" s="469">
        <v>3</v>
      </c>
      <c r="I173" s="469">
        <v>4</v>
      </c>
      <c r="J173" s="470">
        <v>5</v>
      </c>
      <c r="K173" s="468">
        <v>6</v>
      </c>
      <c r="L173" s="469">
        <v>7</v>
      </c>
      <c r="M173" s="469">
        <v>8</v>
      </c>
      <c r="N173" s="469">
        <v>9</v>
      </c>
      <c r="O173" s="470">
        <v>10</v>
      </c>
      <c r="P173" s="468">
        <v>11</v>
      </c>
      <c r="Q173" s="469">
        <v>12</v>
      </c>
      <c r="R173" s="469">
        <v>13</v>
      </c>
      <c r="S173" s="469">
        <v>14</v>
      </c>
      <c r="T173" s="470">
        <v>15</v>
      </c>
      <c r="U173" s="468">
        <v>16</v>
      </c>
      <c r="V173" s="469">
        <v>17</v>
      </c>
      <c r="W173" s="469">
        <v>18</v>
      </c>
      <c r="X173" s="469">
        <v>19</v>
      </c>
      <c r="Y173" s="470">
        <v>20</v>
      </c>
      <c r="Z173" s="468">
        <v>21</v>
      </c>
      <c r="AA173" s="469">
        <v>22</v>
      </c>
      <c r="AB173" s="469">
        <v>23</v>
      </c>
      <c r="AC173" s="469">
        <v>24</v>
      </c>
      <c r="AD173" s="470">
        <v>25</v>
      </c>
      <c r="AE173" s="468">
        <v>26</v>
      </c>
      <c r="AF173" s="469">
        <v>27</v>
      </c>
      <c r="AG173" s="469">
        <v>28</v>
      </c>
      <c r="AH173" s="470">
        <v>29</v>
      </c>
      <c r="AJ173" s="468">
        <v>30</v>
      </c>
      <c r="AK173" s="469">
        <v>31</v>
      </c>
      <c r="AL173" s="469">
        <v>32</v>
      </c>
      <c r="AM173" s="470">
        <v>33</v>
      </c>
      <c r="AO173" s="468">
        <v>34</v>
      </c>
      <c r="AP173" s="469">
        <v>35</v>
      </c>
      <c r="AQ173" s="469">
        <v>36</v>
      </c>
      <c r="AR173" s="470">
        <v>37</v>
      </c>
    </row>
    <row r="174" spans="1:44" x14ac:dyDescent="0.2">
      <c r="A174" s="463" t="str">
        <f t="shared" ca="1" si="8"/>
        <v/>
      </c>
      <c r="B174" s="463" t="str">
        <f t="shared" ca="1" si="8"/>
        <v/>
      </c>
      <c r="E174" s="463" t="s">
        <v>230</v>
      </c>
      <c r="F174" s="468">
        <v>9</v>
      </c>
      <c r="G174" s="469">
        <v>36</v>
      </c>
      <c r="H174" s="469">
        <v>31</v>
      </c>
      <c r="I174" s="469">
        <v>1</v>
      </c>
      <c r="J174" s="470">
        <v>28</v>
      </c>
      <c r="K174" s="468">
        <v>14</v>
      </c>
      <c r="L174" s="469">
        <v>23</v>
      </c>
      <c r="M174" s="469">
        <v>10</v>
      </c>
      <c r="N174" s="469">
        <v>34</v>
      </c>
      <c r="O174" s="470">
        <v>26</v>
      </c>
      <c r="P174" s="468">
        <v>25</v>
      </c>
      <c r="Q174" s="469">
        <v>29</v>
      </c>
      <c r="R174" s="469">
        <v>12</v>
      </c>
      <c r="S174" s="469">
        <v>6</v>
      </c>
      <c r="T174" s="470">
        <v>30</v>
      </c>
      <c r="U174" s="468">
        <v>37</v>
      </c>
      <c r="V174" s="469">
        <v>32</v>
      </c>
      <c r="W174" s="469">
        <v>27</v>
      </c>
      <c r="X174" s="469">
        <v>18</v>
      </c>
      <c r="Y174" s="470">
        <v>11</v>
      </c>
      <c r="Z174" s="468">
        <v>33</v>
      </c>
      <c r="AA174" s="469">
        <v>3</v>
      </c>
      <c r="AB174" s="469">
        <v>7</v>
      </c>
      <c r="AC174" s="469">
        <v>35</v>
      </c>
      <c r="AD174" s="470">
        <v>17</v>
      </c>
      <c r="AE174" s="468">
        <v>5</v>
      </c>
      <c r="AF174" s="469">
        <v>8</v>
      </c>
      <c r="AG174" s="469">
        <v>19</v>
      </c>
      <c r="AH174" s="470">
        <v>21</v>
      </c>
      <c r="AJ174" s="468">
        <v>15</v>
      </c>
      <c r="AK174" s="469">
        <v>20</v>
      </c>
      <c r="AL174" s="469">
        <v>2</v>
      </c>
      <c r="AM174" s="470">
        <v>22</v>
      </c>
      <c r="AO174" s="468">
        <v>4</v>
      </c>
      <c r="AP174" s="469">
        <v>13</v>
      </c>
      <c r="AQ174" s="469">
        <v>24</v>
      </c>
      <c r="AR174" s="470">
        <v>16</v>
      </c>
    </row>
    <row r="175" spans="1:44" x14ac:dyDescent="0.2">
      <c r="A175" s="463" t="str">
        <f t="shared" ca="1" si="8"/>
        <v/>
      </c>
      <c r="B175" s="463" t="str">
        <f t="shared" ca="1" si="8"/>
        <v/>
      </c>
    </row>
    <row r="176" spans="1:44" s="485" customFormat="1" x14ac:dyDescent="0.2">
      <c r="A176" s="463" t="str">
        <f t="shared" ca="1" si="8"/>
        <v/>
      </c>
      <c r="B176" s="463" t="str">
        <f t="shared" ca="1" si="8"/>
        <v/>
      </c>
    </row>
    <row r="177" spans="1:45" x14ac:dyDescent="0.2">
      <c r="A177" s="463" t="str">
        <f t="shared" ca="1" si="8"/>
        <v/>
      </c>
      <c r="B177" s="463" t="str">
        <f t="shared" ca="1" si="8"/>
        <v/>
      </c>
      <c r="D177" s="307">
        <v>38</v>
      </c>
      <c r="E177" s="307" t="s">
        <v>248</v>
      </c>
    </row>
    <row r="178" spans="1:45" x14ac:dyDescent="0.2">
      <c r="A178" s="463" t="str">
        <f t="shared" ca="1" si="8"/>
        <v/>
      </c>
      <c r="B178" s="463" t="str">
        <f t="shared" ca="1" si="8"/>
        <v/>
      </c>
      <c r="E178" s="463" t="s">
        <v>196</v>
      </c>
      <c r="F178" s="468">
        <v>1</v>
      </c>
      <c r="G178" s="469">
        <v>2</v>
      </c>
      <c r="H178" s="469">
        <v>3</v>
      </c>
      <c r="I178" s="469">
        <v>4</v>
      </c>
      <c r="J178" s="470">
        <v>5</v>
      </c>
      <c r="K178" s="468">
        <v>6</v>
      </c>
      <c r="L178" s="469">
        <v>7</v>
      </c>
      <c r="M178" s="469">
        <v>8</v>
      </c>
      <c r="N178" s="469">
        <v>9</v>
      </c>
      <c r="O178" s="470">
        <v>10</v>
      </c>
      <c r="P178" s="468">
        <v>11</v>
      </c>
      <c r="Q178" s="469">
        <v>12</v>
      </c>
      <c r="R178" s="469">
        <v>13</v>
      </c>
      <c r="S178" s="469">
        <v>14</v>
      </c>
      <c r="T178" s="470">
        <v>15</v>
      </c>
      <c r="U178" s="468">
        <v>16</v>
      </c>
      <c r="V178" s="469">
        <v>17</v>
      </c>
      <c r="W178" s="469">
        <v>18</v>
      </c>
      <c r="X178" s="469">
        <v>19</v>
      </c>
      <c r="Y178" s="470">
        <v>20</v>
      </c>
      <c r="Z178" s="468">
        <v>21</v>
      </c>
      <c r="AA178" s="469">
        <v>22</v>
      </c>
      <c r="AB178" s="469">
        <v>23</v>
      </c>
      <c r="AC178" s="469">
        <v>24</v>
      </c>
      <c r="AD178" s="470">
        <v>25</v>
      </c>
      <c r="AE178" s="468">
        <v>26</v>
      </c>
      <c r="AF178" s="469">
        <v>27</v>
      </c>
      <c r="AG178" s="469">
        <v>28</v>
      </c>
      <c r="AH178" s="469">
        <v>29</v>
      </c>
      <c r="AI178" s="470">
        <v>30</v>
      </c>
      <c r="AJ178" s="468">
        <v>31</v>
      </c>
      <c r="AK178" s="469">
        <v>32</v>
      </c>
      <c r="AL178" s="469">
        <v>33</v>
      </c>
      <c r="AM178" s="470">
        <v>34</v>
      </c>
      <c r="AO178" s="468">
        <v>35</v>
      </c>
      <c r="AP178" s="469">
        <v>36</v>
      </c>
      <c r="AQ178" s="469">
        <v>37</v>
      </c>
      <c r="AR178" s="470">
        <v>38</v>
      </c>
    </row>
    <row r="179" spans="1:45" x14ac:dyDescent="0.2">
      <c r="A179" s="463" t="str">
        <f t="shared" ca="1" si="8"/>
        <v/>
      </c>
      <c r="B179" s="463" t="str">
        <f t="shared" ca="1" si="8"/>
        <v/>
      </c>
      <c r="E179" s="463" t="s">
        <v>230</v>
      </c>
      <c r="F179" s="468">
        <v>20</v>
      </c>
      <c r="G179" s="469">
        <v>8</v>
      </c>
      <c r="H179" s="469">
        <v>22</v>
      </c>
      <c r="I179" s="469">
        <v>11</v>
      </c>
      <c r="J179" s="470">
        <v>26</v>
      </c>
      <c r="K179" s="468">
        <v>10</v>
      </c>
      <c r="L179" s="469">
        <v>25</v>
      </c>
      <c r="M179" s="469">
        <v>38</v>
      </c>
      <c r="N179" s="469">
        <v>1</v>
      </c>
      <c r="O179" s="470">
        <v>31</v>
      </c>
      <c r="P179" s="468">
        <v>4</v>
      </c>
      <c r="Q179" s="469">
        <v>15</v>
      </c>
      <c r="R179" s="469">
        <v>36</v>
      </c>
      <c r="S179" s="469">
        <v>6</v>
      </c>
      <c r="T179" s="470">
        <v>16</v>
      </c>
      <c r="U179" s="468">
        <v>14</v>
      </c>
      <c r="V179" s="469">
        <v>23</v>
      </c>
      <c r="W179" s="469">
        <v>30</v>
      </c>
      <c r="X179" s="469">
        <v>33</v>
      </c>
      <c r="Y179" s="470">
        <v>37</v>
      </c>
      <c r="Z179" s="468">
        <v>29</v>
      </c>
      <c r="AA179" s="469">
        <v>24</v>
      </c>
      <c r="AB179" s="469">
        <v>32</v>
      </c>
      <c r="AC179" s="469">
        <v>12</v>
      </c>
      <c r="AD179" s="470">
        <v>17</v>
      </c>
      <c r="AE179" s="468">
        <v>5</v>
      </c>
      <c r="AF179" s="469">
        <v>13</v>
      </c>
      <c r="AG179" s="469">
        <v>34</v>
      </c>
      <c r="AH179" s="469">
        <v>27</v>
      </c>
      <c r="AI179" s="470">
        <v>35</v>
      </c>
      <c r="AJ179" s="468">
        <v>19</v>
      </c>
      <c r="AK179" s="469">
        <v>3</v>
      </c>
      <c r="AL179" s="469">
        <v>7</v>
      </c>
      <c r="AM179" s="470">
        <v>21</v>
      </c>
      <c r="AO179" s="468">
        <v>9</v>
      </c>
      <c r="AP179" s="469">
        <v>28</v>
      </c>
      <c r="AQ179" s="469">
        <v>2</v>
      </c>
      <c r="AR179" s="470">
        <v>18</v>
      </c>
    </row>
    <row r="180" spans="1:45" x14ac:dyDescent="0.2">
      <c r="A180" s="463" t="str">
        <f t="shared" ca="1" si="8"/>
        <v/>
      </c>
      <c r="B180" s="463" t="str">
        <f t="shared" ca="1" si="8"/>
        <v/>
      </c>
    </row>
    <row r="181" spans="1:45" s="485" customFormat="1" x14ac:dyDescent="0.2">
      <c r="A181" s="463" t="str">
        <f t="shared" ca="1" si="8"/>
        <v/>
      </c>
      <c r="B181" s="463" t="str">
        <f t="shared" ca="1" si="8"/>
        <v/>
      </c>
    </row>
    <row r="182" spans="1:45" x14ac:dyDescent="0.2">
      <c r="A182" s="463" t="str">
        <f t="shared" ca="1" si="8"/>
        <v/>
      </c>
      <c r="B182" s="463" t="str">
        <f t="shared" ca="1" si="8"/>
        <v/>
      </c>
      <c r="D182" s="307">
        <v>39</v>
      </c>
      <c r="E182" s="307" t="s">
        <v>248</v>
      </c>
    </row>
    <row r="183" spans="1:45" x14ac:dyDescent="0.2">
      <c r="A183" s="463" t="str">
        <f t="shared" ca="1" si="8"/>
        <v/>
      </c>
      <c r="B183" s="463" t="str">
        <f t="shared" ca="1" si="8"/>
        <v/>
      </c>
      <c r="E183" s="463" t="s">
        <v>196</v>
      </c>
      <c r="F183" s="468">
        <v>1</v>
      </c>
      <c r="G183" s="469">
        <v>2</v>
      </c>
      <c r="H183" s="469">
        <v>3</v>
      </c>
      <c r="I183" s="469">
        <v>4</v>
      </c>
      <c r="J183" s="470">
        <v>5</v>
      </c>
      <c r="K183" s="468">
        <v>6</v>
      </c>
      <c r="L183" s="469">
        <v>7</v>
      </c>
      <c r="M183" s="469">
        <v>8</v>
      </c>
      <c r="N183" s="469">
        <v>9</v>
      </c>
      <c r="O183" s="470">
        <v>10</v>
      </c>
      <c r="P183" s="468">
        <v>11</v>
      </c>
      <c r="Q183" s="469">
        <v>12</v>
      </c>
      <c r="R183" s="469">
        <v>13</v>
      </c>
      <c r="S183" s="469">
        <v>14</v>
      </c>
      <c r="T183" s="470">
        <v>15</v>
      </c>
      <c r="U183" s="468">
        <v>16</v>
      </c>
      <c r="V183" s="469">
        <v>17</v>
      </c>
      <c r="W183" s="469">
        <v>18</v>
      </c>
      <c r="X183" s="469">
        <v>19</v>
      </c>
      <c r="Y183" s="470">
        <v>20</v>
      </c>
      <c r="Z183" s="468">
        <v>21</v>
      </c>
      <c r="AA183" s="469">
        <v>22</v>
      </c>
      <c r="AB183" s="469">
        <v>23</v>
      </c>
      <c r="AC183" s="469">
        <v>24</v>
      </c>
      <c r="AD183" s="470">
        <v>25</v>
      </c>
      <c r="AE183" s="468">
        <v>26</v>
      </c>
      <c r="AF183" s="469">
        <v>27</v>
      </c>
      <c r="AG183" s="469">
        <v>28</v>
      </c>
      <c r="AH183" s="469">
        <v>29</v>
      </c>
      <c r="AI183" s="470">
        <v>30</v>
      </c>
      <c r="AJ183" s="468">
        <v>31</v>
      </c>
      <c r="AK183" s="469">
        <v>32</v>
      </c>
      <c r="AL183" s="469">
        <v>33</v>
      </c>
      <c r="AM183" s="469">
        <v>34</v>
      </c>
      <c r="AN183" s="470">
        <v>35</v>
      </c>
      <c r="AO183" s="468">
        <v>36</v>
      </c>
      <c r="AP183" s="469">
        <v>37</v>
      </c>
      <c r="AQ183" s="469">
        <v>38</v>
      </c>
      <c r="AR183" s="470">
        <v>39</v>
      </c>
    </row>
    <row r="184" spans="1:45" x14ac:dyDescent="0.2">
      <c r="A184" s="463" t="str">
        <f t="shared" ca="1" si="8"/>
        <v/>
      </c>
      <c r="B184" s="463" t="str">
        <f t="shared" ca="1" si="8"/>
        <v/>
      </c>
      <c r="E184" s="463" t="s">
        <v>230</v>
      </c>
      <c r="F184" s="468">
        <v>19</v>
      </c>
      <c r="G184" s="469">
        <v>30</v>
      </c>
      <c r="H184" s="469">
        <v>4</v>
      </c>
      <c r="I184" s="469">
        <v>36</v>
      </c>
      <c r="J184" s="470">
        <v>21</v>
      </c>
      <c r="K184" s="468">
        <v>29</v>
      </c>
      <c r="L184" s="469">
        <v>14</v>
      </c>
      <c r="M184" s="469">
        <v>37</v>
      </c>
      <c r="N184" s="469">
        <v>23</v>
      </c>
      <c r="O184" s="470">
        <v>6</v>
      </c>
      <c r="P184" s="468">
        <v>35</v>
      </c>
      <c r="Q184" s="469">
        <v>25</v>
      </c>
      <c r="R184" s="469">
        <v>17</v>
      </c>
      <c r="S184" s="469">
        <v>11</v>
      </c>
      <c r="T184" s="470">
        <v>8</v>
      </c>
      <c r="U184" s="468">
        <v>15</v>
      </c>
      <c r="V184" s="469">
        <v>18</v>
      </c>
      <c r="W184" s="469">
        <v>5</v>
      </c>
      <c r="X184" s="469">
        <v>27</v>
      </c>
      <c r="Y184" s="470">
        <v>32</v>
      </c>
      <c r="Z184" s="468">
        <v>9</v>
      </c>
      <c r="AA184" s="469">
        <v>33</v>
      </c>
      <c r="AB184" s="469">
        <v>22</v>
      </c>
      <c r="AC184" s="469">
        <v>16</v>
      </c>
      <c r="AD184" s="470">
        <v>1</v>
      </c>
      <c r="AE184" s="468">
        <v>24</v>
      </c>
      <c r="AF184" s="469">
        <v>39</v>
      </c>
      <c r="AG184" s="469">
        <v>12</v>
      </c>
      <c r="AH184" s="469">
        <v>7</v>
      </c>
      <c r="AI184" s="470">
        <v>31</v>
      </c>
      <c r="AJ184" s="468">
        <v>10</v>
      </c>
      <c r="AK184" s="469">
        <v>13</v>
      </c>
      <c r="AL184" s="469">
        <v>2</v>
      </c>
      <c r="AM184" s="469">
        <v>26</v>
      </c>
      <c r="AN184" s="470">
        <v>38</v>
      </c>
      <c r="AO184" s="468">
        <v>34</v>
      </c>
      <c r="AP184" s="469">
        <v>3</v>
      </c>
      <c r="AQ184" s="469">
        <v>20</v>
      </c>
      <c r="AR184" s="470">
        <v>28</v>
      </c>
    </row>
    <row r="185" spans="1:45" x14ac:dyDescent="0.2">
      <c r="A185" s="463" t="str">
        <f t="shared" ca="1" si="8"/>
        <v/>
      </c>
      <c r="B185" s="463" t="str">
        <f t="shared" ca="1" si="8"/>
        <v/>
      </c>
    </row>
    <row r="186" spans="1:45" s="485" customFormat="1" x14ac:dyDescent="0.2">
      <c r="A186" s="463" t="str">
        <f t="shared" ca="1" si="8"/>
        <v/>
      </c>
      <c r="B186" s="463" t="str">
        <f t="shared" ca="1" si="8"/>
        <v/>
      </c>
    </row>
    <row r="187" spans="1:45" x14ac:dyDescent="0.2">
      <c r="A187" s="463" t="str">
        <f t="shared" ref="A187:B206" ca="1" si="9">IF(INDIRECT(ADDRESS(A$6,ROW()-ROW(A$6)-1+COLUMN($F$8)))&gt;0,INDIRECT(ADDRESS(A$6,ROW()-ROW(A$6)-1+COLUMN($F$8))),"")</f>
        <v/>
      </c>
      <c r="B187" s="463" t="str">
        <f t="shared" ca="1" si="9"/>
        <v/>
      </c>
      <c r="D187" s="307">
        <v>40</v>
      </c>
      <c r="E187" s="307" t="s">
        <v>248</v>
      </c>
    </row>
    <row r="188" spans="1:45" x14ac:dyDescent="0.2">
      <c r="A188" s="463" t="str">
        <f t="shared" ca="1" si="9"/>
        <v/>
      </c>
      <c r="B188" s="463" t="str">
        <f t="shared" ca="1" si="9"/>
        <v/>
      </c>
      <c r="E188" s="463" t="s">
        <v>196</v>
      </c>
      <c r="F188" s="468">
        <v>1</v>
      </c>
      <c r="G188" s="469">
        <v>2</v>
      </c>
      <c r="H188" s="469">
        <v>3</v>
      </c>
      <c r="I188" s="469">
        <v>4</v>
      </c>
      <c r="J188" s="470">
        <v>5</v>
      </c>
      <c r="K188" s="468">
        <v>6</v>
      </c>
      <c r="L188" s="469">
        <v>7</v>
      </c>
      <c r="M188" s="469">
        <v>8</v>
      </c>
      <c r="N188" s="469">
        <v>9</v>
      </c>
      <c r="O188" s="470">
        <v>10</v>
      </c>
      <c r="P188" s="468">
        <v>11</v>
      </c>
      <c r="Q188" s="469">
        <v>12</v>
      </c>
      <c r="R188" s="469">
        <v>13</v>
      </c>
      <c r="S188" s="469">
        <v>14</v>
      </c>
      <c r="T188" s="470">
        <v>15</v>
      </c>
      <c r="U188" s="468">
        <v>16</v>
      </c>
      <c r="V188" s="469">
        <v>17</v>
      </c>
      <c r="W188" s="469">
        <v>18</v>
      </c>
      <c r="X188" s="469">
        <v>19</v>
      </c>
      <c r="Y188" s="470">
        <v>20</v>
      </c>
      <c r="Z188" s="468">
        <v>21</v>
      </c>
      <c r="AA188" s="469">
        <v>22</v>
      </c>
      <c r="AB188" s="469">
        <v>23</v>
      </c>
      <c r="AC188" s="469">
        <v>24</v>
      </c>
      <c r="AD188" s="470">
        <v>25</v>
      </c>
      <c r="AE188" s="468">
        <v>26</v>
      </c>
      <c r="AF188" s="469">
        <v>27</v>
      </c>
      <c r="AG188" s="469">
        <v>28</v>
      </c>
      <c r="AH188" s="469">
        <v>29</v>
      </c>
      <c r="AI188" s="470">
        <v>30</v>
      </c>
      <c r="AJ188" s="468">
        <v>31</v>
      </c>
      <c r="AK188" s="469">
        <v>32</v>
      </c>
      <c r="AL188" s="469">
        <v>33</v>
      </c>
      <c r="AM188" s="469">
        <v>34</v>
      </c>
      <c r="AN188" s="470">
        <v>35</v>
      </c>
      <c r="AO188" s="468">
        <v>36</v>
      </c>
      <c r="AP188" s="469">
        <v>37</v>
      </c>
      <c r="AQ188" s="469">
        <v>38</v>
      </c>
      <c r="AR188" s="469">
        <v>39</v>
      </c>
      <c r="AS188" s="470">
        <v>40</v>
      </c>
    </row>
    <row r="189" spans="1:45" x14ac:dyDescent="0.2">
      <c r="A189" s="463" t="str">
        <f t="shared" ca="1" si="9"/>
        <v/>
      </c>
      <c r="B189" s="463" t="str">
        <f t="shared" ca="1" si="9"/>
        <v/>
      </c>
      <c r="E189" s="463" t="s">
        <v>230</v>
      </c>
      <c r="F189" s="468">
        <v>39</v>
      </c>
      <c r="G189" s="469">
        <v>13</v>
      </c>
      <c r="H189" s="469">
        <v>34</v>
      </c>
      <c r="I189" s="469">
        <v>1</v>
      </c>
      <c r="J189" s="470">
        <v>6</v>
      </c>
      <c r="K189" s="468">
        <v>5</v>
      </c>
      <c r="L189" s="469">
        <v>38</v>
      </c>
      <c r="M189" s="469">
        <v>30</v>
      </c>
      <c r="N189" s="469">
        <v>7</v>
      </c>
      <c r="O189" s="470">
        <v>21</v>
      </c>
      <c r="P189" s="468">
        <v>4</v>
      </c>
      <c r="Q189" s="469">
        <v>8</v>
      </c>
      <c r="R189" s="469">
        <v>32</v>
      </c>
      <c r="S189" s="469">
        <v>12</v>
      </c>
      <c r="T189" s="470">
        <v>18</v>
      </c>
      <c r="U189" s="468">
        <v>19</v>
      </c>
      <c r="V189" s="469">
        <v>28</v>
      </c>
      <c r="W189" s="469">
        <v>9</v>
      </c>
      <c r="X189" s="469">
        <v>2</v>
      </c>
      <c r="Y189" s="470">
        <v>22</v>
      </c>
      <c r="Z189" s="468">
        <v>10</v>
      </c>
      <c r="AA189" s="469">
        <v>29</v>
      </c>
      <c r="AB189" s="469">
        <v>20</v>
      </c>
      <c r="AC189" s="469">
        <v>31</v>
      </c>
      <c r="AD189" s="470">
        <v>37</v>
      </c>
      <c r="AE189" s="468">
        <v>24</v>
      </c>
      <c r="AF189" s="469">
        <v>14</v>
      </c>
      <c r="AG189" s="469">
        <v>17</v>
      </c>
      <c r="AH189" s="469">
        <v>36</v>
      </c>
      <c r="AI189" s="470">
        <v>26</v>
      </c>
      <c r="AJ189" s="468">
        <v>15</v>
      </c>
      <c r="AK189" s="469">
        <v>33</v>
      </c>
      <c r="AL189" s="469">
        <v>40</v>
      </c>
      <c r="AM189" s="469">
        <v>3</v>
      </c>
      <c r="AN189" s="470">
        <v>23</v>
      </c>
      <c r="AO189" s="468">
        <v>35</v>
      </c>
      <c r="AP189" s="469">
        <v>25</v>
      </c>
      <c r="AQ189" s="469">
        <v>27</v>
      </c>
      <c r="AR189" s="469">
        <v>11</v>
      </c>
      <c r="AS189" s="470">
        <v>16</v>
      </c>
    </row>
    <row r="190" spans="1:45" x14ac:dyDescent="0.2">
      <c r="A190" s="463" t="str">
        <f t="shared" ca="1" si="9"/>
        <v/>
      </c>
      <c r="B190" s="463" t="str">
        <f t="shared" ca="1" si="9"/>
        <v/>
      </c>
    </row>
    <row r="191" spans="1:45" s="485" customFormat="1" x14ac:dyDescent="0.2">
      <c r="A191" s="463" t="str">
        <f t="shared" ca="1" si="9"/>
        <v/>
      </c>
      <c r="B191" s="463" t="str">
        <f t="shared" ca="1" si="9"/>
        <v/>
      </c>
    </row>
    <row r="192" spans="1:45" x14ac:dyDescent="0.2">
      <c r="A192" s="463" t="str">
        <f t="shared" ca="1" si="9"/>
        <v/>
      </c>
      <c r="B192" s="463" t="str">
        <f t="shared" ca="1" si="9"/>
        <v/>
      </c>
      <c r="D192" s="307">
        <v>41</v>
      </c>
      <c r="E192" s="307" t="s">
        <v>248</v>
      </c>
    </row>
    <row r="193" spans="1:49" x14ac:dyDescent="0.2">
      <c r="A193" s="463" t="str">
        <f t="shared" ca="1" si="9"/>
        <v/>
      </c>
      <c r="B193" s="463" t="str">
        <f t="shared" ca="1" si="9"/>
        <v/>
      </c>
      <c r="E193" s="463" t="s">
        <v>196</v>
      </c>
      <c r="F193" s="468">
        <v>1</v>
      </c>
      <c r="G193" s="469">
        <v>2</v>
      </c>
      <c r="H193" s="469">
        <v>3</v>
      </c>
      <c r="I193" s="469">
        <v>4</v>
      </c>
      <c r="J193" s="470">
        <v>5</v>
      </c>
      <c r="K193" s="468">
        <v>6</v>
      </c>
      <c r="L193" s="469">
        <v>7</v>
      </c>
      <c r="M193" s="469">
        <v>8</v>
      </c>
      <c r="N193" s="469">
        <v>9</v>
      </c>
      <c r="O193" s="470">
        <v>10</v>
      </c>
      <c r="P193" s="468">
        <v>11</v>
      </c>
      <c r="Q193" s="469">
        <v>12</v>
      </c>
      <c r="R193" s="469">
        <v>13</v>
      </c>
      <c r="S193" s="469">
        <v>14</v>
      </c>
      <c r="T193" s="470">
        <v>15</v>
      </c>
      <c r="U193" s="468">
        <v>16</v>
      </c>
      <c r="V193" s="469">
        <v>17</v>
      </c>
      <c r="W193" s="469">
        <v>18</v>
      </c>
      <c r="X193" s="469">
        <v>19</v>
      </c>
      <c r="Y193" s="470">
        <v>20</v>
      </c>
      <c r="Z193" s="468">
        <v>21</v>
      </c>
      <c r="AA193" s="469">
        <v>22</v>
      </c>
      <c r="AB193" s="469">
        <v>23</v>
      </c>
      <c r="AC193" s="469">
        <v>24</v>
      </c>
      <c r="AD193" s="470">
        <v>25</v>
      </c>
      <c r="AE193" s="468">
        <v>26</v>
      </c>
      <c r="AF193" s="469">
        <v>27</v>
      </c>
      <c r="AG193" s="469">
        <v>28</v>
      </c>
      <c r="AH193" s="470">
        <v>29</v>
      </c>
      <c r="AJ193" s="468">
        <v>30</v>
      </c>
      <c r="AK193" s="469">
        <v>31</v>
      </c>
      <c r="AL193" s="469">
        <v>32</v>
      </c>
      <c r="AM193" s="470">
        <v>33</v>
      </c>
      <c r="AO193" s="468">
        <v>34</v>
      </c>
      <c r="AP193" s="469">
        <v>35</v>
      </c>
      <c r="AQ193" s="469">
        <v>36</v>
      </c>
      <c r="AR193" s="470">
        <v>37</v>
      </c>
      <c r="AT193" s="468">
        <v>38</v>
      </c>
      <c r="AU193" s="469">
        <v>39</v>
      </c>
      <c r="AV193" s="469">
        <v>40</v>
      </c>
      <c r="AW193" s="470">
        <v>41</v>
      </c>
    </row>
    <row r="194" spans="1:49" x14ac:dyDescent="0.2">
      <c r="A194" s="463" t="str">
        <f t="shared" ca="1" si="9"/>
        <v/>
      </c>
      <c r="B194" s="463" t="str">
        <f t="shared" ca="1" si="9"/>
        <v/>
      </c>
      <c r="E194" s="463" t="s">
        <v>230</v>
      </c>
      <c r="F194" s="468">
        <v>24</v>
      </c>
      <c r="G194" s="469">
        <v>33</v>
      </c>
      <c r="H194" s="469">
        <v>39</v>
      </c>
      <c r="I194" s="469">
        <v>26</v>
      </c>
      <c r="J194" s="470">
        <v>11</v>
      </c>
      <c r="K194" s="468">
        <v>37</v>
      </c>
      <c r="L194" s="469">
        <v>23</v>
      </c>
      <c r="M194" s="469">
        <v>27</v>
      </c>
      <c r="N194" s="469">
        <v>38</v>
      </c>
      <c r="O194" s="470">
        <v>30</v>
      </c>
      <c r="P194" s="468">
        <v>14</v>
      </c>
      <c r="Q194" s="469">
        <v>28</v>
      </c>
      <c r="R194" s="469">
        <v>5</v>
      </c>
      <c r="S194" s="469">
        <v>40</v>
      </c>
      <c r="T194" s="470">
        <v>36</v>
      </c>
      <c r="U194" s="468">
        <v>41</v>
      </c>
      <c r="V194" s="469">
        <v>29</v>
      </c>
      <c r="W194" s="469">
        <v>2</v>
      </c>
      <c r="X194" s="469">
        <v>31</v>
      </c>
      <c r="Y194" s="470">
        <v>34</v>
      </c>
      <c r="Z194" s="468">
        <v>10</v>
      </c>
      <c r="AA194" s="469">
        <v>32</v>
      </c>
      <c r="AB194" s="469">
        <v>20</v>
      </c>
      <c r="AC194" s="469">
        <v>1</v>
      </c>
      <c r="AD194" s="470">
        <v>35</v>
      </c>
      <c r="AE194" s="468">
        <v>4</v>
      </c>
      <c r="AF194" s="469">
        <v>13</v>
      </c>
      <c r="AG194" s="469">
        <v>17</v>
      </c>
      <c r="AH194" s="470">
        <v>6</v>
      </c>
      <c r="AJ194" s="468">
        <v>19</v>
      </c>
      <c r="AK194" s="469">
        <v>3</v>
      </c>
      <c r="AL194" s="469">
        <v>7</v>
      </c>
      <c r="AM194" s="470">
        <v>21</v>
      </c>
      <c r="AO194" s="468">
        <v>15</v>
      </c>
      <c r="AP194" s="469">
        <v>18</v>
      </c>
      <c r="AQ194" s="469">
        <v>22</v>
      </c>
      <c r="AR194" s="470">
        <v>8</v>
      </c>
      <c r="AT194" s="468">
        <v>9</v>
      </c>
      <c r="AU194" s="469">
        <v>25</v>
      </c>
      <c r="AV194" s="469">
        <v>12</v>
      </c>
      <c r="AW194" s="470">
        <v>16</v>
      </c>
    </row>
    <row r="195" spans="1:49" x14ac:dyDescent="0.2">
      <c r="A195" s="463" t="str">
        <f t="shared" ca="1" si="9"/>
        <v/>
      </c>
      <c r="B195" s="463" t="str">
        <f t="shared" ca="1" si="9"/>
        <v/>
      </c>
    </row>
    <row r="196" spans="1:49" s="485" customFormat="1" x14ac:dyDescent="0.2">
      <c r="A196" s="463" t="str">
        <f t="shared" ca="1" si="9"/>
        <v/>
      </c>
      <c r="B196" s="463" t="str">
        <f t="shared" ca="1" si="9"/>
        <v/>
      </c>
    </row>
    <row r="197" spans="1:49" x14ac:dyDescent="0.2">
      <c r="A197" s="463" t="str">
        <f t="shared" ca="1" si="9"/>
        <v/>
      </c>
      <c r="B197" s="463" t="str">
        <f t="shared" ca="1" si="9"/>
        <v/>
      </c>
      <c r="D197" s="307">
        <v>42</v>
      </c>
      <c r="E197" s="307" t="s">
        <v>248</v>
      </c>
    </row>
    <row r="198" spans="1:49" x14ac:dyDescent="0.2">
      <c r="A198" s="463" t="str">
        <f t="shared" ca="1" si="9"/>
        <v/>
      </c>
      <c r="B198" s="463" t="str">
        <f t="shared" ca="1" si="9"/>
        <v/>
      </c>
      <c r="E198" s="463" t="s">
        <v>196</v>
      </c>
      <c r="F198" s="468">
        <v>1</v>
      </c>
      <c r="G198" s="469">
        <v>2</v>
      </c>
      <c r="H198" s="469">
        <v>3</v>
      </c>
      <c r="I198" s="469">
        <v>4</v>
      </c>
      <c r="J198" s="470">
        <v>5</v>
      </c>
      <c r="K198" s="468">
        <v>6</v>
      </c>
      <c r="L198" s="469">
        <v>7</v>
      </c>
      <c r="M198" s="469">
        <v>8</v>
      </c>
      <c r="N198" s="469">
        <v>9</v>
      </c>
      <c r="O198" s="470">
        <v>10</v>
      </c>
      <c r="P198" s="468">
        <v>11</v>
      </c>
      <c r="Q198" s="469">
        <v>12</v>
      </c>
      <c r="R198" s="469">
        <v>13</v>
      </c>
      <c r="S198" s="469">
        <v>14</v>
      </c>
      <c r="T198" s="470">
        <v>15</v>
      </c>
      <c r="U198" s="468">
        <v>16</v>
      </c>
      <c r="V198" s="469">
        <v>17</v>
      </c>
      <c r="W198" s="469">
        <v>18</v>
      </c>
      <c r="X198" s="469">
        <v>19</v>
      </c>
      <c r="Y198" s="470">
        <v>20</v>
      </c>
      <c r="Z198" s="468">
        <v>21</v>
      </c>
      <c r="AA198" s="469">
        <v>22</v>
      </c>
      <c r="AB198" s="469">
        <v>23</v>
      </c>
      <c r="AC198" s="469">
        <v>24</v>
      </c>
      <c r="AD198" s="470">
        <v>25</v>
      </c>
      <c r="AE198" s="468">
        <v>26</v>
      </c>
      <c r="AF198" s="469">
        <v>27</v>
      </c>
      <c r="AG198" s="469">
        <v>28</v>
      </c>
      <c r="AH198" s="469">
        <v>29</v>
      </c>
      <c r="AI198" s="470">
        <v>30</v>
      </c>
      <c r="AJ198" s="468">
        <v>31</v>
      </c>
      <c r="AK198" s="469">
        <v>32</v>
      </c>
      <c r="AL198" s="469">
        <v>33</v>
      </c>
      <c r="AM198" s="470">
        <v>34</v>
      </c>
      <c r="AO198" s="468">
        <v>35</v>
      </c>
      <c r="AP198" s="469">
        <v>36</v>
      </c>
      <c r="AQ198" s="469">
        <v>37</v>
      </c>
      <c r="AR198" s="470">
        <v>38</v>
      </c>
      <c r="AT198" s="468">
        <v>39</v>
      </c>
      <c r="AU198" s="469">
        <v>40</v>
      </c>
      <c r="AV198" s="469">
        <v>41</v>
      </c>
      <c r="AW198" s="470">
        <v>42</v>
      </c>
    </row>
    <row r="199" spans="1:49" x14ac:dyDescent="0.2">
      <c r="A199" s="463" t="str">
        <f t="shared" ca="1" si="9"/>
        <v/>
      </c>
      <c r="B199" s="463" t="str">
        <f t="shared" ca="1" si="9"/>
        <v/>
      </c>
      <c r="E199" s="463" t="s">
        <v>230</v>
      </c>
      <c r="F199" s="468">
        <v>42</v>
      </c>
      <c r="G199" s="469">
        <v>25</v>
      </c>
      <c r="H199" s="469">
        <v>34</v>
      </c>
      <c r="I199" s="469">
        <v>16</v>
      </c>
      <c r="J199" s="470">
        <v>35</v>
      </c>
      <c r="K199" s="468">
        <v>9</v>
      </c>
      <c r="L199" s="469">
        <v>33</v>
      </c>
      <c r="M199" s="469">
        <v>36</v>
      </c>
      <c r="N199" s="469">
        <v>13</v>
      </c>
      <c r="O199" s="470">
        <v>28</v>
      </c>
      <c r="P199" s="468">
        <v>19</v>
      </c>
      <c r="Q199" s="469">
        <v>37</v>
      </c>
      <c r="R199" s="469">
        <v>12</v>
      </c>
      <c r="S199" s="469">
        <v>3</v>
      </c>
      <c r="T199" s="470">
        <v>26</v>
      </c>
      <c r="U199" s="468">
        <v>38</v>
      </c>
      <c r="V199" s="469">
        <v>41</v>
      </c>
      <c r="W199" s="469">
        <v>27</v>
      </c>
      <c r="X199" s="469">
        <v>32</v>
      </c>
      <c r="Y199" s="470">
        <v>6</v>
      </c>
      <c r="Z199" s="468">
        <v>30</v>
      </c>
      <c r="AA199" s="469">
        <v>8</v>
      </c>
      <c r="AB199" s="469">
        <v>22</v>
      </c>
      <c r="AC199" s="469">
        <v>39</v>
      </c>
      <c r="AD199" s="470">
        <v>31</v>
      </c>
      <c r="AE199" s="468">
        <v>5</v>
      </c>
      <c r="AF199" s="469">
        <v>29</v>
      </c>
      <c r="AG199" s="469">
        <v>40</v>
      </c>
      <c r="AH199" s="469">
        <v>18</v>
      </c>
      <c r="AI199" s="470">
        <v>23</v>
      </c>
      <c r="AJ199" s="468">
        <v>10</v>
      </c>
      <c r="AK199" s="469">
        <v>4</v>
      </c>
      <c r="AL199" s="469">
        <v>17</v>
      </c>
      <c r="AM199" s="470">
        <v>11</v>
      </c>
      <c r="AO199" s="468">
        <v>15</v>
      </c>
      <c r="AP199" s="469">
        <v>20</v>
      </c>
      <c r="AQ199" s="469">
        <v>2</v>
      </c>
      <c r="AR199" s="470">
        <v>21</v>
      </c>
      <c r="AT199" s="468">
        <v>14</v>
      </c>
      <c r="AU199" s="469">
        <v>24</v>
      </c>
      <c r="AV199" s="469">
        <v>7</v>
      </c>
      <c r="AW199" s="470">
        <v>1</v>
      </c>
    </row>
    <row r="200" spans="1:49" x14ac:dyDescent="0.2">
      <c r="A200" s="463" t="str">
        <f t="shared" ca="1" si="9"/>
        <v/>
      </c>
      <c r="B200" s="463" t="str">
        <f t="shared" ca="1" si="9"/>
        <v/>
      </c>
    </row>
    <row r="201" spans="1:49" s="485" customFormat="1" x14ac:dyDescent="0.2">
      <c r="A201" s="463" t="str">
        <f t="shared" ca="1" si="9"/>
        <v/>
      </c>
      <c r="B201" s="463" t="str">
        <f t="shared" ca="1" si="9"/>
        <v/>
      </c>
    </row>
    <row r="202" spans="1:49" x14ac:dyDescent="0.2">
      <c r="A202" s="463" t="str">
        <f t="shared" ca="1" si="9"/>
        <v/>
      </c>
      <c r="B202" s="463" t="str">
        <f t="shared" ca="1" si="9"/>
        <v/>
      </c>
      <c r="D202" s="307">
        <v>43</v>
      </c>
      <c r="E202" s="307" t="s">
        <v>248</v>
      </c>
    </row>
    <row r="203" spans="1:49" x14ac:dyDescent="0.2">
      <c r="A203" s="463" t="str">
        <f t="shared" ca="1" si="9"/>
        <v/>
      </c>
      <c r="B203" s="463" t="str">
        <f t="shared" ca="1" si="9"/>
        <v/>
      </c>
      <c r="E203" s="463" t="s">
        <v>196</v>
      </c>
      <c r="F203" s="468">
        <v>1</v>
      </c>
      <c r="G203" s="469">
        <v>2</v>
      </c>
      <c r="H203" s="469">
        <v>3</v>
      </c>
      <c r="I203" s="469">
        <v>4</v>
      </c>
      <c r="J203" s="470">
        <v>5</v>
      </c>
      <c r="K203" s="468">
        <v>6</v>
      </c>
      <c r="L203" s="469">
        <v>7</v>
      </c>
      <c r="M203" s="469">
        <v>8</v>
      </c>
      <c r="N203" s="469">
        <v>9</v>
      </c>
      <c r="O203" s="470">
        <v>10</v>
      </c>
      <c r="P203" s="468">
        <v>11</v>
      </c>
      <c r="Q203" s="469">
        <v>12</v>
      </c>
      <c r="R203" s="469">
        <v>13</v>
      </c>
      <c r="S203" s="469">
        <v>14</v>
      </c>
      <c r="T203" s="470">
        <v>15</v>
      </c>
      <c r="U203" s="468">
        <v>16</v>
      </c>
      <c r="V203" s="469">
        <v>17</v>
      </c>
      <c r="W203" s="469">
        <v>18</v>
      </c>
      <c r="X203" s="469">
        <v>19</v>
      </c>
      <c r="Y203" s="470">
        <v>20</v>
      </c>
      <c r="Z203" s="468">
        <v>21</v>
      </c>
      <c r="AA203" s="469">
        <v>22</v>
      </c>
      <c r="AB203" s="469">
        <v>23</v>
      </c>
      <c r="AC203" s="469">
        <v>24</v>
      </c>
      <c r="AD203" s="470">
        <v>25</v>
      </c>
      <c r="AE203" s="468">
        <v>26</v>
      </c>
      <c r="AF203" s="469">
        <v>27</v>
      </c>
      <c r="AG203" s="469">
        <v>28</v>
      </c>
      <c r="AH203" s="469">
        <v>29</v>
      </c>
      <c r="AI203" s="470">
        <v>30</v>
      </c>
      <c r="AJ203" s="468">
        <v>31</v>
      </c>
      <c r="AK203" s="469">
        <v>32</v>
      </c>
      <c r="AL203" s="469">
        <v>33</v>
      </c>
      <c r="AM203" s="469">
        <v>34</v>
      </c>
      <c r="AN203" s="470">
        <v>35</v>
      </c>
      <c r="AO203" s="468">
        <v>36</v>
      </c>
      <c r="AP203" s="469">
        <v>37</v>
      </c>
      <c r="AQ203" s="469">
        <v>38</v>
      </c>
      <c r="AR203" s="470">
        <v>39</v>
      </c>
      <c r="AT203" s="468">
        <v>40</v>
      </c>
      <c r="AU203" s="469">
        <v>41</v>
      </c>
      <c r="AV203" s="469">
        <v>42</v>
      </c>
      <c r="AW203" s="470">
        <v>43</v>
      </c>
    </row>
    <row r="204" spans="1:49" x14ac:dyDescent="0.2">
      <c r="A204" s="463" t="str">
        <f t="shared" ca="1" si="9"/>
        <v/>
      </c>
      <c r="B204" s="463" t="str">
        <f t="shared" ca="1" si="9"/>
        <v/>
      </c>
      <c r="E204" s="463" t="s">
        <v>230</v>
      </c>
      <c r="F204" s="468">
        <v>19</v>
      </c>
      <c r="G204" s="469">
        <v>35</v>
      </c>
      <c r="H204" s="469">
        <v>27</v>
      </c>
      <c r="I204" s="469">
        <v>11</v>
      </c>
      <c r="J204" s="470">
        <v>36</v>
      </c>
      <c r="K204" s="468">
        <v>5</v>
      </c>
      <c r="L204" s="469">
        <v>42</v>
      </c>
      <c r="M204" s="469">
        <v>7</v>
      </c>
      <c r="N204" s="469">
        <v>21</v>
      </c>
      <c r="O204" s="470">
        <v>17</v>
      </c>
      <c r="P204" s="468">
        <v>4</v>
      </c>
      <c r="Q204" s="469">
        <v>38</v>
      </c>
      <c r="R204" s="469">
        <v>15</v>
      </c>
      <c r="S204" s="469">
        <v>18</v>
      </c>
      <c r="T204" s="470">
        <v>6</v>
      </c>
      <c r="U204" s="468">
        <v>39</v>
      </c>
      <c r="V204" s="469">
        <v>23</v>
      </c>
      <c r="W204" s="469">
        <v>14</v>
      </c>
      <c r="X204" s="469">
        <v>1</v>
      </c>
      <c r="Y204" s="470">
        <v>16</v>
      </c>
      <c r="Z204" s="468">
        <v>9</v>
      </c>
      <c r="AA204" s="469">
        <v>28</v>
      </c>
      <c r="AB204" s="469">
        <v>12</v>
      </c>
      <c r="AC204" s="469">
        <v>40</v>
      </c>
      <c r="AD204" s="470">
        <v>31</v>
      </c>
      <c r="AE204" s="468">
        <v>10</v>
      </c>
      <c r="AF204" s="469">
        <v>33</v>
      </c>
      <c r="AG204" s="469">
        <v>43</v>
      </c>
      <c r="AH204" s="469">
        <v>22</v>
      </c>
      <c r="AI204" s="470">
        <v>37</v>
      </c>
      <c r="AJ204" s="468">
        <v>25</v>
      </c>
      <c r="AK204" s="469">
        <v>3</v>
      </c>
      <c r="AL204" s="469">
        <v>34</v>
      </c>
      <c r="AM204" s="469">
        <v>41</v>
      </c>
      <c r="AN204" s="470">
        <v>26</v>
      </c>
      <c r="AO204" s="468">
        <v>30</v>
      </c>
      <c r="AP204" s="469">
        <v>13</v>
      </c>
      <c r="AQ204" s="469">
        <v>20</v>
      </c>
      <c r="AR204" s="470">
        <v>8</v>
      </c>
      <c r="AT204" s="468">
        <v>24</v>
      </c>
      <c r="AU204" s="469">
        <v>29</v>
      </c>
      <c r="AV204" s="469">
        <v>2</v>
      </c>
      <c r="AW204" s="470">
        <v>32</v>
      </c>
    </row>
    <row r="205" spans="1:49" x14ac:dyDescent="0.2">
      <c r="A205" s="463" t="str">
        <f t="shared" ca="1" si="9"/>
        <v/>
      </c>
      <c r="B205" s="463" t="str">
        <f t="shared" ca="1" si="9"/>
        <v/>
      </c>
    </row>
    <row r="206" spans="1:49" s="485" customFormat="1" x14ac:dyDescent="0.2">
      <c r="A206" s="463" t="str">
        <f t="shared" ca="1" si="9"/>
        <v/>
      </c>
      <c r="B206" s="463" t="str">
        <f t="shared" ca="1" si="9"/>
        <v/>
      </c>
    </row>
    <row r="207" spans="1:49" x14ac:dyDescent="0.2">
      <c r="A207" s="463" t="str">
        <f t="shared" ref="A207:B226" ca="1" si="10">IF(INDIRECT(ADDRESS(A$6,ROW()-ROW(A$6)-1+COLUMN($F$8)))&gt;0,INDIRECT(ADDRESS(A$6,ROW()-ROW(A$6)-1+COLUMN($F$8))),"")</f>
        <v/>
      </c>
      <c r="B207" s="463" t="str">
        <f t="shared" ca="1" si="10"/>
        <v/>
      </c>
      <c r="D207" s="307">
        <v>44</v>
      </c>
      <c r="E207" s="307" t="s">
        <v>248</v>
      </c>
    </row>
    <row r="208" spans="1:49" x14ac:dyDescent="0.2">
      <c r="A208" s="463" t="str">
        <f t="shared" ca="1" si="10"/>
        <v/>
      </c>
      <c r="B208" s="463" t="str">
        <f t="shared" ca="1" si="10"/>
        <v/>
      </c>
      <c r="E208" s="463" t="s">
        <v>196</v>
      </c>
      <c r="F208" s="468">
        <v>1</v>
      </c>
      <c r="G208" s="469">
        <v>2</v>
      </c>
      <c r="H208" s="469">
        <v>3</v>
      </c>
      <c r="I208" s="469">
        <v>4</v>
      </c>
      <c r="J208" s="470">
        <v>5</v>
      </c>
      <c r="K208" s="468">
        <v>6</v>
      </c>
      <c r="L208" s="469">
        <v>7</v>
      </c>
      <c r="M208" s="469">
        <v>8</v>
      </c>
      <c r="N208" s="469">
        <v>9</v>
      </c>
      <c r="O208" s="470">
        <v>10</v>
      </c>
      <c r="P208" s="468">
        <v>11</v>
      </c>
      <c r="Q208" s="469">
        <v>12</v>
      </c>
      <c r="R208" s="469">
        <v>13</v>
      </c>
      <c r="S208" s="469">
        <v>14</v>
      </c>
      <c r="T208" s="470">
        <v>15</v>
      </c>
      <c r="U208" s="468">
        <v>16</v>
      </c>
      <c r="V208" s="469">
        <v>17</v>
      </c>
      <c r="W208" s="469">
        <v>18</v>
      </c>
      <c r="X208" s="469">
        <v>19</v>
      </c>
      <c r="Y208" s="470">
        <v>20</v>
      </c>
      <c r="Z208" s="468">
        <v>21</v>
      </c>
      <c r="AA208" s="469">
        <v>22</v>
      </c>
      <c r="AB208" s="469">
        <v>23</v>
      </c>
      <c r="AC208" s="469">
        <v>24</v>
      </c>
      <c r="AD208" s="470">
        <v>25</v>
      </c>
      <c r="AE208" s="468">
        <v>26</v>
      </c>
      <c r="AF208" s="469">
        <v>27</v>
      </c>
      <c r="AG208" s="469">
        <v>28</v>
      </c>
      <c r="AH208" s="469">
        <v>29</v>
      </c>
      <c r="AI208" s="470">
        <v>30</v>
      </c>
      <c r="AJ208" s="468">
        <v>31</v>
      </c>
      <c r="AK208" s="469">
        <v>32</v>
      </c>
      <c r="AL208" s="469">
        <v>33</v>
      </c>
      <c r="AM208" s="469">
        <v>34</v>
      </c>
      <c r="AN208" s="470">
        <v>35</v>
      </c>
      <c r="AO208" s="468">
        <v>36</v>
      </c>
      <c r="AP208" s="469">
        <v>37</v>
      </c>
      <c r="AQ208" s="469">
        <v>38</v>
      </c>
      <c r="AR208" s="469">
        <v>39</v>
      </c>
      <c r="AS208" s="470">
        <v>40</v>
      </c>
      <c r="AT208" s="468">
        <v>41</v>
      </c>
      <c r="AU208" s="469">
        <v>42</v>
      </c>
      <c r="AV208" s="469">
        <v>43</v>
      </c>
      <c r="AW208" s="470">
        <v>44</v>
      </c>
    </row>
    <row r="209" spans="1:54" x14ac:dyDescent="0.2">
      <c r="A209" s="463" t="str">
        <f t="shared" ca="1" si="10"/>
        <v/>
      </c>
      <c r="B209" s="463" t="str">
        <f t="shared" ca="1" si="10"/>
        <v/>
      </c>
      <c r="E209" s="463" t="s">
        <v>230</v>
      </c>
      <c r="F209" s="468">
        <v>30</v>
      </c>
      <c r="G209" s="469">
        <v>1</v>
      </c>
      <c r="H209" s="469">
        <v>42</v>
      </c>
      <c r="I209" s="469">
        <v>38</v>
      </c>
      <c r="J209" s="470">
        <v>34</v>
      </c>
      <c r="K209" s="468">
        <v>35</v>
      </c>
      <c r="L209" s="469">
        <v>6</v>
      </c>
      <c r="M209" s="469">
        <v>2</v>
      </c>
      <c r="N209" s="469">
        <v>43</v>
      </c>
      <c r="O209" s="470">
        <v>39</v>
      </c>
      <c r="P209" s="468">
        <v>40</v>
      </c>
      <c r="Q209" s="469">
        <v>11</v>
      </c>
      <c r="R209" s="469">
        <v>7</v>
      </c>
      <c r="S209" s="469">
        <v>3</v>
      </c>
      <c r="T209" s="470">
        <v>44</v>
      </c>
      <c r="U209" s="468">
        <v>25</v>
      </c>
      <c r="V209" s="469">
        <v>41</v>
      </c>
      <c r="W209" s="469">
        <v>37</v>
      </c>
      <c r="X209" s="469">
        <v>33</v>
      </c>
      <c r="Y209" s="470">
        <v>29</v>
      </c>
      <c r="Z209" s="468">
        <v>5</v>
      </c>
      <c r="AA209" s="469">
        <v>21</v>
      </c>
      <c r="AB209" s="469">
        <v>17</v>
      </c>
      <c r="AC209" s="469">
        <v>13</v>
      </c>
      <c r="AD209" s="470">
        <v>9</v>
      </c>
      <c r="AE209" s="468">
        <v>10</v>
      </c>
      <c r="AF209" s="469">
        <v>26</v>
      </c>
      <c r="AG209" s="469">
        <v>22</v>
      </c>
      <c r="AH209" s="469">
        <v>18</v>
      </c>
      <c r="AI209" s="470">
        <v>14</v>
      </c>
      <c r="AJ209" s="468">
        <v>15</v>
      </c>
      <c r="AK209" s="469">
        <v>31</v>
      </c>
      <c r="AL209" s="469">
        <v>27</v>
      </c>
      <c r="AM209" s="469">
        <v>23</v>
      </c>
      <c r="AN209" s="470">
        <v>19</v>
      </c>
      <c r="AO209" s="468">
        <v>20</v>
      </c>
      <c r="AP209" s="469">
        <v>36</v>
      </c>
      <c r="AQ209" s="469">
        <v>32</v>
      </c>
      <c r="AR209" s="469">
        <v>28</v>
      </c>
      <c r="AS209" s="470">
        <v>24</v>
      </c>
      <c r="AT209" s="468">
        <v>12</v>
      </c>
      <c r="AU209" s="469">
        <v>16</v>
      </c>
      <c r="AV209" s="469">
        <v>4</v>
      </c>
      <c r="AW209" s="470">
        <v>8</v>
      </c>
    </row>
    <row r="210" spans="1:54" x14ac:dyDescent="0.2">
      <c r="A210" s="463" t="str">
        <f t="shared" ca="1" si="10"/>
        <v/>
      </c>
      <c r="B210" s="463" t="str">
        <f t="shared" ca="1" si="10"/>
        <v/>
      </c>
    </row>
    <row r="211" spans="1:54" s="485" customFormat="1" x14ac:dyDescent="0.2">
      <c r="A211" s="463" t="str">
        <f t="shared" ca="1" si="10"/>
        <v/>
      </c>
      <c r="B211" s="463" t="str">
        <f t="shared" ca="1" si="10"/>
        <v/>
      </c>
    </row>
    <row r="212" spans="1:54" x14ac:dyDescent="0.2">
      <c r="A212" s="463" t="str">
        <f t="shared" ca="1" si="10"/>
        <v/>
      </c>
      <c r="B212" s="463" t="str">
        <f t="shared" ca="1" si="10"/>
        <v/>
      </c>
      <c r="D212" s="307">
        <v>45</v>
      </c>
      <c r="E212" s="307" t="s">
        <v>248</v>
      </c>
    </row>
    <row r="213" spans="1:54" x14ac:dyDescent="0.2">
      <c r="A213" s="463" t="str">
        <f t="shared" ca="1" si="10"/>
        <v/>
      </c>
      <c r="B213" s="463" t="str">
        <f t="shared" ca="1" si="10"/>
        <v/>
      </c>
      <c r="E213" s="463" t="s">
        <v>196</v>
      </c>
      <c r="F213" s="468">
        <v>1</v>
      </c>
      <c r="G213" s="469">
        <v>2</v>
      </c>
      <c r="H213" s="469">
        <v>3</v>
      </c>
      <c r="I213" s="469">
        <v>4</v>
      </c>
      <c r="J213" s="470">
        <v>5</v>
      </c>
      <c r="K213" s="468">
        <v>6</v>
      </c>
      <c r="L213" s="469">
        <v>7</v>
      </c>
      <c r="M213" s="469">
        <v>8</v>
      </c>
      <c r="N213" s="469">
        <v>9</v>
      </c>
      <c r="O213" s="470">
        <v>10</v>
      </c>
      <c r="P213" s="468">
        <v>11</v>
      </c>
      <c r="Q213" s="469">
        <v>12</v>
      </c>
      <c r="R213" s="469">
        <v>13</v>
      </c>
      <c r="S213" s="469">
        <v>14</v>
      </c>
      <c r="T213" s="470">
        <v>15</v>
      </c>
      <c r="U213" s="468">
        <v>16</v>
      </c>
      <c r="V213" s="469">
        <v>17</v>
      </c>
      <c r="W213" s="469">
        <v>18</v>
      </c>
      <c r="X213" s="469">
        <v>19</v>
      </c>
      <c r="Y213" s="470">
        <v>20</v>
      </c>
      <c r="Z213" s="468">
        <v>21</v>
      </c>
      <c r="AA213" s="469">
        <v>22</v>
      </c>
      <c r="AB213" s="469">
        <v>23</v>
      </c>
      <c r="AC213" s="469">
        <v>24</v>
      </c>
      <c r="AD213" s="470">
        <v>25</v>
      </c>
      <c r="AE213" s="468">
        <v>26</v>
      </c>
      <c r="AF213" s="469">
        <v>27</v>
      </c>
      <c r="AG213" s="469">
        <v>28</v>
      </c>
      <c r="AH213" s="469">
        <v>29</v>
      </c>
      <c r="AI213" s="470">
        <v>30</v>
      </c>
      <c r="AJ213" s="468">
        <v>31</v>
      </c>
      <c r="AK213" s="469">
        <v>32</v>
      </c>
      <c r="AL213" s="469">
        <v>33</v>
      </c>
      <c r="AM213" s="469">
        <v>34</v>
      </c>
      <c r="AN213" s="470">
        <v>35</v>
      </c>
      <c r="AO213" s="468">
        <v>36</v>
      </c>
      <c r="AP213" s="469">
        <v>37</v>
      </c>
      <c r="AQ213" s="469">
        <v>38</v>
      </c>
      <c r="AR213" s="469">
        <v>39</v>
      </c>
      <c r="AS213" s="470">
        <v>40</v>
      </c>
      <c r="AT213" s="468">
        <v>41</v>
      </c>
      <c r="AU213" s="469">
        <v>42</v>
      </c>
      <c r="AV213" s="469">
        <v>43</v>
      </c>
      <c r="AW213" s="469">
        <v>44</v>
      </c>
      <c r="AX213" s="470">
        <v>45</v>
      </c>
    </row>
    <row r="214" spans="1:54" x14ac:dyDescent="0.2">
      <c r="A214" s="463" t="str">
        <f t="shared" ca="1" si="10"/>
        <v/>
      </c>
      <c r="B214" s="463" t="str">
        <f t="shared" ca="1" si="10"/>
        <v/>
      </c>
      <c r="E214" s="463" t="s">
        <v>230</v>
      </c>
      <c r="F214" s="468">
        <v>24</v>
      </c>
      <c r="G214" s="469">
        <v>34</v>
      </c>
      <c r="H214" s="469">
        <v>40</v>
      </c>
      <c r="I214" s="469">
        <v>16</v>
      </c>
      <c r="J214" s="470">
        <v>1</v>
      </c>
      <c r="K214" s="468">
        <v>39</v>
      </c>
      <c r="L214" s="469">
        <v>5</v>
      </c>
      <c r="M214" s="469">
        <v>35</v>
      </c>
      <c r="N214" s="469">
        <v>11</v>
      </c>
      <c r="O214" s="470">
        <v>26</v>
      </c>
      <c r="P214" s="468">
        <v>25</v>
      </c>
      <c r="Q214" s="469">
        <v>30</v>
      </c>
      <c r="R214" s="469">
        <v>7</v>
      </c>
      <c r="S214" s="469">
        <v>12</v>
      </c>
      <c r="T214" s="470">
        <v>33</v>
      </c>
      <c r="U214" s="468">
        <v>15</v>
      </c>
      <c r="V214" s="469">
        <v>3</v>
      </c>
      <c r="W214" s="469">
        <v>42</v>
      </c>
      <c r="X214" s="469">
        <v>28</v>
      </c>
      <c r="Y214" s="470">
        <v>36</v>
      </c>
      <c r="Z214" s="468">
        <v>14</v>
      </c>
      <c r="AA214" s="469">
        <v>9</v>
      </c>
      <c r="AB214" s="469">
        <v>32</v>
      </c>
      <c r="AC214" s="469">
        <v>41</v>
      </c>
      <c r="AD214" s="470">
        <v>17</v>
      </c>
      <c r="AE214" s="468">
        <v>10</v>
      </c>
      <c r="AF214" s="469">
        <v>13</v>
      </c>
      <c r="AG214" s="469">
        <v>20</v>
      </c>
      <c r="AH214" s="469">
        <v>38</v>
      </c>
      <c r="AI214" s="470">
        <v>43</v>
      </c>
      <c r="AJ214" s="468">
        <v>29</v>
      </c>
      <c r="AK214" s="469">
        <v>23</v>
      </c>
      <c r="AL214" s="469">
        <v>37</v>
      </c>
      <c r="AM214" s="469">
        <v>2</v>
      </c>
      <c r="AN214" s="470">
        <v>8</v>
      </c>
      <c r="AO214" s="468">
        <v>19</v>
      </c>
      <c r="AP214" s="469">
        <v>44</v>
      </c>
      <c r="AQ214" s="469">
        <v>27</v>
      </c>
      <c r="AR214" s="469">
        <v>6</v>
      </c>
      <c r="AS214" s="470">
        <v>21</v>
      </c>
      <c r="AT214" s="468">
        <v>45</v>
      </c>
      <c r="AU214" s="469">
        <v>4</v>
      </c>
      <c r="AV214" s="469">
        <v>22</v>
      </c>
      <c r="AW214" s="469">
        <v>18</v>
      </c>
      <c r="AX214" s="470">
        <v>31</v>
      </c>
    </row>
    <row r="215" spans="1:54" x14ac:dyDescent="0.2">
      <c r="A215" s="463" t="str">
        <f t="shared" ca="1" si="10"/>
        <v/>
      </c>
      <c r="B215" s="463" t="str">
        <f t="shared" ca="1" si="10"/>
        <v/>
      </c>
    </row>
    <row r="216" spans="1:54" s="485" customFormat="1" x14ac:dyDescent="0.2">
      <c r="A216" s="463" t="str">
        <f t="shared" ca="1" si="10"/>
        <v/>
      </c>
      <c r="B216" s="463" t="str">
        <f t="shared" ca="1" si="10"/>
        <v/>
      </c>
    </row>
    <row r="217" spans="1:54" x14ac:dyDescent="0.2">
      <c r="A217" s="463" t="str">
        <f t="shared" ca="1" si="10"/>
        <v/>
      </c>
      <c r="B217" s="463" t="str">
        <f t="shared" ca="1" si="10"/>
        <v/>
      </c>
      <c r="D217" s="307">
        <v>46</v>
      </c>
      <c r="E217" s="307" t="s">
        <v>248</v>
      </c>
    </row>
    <row r="218" spans="1:54" x14ac:dyDescent="0.2">
      <c r="A218" s="463" t="str">
        <f t="shared" ca="1" si="10"/>
        <v/>
      </c>
      <c r="B218" s="463" t="str">
        <f t="shared" ca="1" si="10"/>
        <v/>
      </c>
      <c r="E218" s="463" t="s">
        <v>196</v>
      </c>
      <c r="F218" s="468">
        <v>1</v>
      </c>
      <c r="G218" s="469">
        <v>2</v>
      </c>
      <c r="H218" s="469">
        <v>3</v>
      </c>
      <c r="I218" s="469">
        <v>4</v>
      </c>
      <c r="J218" s="470">
        <v>5</v>
      </c>
      <c r="K218" s="468">
        <v>6</v>
      </c>
      <c r="L218" s="469">
        <v>7</v>
      </c>
      <c r="M218" s="469">
        <v>8</v>
      </c>
      <c r="N218" s="469">
        <v>9</v>
      </c>
      <c r="O218" s="470">
        <v>10</v>
      </c>
      <c r="P218" s="468">
        <v>11</v>
      </c>
      <c r="Q218" s="469">
        <v>12</v>
      </c>
      <c r="R218" s="469">
        <v>13</v>
      </c>
      <c r="S218" s="469">
        <v>14</v>
      </c>
      <c r="T218" s="470">
        <v>15</v>
      </c>
      <c r="U218" s="468">
        <v>16</v>
      </c>
      <c r="V218" s="469">
        <v>17</v>
      </c>
      <c r="W218" s="469">
        <v>18</v>
      </c>
      <c r="X218" s="469">
        <v>19</v>
      </c>
      <c r="Y218" s="470">
        <v>20</v>
      </c>
      <c r="Z218" s="468">
        <v>21</v>
      </c>
      <c r="AA218" s="469">
        <v>22</v>
      </c>
      <c r="AB218" s="469">
        <v>23</v>
      </c>
      <c r="AC218" s="469">
        <v>24</v>
      </c>
      <c r="AD218" s="470">
        <v>25</v>
      </c>
      <c r="AE218" s="468">
        <v>26</v>
      </c>
      <c r="AF218" s="469">
        <v>27</v>
      </c>
      <c r="AG218" s="469">
        <v>28</v>
      </c>
      <c r="AH218" s="469">
        <v>29</v>
      </c>
      <c r="AI218" s="470">
        <v>30</v>
      </c>
      <c r="AJ218" s="468">
        <v>31</v>
      </c>
      <c r="AK218" s="469">
        <v>32</v>
      </c>
      <c r="AL218" s="469">
        <v>33</v>
      </c>
      <c r="AM218" s="470">
        <v>34</v>
      </c>
      <c r="AO218" s="468">
        <v>35</v>
      </c>
      <c r="AP218" s="469">
        <v>36</v>
      </c>
      <c r="AQ218" s="469">
        <v>37</v>
      </c>
      <c r="AR218" s="470">
        <v>38</v>
      </c>
      <c r="AT218" s="468">
        <v>39</v>
      </c>
      <c r="AU218" s="469">
        <v>40</v>
      </c>
      <c r="AV218" s="469">
        <v>41</v>
      </c>
      <c r="AW218" s="470">
        <v>42</v>
      </c>
      <c r="AY218" s="468">
        <v>43</v>
      </c>
      <c r="AZ218" s="469">
        <v>44</v>
      </c>
      <c r="BA218" s="469">
        <v>45</v>
      </c>
      <c r="BB218" s="470">
        <v>46</v>
      </c>
    </row>
    <row r="219" spans="1:54" x14ac:dyDescent="0.2">
      <c r="A219" s="463" t="str">
        <f t="shared" ca="1" si="10"/>
        <v/>
      </c>
      <c r="B219" s="463" t="str">
        <f t="shared" ca="1" si="10"/>
        <v/>
      </c>
      <c r="E219" s="463" t="s">
        <v>230</v>
      </c>
      <c r="F219" s="468">
        <v>42</v>
      </c>
      <c r="G219" s="469">
        <v>37</v>
      </c>
      <c r="H219" s="469">
        <v>44</v>
      </c>
      <c r="I219" s="469">
        <v>26</v>
      </c>
      <c r="J219" s="470">
        <v>33</v>
      </c>
      <c r="K219" s="468">
        <v>34</v>
      </c>
      <c r="L219" s="469">
        <v>13</v>
      </c>
      <c r="M219" s="469">
        <v>24</v>
      </c>
      <c r="N219" s="469">
        <v>35</v>
      </c>
      <c r="O219" s="470">
        <v>2</v>
      </c>
      <c r="P219" s="468">
        <v>30</v>
      </c>
      <c r="Q219" s="469">
        <v>45</v>
      </c>
      <c r="R219" s="469">
        <v>20</v>
      </c>
      <c r="S219" s="469">
        <v>41</v>
      </c>
      <c r="T219" s="470">
        <v>21</v>
      </c>
      <c r="U219" s="468">
        <v>46</v>
      </c>
      <c r="V219" s="469">
        <v>8</v>
      </c>
      <c r="W219" s="469">
        <v>40</v>
      </c>
      <c r="X219" s="469">
        <v>31</v>
      </c>
      <c r="Y219" s="470">
        <v>11</v>
      </c>
      <c r="Z219" s="468">
        <v>15</v>
      </c>
      <c r="AA219" s="469">
        <v>10</v>
      </c>
      <c r="AB219" s="469">
        <v>36</v>
      </c>
      <c r="AC219" s="469">
        <v>23</v>
      </c>
      <c r="AD219" s="470">
        <v>43</v>
      </c>
      <c r="AE219" s="468">
        <v>38</v>
      </c>
      <c r="AF219" s="469">
        <v>28</v>
      </c>
      <c r="AG219" s="469">
        <v>32</v>
      </c>
      <c r="AH219" s="469">
        <v>6</v>
      </c>
      <c r="AI219" s="470">
        <v>39</v>
      </c>
      <c r="AJ219" s="468">
        <v>29</v>
      </c>
      <c r="AK219" s="469">
        <v>18</v>
      </c>
      <c r="AL219" s="469">
        <v>5</v>
      </c>
      <c r="AM219" s="470">
        <v>12</v>
      </c>
      <c r="AO219" s="468">
        <v>9</v>
      </c>
      <c r="AP219" s="469">
        <v>3</v>
      </c>
      <c r="AQ219" s="469">
        <v>22</v>
      </c>
      <c r="AR219" s="470">
        <v>16</v>
      </c>
      <c r="AT219" s="468">
        <v>19</v>
      </c>
      <c r="AU219" s="469">
        <v>14</v>
      </c>
      <c r="AV219" s="469">
        <v>7</v>
      </c>
      <c r="AW219" s="470">
        <v>1</v>
      </c>
      <c r="AY219" s="468">
        <v>4</v>
      </c>
      <c r="AZ219" s="469">
        <v>25</v>
      </c>
      <c r="BA219" s="469">
        <v>27</v>
      </c>
      <c r="BB219" s="470">
        <v>17</v>
      </c>
    </row>
    <row r="220" spans="1:54" x14ac:dyDescent="0.2">
      <c r="A220" s="463" t="str">
        <f t="shared" ca="1" si="10"/>
        <v/>
      </c>
      <c r="B220" s="463" t="str">
        <f t="shared" ca="1" si="10"/>
        <v/>
      </c>
    </row>
    <row r="221" spans="1:54" s="485" customFormat="1" x14ac:dyDescent="0.2">
      <c r="A221" s="463" t="str">
        <f t="shared" ca="1" si="10"/>
        <v/>
      </c>
      <c r="B221" s="463" t="str">
        <f t="shared" ca="1" si="10"/>
        <v/>
      </c>
    </row>
    <row r="222" spans="1:54" x14ac:dyDescent="0.2">
      <c r="A222" s="463" t="str">
        <f t="shared" ca="1" si="10"/>
        <v/>
      </c>
      <c r="B222" s="463" t="str">
        <f t="shared" ca="1" si="10"/>
        <v/>
      </c>
      <c r="D222" s="307">
        <v>47</v>
      </c>
      <c r="E222" s="307" t="s">
        <v>248</v>
      </c>
    </row>
    <row r="223" spans="1:54" x14ac:dyDescent="0.2">
      <c r="A223" s="463" t="str">
        <f t="shared" ca="1" si="10"/>
        <v/>
      </c>
      <c r="B223" s="463" t="str">
        <f t="shared" ca="1" si="10"/>
        <v/>
      </c>
      <c r="E223" s="463" t="s">
        <v>196</v>
      </c>
      <c r="F223" s="468">
        <v>1</v>
      </c>
      <c r="G223" s="469">
        <v>2</v>
      </c>
      <c r="H223" s="469">
        <v>3</v>
      </c>
      <c r="I223" s="469">
        <v>4</v>
      </c>
      <c r="J223" s="470">
        <v>5</v>
      </c>
      <c r="K223" s="468">
        <v>6</v>
      </c>
      <c r="L223" s="469">
        <v>7</v>
      </c>
      <c r="M223" s="469">
        <v>8</v>
      </c>
      <c r="N223" s="469">
        <v>9</v>
      </c>
      <c r="O223" s="470">
        <v>10</v>
      </c>
      <c r="P223" s="468">
        <v>11</v>
      </c>
      <c r="Q223" s="469">
        <v>12</v>
      </c>
      <c r="R223" s="469">
        <v>13</v>
      </c>
      <c r="S223" s="469">
        <v>14</v>
      </c>
      <c r="T223" s="470">
        <v>15</v>
      </c>
      <c r="U223" s="468">
        <v>16</v>
      </c>
      <c r="V223" s="469">
        <v>17</v>
      </c>
      <c r="W223" s="469">
        <v>18</v>
      </c>
      <c r="X223" s="469">
        <v>19</v>
      </c>
      <c r="Y223" s="470">
        <v>20</v>
      </c>
      <c r="Z223" s="468">
        <v>21</v>
      </c>
      <c r="AA223" s="469">
        <v>22</v>
      </c>
      <c r="AB223" s="469">
        <v>23</v>
      </c>
      <c r="AC223" s="469">
        <v>24</v>
      </c>
      <c r="AD223" s="470">
        <v>25</v>
      </c>
      <c r="AE223" s="468">
        <v>26</v>
      </c>
      <c r="AF223" s="469">
        <v>27</v>
      </c>
      <c r="AG223" s="469">
        <v>28</v>
      </c>
      <c r="AH223" s="469">
        <v>29</v>
      </c>
      <c r="AI223" s="470">
        <v>30</v>
      </c>
      <c r="AJ223" s="468">
        <v>31</v>
      </c>
      <c r="AK223" s="469">
        <v>32</v>
      </c>
      <c r="AL223" s="469">
        <v>33</v>
      </c>
      <c r="AM223" s="469">
        <v>34</v>
      </c>
      <c r="AN223" s="470">
        <v>35</v>
      </c>
      <c r="AO223" s="468">
        <v>36</v>
      </c>
      <c r="AP223" s="469">
        <v>37</v>
      </c>
      <c r="AQ223" s="469">
        <v>38</v>
      </c>
      <c r="AR223" s="470">
        <v>39</v>
      </c>
      <c r="AT223" s="468">
        <v>40</v>
      </c>
      <c r="AU223" s="469">
        <v>41</v>
      </c>
      <c r="AV223" s="469">
        <v>42</v>
      </c>
      <c r="AW223" s="470">
        <v>43</v>
      </c>
      <c r="AY223" s="468">
        <v>44</v>
      </c>
      <c r="AZ223" s="469">
        <v>45</v>
      </c>
      <c r="BA223" s="469">
        <v>46</v>
      </c>
      <c r="BB223" s="470">
        <v>47</v>
      </c>
    </row>
    <row r="224" spans="1:54" x14ac:dyDescent="0.2">
      <c r="A224" s="463" t="str">
        <f t="shared" ca="1" si="10"/>
        <v/>
      </c>
      <c r="B224" s="463" t="str">
        <f t="shared" ca="1" si="10"/>
        <v/>
      </c>
      <c r="E224" s="463" t="s">
        <v>230</v>
      </c>
      <c r="F224" s="468">
        <v>29</v>
      </c>
      <c r="G224" s="469">
        <v>42</v>
      </c>
      <c r="H224" s="469">
        <v>10</v>
      </c>
      <c r="I224" s="469">
        <v>13</v>
      </c>
      <c r="J224" s="470">
        <v>45</v>
      </c>
      <c r="K224" s="468">
        <v>19</v>
      </c>
      <c r="L224" s="469">
        <v>46</v>
      </c>
      <c r="M224" s="469">
        <v>41</v>
      </c>
      <c r="N224" s="469">
        <v>27</v>
      </c>
      <c r="O224" s="470">
        <v>32</v>
      </c>
      <c r="P224" s="468">
        <v>4</v>
      </c>
      <c r="Q224" s="469">
        <v>33</v>
      </c>
      <c r="R224" s="469">
        <v>17</v>
      </c>
      <c r="S224" s="469">
        <v>22</v>
      </c>
      <c r="T224" s="470">
        <v>11</v>
      </c>
      <c r="U224" s="468">
        <v>34</v>
      </c>
      <c r="V224" s="469">
        <v>47</v>
      </c>
      <c r="W224" s="469">
        <v>37</v>
      </c>
      <c r="X224" s="469">
        <v>6</v>
      </c>
      <c r="Y224" s="470">
        <v>16</v>
      </c>
      <c r="Z224" s="468">
        <v>25</v>
      </c>
      <c r="AA224" s="469">
        <v>3</v>
      </c>
      <c r="AB224" s="469">
        <v>14</v>
      </c>
      <c r="AC224" s="469">
        <v>26</v>
      </c>
      <c r="AD224" s="470">
        <v>36</v>
      </c>
      <c r="AE224" s="468">
        <v>9</v>
      </c>
      <c r="AF224" s="469">
        <v>30</v>
      </c>
      <c r="AG224" s="469">
        <v>5</v>
      </c>
      <c r="AH224" s="469">
        <v>40</v>
      </c>
      <c r="AI224" s="470">
        <v>38</v>
      </c>
      <c r="AJ224" s="468">
        <v>43</v>
      </c>
      <c r="AK224" s="469">
        <v>39</v>
      </c>
      <c r="AL224" s="469">
        <v>12</v>
      </c>
      <c r="AM224" s="469">
        <v>44</v>
      </c>
      <c r="AN224" s="470">
        <v>8</v>
      </c>
      <c r="AO224" s="468">
        <v>24</v>
      </c>
      <c r="AP224" s="469">
        <v>18</v>
      </c>
      <c r="AQ224" s="469">
        <v>35</v>
      </c>
      <c r="AR224" s="470">
        <v>1</v>
      </c>
      <c r="AT224" s="468">
        <v>15</v>
      </c>
      <c r="AU224" s="469">
        <v>28</v>
      </c>
      <c r="AV224" s="469">
        <v>2</v>
      </c>
      <c r="AW224" s="470">
        <v>21</v>
      </c>
      <c r="AY224" s="468">
        <v>20</v>
      </c>
      <c r="AZ224" s="469">
        <v>23</v>
      </c>
      <c r="BA224" s="469">
        <v>7</v>
      </c>
      <c r="BB224" s="470">
        <v>31</v>
      </c>
    </row>
    <row r="225" spans="1:55" x14ac:dyDescent="0.2">
      <c r="A225" s="463" t="str">
        <f t="shared" ca="1" si="10"/>
        <v/>
      </c>
      <c r="B225" s="463" t="str">
        <f t="shared" ca="1" si="10"/>
        <v/>
      </c>
    </row>
    <row r="226" spans="1:55" s="485" customFormat="1" x14ac:dyDescent="0.2">
      <c r="A226" s="463" t="str">
        <f t="shared" ca="1" si="10"/>
        <v/>
      </c>
      <c r="B226" s="463" t="str">
        <f t="shared" ca="1" si="10"/>
        <v/>
      </c>
    </row>
    <row r="227" spans="1:55" x14ac:dyDescent="0.2">
      <c r="A227" s="463" t="str">
        <f t="shared" ref="A227:B246" ca="1" si="11">IF(INDIRECT(ADDRESS(A$6,ROW()-ROW(A$6)-1+COLUMN($F$8)))&gt;0,INDIRECT(ADDRESS(A$6,ROW()-ROW(A$6)-1+COLUMN($F$8))),"")</f>
        <v/>
      </c>
      <c r="B227" s="463" t="str">
        <f t="shared" ca="1" si="11"/>
        <v/>
      </c>
      <c r="D227" s="307">
        <v>48</v>
      </c>
      <c r="E227" s="307" t="s">
        <v>248</v>
      </c>
    </row>
    <row r="228" spans="1:55" x14ac:dyDescent="0.2">
      <c r="A228" s="463" t="str">
        <f t="shared" ca="1" si="11"/>
        <v/>
      </c>
      <c r="B228" s="463" t="str">
        <f t="shared" ca="1" si="11"/>
        <v/>
      </c>
      <c r="E228" s="463" t="s">
        <v>196</v>
      </c>
      <c r="F228" s="468">
        <v>1</v>
      </c>
      <c r="G228" s="469">
        <v>2</v>
      </c>
      <c r="H228" s="469">
        <v>3</v>
      </c>
      <c r="I228" s="469">
        <v>4</v>
      </c>
      <c r="J228" s="470">
        <v>5</v>
      </c>
      <c r="K228" s="468">
        <v>6</v>
      </c>
      <c r="L228" s="469">
        <v>7</v>
      </c>
      <c r="M228" s="469">
        <v>8</v>
      </c>
      <c r="N228" s="469">
        <v>9</v>
      </c>
      <c r="O228" s="470">
        <v>10</v>
      </c>
      <c r="P228" s="468">
        <v>11</v>
      </c>
      <c r="Q228" s="469">
        <v>12</v>
      </c>
      <c r="R228" s="469">
        <v>13</v>
      </c>
      <c r="S228" s="469">
        <v>14</v>
      </c>
      <c r="T228" s="470">
        <v>15</v>
      </c>
      <c r="U228" s="468">
        <v>16</v>
      </c>
      <c r="V228" s="469">
        <v>17</v>
      </c>
      <c r="W228" s="469">
        <v>18</v>
      </c>
      <c r="X228" s="469">
        <v>19</v>
      </c>
      <c r="Y228" s="470">
        <v>20</v>
      </c>
      <c r="Z228" s="468">
        <v>21</v>
      </c>
      <c r="AA228" s="469">
        <v>22</v>
      </c>
      <c r="AB228" s="469">
        <v>23</v>
      </c>
      <c r="AC228" s="470">
        <v>24</v>
      </c>
      <c r="AD228" s="463">
        <v>25</v>
      </c>
      <c r="AE228" s="468">
        <v>26</v>
      </c>
      <c r="AF228" s="469">
        <v>27</v>
      </c>
      <c r="AG228" s="469">
        <v>28</v>
      </c>
      <c r="AH228" s="469">
        <v>29</v>
      </c>
      <c r="AI228" s="469">
        <v>30</v>
      </c>
      <c r="AJ228" s="470">
        <v>31</v>
      </c>
      <c r="AK228" s="468">
        <v>32</v>
      </c>
      <c r="AL228" s="469">
        <v>33</v>
      </c>
      <c r="AM228" s="469">
        <v>34</v>
      </c>
      <c r="AN228" s="469">
        <v>35</v>
      </c>
      <c r="AO228" s="470">
        <v>36</v>
      </c>
      <c r="AP228" s="468">
        <v>37</v>
      </c>
      <c r="AQ228" s="469">
        <v>38</v>
      </c>
      <c r="AR228" s="469">
        <v>39</v>
      </c>
      <c r="AS228" s="469">
        <v>40</v>
      </c>
      <c r="AT228" s="470">
        <v>41</v>
      </c>
      <c r="AU228" s="468">
        <v>42</v>
      </c>
      <c r="AV228" s="469">
        <v>43</v>
      </c>
      <c r="AW228" s="469">
        <v>44</v>
      </c>
      <c r="AY228" s="468">
        <v>45</v>
      </c>
      <c r="AZ228" s="469">
        <v>46</v>
      </c>
      <c r="BA228" s="469">
        <v>47</v>
      </c>
      <c r="BB228" s="470">
        <v>48</v>
      </c>
    </row>
    <row r="229" spans="1:55" x14ac:dyDescent="0.2">
      <c r="A229" s="463" t="str">
        <f t="shared" ca="1" si="11"/>
        <v/>
      </c>
      <c r="B229" s="463" t="str">
        <f t="shared" ca="1" si="11"/>
        <v/>
      </c>
      <c r="E229" s="463" t="s">
        <v>230</v>
      </c>
      <c r="F229" s="468">
        <v>48</v>
      </c>
      <c r="G229" s="469">
        <v>28</v>
      </c>
      <c r="H229" s="469">
        <v>22</v>
      </c>
      <c r="I229" s="469">
        <v>42</v>
      </c>
      <c r="J229" s="470">
        <v>32</v>
      </c>
      <c r="K229" s="468">
        <v>5</v>
      </c>
      <c r="L229" s="469">
        <v>24</v>
      </c>
      <c r="M229" s="469">
        <v>29</v>
      </c>
      <c r="N229" s="469">
        <v>36</v>
      </c>
      <c r="O229" s="470">
        <v>46</v>
      </c>
      <c r="P229" s="468">
        <v>30</v>
      </c>
      <c r="Q229" s="469">
        <v>38</v>
      </c>
      <c r="R229" s="469">
        <v>10</v>
      </c>
      <c r="S229" s="469">
        <v>21</v>
      </c>
      <c r="T229" s="470">
        <v>3</v>
      </c>
      <c r="U229" s="468">
        <v>20</v>
      </c>
      <c r="V229" s="469">
        <v>43</v>
      </c>
      <c r="W229" s="469">
        <v>27</v>
      </c>
      <c r="X229" s="469">
        <v>8</v>
      </c>
      <c r="Y229" s="470">
        <v>45</v>
      </c>
      <c r="Z229" s="468">
        <v>34</v>
      </c>
      <c r="AA229" s="469">
        <v>15</v>
      </c>
      <c r="AB229" s="469">
        <v>37</v>
      </c>
      <c r="AC229" s="470">
        <v>41</v>
      </c>
      <c r="AD229" s="463">
        <v>26</v>
      </c>
      <c r="AE229" s="468">
        <v>39</v>
      </c>
      <c r="AF229" s="469">
        <v>35</v>
      </c>
      <c r="AG229" s="469">
        <v>2</v>
      </c>
      <c r="AH229" s="469">
        <v>6</v>
      </c>
      <c r="AI229" s="469">
        <v>11</v>
      </c>
      <c r="AJ229" s="470">
        <v>44</v>
      </c>
      <c r="AK229" s="468">
        <v>23</v>
      </c>
      <c r="AL229" s="469">
        <v>12</v>
      </c>
      <c r="AM229" s="469">
        <v>1</v>
      </c>
      <c r="AN229" s="469">
        <v>17</v>
      </c>
      <c r="AO229" s="470">
        <v>9</v>
      </c>
      <c r="AP229" s="468">
        <v>47</v>
      </c>
      <c r="AQ229" s="469">
        <v>40</v>
      </c>
      <c r="AR229" s="469">
        <v>31</v>
      </c>
      <c r="AS229" s="469">
        <v>18</v>
      </c>
      <c r="AT229" s="470">
        <v>14</v>
      </c>
      <c r="AU229" s="468">
        <v>33</v>
      </c>
      <c r="AV229" s="469">
        <v>7</v>
      </c>
      <c r="AW229" s="469">
        <v>16</v>
      </c>
      <c r="AY229" s="468">
        <v>25</v>
      </c>
      <c r="AZ229" s="469">
        <v>4</v>
      </c>
      <c r="BA229" s="469">
        <v>19</v>
      </c>
      <c r="BB229" s="470">
        <v>13</v>
      </c>
    </row>
    <row r="230" spans="1:55" x14ac:dyDescent="0.2">
      <c r="A230" s="463" t="str">
        <f t="shared" ca="1" si="11"/>
        <v/>
      </c>
      <c r="B230" s="463" t="str">
        <f t="shared" ca="1" si="11"/>
        <v/>
      </c>
    </row>
    <row r="231" spans="1:55" s="485" customFormat="1" x14ac:dyDescent="0.2">
      <c r="A231" s="463" t="str">
        <f t="shared" ca="1" si="11"/>
        <v/>
      </c>
      <c r="B231" s="463" t="str">
        <f t="shared" ca="1" si="11"/>
        <v/>
      </c>
    </row>
    <row r="232" spans="1:55" x14ac:dyDescent="0.2">
      <c r="A232" s="463" t="str">
        <f t="shared" ca="1" si="11"/>
        <v/>
      </c>
      <c r="B232" s="463" t="str">
        <f t="shared" ca="1" si="11"/>
        <v/>
      </c>
      <c r="D232" s="307">
        <v>49</v>
      </c>
      <c r="E232" s="307" t="s">
        <v>248</v>
      </c>
    </row>
    <row r="233" spans="1:55" x14ac:dyDescent="0.2">
      <c r="A233" s="463" t="str">
        <f t="shared" ca="1" si="11"/>
        <v/>
      </c>
      <c r="B233" s="463" t="str">
        <f t="shared" ca="1" si="11"/>
        <v/>
      </c>
      <c r="E233" s="463" t="s">
        <v>196</v>
      </c>
      <c r="F233" s="468">
        <v>1</v>
      </c>
      <c r="G233" s="469">
        <v>2</v>
      </c>
      <c r="H233" s="469">
        <v>3</v>
      </c>
      <c r="I233" s="469">
        <v>4</v>
      </c>
      <c r="J233" s="470">
        <v>5</v>
      </c>
      <c r="K233" s="468">
        <v>6</v>
      </c>
      <c r="L233" s="469">
        <v>7</v>
      </c>
      <c r="M233" s="469">
        <v>8</v>
      </c>
      <c r="N233" s="469">
        <v>9</v>
      </c>
      <c r="O233" s="470">
        <v>10</v>
      </c>
      <c r="P233" s="468">
        <v>11</v>
      </c>
      <c r="Q233" s="469">
        <v>12</v>
      </c>
      <c r="R233" s="469">
        <v>13</v>
      </c>
      <c r="S233" s="469">
        <v>14</v>
      </c>
      <c r="T233" s="470">
        <v>15</v>
      </c>
      <c r="U233" s="468">
        <v>16</v>
      </c>
      <c r="V233" s="469">
        <v>17</v>
      </c>
      <c r="W233" s="469">
        <v>18</v>
      </c>
      <c r="X233" s="469">
        <v>19</v>
      </c>
      <c r="Y233" s="470">
        <v>20</v>
      </c>
      <c r="Z233" s="468">
        <v>21</v>
      </c>
      <c r="AA233" s="469">
        <v>22</v>
      </c>
      <c r="AB233" s="469">
        <v>23</v>
      </c>
      <c r="AC233" s="469">
        <v>24</v>
      </c>
      <c r="AD233" s="470">
        <v>25</v>
      </c>
      <c r="AE233" s="468">
        <v>26</v>
      </c>
      <c r="AF233" s="469">
        <v>27</v>
      </c>
      <c r="AG233" s="469">
        <v>28</v>
      </c>
      <c r="AH233" s="469">
        <v>29</v>
      </c>
      <c r="AI233" s="470">
        <v>30</v>
      </c>
      <c r="AJ233" s="468">
        <v>31</v>
      </c>
      <c r="AK233" s="469">
        <v>32</v>
      </c>
      <c r="AL233" s="469">
        <v>33</v>
      </c>
      <c r="AM233" s="469">
        <v>34</v>
      </c>
      <c r="AN233" s="470">
        <v>35</v>
      </c>
      <c r="AO233" s="468">
        <v>36</v>
      </c>
      <c r="AP233" s="469">
        <v>37</v>
      </c>
      <c r="AQ233" s="469">
        <v>38</v>
      </c>
      <c r="AR233" s="469">
        <v>39</v>
      </c>
      <c r="AS233" s="470">
        <v>40</v>
      </c>
      <c r="AT233" s="468">
        <v>41</v>
      </c>
      <c r="AU233" s="469">
        <v>42</v>
      </c>
      <c r="AV233" s="469">
        <v>43</v>
      </c>
      <c r="AW233" s="469">
        <v>44</v>
      </c>
      <c r="AX233" s="470">
        <v>45</v>
      </c>
      <c r="AY233" s="468">
        <v>46</v>
      </c>
      <c r="AZ233" s="469">
        <v>47</v>
      </c>
      <c r="BA233" s="469">
        <v>48</v>
      </c>
      <c r="BB233" s="470">
        <v>49</v>
      </c>
    </row>
    <row r="234" spans="1:55" x14ac:dyDescent="0.2">
      <c r="A234" s="463" t="str">
        <f t="shared" ca="1" si="11"/>
        <v/>
      </c>
      <c r="B234" s="463" t="str">
        <f t="shared" ca="1" si="11"/>
        <v/>
      </c>
      <c r="E234" s="463" t="s">
        <v>230</v>
      </c>
      <c r="F234" s="468">
        <v>9</v>
      </c>
      <c r="G234" s="469">
        <v>39</v>
      </c>
      <c r="H234" s="469">
        <v>2</v>
      </c>
      <c r="I234" s="469">
        <v>22</v>
      </c>
      <c r="J234" s="470">
        <v>17</v>
      </c>
      <c r="K234" s="468">
        <v>49</v>
      </c>
      <c r="L234" s="469">
        <v>18</v>
      </c>
      <c r="M234" s="469">
        <v>42</v>
      </c>
      <c r="N234" s="469">
        <v>21</v>
      </c>
      <c r="O234" s="470">
        <v>6</v>
      </c>
      <c r="P234" s="468">
        <v>44</v>
      </c>
      <c r="Q234" s="469">
        <v>8</v>
      </c>
      <c r="R234" s="469">
        <v>25</v>
      </c>
      <c r="S234" s="469">
        <v>11</v>
      </c>
      <c r="T234" s="470">
        <v>1</v>
      </c>
      <c r="U234" s="468">
        <v>4</v>
      </c>
      <c r="V234" s="469">
        <v>13</v>
      </c>
      <c r="W234" s="469">
        <v>27</v>
      </c>
      <c r="X234" s="469">
        <v>33</v>
      </c>
      <c r="Y234" s="470">
        <v>23</v>
      </c>
      <c r="Z234" s="468">
        <v>19</v>
      </c>
      <c r="AA234" s="469">
        <v>14</v>
      </c>
      <c r="AB234" s="469">
        <v>47</v>
      </c>
      <c r="AC234" s="469">
        <v>36</v>
      </c>
      <c r="AD234" s="470">
        <v>41</v>
      </c>
      <c r="AE234" s="468">
        <v>29</v>
      </c>
      <c r="AF234" s="469">
        <v>20</v>
      </c>
      <c r="AG234" s="469">
        <v>37</v>
      </c>
      <c r="AH234" s="469">
        <v>3</v>
      </c>
      <c r="AI234" s="470">
        <v>46</v>
      </c>
      <c r="AJ234" s="468">
        <v>10</v>
      </c>
      <c r="AK234" s="469">
        <v>48</v>
      </c>
      <c r="AL234" s="469">
        <v>32</v>
      </c>
      <c r="AM234" s="469">
        <v>38</v>
      </c>
      <c r="AN234" s="470">
        <v>16</v>
      </c>
      <c r="AO234" s="468">
        <v>5</v>
      </c>
      <c r="AP234" s="469">
        <v>30</v>
      </c>
      <c r="AQ234" s="469">
        <v>45</v>
      </c>
      <c r="AR234" s="469">
        <v>12</v>
      </c>
      <c r="AS234" s="470">
        <v>31</v>
      </c>
      <c r="AT234" s="468">
        <v>34</v>
      </c>
      <c r="AU234" s="469">
        <v>40</v>
      </c>
      <c r="AV234" s="469">
        <v>15</v>
      </c>
      <c r="AW234" s="469">
        <v>7</v>
      </c>
      <c r="AX234" s="470">
        <v>28</v>
      </c>
      <c r="AY234" s="468">
        <v>24</v>
      </c>
      <c r="AZ234" s="469">
        <v>43</v>
      </c>
      <c r="BA234" s="469">
        <v>35</v>
      </c>
      <c r="BB234" s="470">
        <v>26</v>
      </c>
    </row>
    <row r="235" spans="1:55" x14ac:dyDescent="0.2">
      <c r="A235" s="463" t="str">
        <f t="shared" ca="1" si="11"/>
        <v/>
      </c>
      <c r="B235" s="463" t="str">
        <f t="shared" ca="1" si="11"/>
        <v/>
      </c>
    </row>
    <row r="236" spans="1:55" s="485" customFormat="1" x14ac:dyDescent="0.2">
      <c r="A236" s="463" t="str">
        <f t="shared" ca="1" si="11"/>
        <v/>
      </c>
      <c r="B236" s="463" t="str">
        <f t="shared" ca="1" si="11"/>
        <v/>
      </c>
    </row>
    <row r="237" spans="1:55" x14ac:dyDescent="0.2">
      <c r="A237" s="463" t="str">
        <f t="shared" ca="1" si="11"/>
        <v/>
      </c>
      <c r="B237" s="463" t="str">
        <f t="shared" ca="1" si="11"/>
        <v/>
      </c>
      <c r="D237" s="307">
        <v>50</v>
      </c>
      <c r="E237" s="307" t="s">
        <v>248</v>
      </c>
    </row>
    <row r="238" spans="1:55" x14ac:dyDescent="0.2">
      <c r="A238" s="463" t="str">
        <f t="shared" ca="1" si="11"/>
        <v/>
      </c>
      <c r="B238" s="463" t="str">
        <f t="shared" ca="1" si="11"/>
        <v/>
      </c>
      <c r="E238" s="463" t="s">
        <v>196</v>
      </c>
      <c r="F238" s="468">
        <v>1</v>
      </c>
      <c r="G238" s="469">
        <v>2</v>
      </c>
      <c r="H238" s="469">
        <v>3</v>
      </c>
      <c r="I238" s="469">
        <v>4</v>
      </c>
      <c r="J238" s="470">
        <v>5</v>
      </c>
      <c r="K238" s="468">
        <v>6</v>
      </c>
      <c r="L238" s="469">
        <v>7</v>
      </c>
      <c r="M238" s="469">
        <v>8</v>
      </c>
      <c r="N238" s="469">
        <v>9</v>
      </c>
      <c r="O238" s="470">
        <v>10</v>
      </c>
      <c r="P238" s="468">
        <v>11</v>
      </c>
      <c r="Q238" s="469">
        <v>12</v>
      </c>
      <c r="R238" s="469">
        <v>13</v>
      </c>
      <c r="S238" s="469">
        <v>14</v>
      </c>
      <c r="T238" s="470">
        <v>15</v>
      </c>
      <c r="U238" s="468">
        <v>16</v>
      </c>
      <c r="V238" s="469">
        <v>17</v>
      </c>
      <c r="W238" s="469">
        <v>18</v>
      </c>
      <c r="X238" s="469">
        <v>19</v>
      </c>
      <c r="Y238" s="470">
        <v>20</v>
      </c>
      <c r="Z238" s="468">
        <v>21</v>
      </c>
      <c r="AA238" s="469">
        <v>22</v>
      </c>
      <c r="AB238" s="469">
        <v>23</v>
      </c>
      <c r="AC238" s="469">
        <v>24</v>
      </c>
      <c r="AD238" s="470">
        <v>25</v>
      </c>
      <c r="AE238" s="468">
        <v>26</v>
      </c>
      <c r="AF238" s="469">
        <v>27</v>
      </c>
      <c r="AG238" s="469">
        <v>28</v>
      </c>
      <c r="AH238" s="469">
        <v>29</v>
      </c>
      <c r="AI238" s="470">
        <v>30</v>
      </c>
      <c r="AJ238" s="468">
        <v>31</v>
      </c>
      <c r="AK238" s="469">
        <v>32</v>
      </c>
      <c r="AL238" s="469">
        <v>33</v>
      </c>
      <c r="AM238" s="469">
        <v>34</v>
      </c>
      <c r="AN238" s="470">
        <v>35</v>
      </c>
      <c r="AO238" s="468">
        <v>36</v>
      </c>
      <c r="AP238" s="469">
        <v>37</v>
      </c>
      <c r="AQ238" s="469">
        <v>38</v>
      </c>
      <c r="AR238" s="469">
        <v>39</v>
      </c>
      <c r="AS238" s="470">
        <v>40</v>
      </c>
      <c r="AT238" s="468">
        <v>41</v>
      </c>
      <c r="AU238" s="469">
        <v>42</v>
      </c>
      <c r="AV238" s="469">
        <v>43</v>
      </c>
      <c r="AW238" s="469">
        <v>44</v>
      </c>
      <c r="AX238" s="470">
        <v>45</v>
      </c>
      <c r="AY238" s="468">
        <v>46</v>
      </c>
      <c r="AZ238" s="469">
        <v>47</v>
      </c>
      <c r="BA238" s="469">
        <v>48</v>
      </c>
      <c r="BB238" s="469">
        <v>49</v>
      </c>
      <c r="BC238" s="470">
        <v>50</v>
      </c>
    </row>
    <row r="239" spans="1:55" x14ac:dyDescent="0.2">
      <c r="A239" s="463" t="str">
        <f t="shared" ca="1" si="11"/>
        <v/>
      </c>
      <c r="B239" s="463" t="str">
        <f t="shared" ca="1" si="11"/>
        <v/>
      </c>
      <c r="E239" s="463" t="s">
        <v>230</v>
      </c>
      <c r="F239" s="468">
        <v>10</v>
      </c>
      <c r="G239" s="469">
        <v>23</v>
      </c>
      <c r="H239" s="469">
        <v>47</v>
      </c>
      <c r="I239" s="469">
        <v>33</v>
      </c>
      <c r="J239" s="470">
        <v>43</v>
      </c>
      <c r="K239" s="468">
        <v>5</v>
      </c>
      <c r="L239" s="469">
        <v>20</v>
      </c>
      <c r="M239" s="469">
        <v>7</v>
      </c>
      <c r="N239" s="469">
        <v>48</v>
      </c>
      <c r="O239" s="470">
        <v>38</v>
      </c>
      <c r="P239" s="468">
        <v>45</v>
      </c>
      <c r="Q239" s="469">
        <v>49</v>
      </c>
      <c r="R239" s="469">
        <v>9</v>
      </c>
      <c r="S239" s="469">
        <v>32</v>
      </c>
      <c r="T239" s="470">
        <v>36</v>
      </c>
      <c r="U239" s="468">
        <v>35</v>
      </c>
      <c r="V239" s="469">
        <v>8</v>
      </c>
      <c r="W239" s="469">
        <v>17</v>
      </c>
      <c r="X239" s="469">
        <v>28</v>
      </c>
      <c r="Y239" s="470">
        <v>42</v>
      </c>
      <c r="Z239" s="468">
        <v>44</v>
      </c>
      <c r="AA239" s="469">
        <v>39</v>
      </c>
      <c r="AB239" s="469">
        <v>2</v>
      </c>
      <c r="AC239" s="469">
        <v>46</v>
      </c>
      <c r="AD239" s="470">
        <v>31</v>
      </c>
      <c r="AE239" s="468">
        <v>24</v>
      </c>
      <c r="AF239" s="469">
        <v>19</v>
      </c>
      <c r="AG239" s="469">
        <v>50</v>
      </c>
      <c r="AH239" s="469">
        <v>1</v>
      </c>
      <c r="AI239" s="470">
        <v>11</v>
      </c>
      <c r="AJ239" s="468">
        <v>25</v>
      </c>
      <c r="AK239" s="469">
        <v>30</v>
      </c>
      <c r="AL239" s="469">
        <v>37</v>
      </c>
      <c r="AM239" s="469">
        <v>41</v>
      </c>
      <c r="AN239" s="470">
        <v>12</v>
      </c>
      <c r="AO239" s="468">
        <v>15</v>
      </c>
      <c r="AP239" s="469">
        <v>29</v>
      </c>
      <c r="AQ239" s="469">
        <v>34</v>
      </c>
      <c r="AR239" s="469">
        <v>16</v>
      </c>
      <c r="AS239" s="470">
        <v>22</v>
      </c>
      <c r="AT239" s="468">
        <v>4</v>
      </c>
      <c r="AU239" s="469">
        <v>13</v>
      </c>
      <c r="AV239" s="469">
        <v>27</v>
      </c>
      <c r="AW239" s="469">
        <v>21</v>
      </c>
      <c r="AX239" s="470">
        <v>6</v>
      </c>
      <c r="AY239" s="468">
        <v>14</v>
      </c>
      <c r="AZ239" s="469">
        <v>3</v>
      </c>
      <c r="BA239" s="469">
        <v>40</v>
      </c>
      <c r="BB239" s="469">
        <v>26</v>
      </c>
      <c r="BC239" s="470">
        <v>18</v>
      </c>
    </row>
    <row r="240" spans="1:55" x14ac:dyDescent="0.2">
      <c r="A240" s="463" t="str">
        <f t="shared" ca="1" si="11"/>
        <v/>
      </c>
      <c r="B240" s="463" t="str">
        <f t="shared" ca="1" si="11"/>
        <v/>
      </c>
    </row>
    <row r="241" spans="1:59" s="485" customFormat="1" x14ac:dyDescent="0.2">
      <c r="A241" s="463" t="str">
        <f t="shared" ca="1" si="11"/>
        <v/>
      </c>
      <c r="B241" s="463" t="str">
        <f t="shared" ca="1" si="11"/>
        <v/>
      </c>
    </row>
    <row r="242" spans="1:59" x14ac:dyDescent="0.2">
      <c r="A242" s="463" t="str">
        <f t="shared" ca="1" si="11"/>
        <v/>
      </c>
      <c r="B242" s="463" t="str">
        <f t="shared" ca="1" si="11"/>
        <v/>
      </c>
      <c r="D242" s="307">
        <v>51</v>
      </c>
      <c r="E242" s="307" t="s">
        <v>248</v>
      </c>
    </row>
    <row r="243" spans="1:59" x14ac:dyDescent="0.2">
      <c r="A243" s="463" t="str">
        <f t="shared" ca="1" si="11"/>
        <v/>
      </c>
      <c r="B243" s="463" t="str">
        <f t="shared" ca="1" si="11"/>
        <v/>
      </c>
      <c r="E243" s="463" t="s">
        <v>196</v>
      </c>
      <c r="F243" s="463">
        <v>1</v>
      </c>
      <c r="G243" s="463">
        <v>2</v>
      </c>
      <c r="H243" s="463">
        <v>3</v>
      </c>
      <c r="I243" s="463">
        <v>4</v>
      </c>
      <c r="J243" s="463">
        <v>5</v>
      </c>
      <c r="K243" s="463">
        <v>6</v>
      </c>
      <c r="L243" s="463">
        <v>7</v>
      </c>
      <c r="M243" s="463">
        <v>8</v>
      </c>
      <c r="N243" s="463">
        <v>9</v>
      </c>
      <c r="O243" s="463">
        <v>10</v>
      </c>
      <c r="P243" s="463">
        <v>11</v>
      </c>
      <c r="Q243" s="463">
        <v>12</v>
      </c>
      <c r="R243" s="463">
        <v>13</v>
      </c>
      <c r="S243" s="463">
        <v>14</v>
      </c>
      <c r="T243" s="463">
        <v>15</v>
      </c>
      <c r="U243" s="463">
        <v>16</v>
      </c>
      <c r="V243" s="463">
        <v>17</v>
      </c>
      <c r="W243" s="463">
        <v>18</v>
      </c>
      <c r="X243" s="463">
        <v>19</v>
      </c>
      <c r="Y243" s="463">
        <v>20</v>
      </c>
      <c r="Z243" s="463">
        <v>21</v>
      </c>
      <c r="AA243" s="463">
        <v>22</v>
      </c>
      <c r="AB243" s="463">
        <v>23</v>
      </c>
      <c r="AC243" s="463">
        <v>24</v>
      </c>
      <c r="AD243" s="463">
        <v>25</v>
      </c>
      <c r="AE243" s="463">
        <v>26</v>
      </c>
      <c r="AF243" s="463">
        <v>27</v>
      </c>
      <c r="AG243" s="463">
        <v>28</v>
      </c>
      <c r="AH243" s="463">
        <v>29</v>
      </c>
      <c r="AI243" s="463">
        <v>30</v>
      </c>
      <c r="AJ243" s="463">
        <v>31</v>
      </c>
      <c r="AK243" s="463">
        <v>32</v>
      </c>
      <c r="AL243" s="463">
        <v>33</v>
      </c>
      <c r="AM243" s="463">
        <v>34</v>
      </c>
      <c r="AN243" s="463">
        <v>35</v>
      </c>
      <c r="AO243" s="463">
        <v>36</v>
      </c>
      <c r="AP243" s="463">
        <v>37</v>
      </c>
      <c r="AQ243" s="463">
        <v>38</v>
      </c>
      <c r="AR243" s="463">
        <v>39</v>
      </c>
      <c r="AT243" s="463">
        <v>40</v>
      </c>
      <c r="AU243" s="463">
        <v>41</v>
      </c>
      <c r="AV243" s="463">
        <v>42</v>
      </c>
      <c r="AW243" s="463">
        <v>43</v>
      </c>
      <c r="AY243" s="463">
        <v>44</v>
      </c>
      <c r="AZ243" s="463">
        <v>45</v>
      </c>
      <c r="BA243" s="463">
        <v>46</v>
      </c>
      <c r="BB243" s="463">
        <v>47</v>
      </c>
      <c r="BD243" s="463">
        <v>48</v>
      </c>
      <c r="BE243" s="463">
        <v>49</v>
      </c>
      <c r="BF243" s="463">
        <v>50</v>
      </c>
      <c r="BG243" s="463">
        <v>51</v>
      </c>
    </row>
    <row r="244" spans="1:59" x14ac:dyDescent="0.2">
      <c r="A244" s="463" t="str">
        <f t="shared" ca="1" si="11"/>
        <v/>
      </c>
      <c r="B244" s="463" t="str">
        <f t="shared" ca="1" si="11"/>
        <v/>
      </c>
      <c r="E244" s="463" t="s">
        <v>230</v>
      </c>
      <c r="F244" s="463">
        <v>51</v>
      </c>
      <c r="G244" s="463">
        <v>18</v>
      </c>
      <c r="H244" s="463">
        <v>7</v>
      </c>
      <c r="I244" s="463">
        <v>28</v>
      </c>
      <c r="J244" s="463">
        <v>21</v>
      </c>
      <c r="K244" s="463">
        <v>47</v>
      </c>
      <c r="L244" s="463">
        <v>42</v>
      </c>
      <c r="M244" s="463">
        <v>32</v>
      </c>
      <c r="N244" s="463">
        <v>17</v>
      </c>
      <c r="O244" s="463">
        <v>26</v>
      </c>
      <c r="P244" s="463">
        <v>5</v>
      </c>
      <c r="Q244" s="463">
        <v>38</v>
      </c>
      <c r="R244" s="463">
        <v>29</v>
      </c>
      <c r="S244" s="463">
        <v>16</v>
      </c>
      <c r="T244" s="463">
        <v>45</v>
      </c>
      <c r="U244" s="463">
        <v>14</v>
      </c>
      <c r="V244" s="463">
        <v>46</v>
      </c>
      <c r="W244" s="463">
        <v>22</v>
      </c>
      <c r="X244" s="463">
        <v>40</v>
      </c>
      <c r="Y244" s="463">
        <v>50</v>
      </c>
      <c r="Z244" s="463">
        <v>15</v>
      </c>
      <c r="AA244" s="463">
        <v>3</v>
      </c>
      <c r="AB244" s="463">
        <v>39</v>
      </c>
      <c r="AC244" s="463">
        <v>31</v>
      </c>
      <c r="AD244" s="463">
        <v>48</v>
      </c>
      <c r="AE244" s="463">
        <v>10</v>
      </c>
      <c r="AF244" s="463">
        <v>43</v>
      </c>
      <c r="AG244" s="463">
        <v>37</v>
      </c>
      <c r="AH244" s="463">
        <v>44</v>
      </c>
      <c r="AI244" s="463">
        <v>49</v>
      </c>
      <c r="AJ244" s="463">
        <v>24</v>
      </c>
      <c r="AK244" s="463">
        <v>8</v>
      </c>
      <c r="AL244" s="463">
        <v>41</v>
      </c>
      <c r="AM244" s="463">
        <v>11</v>
      </c>
      <c r="AN244" s="463">
        <v>36</v>
      </c>
      <c r="AO244" s="463">
        <v>9</v>
      </c>
      <c r="AP244" s="463">
        <v>33</v>
      </c>
      <c r="AQ244" s="463">
        <v>20</v>
      </c>
      <c r="AR244" s="463">
        <v>1</v>
      </c>
      <c r="AT244" s="463">
        <v>4</v>
      </c>
      <c r="AU244" s="463">
        <v>23</v>
      </c>
      <c r="AV244" s="463">
        <v>19</v>
      </c>
      <c r="AW244" s="463">
        <v>12</v>
      </c>
      <c r="AY244" s="463">
        <v>35</v>
      </c>
      <c r="AZ244" s="463">
        <v>13</v>
      </c>
      <c r="BA244" s="463">
        <v>25</v>
      </c>
      <c r="BB244" s="463">
        <v>27</v>
      </c>
      <c r="BD244" s="463">
        <v>34</v>
      </c>
      <c r="BE244" s="463">
        <v>30</v>
      </c>
      <c r="BF244" s="463">
        <v>2</v>
      </c>
      <c r="BG244" s="463">
        <v>6</v>
      </c>
    </row>
    <row r="245" spans="1:59" x14ac:dyDescent="0.2">
      <c r="A245" s="463" t="str">
        <f t="shared" ca="1" si="11"/>
        <v/>
      </c>
      <c r="B245" s="463" t="str">
        <f t="shared" ca="1" si="11"/>
        <v/>
      </c>
    </row>
    <row r="246" spans="1:59" x14ac:dyDescent="0.2">
      <c r="A246" s="463" t="str">
        <f t="shared" ca="1" si="11"/>
        <v/>
      </c>
      <c r="B246" s="463" t="str">
        <f t="shared" ca="1" si="11"/>
        <v/>
      </c>
    </row>
    <row r="247" spans="1:59" x14ac:dyDescent="0.2">
      <c r="A247" s="463" t="str">
        <f t="shared" ref="A247:B257" ca="1" si="12">IF(INDIRECT(ADDRESS(A$6,ROW()-ROW(A$6)-1+COLUMN($F$8)))&gt;0,INDIRECT(ADDRESS(A$6,ROW()-ROW(A$6)-1+COLUMN($F$8))),"")</f>
        <v/>
      </c>
      <c r="B247" s="463" t="str">
        <f t="shared" ca="1" si="12"/>
        <v/>
      </c>
      <c r="D247" s="307">
        <v>52</v>
      </c>
      <c r="E247" s="307" t="s">
        <v>248</v>
      </c>
    </row>
    <row r="248" spans="1:59" x14ac:dyDescent="0.2">
      <c r="A248" s="463" t="str">
        <f t="shared" ca="1" si="12"/>
        <v/>
      </c>
      <c r="B248" s="463" t="str">
        <f t="shared" ca="1" si="12"/>
        <v/>
      </c>
      <c r="E248" s="463" t="s">
        <v>196</v>
      </c>
      <c r="F248" s="463">
        <v>1</v>
      </c>
      <c r="G248" s="463">
        <v>2</v>
      </c>
      <c r="H248" s="463">
        <v>3</v>
      </c>
      <c r="I248" s="463">
        <v>4</v>
      </c>
      <c r="J248" s="463">
        <v>5</v>
      </c>
      <c r="K248" s="463">
        <v>6</v>
      </c>
      <c r="L248" s="463">
        <v>7</v>
      </c>
      <c r="M248" s="463">
        <v>8</v>
      </c>
      <c r="N248" s="463">
        <v>9</v>
      </c>
      <c r="O248" s="463">
        <v>10</v>
      </c>
      <c r="P248" s="463">
        <v>11</v>
      </c>
      <c r="Q248" s="463">
        <v>12</v>
      </c>
      <c r="R248" s="463">
        <v>13</v>
      </c>
      <c r="S248" s="463">
        <v>14</v>
      </c>
      <c r="T248" s="463">
        <v>15</v>
      </c>
      <c r="U248" s="463">
        <v>16</v>
      </c>
      <c r="V248" s="463">
        <v>17</v>
      </c>
      <c r="W248" s="463">
        <v>18</v>
      </c>
      <c r="X248" s="463">
        <v>19</v>
      </c>
      <c r="Y248" s="463">
        <v>20</v>
      </c>
      <c r="Z248" s="463">
        <v>21</v>
      </c>
      <c r="AA248" s="463">
        <v>22</v>
      </c>
      <c r="AB248" s="463">
        <v>23</v>
      </c>
      <c r="AC248" s="463">
        <v>24</v>
      </c>
      <c r="AD248" s="463">
        <v>25</v>
      </c>
      <c r="AE248" s="463">
        <v>26</v>
      </c>
      <c r="AF248" s="463">
        <v>27</v>
      </c>
      <c r="AG248" s="463">
        <v>28</v>
      </c>
      <c r="AH248" s="463">
        <v>29</v>
      </c>
      <c r="AI248" s="463">
        <v>30</v>
      </c>
      <c r="AJ248" s="463">
        <v>31</v>
      </c>
      <c r="AK248" s="463">
        <v>32</v>
      </c>
      <c r="AL248" s="463">
        <v>33</v>
      </c>
      <c r="AM248" s="463">
        <v>34</v>
      </c>
      <c r="AN248" s="463">
        <v>35</v>
      </c>
      <c r="AO248" s="463">
        <v>36</v>
      </c>
      <c r="AP248" s="463">
        <v>37</v>
      </c>
      <c r="AQ248" s="463">
        <v>38</v>
      </c>
      <c r="AR248" s="463">
        <v>39</v>
      </c>
      <c r="AS248" s="463">
        <v>40</v>
      </c>
      <c r="AT248" s="463">
        <v>41</v>
      </c>
      <c r="AU248" s="463">
        <v>42</v>
      </c>
      <c r="AV248" s="463">
        <v>43</v>
      </c>
      <c r="AW248" s="463">
        <v>44</v>
      </c>
      <c r="AY248" s="463">
        <v>45</v>
      </c>
      <c r="AZ248" s="463">
        <v>46</v>
      </c>
      <c r="BA248" s="463">
        <v>47</v>
      </c>
      <c r="BB248" s="463">
        <v>48</v>
      </c>
      <c r="BD248" s="463">
        <v>49</v>
      </c>
      <c r="BE248" s="463">
        <v>50</v>
      </c>
      <c r="BF248" s="463">
        <v>51</v>
      </c>
      <c r="BG248" s="463">
        <v>52</v>
      </c>
    </row>
    <row r="249" spans="1:59" x14ac:dyDescent="0.2">
      <c r="A249" s="463" t="str">
        <f t="shared" ca="1" si="12"/>
        <v/>
      </c>
      <c r="B249" s="463" t="str">
        <f t="shared" ca="1" si="12"/>
        <v/>
      </c>
      <c r="E249" s="463" t="s">
        <v>230</v>
      </c>
      <c r="F249" s="463">
        <v>24</v>
      </c>
      <c r="G249" s="463">
        <v>33</v>
      </c>
      <c r="H249" s="463">
        <v>17</v>
      </c>
      <c r="I249" s="463">
        <v>26</v>
      </c>
      <c r="J249" s="463">
        <v>41</v>
      </c>
      <c r="K249" s="463">
        <v>29</v>
      </c>
      <c r="L249" s="463">
        <v>15</v>
      </c>
      <c r="M249" s="463">
        <v>22</v>
      </c>
      <c r="N249" s="463">
        <v>31</v>
      </c>
      <c r="O249" s="463">
        <v>16</v>
      </c>
      <c r="P249" s="463">
        <v>20</v>
      </c>
      <c r="Q249" s="463">
        <v>43</v>
      </c>
      <c r="R249" s="463">
        <v>25</v>
      </c>
      <c r="S249" s="463">
        <v>27</v>
      </c>
      <c r="T249" s="463">
        <v>7</v>
      </c>
      <c r="U249" s="463">
        <v>48</v>
      </c>
      <c r="V249" s="463">
        <v>3</v>
      </c>
      <c r="W249" s="463">
        <v>19</v>
      </c>
      <c r="X249" s="463">
        <v>51</v>
      </c>
      <c r="Y249" s="463">
        <v>11</v>
      </c>
      <c r="Z249" s="463">
        <v>34</v>
      </c>
      <c r="AA249" s="463">
        <v>38</v>
      </c>
      <c r="AB249" s="463">
        <v>42</v>
      </c>
      <c r="AC249" s="463">
        <v>1</v>
      </c>
      <c r="AD249" s="463">
        <v>45</v>
      </c>
      <c r="AE249" s="463">
        <v>9</v>
      </c>
      <c r="AF249" s="463">
        <v>35</v>
      </c>
      <c r="AG249" s="463">
        <v>52</v>
      </c>
      <c r="AH249" s="463">
        <v>18</v>
      </c>
      <c r="AI249" s="463">
        <v>2</v>
      </c>
      <c r="AJ249" s="463">
        <v>4</v>
      </c>
      <c r="AK249" s="463">
        <v>13</v>
      </c>
      <c r="AL249" s="463">
        <v>46</v>
      </c>
      <c r="AM249" s="463">
        <v>28</v>
      </c>
      <c r="AN249" s="463">
        <v>49</v>
      </c>
      <c r="AO249" s="463">
        <v>44</v>
      </c>
      <c r="AP249" s="463">
        <v>47</v>
      </c>
      <c r="AQ249" s="463">
        <v>50</v>
      </c>
      <c r="AR249" s="463">
        <v>37</v>
      </c>
      <c r="AS249" s="463">
        <v>6</v>
      </c>
      <c r="AT249" s="463">
        <v>10</v>
      </c>
      <c r="AU249" s="463">
        <v>23</v>
      </c>
      <c r="AV249" s="463">
        <v>40</v>
      </c>
      <c r="AW249" s="463">
        <v>12</v>
      </c>
      <c r="AY249" s="463">
        <v>5</v>
      </c>
      <c r="AZ249" s="463">
        <v>8</v>
      </c>
      <c r="BA249" s="463">
        <v>32</v>
      </c>
      <c r="BB249" s="463">
        <v>36</v>
      </c>
      <c r="BD249" s="463">
        <v>30</v>
      </c>
      <c r="BE249" s="463">
        <v>14</v>
      </c>
      <c r="BF249" s="463">
        <v>39</v>
      </c>
      <c r="BG249" s="463">
        <v>21</v>
      </c>
    </row>
    <row r="250" spans="1:59" x14ac:dyDescent="0.2">
      <c r="A250" s="463" t="str">
        <f t="shared" ca="1" si="12"/>
        <v/>
      </c>
      <c r="B250" s="463" t="str">
        <f t="shared" ca="1" si="12"/>
        <v/>
      </c>
    </row>
    <row r="251" spans="1:59" x14ac:dyDescent="0.2">
      <c r="A251" s="463" t="str">
        <f t="shared" ca="1" si="12"/>
        <v/>
      </c>
      <c r="B251" s="463" t="str">
        <f t="shared" ca="1" si="12"/>
        <v/>
      </c>
    </row>
    <row r="252" spans="1:59" x14ac:dyDescent="0.2">
      <c r="A252" s="463" t="str">
        <f t="shared" ca="1" si="12"/>
        <v/>
      </c>
      <c r="B252" s="463" t="str">
        <f t="shared" ca="1" si="12"/>
        <v/>
      </c>
      <c r="D252" s="307">
        <v>53</v>
      </c>
      <c r="E252" s="307" t="s">
        <v>248</v>
      </c>
    </row>
    <row r="253" spans="1:59" x14ac:dyDescent="0.2">
      <c r="A253" s="463" t="str">
        <f t="shared" ca="1" si="12"/>
        <v/>
      </c>
      <c r="B253" s="463" t="str">
        <f t="shared" ca="1" si="12"/>
        <v/>
      </c>
      <c r="E253" s="463" t="s">
        <v>196</v>
      </c>
      <c r="F253" s="463">
        <v>1</v>
      </c>
      <c r="G253" s="463">
        <v>2</v>
      </c>
      <c r="H253" s="463">
        <v>3</v>
      </c>
      <c r="I253" s="463">
        <v>4</v>
      </c>
      <c r="J253" s="463">
        <v>5</v>
      </c>
      <c r="K253" s="463">
        <v>6</v>
      </c>
      <c r="L253" s="463">
        <v>7</v>
      </c>
      <c r="M253" s="463">
        <v>8</v>
      </c>
      <c r="N253" s="463">
        <v>9</v>
      </c>
      <c r="O253" s="463">
        <v>10</v>
      </c>
      <c r="P253" s="463">
        <v>11</v>
      </c>
      <c r="Q253" s="463">
        <v>12</v>
      </c>
      <c r="R253" s="463">
        <v>13</v>
      </c>
      <c r="S253" s="463">
        <v>14</v>
      </c>
      <c r="T253" s="463">
        <v>15</v>
      </c>
      <c r="U253" s="463">
        <v>16</v>
      </c>
      <c r="V253" s="463">
        <v>17</v>
      </c>
      <c r="W253" s="463">
        <v>18</v>
      </c>
      <c r="X253" s="463">
        <v>19</v>
      </c>
      <c r="Y253" s="463">
        <v>20</v>
      </c>
      <c r="Z253" s="463">
        <v>21</v>
      </c>
      <c r="AA253" s="463">
        <v>22</v>
      </c>
      <c r="AB253" s="463">
        <v>23</v>
      </c>
      <c r="AC253" s="463">
        <v>24</v>
      </c>
      <c r="AD253" s="463">
        <v>25</v>
      </c>
      <c r="AE253" s="463">
        <v>26</v>
      </c>
      <c r="AF253" s="463">
        <v>27</v>
      </c>
      <c r="AG253" s="463">
        <v>28</v>
      </c>
      <c r="AH253" s="463">
        <v>29</v>
      </c>
      <c r="AI253" s="463">
        <v>30</v>
      </c>
      <c r="AJ253" s="463">
        <v>31</v>
      </c>
      <c r="AK253" s="463">
        <v>32</v>
      </c>
      <c r="AL253" s="463">
        <v>33</v>
      </c>
      <c r="AM253" s="463">
        <v>34</v>
      </c>
      <c r="AN253" s="463">
        <v>35</v>
      </c>
      <c r="AO253" s="463">
        <v>36</v>
      </c>
      <c r="AP253" s="463">
        <v>37</v>
      </c>
      <c r="AQ253" s="463">
        <v>38</v>
      </c>
      <c r="AR253" s="463">
        <v>39</v>
      </c>
      <c r="AS253" s="463">
        <v>40</v>
      </c>
      <c r="AT253" s="463">
        <v>41</v>
      </c>
      <c r="AU253" s="463">
        <v>42</v>
      </c>
      <c r="AV253" s="463">
        <v>43</v>
      </c>
      <c r="AW253" s="463">
        <v>44</v>
      </c>
      <c r="AX253" s="463">
        <v>45</v>
      </c>
      <c r="AY253" s="463">
        <v>46</v>
      </c>
      <c r="AZ253" s="463">
        <v>47</v>
      </c>
      <c r="BA253" s="463">
        <v>48</v>
      </c>
      <c r="BB253" s="463">
        <v>49</v>
      </c>
      <c r="BD253" s="463">
        <v>50</v>
      </c>
      <c r="BE253" s="463">
        <v>51</v>
      </c>
      <c r="BF253" s="463">
        <v>52</v>
      </c>
      <c r="BG253" s="463">
        <v>53</v>
      </c>
    </row>
    <row r="254" spans="1:59" x14ac:dyDescent="0.2">
      <c r="A254" s="463" t="str">
        <f t="shared" ca="1" si="12"/>
        <v/>
      </c>
      <c r="B254" s="463" t="str">
        <f t="shared" ca="1" si="12"/>
        <v/>
      </c>
      <c r="E254" s="463" t="s">
        <v>230</v>
      </c>
      <c r="F254" s="463">
        <v>24</v>
      </c>
      <c r="G254" s="463">
        <v>45</v>
      </c>
      <c r="H254" s="463">
        <v>17</v>
      </c>
      <c r="I254" s="463">
        <v>11</v>
      </c>
      <c r="J254" s="463">
        <v>8</v>
      </c>
      <c r="K254" s="463">
        <v>39</v>
      </c>
      <c r="L254" s="463">
        <v>28</v>
      </c>
      <c r="M254" s="463">
        <v>42</v>
      </c>
      <c r="N254" s="463">
        <v>18</v>
      </c>
      <c r="O254" s="463">
        <v>1</v>
      </c>
      <c r="P254" s="463">
        <v>40</v>
      </c>
      <c r="Q254" s="463">
        <v>43</v>
      </c>
      <c r="R254" s="463">
        <v>51</v>
      </c>
      <c r="S254" s="463">
        <v>31</v>
      </c>
      <c r="T254" s="463">
        <v>16</v>
      </c>
      <c r="U254" s="463">
        <v>4</v>
      </c>
      <c r="V254" s="463">
        <v>52</v>
      </c>
      <c r="W254" s="463">
        <v>32</v>
      </c>
      <c r="X254" s="463">
        <v>46</v>
      </c>
      <c r="Y254" s="463">
        <v>26</v>
      </c>
      <c r="Z254" s="463">
        <v>30</v>
      </c>
      <c r="AA254" s="463">
        <v>9</v>
      </c>
      <c r="AB254" s="463">
        <v>19</v>
      </c>
      <c r="AC254" s="463">
        <v>3</v>
      </c>
      <c r="AD254" s="463">
        <v>48</v>
      </c>
      <c r="AE254" s="463">
        <v>14</v>
      </c>
      <c r="AF254" s="463">
        <v>49</v>
      </c>
      <c r="AG254" s="463">
        <v>7</v>
      </c>
      <c r="AH254" s="463">
        <v>23</v>
      </c>
      <c r="AI254" s="463">
        <v>2</v>
      </c>
      <c r="AJ254" s="463">
        <v>10</v>
      </c>
      <c r="AK254" s="463">
        <v>33</v>
      </c>
      <c r="AL254" s="463">
        <v>53</v>
      </c>
      <c r="AM254" s="463">
        <v>41</v>
      </c>
      <c r="AN254" s="463">
        <v>21</v>
      </c>
      <c r="AO254" s="463">
        <v>15</v>
      </c>
      <c r="AP254" s="463">
        <v>38</v>
      </c>
      <c r="AQ254" s="463">
        <v>27</v>
      </c>
      <c r="AR254" s="463">
        <v>47</v>
      </c>
      <c r="AS254" s="463">
        <v>50</v>
      </c>
      <c r="AT254" s="463">
        <v>34</v>
      </c>
      <c r="AU254" s="463">
        <v>5</v>
      </c>
      <c r="AV254" s="463">
        <v>29</v>
      </c>
      <c r="AW254" s="463">
        <v>22</v>
      </c>
      <c r="AX254" s="463">
        <v>36</v>
      </c>
      <c r="AY254" s="463">
        <v>35</v>
      </c>
      <c r="AZ254" s="463">
        <v>13</v>
      </c>
      <c r="BA254" s="463">
        <v>25</v>
      </c>
      <c r="BB254" s="463">
        <v>37</v>
      </c>
      <c r="BD254" s="463">
        <v>20</v>
      </c>
      <c r="BE254" s="463">
        <v>44</v>
      </c>
      <c r="BF254" s="463">
        <v>12</v>
      </c>
      <c r="BG254" s="463">
        <v>6</v>
      </c>
    </row>
    <row r="255" spans="1:59" x14ac:dyDescent="0.2">
      <c r="A255" s="463" t="str">
        <f t="shared" ca="1" si="12"/>
        <v/>
      </c>
      <c r="B255" s="463" t="str">
        <f t="shared" ca="1" si="12"/>
        <v/>
      </c>
    </row>
    <row r="256" spans="1:59" x14ac:dyDescent="0.2">
      <c r="A256" s="463" t="str">
        <f t="shared" ca="1" si="12"/>
        <v/>
      </c>
      <c r="B256" s="463" t="str">
        <f t="shared" ca="1" si="12"/>
        <v/>
      </c>
    </row>
    <row r="257" spans="1:64" x14ac:dyDescent="0.2">
      <c r="A257" s="463" t="str">
        <f t="shared" ca="1" si="12"/>
        <v/>
      </c>
      <c r="B257" s="463" t="str">
        <f t="shared" ca="1" si="12"/>
        <v/>
      </c>
      <c r="D257" s="307">
        <v>54</v>
      </c>
      <c r="E257" s="307" t="s">
        <v>248</v>
      </c>
    </row>
    <row r="258" spans="1:64" x14ac:dyDescent="0.2">
      <c r="E258" s="463" t="s">
        <v>196</v>
      </c>
      <c r="F258" s="463">
        <v>1</v>
      </c>
      <c r="G258" s="463">
        <v>2</v>
      </c>
      <c r="H258" s="463">
        <v>3</v>
      </c>
      <c r="I258" s="463">
        <v>4</v>
      </c>
      <c r="J258" s="463">
        <v>5</v>
      </c>
      <c r="K258" s="463">
        <v>6</v>
      </c>
      <c r="L258" s="463">
        <v>7</v>
      </c>
      <c r="M258" s="463">
        <v>8</v>
      </c>
      <c r="N258" s="463">
        <v>9</v>
      </c>
      <c r="O258" s="463">
        <v>10</v>
      </c>
      <c r="P258" s="463">
        <v>11</v>
      </c>
      <c r="Q258" s="463">
        <v>12</v>
      </c>
      <c r="R258" s="463">
        <v>13</v>
      </c>
      <c r="S258" s="463">
        <v>14</v>
      </c>
      <c r="T258" s="463">
        <v>15</v>
      </c>
      <c r="U258" s="463">
        <v>16</v>
      </c>
      <c r="V258" s="463">
        <v>17</v>
      </c>
      <c r="W258" s="463">
        <v>18</v>
      </c>
      <c r="X258" s="463">
        <v>19</v>
      </c>
      <c r="Y258" s="463">
        <v>20</v>
      </c>
      <c r="Z258" s="463">
        <v>21</v>
      </c>
      <c r="AA258" s="463">
        <v>22</v>
      </c>
      <c r="AB258" s="463">
        <v>23</v>
      </c>
      <c r="AC258" s="463">
        <v>24</v>
      </c>
      <c r="AD258" s="463">
        <v>25</v>
      </c>
      <c r="AE258" s="463">
        <v>26</v>
      </c>
      <c r="AF258" s="463">
        <v>27</v>
      </c>
      <c r="AG258" s="463">
        <v>28</v>
      </c>
      <c r="AH258" s="463">
        <v>29</v>
      </c>
      <c r="AI258" s="463">
        <v>30</v>
      </c>
      <c r="AJ258" s="463">
        <v>31</v>
      </c>
      <c r="AK258" s="463">
        <v>32</v>
      </c>
      <c r="AL258" s="463">
        <v>33</v>
      </c>
      <c r="AM258" s="463">
        <v>34</v>
      </c>
      <c r="AN258" s="463">
        <v>35</v>
      </c>
      <c r="AO258" s="463">
        <v>36</v>
      </c>
      <c r="AP258" s="463">
        <v>37</v>
      </c>
      <c r="AQ258" s="463">
        <v>38</v>
      </c>
      <c r="AR258" s="463">
        <v>39</v>
      </c>
      <c r="AS258" s="463">
        <v>40</v>
      </c>
      <c r="AT258" s="463">
        <v>41</v>
      </c>
      <c r="AU258" s="463">
        <v>42</v>
      </c>
      <c r="AV258" s="463">
        <v>43</v>
      </c>
      <c r="AW258" s="463">
        <v>44</v>
      </c>
      <c r="AX258" s="463">
        <v>45</v>
      </c>
      <c r="AY258" s="463">
        <v>46</v>
      </c>
      <c r="AZ258" s="463">
        <v>47</v>
      </c>
      <c r="BA258" s="463">
        <v>48</v>
      </c>
      <c r="BB258" s="463">
        <v>49</v>
      </c>
      <c r="BC258" s="463">
        <v>50</v>
      </c>
      <c r="BD258" s="463">
        <v>51</v>
      </c>
      <c r="BE258" s="463">
        <v>52</v>
      </c>
      <c r="BF258" s="463">
        <v>53</v>
      </c>
      <c r="BG258" s="463">
        <v>54</v>
      </c>
    </row>
    <row r="259" spans="1:64" x14ac:dyDescent="0.2">
      <c r="E259" s="463" t="s">
        <v>230</v>
      </c>
      <c r="F259" s="463">
        <v>5</v>
      </c>
      <c r="G259" s="463">
        <v>40</v>
      </c>
      <c r="H259" s="463">
        <v>12</v>
      </c>
      <c r="I259" s="463">
        <v>52</v>
      </c>
      <c r="J259" s="463">
        <v>31</v>
      </c>
      <c r="K259" s="463">
        <v>45</v>
      </c>
      <c r="L259" s="463">
        <v>15</v>
      </c>
      <c r="M259" s="463">
        <v>19</v>
      </c>
      <c r="N259" s="463">
        <v>6</v>
      </c>
      <c r="O259" s="463">
        <v>2</v>
      </c>
      <c r="P259" s="463">
        <v>14</v>
      </c>
      <c r="Q259" s="463">
        <v>3</v>
      </c>
      <c r="R259" s="463">
        <v>7</v>
      </c>
      <c r="S259" s="463">
        <v>41</v>
      </c>
      <c r="T259" s="463">
        <v>47</v>
      </c>
      <c r="U259" s="463">
        <v>44</v>
      </c>
      <c r="V259" s="463">
        <v>53</v>
      </c>
      <c r="W259" s="463">
        <v>20</v>
      </c>
      <c r="X259" s="463">
        <v>1</v>
      </c>
      <c r="Y259" s="463">
        <v>27</v>
      </c>
      <c r="Z259" s="463">
        <v>30</v>
      </c>
      <c r="AA259" s="463">
        <v>9</v>
      </c>
      <c r="AB259" s="463">
        <v>32</v>
      </c>
      <c r="AC259" s="463">
        <v>51</v>
      </c>
      <c r="AD259" s="463">
        <v>23</v>
      </c>
      <c r="AE259" s="463">
        <v>50</v>
      </c>
      <c r="AF259" s="463">
        <v>13</v>
      </c>
      <c r="AG259" s="463">
        <v>34</v>
      </c>
      <c r="AH259" s="463">
        <v>26</v>
      </c>
      <c r="AI259" s="463">
        <v>18</v>
      </c>
      <c r="AJ259" s="463">
        <v>4</v>
      </c>
      <c r="AK259" s="463">
        <v>25</v>
      </c>
      <c r="AL259" s="463">
        <v>10</v>
      </c>
      <c r="AM259" s="463">
        <v>28</v>
      </c>
      <c r="AN259" s="463">
        <v>36</v>
      </c>
      <c r="AO259" s="463">
        <v>49</v>
      </c>
      <c r="AP259" s="463">
        <v>33</v>
      </c>
      <c r="AQ259" s="463">
        <v>42</v>
      </c>
      <c r="AR259" s="463">
        <v>17</v>
      </c>
      <c r="AS259" s="463">
        <v>37</v>
      </c>
      <c r="AT259" s="463">
        <v>35</v>
      </c>
      <c r="AU259" s="463">
        <v>38</v>
      </c>
      <c r="AV259" s="463">
        <v>29</v>
      </c>
      <c r="AW259" s="463">
        <v>21</v>
      </c>
      <c r="AX259" s="463">
        <v>46</v>
      </c>
      <c r="AY259" s="463">
        <v>54</v>
      </c>
      <c r="AZ259" s="463">
        <v>8</v>
      </c>
      <c r="BA259" s="463">
        <v>24</v>
      </c>
      <c r="BB259" s="463">
        <v>16</v>
      </c>
      <c r="BC259" s="463">
        <v>43</v>
      </c>
      <c r="BD259" s="463">
        <v>39</v>
      </c>
      <c r="BE259" s="463">
        <v>48</v>
      </c>
      <c r="BF259" s="463">
        <v>22</v>
      </c>
      <c r="BG259" s="463">
        <v>11</v>
      </c>
    </row>
    <row r="262" spans="1:64" x14ac:dyDescent="0.2">
      <c r="D262" s="307">
        <v>55</v>
      </c>
      <c r="E262" s="307" t="s">
        <v>248</v>
      </c>
    </row>
    <row r="263" spans="1:64" x14ac:dyDescent="0.2">
      <c r="E263" s="463" t="s">
        <v>196</v>
      </c>
      <c r="F263" s="463">
        <v>1</v>
      </c>
      <c r="G263" s="463">
        <v>2</v>
      </c>
      <c r="H263" s="463">
        <v>3</v>
      </c>
      <c r="I263" s="463">
        <v>4</v>
      </c>
      <c r="J263" s="463">
        <v>5</v>
      </c>
      <c r="K263" s="463">
        <v>6</v>
      </c>
      <c r="L263" s="463">
        <v>7</v>
      </c>
      <c r="M263" s="463">
        <v>8</v>
      </c>
      <c r="N263" s="463">
        <v>9</v>
      </c>
      <c r="O263" s="463">
        <v>10</v>
      </c>
      <c r="P263" s="463">
        <v>11</v>
      </c>
      <c r="Q263" s="463">
        <v>12</v>
      </c>
      <c r="R263" s="463">
        <v>13</v>
      </c>
      <c r="S263" s="463">
        <v>14</v>
      </c>
      <c r="T263" s="463">
        <v>15</v>
      </c>
      <c r="U263" s="463">
        <v>16</v>
      </c>
      <c r="V263" s="463">
        <v>17</v>
      </c>
      <c r="W263" s="463">
        <v>18</v>
      </c>
      <c r="X263" s="463">
        <v>19</v>
      </c>
      <c r="Y263" s="463">
        <v>20</v>
      </c>
      <c r="Z263" s="463">
        <v>21</v>
      </c>
      <c r="AA263" s="463">
        <v>22</v>
      </c>
      <c r="AB263" s="463">
        <v>23</v>
      </c>
      <c r="AC263" s="463">
        <v>24</v>
      </c>
      <c r="AD263" s="463">
        <v>25</v>
      </c>
      <c r="AE263" s="463">
        <v>26</v>
      </c>
      <c r="AF263" s="463">
        <v>27</v>
      </c>
      <c r="AG263" s="463">
        <v>28</v>
      </c>
      <c r="AH263" s="463">
        <v>29</v>
      </c>
      <c r="AI263" s="463">
        <v>30</v>
      </c>
      <c r="AJ263" s="463">
        <v>31</v>
      </c>
      <c r="AK263" s="463">
        <v>32</v>
      </c>
      <c r="AL263" s="463">
        <v>33</v>
      </c>
      <c r="AM263" s="463">
        <v>34</v>
      </c>
      <c r="AN263" s="463">
        <v>35</v>
      </c>
      <c r="AO263" s="463">
        <v>36</v>
      </c>
      <c r="AP263" s="463">
        <v>37</v>
      </c>
      <c r="AQ263" s="463">
        <v>38</v>
      </c>
      <c r="AR263" s="463">
        <v>39</v>
      </c>
      <c r="AS263" s="463">
        <v>40</v>
      </c>
      <c r="AT263" s="463">
        <v>41</v>
      </c>
      <c r="AU263" s="463">
        <v>42</v>
      </c>
      <c r="AV263" s="463">
        <v>43</v>
      </c>
      <c r="AW263" s="463">
        <v>44</v>
      </c>
      <c r="AX263" s="463">
        <v>45</v>
      </c>
      <c r="AY263" s="463">
        <v>46</v>
      </c>
      <c r="AZ263" s="463">
        <v>47</v>
      </c>
      <c r="BA263" s="463">
        <v>48</v>
      </c>
      <c r="BB263" s="463">
        <v>49</v>
      </c>
      <c r="BC263" s="463">
        <v>50</v>
      </c>
      <c r="BD263" s="463">
        <v>51</v>
      </c>
      <c r="BE263" s="463">
        <v>52</v>
      </c>
      <c r="BF263" s="463">
        <v>53</v>
      </c>
      <c r="BG263" s="463">
        <v>54</v>
      </c>
      <c r="BH263" s="463">
        <v>55</v>
      </c>
    </row>
    <row r="264" spans="1:64" x14ac:dyDescent="0.2">
      <c r="E264" s="463" t="s">
        <v>230</v>
      </c>
      <c r="F264" s="463">
        <v>45</v>
      </c>
      <c r="G264" s="463">
        <v>53</v>
      </c>
      <c r="H264" s="463">
        <v>4</v>
      </c>
      <c r="I264" s="463">
        <v>46</v>
      </c>
      <c r="J264" s="463">
        <v>12</v>
      </c>
      <c r="K264" s="463">
        <v>39</v>
      </c>
      <c r="L264" s="463">
        <v>10</v>
      </c>
      <c r="M264" s="463">
        <v>34</v>
      </c>
      <c r="N264" s="463">
        <v>42</v>
      </c>
      <c r="O264" s="463">
        <v>26</v>
      </c>
      <c r="P264" s="463">
        <v>35</v>
      </c>
      <c r="Q264" s="463">
        <v>49</v>
      </c>
      <c r="R264" s="463">
        <v>25</v>
      </c>
      <c r="S264" s="463">
        <v>37</v>
      </c>
      <c r="T264" s="463">
        <v>52</v>
      </c>
      <c r="U264" s="463">
        <v>15</v>
      </c>
      <c r="V264" s="463">
        <v>55</v>
      </c>
      <c r="W264" s="463">
        <v>24</v>
      </c>
      <c r="X264" s="463">
        <v>33</v>
      </c>
      <c r="Y264" s="463">
        <v>6</v>
      </c>
      <c r="Z264" s="463">
        <v>54</v>
      </c>
      <c r="AA264" s="463">
        <v>43</v>
      </c>
      <c r="AB264" s="463">
        <v>50</v>
      </c>
      <c r="AC264" s="463">
        <v>16</v>
      </c>
      <c r="AD264" s="463">
        <v>7</v>
      </c>
      <c r="AE264" s="463">
        <v>40</v>
      </c>
      <c r="AF264" s="463">
        <v>8</v>
      </c>
      <c r="AG264" s="463">
        <v>17</v>
      </c>
      <c r="AH264" s="463">
        <v>41</v>
      </c>
      <c r="AI264" s="463">
        <v>51</v>
      </c>
      <c r="AJ264" s="463">
        <v>5</v>
      </c>
      <c r="AK264" s="463">
        <v>23</v>
      </c>
      <c r="AL264" s="463">
        <v>27</v>
      </c>
      <c r="AM264" s="463">
        <v>18</v>
      </c>
      <c r="AN264" s="463">
        <v>11</v>
      </c>
      <c r="AO264" s="463">
        <v>30</v>
      </c>
      <c r="AP264" s="463">
        <v>13</v>
      </c>
      <c r="AQ264" s="463">
        <v>32</v>
      </c>
      <c r="AR264" s="463">
        <v>38</v>
      </c>
      <c r="AS264" s="463">
        <v>1</v>
      </c>
      <c r="AT264" s="463">
        <v>14</v>
      </c>
      <c r="AU264" s="463">
        <v>29</v>
      </c>
      <c r="AV264" s="463">
        <v>22</v>
      </c>
      <c r="AW264" s="463">
        <v>48</v>
      </c>
      <c r="AX264" s="463">
        <v>2</v>
      </c>
      <c r="AY264" s="463">
        <v>19</v>
      </c>
      <c r="AZ264" s="463">
        <v>44</v>
      </c>
      <c r="BA264" s="463">
        <v>47</v>
      </c>
      <c r="BB264" s="463">
        <v>21</v>
      </c>
      <c r="BC264" s="463">
        <v>31</v>
      </c>
      <c r="BD264" s="463">
        <v>20</v>
      </c>
      <c r="BE264" s="463">
        <v>3</v>
      </c>
      <c r="BF264" s="463">
        <v>9</v>
      </c>
      <c r="BG264" s="463">
        <v>36</v>
      </c>
      <c r="BH264" s="463">
        <v>28</v>
      </c>
    </row>
    <row r="267" spans="1:64" x14ac:dyDescent="0.2">
      <c r="D267" s="307">
        <v>56</v>
      </c>
      <c r="E267" s="307" t="s">
        <v>248</v>
      </c>
    </row>
    <row r="268" spans="1:64" x14ac:dyDescent="0.2">
      <c r="E268" s="463" t="s">
        <v>196</v>
      </c>
      <c r="F268" s="463">
        <v>1</v>
      </c>
      <c r="G268" s="463">
        <v>2</v>
      </c>
      <c r="H268" s="463">
        <v>3</v>
      </c>
      <c r="I268" s="463">
        <v>4</v>
      </c>
      <c r="J268" s="463">
        <v>5</v>
      </c>
      <c r="K268" s="463">
        <v>6</v>
      </c>
      <c r="L268" s="463">
        <v>7</v>
      </c>
      <c r="M268" s="463">
        <v>8</v>
      </c>
      <c r="N268" s="463">
        <v>9</v>
      </c>
      <c r="O268" s="463">
        <v>10</v>
      </c>
      <c r="P268" s="463">
        <v>11</v>
      </c>
      <c r="Q268" s="463">
        <v>12</v>
      </c>
      <c r="R268" s="463">
        <v>13</v>
      </c>
      <c r="S268" s="463">
        <v>14</v>
      </c>
      <c r="T268" s="463">
        <v>15</v>
      </c>
      <c r="U268" s="463">
        <v>16</v>
      </c>
      <c r="V268" s="463">
        <v>17</v>
      </c>
      <c r="W268" s="463">
        <v>18</v>
      </c>
      <c r="X268" s="463">
        <v>19</v>
      </c>
      <c r="Y268" s="463">
        <v>20</v>
      </c>
      <c r="Z268" s="463">
        <v>21</v>
      </c>
      <c r="AA268" s="463">
        <v>22</v>
      </c>
      <c r="AB268" s="463">
        <v>23</v>
      </c>
      <c r="AC268" s="463">
        <v>24</v>
      </c>
      <c r="AD268" s="463">
        <v>25</v>
      </c>
      <c r="AE268" s="463">
        <v>26</v>
      </c>
      <c r="AF268" s="463">
        <v>27</v>
      </c>
      <c r="AG268" s="463">
        <v>28</v>
      </c>
      <c r="AH268" s="463">
        <v>29</v>
      </c>
      <c r="AI268" s="463">
        <v>30</v>
      </c>
      <c r="AJ268" s="463">
        <v>31</v>
      </c>
      <c r="AK268" s="463">
        <v>32</v>
      </c>
      <c r="AL268" s="463">
        <v>33</v>
      </c>
      <c r="AM268" s="463">
        <v>34</v>
      </c>
      <c r="AN268" s="463">
        <v>35</v>
      </c>
      <c r="AO268" s="463">
        <v>36</v>
      </c>
      <c r="AP268" s="463">
        <v>37</v>
      </c>
      <c r="AQ268" s="463">
        <v>38</v>
      </c>
      <c r="AR268" s="463">
        <v>39</v>
      </c>
      <c r="AS268" s="463">
        <v>40</v>
      </c>
      <c r="AT268" s="463">
        <v>41</v>
      </c>
      <c r="AU268" s="463">
        <v>42</v>
      </c>
      <c r="AV268" s="463">
        <v>43</v>
      </c>
      <c r="AW268" s="463">
        <v>44</v>
      </c>
      <c r="AY268" s="463">
        <v>45</v>
      </c>
      <c r="AZ268" s="463">
        <v>46</v>
      </c>
      <c r="BA268" s="463">
        <v>47</v>
      </c>
      <c r="BB268" s="463">
        <v>48</v>
      </c>
      <c r="BD268" s="463">
        <v>49</v>
      </c>
      <c r="BE268" s="463">
        <v>50</v>
      </c>
      <c r="BF268" s="463">
        <v>51</v>
      </c>
      <c r="BG268" s="463">
        <v>52</v>
      </c>
      <c r="BI268" s="463">
        <v>53</v>
      </c>
      <c r="BJ268" s="463">
        <v>54</v>
      </c>
      <c r="BK268" s="463">
        <v>55</v>
      </c>
      <c r="BL268" s="463">
        <v>56</v>
      </c>
    </row>
    <row r="269" spans="1:64" x14ac:dyDescent="0.2">
      <c r="E269" s="463" t="s">
        <v>230</v>
      </c>
      <c r="F269" s="463">
        <v>5</v>
      </c>
      <c r="G269" s="463">
        <v>55</v>
      </c>
      <c r="H269" s="463">
        <v>35</v>
      </c>
      <c r="I269" s="463">
        <v>45</v>
      </c>
      <c r="J269" s="463">
        <v>50</v>
      </c>
      <c r="K269" s="463">
        <v>39</v>
      </c>
      <c r="L269" s="463">
        <v>44</v>
      </c>
      <c r="M269" s="463">
        <v>17</v>
      </c>
      <c r="N269" s="463">
        <v>28</v>
      </c>
      <c r="O269" s="463">
        <v>53</v>
      </c>
      <c r="P269" s="463">
        <v>29</v>
      </c>
      <c r="Q269" s="463">
        <v>43</v>
      </c>
      <c r="R269" s="463">
        <v>48</v>
      </c>
      <c r="S269" s="463">
        <v>49</v>
      </c>
      <c r="T269" s="463">
        <v>16</v>
      </c>
      <c r="U269" s="463">
        <v>25</v>
      </c>
      <c r="V269" s="463">
        <v>47</v>
      </c>
      <c r="W269" s="463">
        <v>2</v>
      </c>
      <c r="X269" s="463">
        <v>8</v>
      </c>
      <c r="Y269" s="463">
        <v>31</v>
      </c>
      <c r="Z269" s="463">
        <v>9</v>
      </c>
      <c r="AA269" s="463">
        <v>23</v>
      </c>
      <c r="AB269" s="463">
        <v>42</v>
      </c>
      <c r="AC269" s="463">
        <v>11</v>
      </c>
      <c r="AD269" s="463">
        <v>54</v>
      </c>
      <c r="AE269" s="463">
        <v>4</v>
      </c>
      <c r="AF269" s="463">
        <v>38</v>
      </c>
      <c r="AG269" s="463">
        <v>22</v>
      </c>
      <c r="AH269" s="463">
        <v>51</v>
      </c>
      <c r="AI269" s="463">
        <v>32</v>
      </c>
      <c r="AJ269" s="463">
        <v>14</v>
      </c>
      <c r="AK269" s="463">
        <v>30</v>
      </c>
      <c r="AL269" s="463">
        <v>46</v>
      </c>
      <c r="AM269" s="463">
        <v>36</v>
      </c>
      <c r="AN269" s="463">
        <v>41</v>
      </c>
      <c r="AO269" s="463">
        <v>56</v>
      </c>
      <c r="AP269" s="463">
        <v>52</v>
      </c>
      <c r="AQ269" s="463">
        <v>37</v>
      </c>
      <c r="AR269" s="463">
        <v>13</v>
      </c>
      <c r="AS269" s="463">
        <v>6</v>
      </c>
      <c r="AT269" s="463">
        <v>19</v>
      </c>
      <c r="AU269" s="463">
        <v>24</v>
      </c>
      <c r="AV269" s="463">
        <v>12</v>
      </c>
      <c r="AW269" s="463">
        <v>7</v>
      </c>
      <c r="AY269" s="463">
        <v>40</v>
      </c>
      <c r="AZ269" s="463">
        <v>3</v>
      </c>
      <c r="BA269" s="463">
        <v>27</v>
      </c>
      <c r="BB269" s="463">
        <v>21</v>
      </c>
      <c r="BD269" s="463">
        <v>15</v>
      </c>
      <c r="BE269" s="463">
        <v>33</v>
      </c>
      <c r="BF269" s="463">
        <v>20</v>
      </c>
      <c r="BG269" s="463">
        <v>26</v>
      </c>
      <c r="BI269" s="463">
        <v>10</v>
      </c>
      <c r="BJ269" s="463">
        <v>18</v>
      </c>
      <c r="BK269" s="463">
        <v>34</v>
      </c>
      <c r="BL269" s="463">
        <v>1</v>
      </c>
    </row>
    <row r="272" spans="1:64" x14ac:dyDescent="0.2">
      <c r="D272" s="307">
        <v>57</v>
      </c>
      <c r="E272" s="307" t="s">
        <v>248</v>
      </c>
    </row>
    <row r="273" spans="4:65" x14ac:dyDescent="0.2">
      <c r="E273" s="463" t="s">
        <v>196</v>
      </c>
      <c r="F273" s="463">
        <v>1</v>
      </c>
      <c r="G273" s="463">
        <v>2</v>
      </c>
      <c r="H273" s="463">
        <v>3</v>
      </c>
      <c r="I273" s="463">
        <v>4</v>
      </c>
      <c r="J273" s="463">
        <v>5</v>
      </c>
      <c r="K273" s="463">
        <v>6</v>
      </c>
      <c r="L273" s="463">
        <v>7</v>
      </c>
      <c r="M273" s="463">
        <v>8</v>
      </c>
      <c r="N273" s="463">
        <v>9</v>
      </c>
      <c r="O273" s="463">
        <v>10</v>
      </c>
      <c r="P273" s="463">
        <v>11</v>
      </c>
      <c r="Q273" s="463">
        <v>12</v>
      </c>
      <c r="R273" s="463">
        <v>13</v>
      </c>
      <c r="S273" s="463">
        <v>14</v>
      </c>
      <c r="T273" s="463">
        <v>15</v>
      </c>
      <c r="U273" s="463">
        <v>16</v>
      </c>
      <c r="V273" s="463">
        <v>17</v>
      </c>
      <c r="W273" s="463">
        <v>18</v>
      </c>
      <c r="X273" s="463">
        <v>19</v>
      </c>
      <c r="Y273" s="463">
        <v>20</v>
      </c>
      <c r="Z273" s="463">
        <v>21</v>
      </c>
      <c r="AA273" s="463">
        <v>22</v>
      </c>
      <c r="AB273" s="463">
        <v>23</v>
      </c>
      <c r="AC273" s="463">
        <v>24</v>
      </c>
      <c r="AD273" s="463">
        <v>25</v>
      </c>
      <c r="AE273" s="463">
        <v>26</v>
      </c>
      <c r="AF273" s="463">
        <v>27</v>
      </c>
      <c r="AG273" s="463">
        <v>28</v>
      </c>
      <c r="AH273" s="463">
        <v>29</v>
      </c>
      <c r="AI273" s="463">
        <v>30</v>
      </c>
      <c r="AJ273" s="463">
        <v>31</v>
      </c>
      <c r="AK273" s="463">
        <v>32</v>
      </c>
      <c r="AL273" s="463">
        <v>33</v>
      </c>
      <c r="AM273" s="463">
        <v>34</v>
      </c>
      <c r="AN273" s="463">
        <v>35</v>
      </c>
      <c r="AO273" s="463">
        <v>36</v>
      </c>
      <c r="AP273" s="463">
        <v>37</v>
      </c>
      <c r="AQ273" s="463">
        <v>38</v>
      </c>
      <c r="AR273" s="463">
        <v>39</v>
      </c>
      <c r="AS273" s="463">
        <v>40</v>
      </c>
      <c r="AT273" s="463">
        <v>41</v>
      </c>
      <c r="AU273" s="463">
        <v>42</v>
      </c>
      <c r="AV273" s="463">
        <v>43</v>
      </c>
      <c r="AW273" s="463">
        <v>44</v>
      </c>
      <c r="AX273" s="463">
        <v>45</v>
      </c>
      <c r="AY273" s="463">
        <v>46</v>
      </c>
      <c r="AZ273" s="463">
        <v>47</v>
      </c>
      <c r="BA273" s="463">
        <v>48</v>
      </c>
      <c r="BB273" s="463">
        <v>49</v>
      </c>
      <c r="BD273" s="463">
        <v>50</v>
      </c>
      <c r="BE273" s="463">
        <v>51</v>
      </c>
      <c r="BF273" s="463">
        <v>52</v>
      </c>
      <c r="BG273" s="463">
        <v>53</v>
      </c>
      <c r="BI273" s="463">
        <v>54</v>
      </c>
      <c r="BJ273" s="463">
        <v>55</v>
      </c>
      <c r="BK273" s="463">
        <v>56</v>
      </c>
      <c r="BL273" s="463">
        <v>57</v>
      </c>
    </row>
    <row r="274" spans="4:65" x14ac:dyDescent="0.2">
      <c r="E274" s="463" t="s">
        <v>230</v>
      </c>
      <c r="F274" s="463">
        <v>14</v>
      </c>
      <c r="G274" s="463">
        <v>33</v>
      </c>
      <c r="H274" s="463">
        <v>55</v>
      </c>
      <c r="I274" s="463">
        <v>8</v>
      </c>
      <c r="J274" s="463">
        <v>21</v>
      </c>
      <c r="K274" s="463">
        <v>20</v>
      </c>
      <c r="L274" s="463">
        <v>56</v>
      </c>
      <c r="M274" s="463">
        <v>37</v>
      </c>
      <c r="N274" s="463">
        <v>3</v>
      </c>
      <c r="O274" s="463">
        <v>31</v>
      </c>
      <c r="P274" s="463">
        <v>40</v>
      </c>
      <c r="Q274" s="463">
        <v>57</v>
      </c>
      <c r="R274" s="463">
        <v>30</v>
      </c>
      <c r="S274" s="463">
        <v>50</v>
      </c>
      <c r="T274" s="463">
        <v>47</v>
      </c>
      <c r="U274" s="463">
        <v>39</v>
      </c>
      <c r="V274" s="463">
        <v>49</v>
      </c>
      <c r="W274" s="463">
        <v>19</v>
      </c>
      <c r="X274" s="463">
        <v>1</v>
      </c>
      <c r="Y274" s="463">
        <v>26</v>
      </c>
      <c r="Z274" s="463">
        <v>5</v>
      </c>
      <c r="AA274" s="463">
        <v>48</v>
      </c>
      <c r="AB274" s="463">
        <v>42</v>
      </c>
      <c r="AC274" s="463">
        <v>12</v>
      </c>
      <c r="AD274" s="463">
        <v>54</v>
      </c>
      <c r="AE274" s="463">
        <v>44</v>
      </c>
      <c r="AF274" s="463">
        <v>23</v>
      </c>
      <c r="AG274" s="463">
        <v>2</v>
      </c>
      <c r="AH274" s="463">
        <v>51</v>
      </c>
      <c r="AI274" s="463">
        <v>27</v>
      </c>
      <c r="AJ274" s="463">
        <v>10</v>
      </c>
      <c r="AK274" s="463">
        <v>52</v>
      </c>
      <c r="AL274" s="463">
        <v>17</v>
      </c>
      <c r="AM274" s="463">
        <v>46</v>
      </c>
      <c r="AN274" s="463">
        <v>36</v>
      </c>
      <c r="AO274" s="463">
        <v>35</v>
      </c>
      <c r="AP274" s="463">
        <v>9</v>
      </c>
      <c r="AQ274" s="463">
        <v>53</v>
      </c>
      <c r="AR274" s="463">
        <v>41</v>
      </c>
      <c r="AS274" s="463">
        <v>11</v>
      </c>
      <c r="AT274" s="463">
        <v>25</v>
      </c>
      <c r="AU274" s="463">
        <v>13</v>
      </c>
      <c r="AV274" s="463">
        <v>45</v>
      </c>
      <c r="AW274" s="463">
        <v>6</v>
      </c>
      <c r="AX274" s="463">
        <v>18</v>
      </c>
      <c r="AY274" s="463">
        <v>34</v>
      </c>
      <c r="AZ274" s="463">
        <v>43</v>
      </c>
      <c r="BA274" s="463">
        <v>22</v>
      </c>
      <c r="BB274" s="463">
        <v>16</v>
      </c>
      <c r="BD274" s="463">
        <v>15</v>
      </c>
      <c r="BE274" s="463">
        <v>29</v>
      </c>
      <c r="BF274" s="463">
        <v>4</v>
      </c>
      <c r="BG274" s="463">
        <v>38</v>
      </c>
      <c r="BI274" s="463">
        <v>24</v>
      </c>
      <c r="BJ274" s="463">
        <v>28</v>
      </c>
      <c r="BK274" s="463">
        <v>7</v>
      </c>
      <c r="BL274" s="463">
        <v>32</v>
      </c>
    </row>
    <row r="277" spans="4:65" x14ac:dyDescent="0.2">
      <c r="D277" s="307">
        <v>58</v>
      </c>
      <c r="E277" s="307" t="s">
        <v>248</v>
      </c>
    </row>
    <row r="278" spans="4:65" x14ac:dyDescent="0.2">
      <c r="E278" s="463" t="s">
        <v>196</v>
      </c>
      <c r="F278" s="463">
        <v>1</v>
      </c>
      <c r="G278" s="463">
        <v>2</v>
      </c>
      <c r="H278" s="463">
        <v>3</v>
      </c>
      <c r="I278" s="463">
        <v>4</v>
      </c>
      <c r="J278" s="463">
        <v>5</v>
      </c>
      <c r="K278" s="463">
        <v>6</v>
      </c>
      <c r="L278" s="463">
        <v>7</v>
      </c>
      <c r="M278" s="463">
        <v>8</v>
      </c>
      <c r="N278" s="463">
        <v>9</v>
      </c>
      <c r="O278" s="463">
        <v>10</v>
      </c>
      <c r="P278" s="463">
        <v>11</v>
      </c>
      <c r="Q278" s="463">
        <v>12</v>
      </c>
      <c r="R278" s="463">
        <v>13</v>
      </c>
      <c r="S278" s="463">
        <v>14</v>
      </c>
      <c r="T278" s="463">
        <v>15</v>
      </c>
      <c r="U278" s="463">
        <v>16</v>
      </c>
      <c r="V278" s="463">
        <v>17</v>
      </c>
      <c r="W278" s="463">
        <v>18</v>
      </c>
      <c r="X278" s="463">
        <v>19</v>
      </c>
      <c r="Y278" s="463">
        <v>20</v>
      </c>
      <c r="Z278" s="463">
        <v>21</v>
      </c>
      <c r="AA278" s="463">
        <v>22</v>
      </c>
      <c r="AB278" s="463">
        <v>23</v>
      </c>
      <c r="AC278" s="463">
        <v>24</v>
      </c>
      <c r="AD278" s="463">
        <v>25</v>
      </c>
      <c r="AE278" s="463">
        <v>26</v>
      </c>
      <c r="AF278" s="463">
        <v>27</v>
      </c>
      <c r="AG278" s="463">
        <v>28</v>
      </c>
      <c r="AH278" s="463">
        <v>29</v>
      </c>
      <c r="AI278" s="463">
        <v>30</v>
      </c>
      <c r="AJ278" s="463">
        <v>31</v>
      </c>
      <c r="AK278" s="463">
        <v>32</v>
      </c>
      <c r="AL278" s="463">
        <v>33</v>
      </c>
      <c r="AM278" s="463">
        <v>34</v>
      </c>
      <c r="AN278" s="463">
        <v>35</v>
      </c>
      <c r="AO278" s="463">
        <v>36</v>
      </c>
      <c r="AP278" s="463">
        <v>37</v>
      </c>
      <c r="AQ278" s="463">
        <v>38</v>
      </c>
      <c r="AR278" s="463">
        <v>39</v>
      </c>
      <c r="AS278" s="463">
        <v>40</v>
      </c>
      <c r="AT278" s="463">
        <v>41</v>
      </c>
      <c r="AU278" s="463">
        <v>42</v>
      </c>
      <c r="AV278" s="463">
        <v>43</v>
      </c>
      <c r="AW278" s="463">
        <v>44</v>
      </c>
      <c r="AX278" s="463">
        <v>45</v>
      </c>
      <c r="AY278" s="463">
        <v>46</v>
      </c>
      <c r="AZ278" s="463">
        <v>47</v>
      </c>
      <c r="BA278" s="463">
        <v>48</v>
      </c>
      <c r="BB278" s="463">
        <v>49</v>
      </c>
      <c r="BC278" s="463">
        <v>50</v>
      </c>
      <c r="BD278" s="463">
        <v>51</v>
      </c>
      <c r="BE278" s="463">
        <v>52</v>
      </c>
      <c r="BF278" s="463">
        <v>53</v>
      </c>
      <c r="BG278" s="463">
        <v>54</v>
      </c>
      <c r="BI278" s="463">
        <v>55</v>
      </c>
      <c r="BJ278" s="463">
        <v>56</v>
      </c>
      <c r="BK278" s="463">
        <v>57</v>
      </c>
      <c r="BL278" s="463">
        <v>58</v>
      </c>
    </row>
    <row r="279" spans="4:65" x14ac:dyDescent="0.2">
      <c r="E279" s="463" t="s">
        <v>230</v>
      </c>
      <c r="F279" s="463">
        <v>24</v>
      </c>
      <c r="G279" s="463">
        <v>43</v>
      </c>
      <c r="H279" s="463">
        <v>34</v>
      </c>
      <c r="I279" s="463">
        <v>8</v>
      </c>
      <c r="J279" s="463">
        <v>46</v>
      </c>
      <c r="K279" s="463">
        <v>45</v>
      </c>
      <c r="L279" s="463">
        <v>40</v>
      </c>
      <c r="M279" s="463">
        <v>50</v>
      </c>
      <c r="N279" s="463">
        <v>1</v>
      </c>
      <c r="O279" s="463">
        <v>26</v>
      </c>
      <c r="P279" s="463">
        <v>44</v>
      </c>
      <c r="Q279" s="463">
        <v>18</v>
      </c>
      <c r="R279" s="463">
        <v>22</v>
      </c>
      <c r="S279" s="463">
        <v>52</v>
      </c>
      <c r="T279" s="463">
        <v>11</v>
      </c>
      <c r="U279" s="463">
        <v>30</v>
      </c>
      <c r="V279" s="463">
        <v>33</v>
      </c>
      <c r="W279" s="463">
        <v>42</v>
      </c>
      <c r="X279" s="463">
        <v>51</v>
      </c>
      <c r="Y279" s="463">
        <v>38</v>
      </c>
      <c r="Z279" s="463">
        <v>20</v>
      </c>
      <c r="AA279" s="463">
        <v>13</v>
      </c>
      <c r="AB279" s="463">
        <v>7</v>
      </c>
      <c r="AC279" s="463">
        <v>41</v>
      </c>
      <c r="AD279" s="463">
        <v>36</v>
      </c>
      <c r="AE279" s="463">
        <v>35</v>
      </c>
      <c r="AF279" s="463">
        <v>15</v>
      </c>
      <c r="AG279" s="463">
        <v>27</v>
      </c>
      <c r="AH279" s="463">
        <v>57</v>
      </c>
      <c r="AI279" s="463">
        <v>16</v>
      </c>
      <c r="AJ279" s="463">
        <v>25</v>
      </c>
      <c r="AK279" s="463">
        <v>53</v>
      </c>
      <c r="AL279" s="463">
        <v>32</v>
      </c>
      <c r="AM279" s="463">
        <v>37</v>
      </c>
      <c r="AN279" s="463">
        <v>55</v>
      </c>
      <c r="AO279" s="463">
        <v>54</v>
      </c>
      <c r="AP279" s="463">
        <v>49</v>
      </c>
      <c r="AQ279" s="463">
        <v>9</v>
      </c>
      <c r="AR279" s="463">
        <v>2</v>
      </c>
      <c r="AS279" s="463">
        <v>28</v>
      </c>
      <c r="AT279" s="463">
        <v>14</v>
      </c>
      <c r="AU279" s="463">
        <v>19</v>
      </c>
      <c r="AV279" s="463">
        <v>56</v>
      </c>
      <c r="AW279" s="463">
        <v>3</v>
      </c>
      <c r="AX279" s="463">
        <v>31</v>
      </c>
      <c r="AY279" s="463">
        <v>4</v>
      </c>
      <c r="AZ279" s="463">
        <v>58</v>
      </c>
      <c r="BA279" s="463">
        <v>47</v>
      </c>
      <c r="BB279" s="463">
        <v>6</v>
      </c>
      <c r="BC279" s="463">
        <v>21</v>
      </c>
      <c r="BD279" s="463">
        <v>5</v>
      </c>
      <c r="BE279" s="463">
        <v>23</v>
      </c>
      <c r="BF279" s="463">
        <v>17</v>
      </c>
      <c r="BG279" s="463">
        <v>12</v>
      </c>
      <c r="BI279" s="463">
        <v>10</v>
      </c>
      <c r="BJ279" s="463">
        <v>29</v>
      </c>
      <c r="BK279" s="463">
        <v>39</v>
      </c>
      <c r="BL279" s="463">
        <v>48</v>
      </c>
    </row>
    <row r="282" spans="4:65" x14ac:dyDescent="0.2">
      <c r="D282" s="307">
        <v>59</v>
      </c>
      <c r="E282" s="307" t="s">
        <v>248</v>
      </c>
    </row>
    <row r="283" spans="4:65" x14ac:dyDescent="0.2">
      <c r="E283" s="463" t="s">
        <v>196</v>
      </c>
      <c r="F283" s="463">
        <v>1</v>
      </c>
      <c r="G283" s="463">
        <v>2</v>
      </c>
      <c r="H283" s="463">
        <v>3</v>
      </c>
      <c r="I283" s="463">
        <v>4</v>
      </c>
      <c r="J283" s="463">
        <v>5</v>
      </c>
      <c r="K283" s="463">
        <v>6</v>
      </c>
      <c r="L283" s="463">
        <v>7</v>
      </c>
      <c r="M283" s="463">
        <v>8</v>
      </c>
      <c r="N283" s="463">
        <v>9</v>
      </c>
      <c r="O283" s="463">
        <v>10</v>
      </c>
      <c r="P283" s="463">
        <v>11</v>
      </c>
      <c r="Q283" s="463">
        <v>12</v>
      </c>
      <c r="R283" s="463">
        <v>13</v>
      </c>
      <c r="S283" s="463">
        <v>14</v>
      </c>
      <c r="T283" s="463">
        <v>15</v>
      </c>
      <c r="U283" s="463">
        <v>16</v>
      </c>
      <c r="V283" s="463">
        <v>17</v>
      </c>
      <c r="W283" s="463">
        <v>18</v>
      </c>
      <c r="X283" s="463">
        <v>19</v>
      </c>
      <c r="Y283" s="463">
        <v>20</v>
      </c>
      <c r="Z283" s="463">
        <v>21</v>
      </c>
      <c r="AA283" s="463">
        <v>22</v>
      </c>
      <c r="AB283" s="463">
        <v>23</v>
      </c>
      <c r="AC283" s="463">
        <v>24</v>
      </c>
      <c r="AD283" s="463">
        <v>25</v>
      </c>
      <c r="AE283" s="463">
        <v>26</v>
      </c>
      <c r="AF283" s="463">
        <v>27</v>
      </c>
      <c r="AG283" s="463">
        <v>28</v>
      </c>
      <c r="AH283" s="463">
        <v>29</v>
      </c>
      <c r="AI283" s="463">
        <v>30</v>
      </c>
      <c r="AJ283" s="463">
        <v>31</v>
      </c>
      <c r="AK283" s="463">
        <v>32</v>
      </c>
      <c r="AL283" s="463">
        <v>33</v>
      </c>
      <c r="AM283" s="463">
        <v>34</v>
      </c>
      <c r="AN283" s="463">
        <v>35</v>
      </c>
      <c r="AO283" s="463">
        <v>36</v>
      </c>
      <c r="AP283" s="463">
        <v>37</v>
      </c>
      <c r="AQ283" s="463">
        <v>38</v>
      </c>
      <c r="AR283" s="463">
        <v>39</v>
      </c>
      <c r="AS283" s="463">
        <v>40</v>
      </c>
      <c r="AT283" s="463">
        <v>41</v>
      </c>
      <c r="AU283" s="463">
        <v>42</v>
      </c>
      <c r="AV283" s="463">
        <v>43</v>
      </c>
      <c r="AW283" s="463">
        <v>44</v>
      </c>
      <c r="AX283" s="463">
        <v>45</v>
      </c>
      <c r="AY283" s="463">
        <v>46</v>
      </c>
      <c r="AZ283" s="463">
        <v>47</v>
      </c>
      <c r="BA283" s="463">
        <v>48</v>
      </c>
      <c r="BB283" s="463">
        <v>49</v>
      </c>
      <c r="BC283" s="463">
        <v>50</v>
      </c>
      <c r="BD283" s="463">
        <v>51</v>
      </c>
      <c r="BE283" s="463">
        <v>52</v>
      </c>
      <c r="BF283" s="463">
        <v>53</v>
      </c>
      <c r="BG283" s="463">
        <v>54</v>
      </c>
      <c r="BH283" s="463">
        <v>55</v>
      </c>
      <c r="BI283" s="463">
        <v>56</v>
      </c>
      <c r="BJ283" s="463">
        <v>57</v>
      </c>
      <c r="BK283" s="463">
        <v>58</v>
      </c>
      <c r="BL283" s="463">
        <v>59</v>
      </c>
    </row>
    <row r="284" spans="4:65" x14ac:dyDescent="0.2">
      <c r="E284" s="463" t="s">
        <v>230</v>
      </c>
      <c r="F284" s="463">
        <v>50</v>
      </c>
      <c r="G284" s="463">
        <v>25</v>
      </c>
      <c r="H284" s="463">
        <v>55</v>
      </c>
      <c r="I284" s="463">
        <v>3</v>
      </c>
      <c r="J284" s="463">
        <v>43</v>
      </c>
      <c r="K284" s="463">
        <v>40</v>
      </c>
      <c r="L284" s="463">
        <v>54</v>
      </c>
      <c r="M284" s="463">
        <v>42</v>
      </c>
      <c r="N284" s="463">
        <v>17</v>
      </c>
      <c r="O284" s="463">
        <v>6</v>
      </c>
      <c r="P284" s="463">
        <v>35</v>
      </c>
      <c r="Q284" s="463">
        <v>23</v>
      </c>
      <c r="R284" s="463">
        <v>12</v>
      </c>
      <c r="S284" s="463">
        <v>26</v>
      </c>
      <c r="T284" s="463">
        <v>1</v>
      </c>
      <c r="U284" s="463">
        <v>39</v>
      </c>
      <c r="V284" s="463">
        <v>9</v>
      </c>
      <c r="W284" s="463">
        <v>2</v>
      </c>
      <c r="X284" s="463">
        <v>21</v>
      </c>
      <c r="Y284" s="463">
        <v>46</v>
      </c>
      <c r="Z284" s="463">
        <v>10</v>
      </c>
      <c r="AA284" s="463">
        <v>59</v>
      </c>
      <c r="AB284" s="463">
        <v>37</v>
      </c>
      <c r="AC284" s="463">
        <v>16</v>
      </c>
      <c r="AD284" s="463">
        <v>48</v>
      </c>
      <c r="AE284" s="463">
        <v>14</v>
      </c>
      <c r="AF284" s="463">
        <v>24</v>
      </c>
      <c r="AG284" s="463">
        <v>27</v>
      </c>
      <c r="AH284" s="463">
        <v>51</v>
      </c>
      <c r="AI284" s="463">
        <v>33</v>
      </c>
      <c r="AJ284" s="463">
        <v>49</v>
      </c>
      <c r="AK284" s="463">
        <v>18</v>
      </c>
      <c r="AL284" s="463">
        <v>57</v>
      </c>
      <c r="AM284" s="463">
        <v>41</v>
      </c>
      <c r="AN284" s="463">
        <v>11</v>
      </c>
      <c r="AO284" s="463">
        <v>44</v>
      </c>
      <c r="AP284" s="463">
        <v>15</v>
      </c>
      <c r="AQ284" s="463">
        <v>47</v>
      </c>
      <c r="AR284" s="463">
        <v>28</v>
      </c>
      <c r="AS284" s="463">
        <v>56</v>
      </c>
      <c r="AT284" s="463">
        <v>34</v>
      </c>
      <c r="AU284" s="463">
        <v>4</v>
      </c>
      <c r="AV284" s="463">
        <v>29</v>
      </c>
      <c r="AW284" s="463">
        <v>7</v>
      </c>
      <c r="AX284" s="463">
        <v>53</v>
      </c>
      <c r="AY284" s="463">
        <v>45</v>
      </c>
      <c r="AZ284" s="463">
        <v>38</v>
      </c>
      <c r="BA284" s="463">
        <v>32</v>
      </c>
      <c r="BB284" s="463">
        <v>8</v>
      </c>
      <c r="BC284" s="463">
        <v>13</v>
      </c>
      <c r="BD284" s="463">
        <v>30</v>
      </c>
      <c r="BE284" s="463">
        <v>58</v>
      </c>
      <c r="BF284" s="463">
        <v>20</v>
      </c>
      <c r="BG284" s="463">
        <v>36</v>
      </c>
      <c r="BH284" s="463">
        <v>31</v>
      </c>
      <c r="BI284" s="463">
        <v>19</v>
      </c>
      <c r="BJ284" s="463">
        <v>5</v>
      </c>
      <c r="BK284" s="463">
        <v>52</v>
      </c>
      <c r="BL284" s="463">
        <v>22</v>
      </c>
    </row>
    <row r="287" spans="4:65" x14ac:dyDescent="0.2">
      <c r="D287" s="307">
        <v>60</v>
      </c>
      <c r="E287" s="307" t="s">
        <v>248</v>
      </c>
    </row>
    <row r="288" spans="4:65" x14ac:dyDescent="0.2">
      <c r="E288" s="463" t="s">
        <v>196</v>
      </c>
      <c r="F288" s="463">
        <v>1</v>
      </c>
      <c r="G288" s="463">
        <v>2</v>
      </c>
      <c r="H288" s="463">
        <v>3</v>
      </c>
      <c r="I288" s="463">
        <v>4</v>
      </c>
      <c r="J288" s="463">
        <v>5</v>
      </c>
      <c r="K288" s="463">
        <v>6</v>
      </c>
      <c r="L288" s="463">
        <v>7</v>
      </c>
      <c r="M288" s="463">
        <v>8</v>
      </c>
      <c r="N288" s="463">
        <v>9</v>
      </c>
      <c r="O288" s="463">
        <v>10</v>
      </c>
      <c r="P288" s="463">
        <v>11</v>
      </c>
      <c r="Q288" s="463">
        <v>12</v>
      </c>
      <c r="R288" s="463">
        <v>13</v>
      </c>
      <c r="S288" s="463">
        <v>14</v>
      </c>
      <c r="T288" s="463">
        <v>15</v>
      </c>
      <c r="U288" s="463">
        <v>16</v>
      </c>
      <c r="V288" s="463">
        <v>17</v>
      </c>
      <c r="W288" s="463">
        <v>18</v>
      </c>
      <c r="X288" s="463">
        <v>19</v>
      </c>
      <c r="Y288" s="463">
        <v>20</v>
      </c>
      <c r="Z288" s="463">
        <v>21</v>
      </c>
      <c r="AA288" s="463">
        <v>22</v>
      </c>
      <c r="AB288" s="463">
        <v>23</v>
      </c>
      <c r="AC288" s="463">
        <v>24</v>
      </c>
      <c r="AD288" s="463">
        <v>25</v>
      </c>
      <c r="AE288" s="463">
        <v>26</v>
      </c>
      <c r="AF288" s="463">
        <v>27</v>
      </c>
      <c r="AG288" s="463">
        <v>28</v>
      </c>
      <c r="AH288" s="463">
        <v>29</v>
      </c>
      <c r="AI288" s="463">
        <v>30</v>
      </c>
      <c r="AJ288" s="463">
        <v>31</v>
      </c>
      <c r="AK288" s="463">
        <v>32</v>
      </c>
      <c r="AL288" s="463">
        <v>33</v>
      </c>
      <c r="AM288" s="463">
        <v>34</v>
      </c>
      <c r="AN288" s="463">
        <v>35</v>
      </c>
      <c r="AO288" s="463">
        <v>36</v>
      </c>
      <c r="AP288" s="463">
        <v>37</v>
      </c>
      <c r="AQ288" s="463">
        <v>38</v>
      </c>
      <c r="AR288" s="463">
        <v>39</v>
      </c>
      <c r="AS288" s="463">
        <v>40</v>
      </c>
      <c r="AT288" s="463">
        <v>41</v>
      </c>
      <c r="AU288" s="463">
        <v>42</v>
      </c>
      <c r="AV288" s="463">
        <v>43</v>
      </c>
      <c r="AW288" s="463">
        <v>44</v>
      </c>
      <c r="AX288" s="463">
        <v>45</v>
      </c>
      <c r="AY288" s="463">
        <v>46</v>
      </c>
      <c r="AZ288" s="463">
        <v>47</v>
      </c>
      <c r="BA288" s="463">
        <v>48</v>
      </c>
      <c r="BB288" s="463">
        <v>49</v>
      </c>
      <c r="BC288" s="463">
        <v>50</v>
      </c>
      <c r="BD288" s="463">
        <v>51</v>
      </c>
      <c r="BE288" s="463">
        <v>52</v>
      </c>
      <c r="BF288" s="463">
        <v>53</v>
      </c>
      <c r="BG288" s="463">
        <v>54</v>
      </c>
      <c r="BH288" s="463">
        <v>55</v>
      </c>
      <c r="BI288" s="463">
        <v>56</v>
      </c>
      <c r="BJ288" s="463">
        <v>57</v>
      </c>
      <c r="BK288" s="463">
        <v>58</v>
      </c>
      <c r="BL288" s="463">
        <v>59</v>
      </c>
      <c r="BM288" s="463">
        <v>60</v>
      </c>
    </row>
    <row r="289" spans="4:69" x14ac:dyDescent="0.2">
      <c r="E289" s="463" t="s">
        <v>230</v>
      </c>
      <c r="F289" s="463">
        <v>55</v>
      </c>
      <c r="G289" s="463">
        <v>34</v>
      </c>
      <c r="H289" s="463">
        <v>29</v>
      </c>
      <c r="I289" s="463">
        <v>3</v>
      </c>
      <c r="J289" s="463">
        <v>41</v>
      </c>
      <c r="K289" s="463">
        <v>50</v>
      </c>
      <c r="L289" s="463">
        <v>40</v>
      </c>
      <c r="M289" s="463">
        <v>44</v>
      </c>
      <c r="N289" s="463">
        <v>21</v>
      </c>
      <c r="O289" s="463">
        <v>16</v>
      </c>
      <c r="P289" s="463">
        <v>60</v>
      </c>
      <c r="Q289" s="463">
        <v>53</v>
      </c>
      <c r="R289" s="463">
        <v>45</v>
      </c>
      <c r="S289" s="463">
        <v>1</v>
      </c>
      <c r="T289" s="463">
        <v>26</v>
      </c>
      <c r="U289" s="463">
        <v>10</v>
      </c>
      <c r="V289" s="463">
        <v>14</v>
      </c>
      <c r="W289" s="463">
        <v>4</v>
      </c>
      <c r="X289" s="463">
        <v>36</v>
      </c>
      <c r="Y289" s="463">
        <v>48</v>
      </c>
      <c r="Z289" s="463">
        <v>9</v>
      </c>
      <c r="AA289" s="463">
        <v>15</v>
      </c>
      <c r="AB289" s="463">
        <v>24</v>
      </c>
      <c r="AC289" s="463">
        <v>17</v>
      </c>
      <c r="AD289" s="463">
        <v>31</v>
      </c>
      <c r="AE289" s="463">
        <v>20</v>
      </c>
      <c r="AF289" s="463">
        <v>58</v>
      </c>
      <c r="AG289" s="463">
        <v>52</v>
      </c>
      <c r="AH289" s="463">
        <v>11</v>
      </c>
      <c r="AI289" s="463">
        <v>2</v>
      </c>
      <c r="AJ289" s="463">
        <v>54</v>
      </c>
      <c r="AK289" s="463">
        <v>28</v>
      </c>
      <c r="AL289" s="463">
        <v>42</v>
      </c>
      <c r="AM289" s="463">
        <v>7</v>
      </c>
      <c r="AN289" s="463">
        <v>33</v>
      </c>
      <c r="AO289" s="463">
        <v>19</v>
      </c>
      <c r="AP289" s="463">
        <v>8</v>
      </c>
      <c r="AQ289" s="463">
        <v>30</v>
      </c>
      <c r="AR289" s="463">
        <v>56</v>
      </c>
      <c r="AS289" s="463">
        <v>22</v>
      </c>
      <c r="AT289" s="463">
        <v>25</v>
      </c>
      <c r="AU289" s="463">
        <v>18</v>
      </c>
      <c r="AV289" s="463">
        <v>39</v>
      </c>
      <c r="AW289" s="463">
        <v>27</v>
      </c>
      <c r="AX289" s="463">
        <v>47</v>
      </c>
      <c r="AY289" s="463">
        <v>59</v>
      </c>
      <c r="AZ289" s="463">
        <v>49</v>
      </c>
      <c r="BA289" s="463">
        <v>32</v>
      </c>
      <c r="BB289" s="463">
        <v>13</v>
      </c>
      <c r="BC289" s="463">
        <v>51</v>
      </c>
      <c r="BD289" s="463">
        <v>5</v>
      </c>
      <c r="BE289" s="463">
        <v>43</v>
      </c>
      <c r="BF289" s="463">
        <v>12</v>
      </c>
      <c r="BG289" s="463">
        <v>38</v>
      </c>
      <c r="BH289" s="463">
        <v>57</v>
      </c>
      <c r="BI289" s="463">
        <v>35</v>
      </c>
      <c r="BJ289" s="463">
        <v>23</v>
      </c>
      <c r="BK289" s="463">
        <v>37</v>
      </c>
      <c r="BL289" s="463">
        <v>46</v>
      </c>
      <c r="BM289" s="463">
        <v>6</v>
      </c>
    </row>
    <row r="292" spans="4:69" x14ac:dyDescent="0.2">
      <c r="D292" s="307">
        <v>61</v>
      </c>
      <c r="E292" s="307" t="s">
        <v>248</v>
      </c>
    </row>
    <row r="293" spans="4:69" x14ac:dyDescent="0.2">
      <c r="E293" s="463" t="s">
        <v>196</v>
      </c>
      <c r="F293" s="463">
        <v>1</v>
      </c>
      <c r="G293" s="463">
        <v>2</v>
      </c>
      <c r="H293" s="463">
        <v>3</v>
      </c>
      <c r="I293" s="463">
        <v>4</v>
      </c>
      <c r="J293" s="463">
        <v>5</v>
      </c>
      <c r="K293" s="463">
        <v>6</v>
      </c>
      <c r="L293" s="463">
        <v>7</v>
      </c>
      <c r="M293" s="463">
        <v>8</v>
      </c>
      <c r="N293" s="463">
        <v>9</v>
      </c>
      <c r="O293" s="463">
        <v>10</v>
      </c>
      <c r="P293" s="463">
        <v>11</v>
      </c>
      <c r="Q293" s="463">
        <v>12</v>
      </c>
      <c r="R293" s="463">
        <v>13</v>
      </c>
      <c r="S293" s="463">
        <v>14</v>
      </c>
      <c r="T293" s="463">
        <v>15</v>
      </c>
      <c r="U293" s="463">
        <v>16</v>
      </c>
      <c r="V293" s="463">
        <v>17</v>
      </c>
      <c r="W293" s="463">
        <v>18</v>
      </c>
      <c r="X293" s="463">
        <v>19</v>
      </c>
      <c r="Y293" s="463">
        <v>20</v>
      </c>
      <c r="Z293" s="463">
        <v>21</v>
      </c>
      <c r="AA293" s="463">
        <v>22</v>
      </c>
      <c r="AB293" s="463">
        <v>23</v>
      </c>
      <c r="AC293" s="463">
        <v>24</v>
      </c>
      <c r="AD293" s="463">
        <v>25</v>
      </c>
      <c r="AE293" s="463">
        <v>26</v>
      </c>
      <c r="AF293" s="463">
        <v>27</v>
      </c>
      <c r="AG293" s="463">
        <v>28</v>
      </c>
      <c r="AH293" s="463">
        <v>29</v>
      </c>
      <c r="AI293" s="463">
        <v>30</v>
      </c>
      <c r="AJ293" s="463">
        <v>31</v>
      </c>
      <c r="AK293" s="463">
        <v>32</v>
      </c>
      <c r="AL293" s="463">
        <v>33</v>
      </c>
      <c r="AM293" s="463">
        <v>34</v>
      </c>
      <c r="AN293" s="463">
        <v>35</v>
      </c>
      <c r="AO293" s="463">
        <v>36</v>
      </c>
      <c r="AP293" s="463">
        <v>37</v>
      </c>
      <c r="AQ293" s="463">
        <v>38</v>
      </c>
      <c r="AR293" s="463">
        <v>39</v>
      </c>
      <c r="AS293" s="463">
        <v>40</v>
      </c>
      <c r="AT293" s="463">
        <v>41</v>
      </c>
      <c r="AU293" s="463">
        <v>42</v>
      </c>
      <c r="AV293" s="463">
        <v>43</v>
      </c>
      <c r="AW293" s="463">
        <v>44</v>
      </c>
      <c r="AX293" s="463">
        <v>45</v>
      </c>
      <c r="AY293" s="463">
        <v>46</v>
      </c>
      <c r="AZ293" s="463">
        <v>47</v>
      </c>
      <c r="BA293" s="463">
        <v>48</v>
      </c>
      <c r="BB293" s="463">
        <v>49</v>
      </c>
      <c r="BD293" s="463">
        <v>50</v>
      </c>
      <c r="BE293" s="463">
        <v>51</v>
      </c>
      <c r="BF293" s="463">
        <v>52</v>
      </c>
      <c r="BG293" s="463">
        <v>53</v>
      </c>
      <c r="BI293" s="463">
        <v>54</v>
      </c>
      <c r="BJ293" s="463">
        <v>55</v>
      </c>
      <c r="BK293" s="463">
        <v>56</v>
      </c>
      <c r="BL293" s="463">
        <v>57</v>
      </c>
      <c r="BN293" s="463">
        <v>58</v>
      </c>
      <c r="BO293" s="463">
        <v>59</v>
      </c>
      <c r="BP293" s="463">
        <v>60</v>
      </c>
      <c r="BQ293" s="463">
        <v>61</v>
      </c>
    </row>
    <row r="294" spans="4:69" x14ac:dyDescent="0.2">
      <c r="E294" s="463" t="s">
        <v>230</v>
      </c>
      <c r="F294" s="463">
        <v>10</v>
      </c>
      <c r="G294" s="463">
        <v>48</v>
      </c>
      <c r="H294" s="463">
        <v>32</v>
      </c>
      <c r="I294" s="463">
        <v>58</v>
      </c>
      <c r="J294" s="463">
        <v>28</v>
      </c>
      <c r="K294" s="463">
        <v>29</v>
      </c>
      <c r="L294" s="463">
        <v>4</v>
      </c>
      <c r="M294" s="463">
        <v>24</v>
      </c>
      <c r="N294" s="463">
        <v>41</v>
      </c>
      <c r="O294" s="463">
        <v>17</v>
      </c>
      <c r="P294" s="463">
        <v>40</v>
      </c>
      <c r="Q294" s="463">
        <v>57</v>
      </c>
      <c r="R294" s="463">
        <v>7</v>
      </c>
      <c r="S294" s="463">
        <v>2</v>
      </c>
      <c r="T294" s="463">
        <v>51</v>
      </c>
      <c r="U294" s="463">
        <v>5</v>
      </c>
      <c r="V294" s="463">
        <v>52</v>
      </c>
      <c r="W294" s="463">
        <v>35</v>
      </c>
      <c r="X294" s="463">
        <v>60</v>
      </c>
      <c r="Y294" s="463">
        <v>54</v>
      </c>
      <c r="Z294" s="463">
        <v>61</v>
      </c>
      <c r="AA294" s="463">
        <v>30</v>
      </c>
      <c r="AB294" s="463">
        <v>34</v>
      </c>
      <c r="AC294" s="463">
        <v>16</v>
      </c>
      <c r="AD294" s="463">
        <v>46</v>
      </c>
      <c r="AE294" s="463">
        <v>39</v>
      </c>
      <c r="AF294" s="463">
        <v>19</v>
      </c>
      <c r="AG294" s="463">
        <v>42</v>
      </c>
      <c r="AH294" s="463">
        <v>11</v>
      </c>
      <c r="AI294" s="463">
        <v>55</v>
      </c>
      <c r="AJ294" s="463">
        <v>25</v>
      </c>
      <c r="AK294" s="463">
        <v>3</v>
      </c>
      <c r="AL294" s="463">
        <v>59</v>
      </c>
      <c r="AM294" s="463">
        <v>36</v>
      </c>
      <c r="AN294" s="463">
        <v>8</v>
      </c>
      <c r="AO294" s="463">
        <v>49</v>
      </c>
      <c r="AP294" s="463">
        <v>56</v>
      </c>
      <c r="AQ294" s="463">
        <v>53</v>
      </c>
      <c r="AR294" s="463">
        <v>21</v>
      </c>
      <c r="AS294" s="463">
        <v>26</v>
      </c>
      <c r="AT294" s="463">
        <v>14</v>
      </c>
      <c r="AU294" s="463">
        <v>23</v>
      </c>
      <c r="AV294" s="463">
        <v>47</v>
      </c>
      <c r="AW294" s="463">
        <v>50</v>
      </c>
      <c r="AX294" s="463">
        <v>31</v>
      </c>
      <c r="AY294" s="463">
        <v>9</v>
      </c>
      <c r="AZ294" s="463">
        <v>43</v>
      </c>
      <c r="BA294" s="463">
        <v>27</v>
      </c>
      <c r="BB294" s="463">
        <v>12</v>
      </c>
      <c r="BD294" s="463">
        <v>44</v>
      </c>
      <c r="BE294" s="463">
        <v>33</v>
      </c>
      <c r="BF294" s="463">
        <v>22</v>
      </c>
      <c r="BG294" s="463">
        <v>38</v>
      </c>
      <c r="BI294" s="463">
        <v>20</v>
      </c>
      <c r="BJ294" s="463">
        <v>13</v>
      </c>
      <c r="BK294" s="463">
        <v>45</v>
      </c>
      <c r="BL294" s="463">
        <v>6</v>
      </c>
      <c r="BN294" s="463">
        <v>15</v>
      </c>
      <c r="BO294" s="463">
        <v>18</v>
      </c>
      <c r="BP294" s="463">
        <v>37</v>
      </c>
      <c r="BQ294" s="463">
        <v>1</v>
      </c>
    </row>
    <row r="297" spans="4:69" x14ac:dyDescent="0.2">
      <c r="D297" s="307">
        <v>62</v>
      </c>
      <c r="E297" s="307" t="s">
        <v>248</v>
      </c>
    </row>
    <row r="298" spans="4:69" x14ac:dyDescent="0.2">
      <c r="E298" s="463" t="s">
        <v>196</v>
      </c>
      <c r="F298" s="463">
        <v>1</v>
      </c>
      <c r="G298" s="463">
        <v>2</v>
      </c>
      <c r="H298" s="463">
        <v>3</v>
      </c>
      <c r="I298" s="463">
        <v>4</v>
      </c>
      <c r="J298" s="463">
        <v>5</v>
      </c>
      <c r="K298" s="463">
        <v>6</v>
      </c>
      <c r="L298" s="463">
        <v>7</v>
      </c>
      <c r="M298" s="463">
        <v>8</v>
      </c>
      <c r="N298" s="463">
        <v>9</v>
      </c>
      <c r="O298" s="463">
        <v>10</v>
      </c>
      <c r="P298" s="463">
        <v>11</v>
      </c>
      <c r="Q298" s="463">
        <v>12</v>
      </c>
      <c r="R298" s="463">
        <v>13</v>
      </c>
      <c r="S298" s="463">
        <v>14</v>
      </c>
      <c r="T298" s="463">
        <v>15</v>
      </c>
      <c r="U298" s="463">
        <v>16</v>
      </c>
      <c r="V298" s="463">
        <v>17</v>
      </c>
      <c r="W298" s="463">
        <v>18</v>
      </c>
      <c r="X298" s="463">
        <v>19</v>
      </c>
      <c r="Y298" s="463">
        <v>20</v>
      </c>
      <c r="Z298" s="463">
        <v>21</v>
      </c>
      <c r="AA298" s="463">
        <v>22</v>
      </c>
      <c r="AB298" s="463">
        <v>23</v>
      </c>
      <c r="AC298" s="463">
        <v>24</v>
      </c>
      <c r="AD298" s="463">
        <v>25</v>
      </c>
      <c r="AE298" s="463">
        <v>26</v>
      </c>
      <c r="AF298" s="463">
        <v>27</v>
      </c>
      <c r="AG298" s="463">
        <v>28</v>
      </c>
      <c r="AH298" s="463">
        <v>29</v>
      </c>
      <c r="AI298" s="463">
        <v>30</v>
      </c>
      <c r="AJ298" s="463">
        <v>31</v>
      </c>
      <c r="AK298" s="463">
        <v>32</v>
      </c>
      <c r="AL298" s="463">
        <v>33</v>
      </c>
      <c r="AM298" s="463">
        <v>34</v>
      </c>
      <c r="AN298" s="463">
        <v>35</v>
      </c>
      <c r="AO298" s="463">
        <v>36</v>
      </c>
      <c r="AP298" s="463">
        <v>37</v>
      </c>
      <c r="AQ298" s="463">
        <v>38</v>
      </c>
      <c r="AR298" s="463">
        <v>39</v>
      </c>
      <c r="AS298" s="463">
        <v>40</v>
      </c>
      <c r="AT298" s="463">
        <v>41</v>
      </c>
      <c r="AU298" s="463">
        <v>42</v>
      </c>
      <c r="AV298" s="463">
        <v>43</v>
      </c>
      <c r="AW298" s="463">
        <v>44</v>
      </c>
      <c r="AX298" s="463">
        <v>45</v>
      </c>
      <c r="AY298" s="463">
        <v>46</v>
      </c>
      <c r="AZ298" s="463">
        <v>47</v>
      </c>
      <c r="BA298" s="463">
        <v>48</v>
      </c>
      <c r="BB298" s="463">
        <v>49</v>
      </c>
      <c r="BC298" s="463">
        <v>50</v>
      </c>
      <c r="BD298" s="463">
        <v>51</v>
      </c>
      <c r="BE298" s="463">
        <v>52</v>
      </c>
      <c r="BF298" s="463">
        <v>53</v>
      </c>
      <c r="BG298" s="463">
        <v>54</v>
      </c>
      <c r="BI298" s="463">
        <v>55</v>
      </c>
      <c r="BJ298" s="463">
        <v>56</v>
      </c>
      <c r="BK298" s="463">
        <v>57</v>
      </c>
      <c r="BL298" s="463">
        <v>58</v>
      </c>
      <c r="BN298" s="463">
        <v>59</v>
      </c>
      <c r="BO298" s="463">
        <v>60</v>
      </c>
      <c r="BP298" s="463">
        <v>61</v>
      </c>
      <c r="BQ298" s="463">
        <v>62</v>
      </c>
    </row>
    <row r="299" spans="4:69" x14ac:dyDescent="0.2">
      <c r="E299" s="463" t="s">
        <v>230</v>
      </c>
      <c r="F299" s="463">
        <v>20</v>
      </c>
      <c r="G299" s="463">
        <v>58</v>
      </c>
      <c r="H299" s="463">
        <v>15</v>
      </c>
      <c r="I299" s="463">
        <v>6</v>
      </c>
      <c r="J299" s="463">
        <v>51</v>
      </c>
      <c r="K299" s="463">
        <v>9</v>
      </c>
      <c r="L299" s="463">
        <v>13</v>
      </c>
      <c r="M299" s="463">
        <v>47</v>
      </c>
      <c r="N299" s="463">
        <v>53</v>
      </c>
      <c r="O299" s="463">
        <v>22</v>
      </c>
      <c r="P299" s="463">
        <v>34</v>
      </c>
      <c r="Q299" s="463">
        <v>23</v>
      </c>
      <c r="R299" s="463">
        <v>54</v>
      </c>
      <c r="S299" s="463">
        <v>11</v>
      </c>
      <c r="T299" s="463">
        <v>16</v>
      </c>
      <c r="U299" s="463">
        <v>4</v>
      </c>
      <c r="V299" s="463">
        <v>48</v>
      </c>
      <c r="W299" s="463">
        <v>56</v>
      </c>
      <c r="X299" s="463">
        <v>59</v>
      </c>
      <c r="Y299" s="463">
        <v>27</v>
      </c>
      <c r="Z299" s="463">
        <v>19</v>
      </c>
      <c r="AA299" s="463">
        <v>62</v>
      </c>
      <c r="AB299" s="463">
        <v>12</v>
      </c>
      <c r="AC299" s="463">
        <v>1</v>
      </c>
      <c r="AD299" s="463">
        <v>36</v>
      </c>
      <c r="AE299" s="463">
        <v>14</v>
      </c>
      <c r="AF299" s="463">
        <v>8</v>
      </c>
      <c r="AG299" s="463">
        <v>24</v>
      </c>
      <c r="AH299" s="463">
        <v>28</v>
      </c>
      <c r="AI299" s="463">
        <v>37</v>
      </c>
      <c r="AJ299" s="463">
        <v>44</v>
      </c>
      <c r="AK299" s="463">
        <v>38</v>
      </c>
      <c r="AL299" s="463">
        <v>2</v>
      </c>
      <c r="AM299" s="463">
        <v>21</v>
      </c>
      <c r="AN299" s="463">
        <v>52</v>
      </c>
      <c r="AO299" s="463">
        <v>25</v>
      </c>
      <c r="AP299" s="463">
        <v>35</v>
      </c>
      <c r="AQ299" s="463">
        <v>39</v>
      </c>
      <c r="AR299" s="463">
        <v>41</v>
      </c>
      <c r="AS299" s="463">
        <v>61</v>
      </c>
      <c r="AT299" s="463">
        <v>50</v>
      </c>
      <c r="AU299" s="463">
        <v>57</v>
      </c>
      <c r="AV299" s="463">
        <v>10</v>
      </c>
      <c r="AW299" s="463">
        <v>31</v>
      </c>
      <c r="AX299" s="463">
        <v>60</v>
      </c>
      <c r="AY299" s="463">
        <v>5</v>
      </c>
      <c r="AZ299" s="463">
        <v>43</v>
      </c>
      <c r="BA299" s="463">
        <v>32</v>
      </c>
      <c r="BB299" s="463">
        <v>55</v>
      </c>
      <c r="BC299" s="463">
        <v>26</v>
      </c>
      <c r="BD299" s="463">
        <v>29</v>
      </c>
      <c r="BE299" s="463">
        <v>33</v>
      </c>
      <c r="BF299" s="463">
        <v>17</v>
      </c>
      <c r="BG299" s="463">
        <v>46</v>
      </c>
      <c r="BI299" s="463">
        <v>49</v>
      </c>
      <c r="BJ299" s="463">
        <v>3</v>
      </c>
      <c r="BK299" s="463">
        <v>42</v>
      </c>
      <c r="BL299" s="463">
        <v>18</v>
      </c>
      <c r="BN299" s="463">
        <v>30</v>
      </c>
      <c r="BO299" s="463">
        <v>45</v>
      </c>
      <c r="BP299" s="463">
        <v>40</v>
      </c>
      <c r="BQ299" s="463">
        <v>7</v>
      </c>
    </row>
    <row r="302" spans="4:69" x14ac:dyDescent="0.2">
      <c r="D302" s="307">
        <v>63</v>
      </c>
      <c r="E302" s="307" t="s">
        <v>248</v>
      </c>
    </row>
    <row r="303" spans="4:69" x14ac:dyDescent="0.2">
      <c r="E303" s="463" t="s">
        <v>196</v>
      </c>
      <c r="F303" s="463">
        <v>1</v>
      </c>
      <c r="G303" s="463">
        <v>2</v>
      </c>
      <c r="H303" s="463">
        <v>3</v>
      </c>
      <c r="I303" s="463">
        <v>4</v>
      </c>
      <c r="J303" s="463">
        <v>5</v>
      </c>
      <c r="K303" s="463">
        <v>6</v>
      </c>
      <c r="L303" s="463">
        <v>7</v>
      </c>
      <c r="M303" s="463">
        <v>8</v>
      </c>
      <c r="N303" s="463">
        <v>9</v>
      </c>
      <c r="O303" s="463">
        <v>10</v>
      </c>
      <c r="P303" s="463">
        <v>11</v>
      </c>
      <c r="Q303" s="463">
        <v>12</v>
      </c>
      <c r="R303" s="463">
        <v>13</v>
      </c>
      <c r="S303" s="463">
        <v>14</v>
      </c>
      <c r="T303" s="463">
        <v>15</v>
      </c>
      <c r="U303" s="463">
        <v>16</v>
      </c>
      <c r="V303" s="463">
        <v>17</v>
      </c>
      <c r="W303" s="463">
        <v>18</v>
      </c>
      <c r="X303" s="463">
        <v>19</v>
      </c>
      <c r="Y303" s="463">
        <v>20</v>
      </c>
      <c r="Z303" s="463">
        <v>21</v>
      </c>
      <c r="AA303" s="463">
        <v>22</v>
      </c>
      <c r="AB303" s="463">
        <v>23</v>
      </c>
      <c r="AC303" s="463">
        <v>24</v>
      </c>
      <c r="AD303" s="463">
        <v>25</v>
      </c>
      <c r="AE303" s="463">
        <v>26</v>
      </c>
      <c r="AF303" s="463">
        <v>27</v>
      </c>
      <c r="AG303" s="463">
        <v>28</v>
      </c>
      <c r="AH303" s="463">
        <v>29</v>
      </c>
      <c r="AI303" s="463">
        <v>30</v>
      </c>
      <c r="AJ303" s="463">
        <v>31</v>
      </c>
      <c r="AK303" s="463">
        <v>32</v>
      </c>
      <c r="AL303" s="463">
        <v>33</v>
      </c>
      <c r="AM303" s="463">
        <v>34</v>
      </c>
      <c r="AN303" s="463">
        <v>35</v>
      </c>
      <c r="AO303" s="463">
        <v>36</v>
      </c>
      <c r="AP303" s="463">
        <v>37</v>
      </c>
      <c r="AQ303" s="463">
        <v>38</v>
      </c>
      <c r="AR303" s="463">
        <v>39</v>
      </c>
      <c r="AS303" s="463">
        <v>40</v>
      </c>
      <c r="AT303" s="463">
        <v>41</v>
      </c>
      <c r="AU303" s="463">
        <v>42</v>
      </c>
      <c r="AV303" s="463">
        <v>43</v>
      </c>
      <c r="AW303" s="463">
        <v>44</v>
      </c>
      <c r="AX303" s="463">
        <v>45</v>
      </c>
      <c r="AY303" s="463">
        <v>46</v>
      </c>
      <c r="AZ303" s="463">
        <v>47</v>
      </c>
      <c r="BA303" s="463">
        <v>48</v>
      </c>
      <c r="BB303" s="463">
        <v>49</v>
      </c>
      <c r="BC303" s="463">
        <v>50</v>
      </c>
      <c r="BD303" s="463">
        <v>51</v>
      </c>
      <c r="BE303" s="463">
        <v>52</v>
      </c>
      <c r="BF303" s="463">
        <v>53</v>
      </c>
      <c r="BG303" s="463">
        <v>54</v>
      </c>
      <c r="BH303" s="463">
        <v>55</v>
      </c>
      <c r="BI303" s="463">
        <v>56</v>
      </c>
      <c r="BJ303" s="463">
        <v>57</v>
      </c>
      <c r="BK303" s="463">
        <v>58</v>
      </c>
      <c r="BL303" s="463">
        <v>59</v>
      </c>
      <c r="BN303" s="463">
        <v>60</v>
      </c>
      <c r="BO303" s="463">
        <v>61</v>
      </c>
      <c r="BP303" s="463">
        <v>62</v>
      </c>
      <c r="BQ303" s="463">
        <v>63</v>
      </c>
    </row>
    <row r="304" spans="4:69" x14ac:dyDescent="0.2">
      <c r="E304" s="463" t="s">
        <v>230</v>
      </c>
      <c r="F304" s="463">
        <v>39</v>
      </c>
      <c r="G304" s="463">
        <v>15</v>
      </c>
      <c r="H304" s="463">
        <v>55</v>
      </c>
      <c r="I304" s="463">
        <v>31</v>
      </c>
      <c r="J304" s="463">
        <v>7</v>
      </c>
      <c r="K304" s="463">
        <v>54</v>
      </c>
      <c r="L304" s="463">
        <v>49</v>
      </c>
      <c r="M304" s="463">
        <v>57</v>
      </c>
      <c r="N304" s="463">
        <v>41</v>
      </c>
      <c r="O304" s="463">
        <v>3</v>
      </c>
      <c r="P304" s="463">
        <v>29</v>
      </c>
      <c r="Q304" s="463">
        <v>59</v>
      </c>
      <c r="R304" s="463">
        <v>25</v>
      </c>
      <c r="S304" s="463">
        <v>43</v>
      </c>
      <c r="T304" s="463">
        <v>11</v>
      </c>
      <c r="U304" s="463">
        <v>30</v>
      </c>
      <c r="V304" s="463">
        <v>45</v>
      </c>
      <c r="W304" s="463">
        <v>37</v>
      </c>
      <c r="X304" s="463">
        <v>58</v>
      </c>
      <c r="Y304" s="463">
        <v>12</v>
      </c>
      <c r="Z304" s="463">
        <v>4</v>
      </c>
      <c r="AA304" s="463">
        <v>24</v>
      </c>
      <c r="AB304" s="463">
        <v>32</v>
      </c>
      <c r="AC304" s="463">
        <v>42</v>
      </c>
      <c r="AD304" s="463">
        <v>13</v>
      </c>
      <c r="AE304" s="463">
        <v>34</v>
      </c>
      <c r="AF304" s="463">
        <v>28</v>
      </c>
      <c r="AG304" s="463">
        <v>2</v>
      </c>
      <c r="AH304" s="463">
        <v>8</v>
      </c>
      <c r="AI304" s="463">
        <v>46</v>
      </c>
      <c r="AJ304" s="463">
        <v>19</v>
      </c>
      <c r="AK304" s="463">
        <v>23</v>
      </c>
      <c r="AL304" s="463">
        <v>61</v>
      </c>
      <c r="AM304" s="463">
        <v>56</v>
      </c>
      <c r="AN304" s="463">
        <v>33</v>
      </c>
      <c r="AO304" s="463">
        <v>50</v>
      </c>
      <c r="AP304" s="463">
        <v>53</v>
      </c>
      <c r="AQ304" s="463">
        <v>27</v>
      </c>
      <c r="AR304" s="463">
        <v>1</v>
      </c>
      <c r="AS304" s="463">
        <v>60</v>
      </c>
      <c r="AT304" s="463">
        <v>9</v>
      </c>
      <c r="AU304" s="463">
        <v>18</v>
      </c>
      <c r="AV304" s="463">
        <v>47</v>
      </c>
      <c r="AW304" s="463">
        <v>62</v>
      </c>
      <c r="AX304" s="463">
        <v>51</v>
      </c>
      <c r="AY304" s="463">
        <v>35</v>
      </c>
      <c r="AZ304" s="463">
        <v>14</v>
      </c>
      <c r="BA304" s="463">
        <v>52</v>
      </c>
      <c r="BB304" s="463">
        <v>26</v>
      </c>
      <c r="BC304" s="463">
        <v>36</v>
      </c>
      <c r="BD304" s="463">
        <v>63</v>
      </c>
      <c r="BE304" s="463">
        <v>38</v>
      </c>
      <c r="BF304" s="463">
        <v>44</v>
      </c>
      <c r="BG304" s="463">
        <v>6</v>
      </c>
      <c r="BH304" s="463">
        <v>16</v>
      </c>
      <c r="BI304" s="463">
        <v>40</v>
      </c>
      <c r="BJ304" s="463">
        <v>10</v>
      </c>
      <c r="BK304" s="463">
        <v>17</v>
      </c>
      <c r="BL304" s="463">
        <v>21</v>
      </c>
      <c r="BN304" s="463">
        <v>20</v>
      </c>
      <c r="BO304" s="463">
        <v>5</v>
      </c>
      <c r="BP304" s="463">
        <v>22</v>
      </c>
      <c r="BQ304" s="463">
        <v>48</v>
      </c>
    </row>
    <row r="307" spans="4:74" x14ac:dyDescent="0.2">
      <c r="D307" s="307">
        <v>64</v>
      </c>
      <c r="E307" s="307" t="s">
        <v>248</v>
      </c>
    </row>
    <row r="308" spans="4:74" x14ac:dyDescent="0.2">
      <c r="E308" s="463" t="s">
        <v>196</v>
      </c>
      <c r="F308" s="463">
        <v>1</v>
      </c>
      <c r="G308" s="463">
        <v>2</v>
      </c>
      <c r="H308" s="463">
        <v>3</v>
      </c>
      <c r="I308" s="463">
        <v>4</v>
      </c>
      <c r="J308" s="463">
        <v>5</v>
      </c>
      <c r="K308" s="463">
        <v>6</v>
      </c>
      <c r="L308" s="463">
        <v>7</v>
      </c>
      <c r="M308" s="463">
        <v>8</v>
      </c>
      <c r="N308" s="463">
        <v>9</v>
      </c>
      <c r="O308" s="463">
        <v>10</v>
      </c>
      <c r="P308" s="463">
        <v>11</v>
      </c>
      <c r="Q308" s="463">
        <v>12</v>
      </c>
      <c r="R308" s="463">
        <v>13</v>
      </c>
      <c r="S308" s="463">
        <v>14</v>
      </c>
      <c r="T308" s="463">
        <v>15</v>
      </c>
      <c r="U308" s="463">
        <v>16</v>
      </c>
      <c r="V308" s="463">
        <v>17</v>
      </c>
      <c r="W308" s="463">
        <v>18</v>
      </c>
      <c r="X308" s="463">
        <v>19</v>
      </c>
      <c r="Y308" s="463">
        <v>20</v>
      </c>
      <c r="Z308" s="463">
        <v>21</v>
      </c>
      <c r="AA308" s="463">
        <v>22</v>
      </c>
      <c r="AB308" s="463">
        <v>23</v>
      </c>
      <c r="AC308" s="463">
        <v>24</v>
      </c>
      <c r="AD308" s="463">
        <v>25</v>
      </c>
      <c r="AE308" s="463">
        <v>26</v>
      </c>
      <c r="AF308" s="463">
        <v>27</v>
      </c>
      <c r="AG308" s="463">
        <v>28</v>
      </c>
      <c r="AH308" s="463">
        <v>29</v>
      </c>
      <c r="AI308" s="463">
        <v>30</v>
      </c>
      <c r="AJ308" s="463">
        <v>31</v>
      </c>
      <c r="AK308" s="463">
        <v>32</v>
      </c>
      <c r="AL308" s="463">
        <v>33</v>
      </c>
      <c r="AM308" s="463">
        <v>34</v>
      </c>
      <c r="AN308" s="463">
        <v>35</v>
      </c>
      <c r="AO308" s="463">
        <v>36</v>
      </c>
      <c r="AP308" s="463">
        <v>37</v>
      </c>
      <c r="AQ308" s="463">
        <v>38</v>
      </c>
      <c r="AR308" s="463">
        <v>39</v>
      </c>
      <c r="AS308" s="463">
        <v>40</v>
      </c>
      <c r="AT308" s="463">
        <v>41</v>
      </c>
      <c r="AU308" s="463">
        <v>42</v>
      </c>
      <c r="AV308" s="463">
        <v>43</v>
      </c>
      <c r="AW308" s="463">
        <v>44</v>
      </c>
      <c r="AX308" s="463">
        <v>45</v>
      </c>
      <c r="AY308" s="463">
        <v>46</v>
      </c>
      <c r="AZ308" s="463">
        <v>47</v>
      </c>
      <c r="BA308" s="463">
        <v>48</v>
      </c>
      <c r="BB308" s="463">
        <v>49</v>
      </c>
      <c r="BC308" s="463">
        <v>50</v>
      </c>
      <c r="BD308" s="463">
        <v>51</v>
      </c>
      <c r="BE308" s="463">
        <v>52</v>
      </c>
      <c r="BF308" s="463">
        <v>53</v>
      </c>
      <c r="BG308" s="463">
        <v>54</v>
      </c>
      <c r="BH308" s="463">
        <v>55</v>
      </c>
      <c r="BI308" s="463">
        <v>56</v>
      </c>
      <c r="BJ308" s="463">
        <v>57</v>
      </c>
      <c r="BK308" s="463">
        <v>58</v>
      </c>
      <c r="BL308" s="463">
        <v>59</v>
      </c>
      <c r="BM308" s="463">
        <v>60</v>
      </c>
      <c r="BN308" s="463">
        <v>61</v>
      </c>
      <c r="BO308" s="463">
        <v>62</v>
      </c>
      <c r="BP308" s="463">
        <v>63</v>
      </c>
      <c r="BQ308" s="463">
        <v>64</v>
      </c>
    </row>
    <row r="309" spans="4:74" x14ac:dyDescent="0.2">
      <c r="E309" s="463" t="s">
        <v>230</v>
      </c>
      <c r="F309" s="463">
        <v>55</v>
      </c>
      <c r="G309" s="463">
        <v>28</v>
      </c>
      <c r="H309" s="463">
        <v>42</v>
      </c>
      <c r="I309" s="463">
        <v>1</v>
      </c>
      <c r="J309" s="463">
        <v>61</v>
      </c>
      <c r="K309" s="463">
        <v>10</v>
      </c>
      <c r="L309" s="463">
        <v>19</v>
      </c>
      <c r="M309" s="463">
        <v>45</v>
      </c>
      <c r="N309" s="463">
        <v>11</v>
      </c>
      <c r="O309" s="463">
        <v>46</v>
      </c>
      <c r="P309" s="463">
        <v>9</v>
      </c>
      <c r="Q309" s="463">
        <v>33</v>
      </c>
      <c r="R309" s="463">
        <v>29</v>
      </c>
      <c r="S309" s="463">
        <v>51</v>
      </c>
      <c r="T309" s="463">
        <v>58</v>
      </c>
      <c r="U309" s="463">
        <v>60</v>
      </c>
      <c r="V309" s="463">
        <v>24</v>
      </c>
      <c r="W309" s="463">
        <v>20</v>
      </c>
      <c r="X309" s="463">
        <v>7</v>
      </c>
      <c r="Y309" s="463">
        <v>62</v>
      </c>
      <c r="Z309" s="463">
        <v>40</v>
      </c>
      <c r="AA309" s="463">
        <v>14</v>
      </c>
      <c r="AB309" s="463">
        <v>59</v>
      </c>
      <c r="AC309" s="463">
        <v>53</v>
      </c>
      <c r="AD309" s="463">
        <v>2</v>
      </c>
      <c r="AE309" s="463">
        <v>30</v>
      </c>
      <c r="AF309" s="463">
        <v>8</v>
      </c>
      <c r="AG309" s="463">
        <v>57</v>
      </c>
      <c r="AH309" s="463">
        <v>13</v>
      </c>
      <c r="AI309" s="463">
        <v>37</v>
      </c>
      <c r="AJ309" s="463">
        <v>25</v>
      </c>
      <c r="AK309" s="463">
        <v>18</v>
      </c>
      <c r="AL309" s="463">
        <v>47</v>
      </c>
      <c r="AM309" s="463">
        <v>41</v>
      </c>
      <c r="AN309" s="463">
        <v>36</v>
      </c>
      <c r="AO309" s="463">
        <v>35</v>
      </c>
      <c r="AP309" s="463">
        <v>4</v>
      </c>
      <c r="AQ309" s="463">
        <v>22</v>
      </c>
      <c r="AR309" s="463">
        <v>12</v>
      </c>
      <c r="AS309" s="463">
        <v>16</v>
      </c>
      <c r="AT309" s="463">
        <v>34</v>
      </c>
      <c r="AU309" s="463">
        <v>63</v>
      </c>
      <c r="AV309" s="463">
        <v>54</v>
      </c>
      <c r="AW309" s="463">
        <v>38</v>
      </c>
      <c r="AX309" s="463">
        <v>21</v>
      </c>
      <c r="AY309" s="463">
        <v>64</v>
      </c>
      <c r="AZ309" s="463">
        <v>3</v>
      </c>
      <c r="BA309" s="463">
        <v>15</v>
      </c>
      <c r="BB309" s="463">
        <v>31</v>
      </c>
      <c r="BC309" s="463">
        <v>6</v>
      </c>
      <c r="BD309" s="463">
        <v>49</v>
      </c>
      <c r="BE309" s="463">
        <v>23</v>
      </c>
      <c r="BF309" s="463">
        <v>44</v>
      </c>
      <c r="BG309" s="463">
        <v>56</v>
      </c>
      <c r="BH309" s="463">
        <v>26</v>
      </c>
      <c r="BI309" s="463">
        <v>50</v>
      </c>
      <c r="BJ309" s="463">
        <v>43</v>
      </c>
      <c r="BK309" s="463">
        <v>27</v>
      </c>
      <c r="BL309" s="463">
        <v>17</v>
      </c>
      <c r="BM309" s="463">
        <v>32</v>
      </c>
      <c r="BN309" s="463">
        <v>39</v>
      </c>
      <c r="BO309" s="463">
        <v>5</v>
      </c>
      <c r="BP309" s="463">
        <v>52</v>
      </c>
      <c r="BQ309" s="463">
        <v>48</v>
      </c>
    </row>
    <row r="312" spans="4:74" x14ac:dyDescent="0.2">
      <c r="D312" s="307">
        <v>65</v>
      </c>
      <c r="E312" s="307" t="s">
        <v>248</v>
      </c>
    </row>
    <row r="313" spans="4:74" x14ac:dyDescent="0.2">
      <c r="E313" s="463" t="s">
        <v>196</v>
      </c>
      <c r="F313" s="463">
        <v>1</v>
      </c>
      <c r="G313" s="463">
        <v>2</v>
      </c>
      <c r="H313" s="463">
        <v>3</v>
      </c>
      <c r="I313" s="463">
        <v>4</v>
      </c>
      <c r="J313" s="463">
        <v>5</v>
      </c>
      <c r="K313" s="463">
        <v>6</v>
      </c>
      <c r="L313" s="463">
        <v>7</v>
      </c>
      <c r="M313" s="463">
        <v>8</v>
      </c>
      <c r="N313" s="463">
        <v>9</v>
      </c>
      <c r="O313" s="463">
        <v>10</v>
      </c>
      <c r="P313" s="463">
        <v>11</v>
      </c>
      <c r="Q313" s="463">
        <v>12</v>
      </c>
      <c r="R313" s="463">
        <v>13</v>
      </c>
      <c r="S313" s="463">
        <v>14</v>
      </c>
      <c r="T313" s="463">
        <v>15</v>
      </c>
      <c r="U313" s="463">
        <v>16</v>
      </c>
      <c r="V313" s="463">
        <v>17</v>
      </c>
      <c r="W313" s="463">
        <v>18</v>
      </c>
      <c r="X313" s="463">
        <v>19</v>
      </c>
      <c r="Y313" s="463">
        <v>20</v>
      </c>
      <c r="Z313" s="463">
        <v>21</v>
      </c>
      <c r="AA313" s="463">
        <v>22</v>
      </c>
      <c r="AB313" s="463">
        <v>23</v>
      </c>
      <c r="AC313" s="463">
        <v>24</v>
      </c>
      <c r="AD313" s="463">
        <v>25</v>
      </c>
      <c r="AE313" s="463">
        <v>26</v>
      </c>
      <c r="AF313" s="463">
        <v>27</v>
      </c>
      <c r="AG313" s="463">
        <v>28</v>
      </c>
      <c r="AH313" s="463">
        <v>29</v>
      </c>
      <c r="AI313" s="463">
        <v>30</v>
      </c>
      <c r="AJ313" s="463">
        <v>31</v>
      </c>
      <c r="AK313" s="463">
        <v>32</v>
      </c>
      <c r="AL313" s="463">
        <v>33</v>
      </c>
      <c r="AM313" s="463">
        <v>34</v>
      </c>
      <c r="AN313" s="463">
        <v>35</v>
      </c>
      <c r="AO313" s="463">
        <v>36</v>
      </c>
      <c r="AP313" s="463">
        <v>37</v>
      </c>
      <c r="AQ313" s="463">
        <v>38</v>
      </c>
      <c r="AR313" s="463">
        <v>39</v>
      </c>
      <c r="AS313" s="463">
        <v>40</v>
      </c>
      <c r="AT313" s="463">
        <v>41</v>
      </c>
      <c r="AU313" s="463">
        <v>42</v>
      </c>
      <c r="AV313" s="463">
        <v>43</v>
      </c>
      <c r="AW313" s="463">
        <v>44</v>
      </c>
      <c r="AX313" s="463">
        <v>45</v>
      </c>
      <c r="AY313" s="463">
        <v>46</v>
      </c>
      <c r="AZ313" s="463">
        <v>47</v>
      </c>
      <c r="BA313" s="463">
        <v>48</v>
      </c>
      <c r="BB313" s="463">
        <v>49</v>
      </c>
      <c r="BC313" s="463">
        <v>50</v>
      </c>
      <c r="BD313" s="463">
        <v>51</v>
      </c>
      <c r="BE313" s="463">
        <v>52</v>
      </c>
      <c r="BF313" s="463">
        <v>53</v>
      </c>
      <c r="BG313" s="463">
        <v>54</v>
      </c>
      <c r="BH313" s="463">
        <v>55</v>
      </c>
      <c r="BI313" s="463">
        <v>56</v>
      </c>
      <c r="BJ313" s="463">
        <v>57</v>
      </c>
      <c r="BK313" s="463">
        <v>58</v>
      </c>
      <c r="BL313" s="463">
        <v>59</v>
      </c>
      <c r="BM313" s="463">
        <v>60</v>
      </c>
      <c r="BN313" s="463">
        <v>61</v>
      </c>
      <c r="BO313" s="463">
        <v>62</v>
      </c>
      <c r="BP313" s="463">
        <v>63</v>
      </c>
      <c r="BQ313" s="463">
        <v>64</v>
      </c>
      <c r="BR313" s="463">
        <v>65</v>
      </c>
    </row>
    <row r="314" spans="4:74" x14ac:dyDescent="0.2">
      <c r="E314" s="463" t="s">
        <v>230</v>
      </c>
      <c r="F314" s="463">
        <v>5</v>
      </c>
      <c r="G314" s="463">
        <v>25</v>
      </c>
      <c r="H314" s="463">
        <v>49</v>
      </c>
      <c r="I314" s="463">
        <v>17</v>
      </c>
      <c r="J314" s="463">
        <v>12</v>
      </c>
      <c r="K314" s="463">
        <v>64</v>
      </c>
      <c r="L314" s="463">
        <v>13</v>
      </c>
      <c r="M314" s="463">
        <v>42</v>
      </c>
      <c r="N314" s="463">
        <v>26</v>
      </c>
      <c r="O314" s="463">
        <v>22</v>
      </c>
      <c r="P314" s="463">
        <v>20</v>
      </c>
      <c r="Q314" s="463">
        <v>29</v>
      </c>
      <c r="R314" s="463">
        <v>9</v>
      </c>
      <c r="S314" s="463">
        <v>3</v>
      </c>
      <c r="T314" s="463">
        <v>57</v>
      </c>
      <c r="U314" s="463">
        <v>55</v>
      </c>
      <c r="V314" s="463">
        <v>10</v>
      </c>
      <c r="W314" s="463">
        <v>24</v>
      </c>
      <c r="X314" s="463">
        <v>48</v>
      </c>
      <c r="Y314" s="463">
        <v>11</v>
      </c>
      <c r="Z314" s="463">
        <v>60</v>
      </c>
      <c r="AA314" s="463">
        <v>53</v>
      </c>
      <c r="AB314" s="463">
        <v>30</v>
      </c>
      <c r="AC314" s="463">
        <v>2</v>
      </c>
      <c r="AD314" s="463">
        <v>31</v>
      </c>
      <c r="AE314" s="463">
        <v>65</v>
      </c>
      <c r="AF314" s="463">
        <v>58</v>
      </c>
      <c r="AG314" s="463">
        <v>34</v>
      </c>
      <c r="AH314" s="463">
        <v>28</v>
      </c>
      <c r="AI314" s="463">
        <v>36</v>
      </c>
      <c r="AJ314" s="463">
        <v>15</v>
      </c>
      <c r="AK314" s="463">
        <v>44</v>
      </c>
      <c r="AL314" s="463">
        <v>19</v>
      </c>
      <c r="AM314" s="463">
        <v>38</v>
      </c>
      <c r="AN314" s="463">
        <v>1</v>
      </c>
      <c r="AO314" s="463">
        <v>54</v>
      </c>
      <c r="AP314" s="463">
        <v>33</v>
      </c>
      <c r="AQ314" s="463">
        <v>47</v>
      </c>
      <c r="AR314" s="463">
        <v>41</v>
      </c>
      <c r="AS314" s="463">
        <v>61</v>
      </c>
      <c r="AT314" s="463">
        <v>39</v>
      </c>
      <c r="AU314" s="463">
        <v>8</v>
      </c>
      <c r="AV314" s="463">
        <v>52</v>
      </c>
      <c r="AW314" s="463">
        <v>32</v>
      </c>
      <c r="AX314" s="463">
        <v>46</v>
      </c>
      <c r="AY314" s="463">
        <v>35</v>
      </c>
      <c r="AZ314" s="463">
        <v>63</v>
      </c>
      <c r="BA314" s="463">
        <v>37</v>
      </c>
      <c r="BB314" s="463">
        <v>16</v>
      </c>
      <c r="BC314" s="463">
        <v>27</v>
      </c>
      <c r="BD314" s="463">
        <v>14</v>
      </c>
      <c r="BE314" s="463">
        <v>43</v>
      </c>
      <c r="BF314" s="463">
        <v>62</v>
      </c>
      <c r="BG314" s="463">
        <v>56</v>
      </c>
      <c r="BH314" s="463">
        <v>21</v>
      </c>
      <c r="BI314" s="463">
        <v>4</v>
      </c>
      <c r="BJ314" s="463">
        <v>23</v>
      </c>
      <c r="BK314" s="463">
        <v>50</v>
      </c>
      <c r="BL314" s="463">
        <v>7</v>
      </c>
      <c r="BM314" s="463">
        <v>51</v>
      </c>
      <c r="BN314" s="463">
        <v>40</v>
      </c>
      <c r="BO314" s="463">
        <v>45</v>
      </c>
      <c r="BP314" s="463">
        <v>59</v>
      </c>
      <c r="BQ314" s="463">
        <v>6</v>
      </c>
      <c r="BR314" s="463">
        <v>18</v>
      </c>
    </row>
    <row r="317" spans="4:74" x14ac:dyDescent="0.2">
      <c r="D317" s="307">
        <v>66</v>
      </c>
      <c r="E317" s="307" t="s">
        <v>248</v>
      </c>
    </row>
    <row r="318" spans="4:74" x14ac:dyDescent="0.2">
      <c r="E318" s="463" t="s">
        <v>196</v>
      </c>
      <c r="F318" s="463">
        <v>1</v>
      </c>
      <c r="G318" s="463">
        <v>2</v>
      </c>
      <c r="H318" s="463">
        <v>3</v>
      </c>
      <c r="I318" s="463">
        <v>4</v>
      </c>
      <c r="J318" s="463">
        <v>5</v>
      </c>
      <c r="K318" s="463">
        <v>6</v>
      </c>
      <c r="L318" s="463">
        <v>7</v>
      </c>
      <c r="M318" s="463">
        <v>8</v>
      </c>
      <c r="N318" s="463">
        <v>9</v>
      </c>
      <c r="O318" s="463">
        <v>10</v>
      </c>
      <c r="P318" s="463">
        <v>11</v>
      </c>
      <c r="Q318" s="463">
        <v>12</v>
      </c>
      <c r="R318" s="463">
        <v>13</v>
      </c>
      <c r="S318" s="463">
        <v>14</v>
      </c>
      <c r="T318" s="463">
        <v>15</v>
      </c>
      <c r="U318" s="463">
        <v>16</v>
      </c>
      <c r="V318" s="463">
        <v>17</v>
      </c>
      <c r="W318" s="463">
        <v>18</v>
      </c>
      <c r="X318" s="463">
        <v>19</v>
      </c>
      <c r="Y318" s="463">
        <v>20</v>
      </c>
      <c r="Z318" s="463">
        <v>21</v>
      </c>
      <c r="AA318" s="463">
        <v>22</v>
      </c>
      <c r="AB318" s="463">
        <v>23</v>
      </c>
      <c r="AC318" s="463">
        <v>24</v>
      </c>
      <c r="AD318" s="463">
        <v>25</v>
      </c>
      <c r="AE318" s="463">
        <v>26</v>
      </c>
      <c r="AF318" s="463">
        <v>27</v>
      </c>
      <c r="AG318" s="463">
        <v>28</v>
      </c>
      <c r="AH318" s="463">
        <v>29</v>
      </c>
      <c r="AI318" s="463">
        <v>30</v>
      </c>
      <c r="AJ318" s="463">
        <v>31</v>
      </c>
      <c r="AK318" s="463">
        <v>32</v>
      </c>
      <c r="AL318" s="463">
        <v>33</v>
      </c>
      <c r="AM318" s="463">
        <v>34</v>
      </c>
      <c r="AN318" s="463">
        <v>35</v>
      </c>
      <c r="AO318" s="463">
        <v>36</v>
      </c>
      <c r="AP318" s="463">
        <v>37</v>
      </c>
      <c r="AQ318" s="463">
        <v>38</v>
      </c>
      <c r="AR318" s="463">
        <v>39</v>
      </c>
      <c r="AS318" s="463">
        <v>40</v>
      </c>
      <c r="AT318" s="463">
        <v>41</v>
      </c>
      <c r="AU318" s="463">
        <v>42</v>
      </c>
      <c r="AV318" s="463">
        <v>43</v>
      </c>
      <c r="AW318" s="463">
        <v>44</v>
      </c>
      <c r="AX318" s="463">
        <v>45</v>
      </c>
      <c r="AY318" s="463">
        <v>46</v>
      </c>
      <c r="AZ318" s="463">
        <v>47</v>
      </c>
      <c r="BA318" s="463">
        <v>48</v>
      </c>
      <c r="BB318" s="463">
        <v>49</v>
      </c>
      <c r="BC318" s="463">
        <v>50</v>
      </c>
      <c r="BD318" s="463">
        <v>51</v>
      </c>
      <c r="BE318" s="463">
        <v>52</v>
      </c>
      <c r="BF318" s="463">
        <v>53</v>
      </c>
      <c r="BG318" s="463">
        <v>54</v>
      </c>
      <c r="BI318" s="463">
        <v>55</v>
      </c>
      <c r="BJ318" s="463">
        <v>56</v>
      </c>
      <c r="BK318" s="463">
        <v>57</v>
      </c>
      <c r="BL318" s="463">
        <v>58</v>
      </c>
      <c r="BN318" s="463">
        <v>59</v>
      </c>
      <c r="BO318" s="463">
        <v>60</v>
      </c>
      <c r="BP318" s="463">
        <v>61</v>
      </c>
      <c r="BQ318" s="463">
        <v>62</v>
      </c>
      <c r="BS318" s="463">
        <v>63</v>
      </c>
      <c r="BT318" s="463">
        <v>64</v>
      </c>
      <c r="BU318" s="463">
        <v>65</v>
      </c>
      <c r="BV318" s="463">
        <v>66</v>
      </c>
    </row>
    <row r="319" spans="4:74" x14ac:dyDescent="0.2">
      <c r="E319" s="463" t="s">
        <v>230</v>
      </c>
      <c r="F319" s="463">
        <v>15</v>
      </c>
      <c r="G319" s="463">
        <v>8</v>
      </c>
      <c r="H319" s="463">
        <v>45</v>
      </c>
      <c r="I319" s="463">
        <v>28</v>
      </c>
      <c r="J319" s="463">
        <v>17</v>
      </c>
      <c r="K319" s="463">
        <v>44</v>
      </c>
      <c r="L319" s="463">
        <v>49</v>
      </c>
      <c r="M319" s="463">
        <v>2</v>
      </c>
      <c r="N319" s="463">
        <v>59</v>
      </c>
      <c r="O319" s="463">
        <v>16</v>
      </c>
      <c r="P319" s="463">
        <v>58</v>
      </c>
      <c r="Q319" s="463">
        <v>38</v>
      </c>
      <c r="R319" s="463">
        <v>52</v>
      </c>
      <c r="S319" s="463">
        <v>26</v>
      </c>
      <c r="T319" s="463">
        <v>63</v>
      </c>
      <c r="U319" s="463">
        <v>40</v>
      </c>
      <c r="V319" s="463">
        <v>4</v>
      </c>
      <c r="W319" s="463">
        <v>60</v>
      </c>
      <c r="X319" s="463">
        <v>55</v>
      </c>
      <c r="Y319" s="463">
        <v>41</v>
      </c>
      <c r="Z319" s="463">
        <v>35</v>
      </c>
      <c r="AA319" s="463">
        <v>3</v>
      </c>
      <c r="AB319" s="463">
        <v>62</v>
      </c>
      <c r="AC319" s="463">
        <v>65</v>
      </c>
      <c r="AD319" s="463">
        <v>11</v>
      </c>
      <c r="AE319" s="463">
        <v>29</v>
      </c>
      <c r="AF319" s="463">
        <v>61</v>
      </c>
      <c r="AG319" s="463">
        <v>22</v>
      </c>
      <c r="AH319" s="463">
        <v>53</v>
      </c>
      <c r="AI319" s="463">
        <v>1</v>
      </c>
      <c r="AJ319" s="463">
        <v>20</v>
      </c>
      <c r="AK319" s="463">
        <v>48</v>
      </c>
      <c r="AL319" s="463">
        <v>56</v>
      </c>
      <c r="AM319" s="463">
        <v>51</v>
      </c>
      <c r="AN319" s="463">
        <v>21</v>
      </c>
      <c r="AO319" s="463">
        <v>54</v>
      </c>
      <c r="AP319" s="463">
        <v>25</v>
      </c>
      <c r="AQ319" s="463">
        <v>66</v>
      </c>
      <c r="AR319" s="463">
        <v>32</v>
      </c>
      <c r="AS319" s="463">
        <v>46</v>
      </c>
      <c r="AT319" s="463">
        <v>9</v>
      </c>
      <c r="AU319" s="463">
        <v>18</v>
      </c>
      <c r="AV319" s="463">
        <v>30</v>
      </c>
      <c r="AW319" s="463">
        <v>57</v>
      </c>
      <c r="AX319" s="463">
        <v>12</v>
      </c>
      <c r="AY319" s="463">
        <v>10</v>
      </c>
      <c r="AZ319" s="463">
        <v>50</v>
      </c>
      <c r="BA319" s="463">
        <v>42</v>
      </c>
      <c r="BB319" s="463">
        <v>31</v>
      </c>
      <c r="BC319" s="463">
        <v>64</v>
      </c>
      <c r="BD319" s="463">
        <v>24</v>
      </c>
      <c r="BE319" s="463">
        <v>43</v>
      </c>
      <c r="BF319" s="463">
        <v>7</v>
      </c>
      <c r="BG319" s="463">
        <v>36</v>
      </c>
      <c r="BI319" s="463">
        <v>34</v>
      </c>
      <c r="BJ319" s="463">
        <v>14</v>
      </c>
      <c r="BK319" s="463">
        <v>37</v>
      </c>
      <c r="BL319" s="463">
        <v>47</v>
      </c>
      <c r="BN319" s="463">
        <v>5</v>
      </c>
      <c r="BO319" s="463">
        <v>33</v>
      </c>
      <c r="BP319" s="463">
        <v>27</v>
      </c>
      <c r="BQ319" s="463">
        <v>23</v>
      </c>
      <c r="BS319" s="463">
        <v>19</v>
      </c>
      <c r="BT319" s="463">
        <v>13</v>
      </c>
      <c r="BU319" s="463">
        <v>39</v>
      </c>
      <c r="BV319" s="463">
        <v>6</v>
      </c>
    </row>
    <row r="322" spans="4:74" x14ac:dyDescent="0.2">
      <c r="D322" s="307">
        <v>67</v>
      </c>
      <c r="E322" s="307" t="s">
        <v>248</v>
      </c>
    </row>
    <row r="323" spans="4:74" x14ac:dyDescent="0.2">
      <c r="E323" s="463" t="s">
        <v>196</v>
      </c>
      <c r="F323" s="463">
        <v>1</v>
      </c>
      <c r="G323" s="463">
        <v>2</v>
      </c>
      <c r="H323" s="463">
        <v>3</v>
      </c>
      <c r="I323" s="463">
        <v>4</v>
      </c>
      <c r="J323" s="463">
        <v>5</v>
      </c>
      <c r="K323" s="463">
        <v>6</v>
      </c>
      <c r="L323" s="463">
        <v>7</v>
      </c>
      <c r="M323" s="463">
        <v>8</v>
      </c>
      <c r="N323" s="463">
        <v>9</v>
      </c>
      <c r="O323" s="463">
        <v>10</v>
      </c>
      <c r="P323" s="463">
        <v>11</v>
      </c>
      <c r="Q323" s="463">
        <v>12</v>
      </c>
      <c r="R323" s="463">
        <v>13</v>
      </c>
      <c r="S323" s="463">
        <v>14</v>
      </c>
      <c r="T323" s="463">
        <v>15</v>
      </c>
      <c r="U323" s="463">
        <v>16</v>
      </c>
      <c r="V323" s="463">
        <v>17</v>
      </c>
      <c r="W323" s="463">
        <v>18</v>
      </c>
      <c r="X323" s="463">
        <v>19</v>
      </c>
      <c r="Y323" s="463">
        <v>20</v>
      </c>
      <c r="Z323" s="463">
        <v>21</v>
      </c>
      <c r="AA323" s="463">
        <v>22</v>
      </c>
      <c r="AB323" s="463">
        <v>23</v>
      </c>
      <c r="AC323" s="463">
        <v>24</v>
      </c>
      <c r="AD323" s="463">
        <v>25</v>
      </c>
      <c r="AE323" s="463">
        <v>26</v>
      </c>
      <c r="AF323" s="463">
        <v>27</v>
      </c>
      <c r="AG323" s="463">
        <v>28</v>
      </c>
      <c r="AH323" s="463">
        <v>29</v>
      </c>
      <c r="AI323" s="463">
        <v>30</v>
      </c>
      <c r="AJ323" s="463">
        <v>31</v>
      </c>
      <c r="AK323" s="463">
        <v>32</v>
      </c>
      <c r="AL323" s="463">
        <v>33</v>
      </c>
      <c r="AM323" s="463">
        <v>34</v>
      </c>
      <c r="AN323" s="463">
        <v>35</v>
      </c>
      <c r="AO323" s="463">
        <v>36</v>
      </c>
      <c r="AP323" s="463">
        <v>37</v>
      </c>
      <c r="AQ323" s="463">
        <v>38</v>
      </c>
      <c r="AR323" s="463">
        <v>39</v>
      </c>
      <c r="AS323" s="463">
        <v>40</v>
      </c>
      <c r="AT323" s="463">
        <v>41</v>
      </c>
      <c r="AU323" s="463">
        <v>42</v>
      </c>
      <c r="AV323" s="463">
        <v>43</v>
      </c>
      <c r="AW323" s="463">
        <v>44</v>
      </c>
      <c r="AX323" s="463">
        <v>45</v>
      </c>
      <c r="AY323" s="463">
        <v>46</v>
      </c>
      <c r="AZ323" s="463">
        <v>47</v>
      </c>
      <c r="BA323" s="463">
        <v>48</v>
      </c>
      <c r="BB323" s="463">
        <v>49</v>
      </c>
      <c r="BC323" s="463">
        <v>50</v>
      </c>
      <c r="BD323" s="463">
        <v>51</v>
      </c>
      <c r="BE323" s="463">
        <v>52</v>
      </c>
      <c r="BF323" s="463">
        <v>53</v>
      </c>
      <c r="BG323" s="463">
        <v>54</v>
      </c>
      <c r="BH323" s="463">
        <v>55</v>
      </c>
      <c r="BI323" s="463">
        <v>56</v>
      </c>
      <c r="BJ323" s="463">
        <v>57</v>
      </c>
      <c r="BK323" s="463">
        <v>58</v>
      </c>
      <c r="BL323" s="463">
        <v>59</v>
      </c>
      <c r="BN323" s="463">
        <v>60</v>
      </c>
      <c r="BO323" s="463">
        <v>61</v>
      </c>
      <c r="BP323" s="463">
        <v>62</v>
      </c>
      <c r="BQ323" s="463">
        <v>63</v>
      </c>
      <c r="BS323" s="463">
        <v>64</v>
      </c>
      <c r="BT323" s="463">
        <v>65</v>
      </c>
      <c r="BU323" s="463">
        <v>66</v>
      </c>
      <c r="BV323" s="463">
        <v>67</v>
      </c>
    </row>
    <row r="324" spans="4:74" x14ac:dyDescent="0.2">
      <c r="E324" s="463" t="s">
        <v>230</v>
      </c>
      <c r="F324" s="463">
        <v>24</v>
      </c>
      <c r="G324" s="463">
        <v>44</v>
      </c>
      <c r="H324" s="463">
        <v>52</v>
      </c>
      <c r="I324" s="463">
        <v>12</v>
      </c>
      <c r="J324" s="463">
        <v>62</v>
      </c>
      <c r="K324" s="463">
        <v>4</v>
      </c>
      <c r="L324" s="463">
        <v>55</v>
      </c>
      <c r="M324" s="463">
        <v>37</v>
      </c>
      <c r="N324" s="463">
        <v>23</v>
      </c>
      <c r="O324" s="463">
        <v>17</v>
      </c>
      <c r="P324" s="463">
        <v>14</v>
      </c>
      <c r="Q324" s="463">
        <v>8</v>
      </c>
      <c r="R324" s="463">
        <v>22</v>
      </c>
      <c r="S324" s="463">
        <v>51</v>
      </c>
      <c r="T324" s="463">
        <v>31</v>
      </c>
      <c r="U324" s="463">
        <v>29</v>
      </c>
      <c r="V324" s="463">
        <v>38</v>
      </c>
      <c r="W324" s="463">
        <v>25</v>
      </c>
      <c r="X324" s="463">
        <v>6</v>
      </c>
      <c r="Y324" s="463">
        <v>64</v>
      </c>
      <c r="Z324" s="463">
        <v>34</v>
      </c>
      <c r="AA324" s="463">
        <v>45</v>
      </c>
      <c r="AB324" s="463">
        <v>47</v>
      </c>
      <c r="AC324" s="463">
        <v>21</v>
      </c>
      <c r="AD324" s="463">
        <v>36</v>
      </c>
      <c r="AE324" s="463">
        <v>63</v>
      </c>
      <c r="AF324" s="463">
        <v>33</v>
      </c>
      <c r="AG324" s="463">
        <v>54</v>
      </c>
      <c r="AH324" s="463">
        <v>3</v>
      </c>
      <c r="AI324" s="463">
        <v>56</v>
      </c>
      <c r="AJ324" s="463">
        <v>15</v>
      </c>
      <c r="AK324" s="463">
        <v>66</v>
      </c>
      <c r="AL324" s="463">
        <v>61</v>
      </c>
      <c r="AM324" s="463">
        <v>32</v>
      </c>
      <c r="AN324" s="463">
        <v>46</v>
      </c>
      <c r="AO324" s="463">
        <v>9</v>
      </c>
      <c r="AP324" s="463">
        <v>67</v>
      </c>
      <c r="AQ324" s="463">
        <v>59</v>
      </c>
      <c r="AR324" s="463">
        <v>41</v>
      </c>
      <c r="AS324" s="463">
        <v>1</v>
      </c>
      <c r="AT324" s="463">
        <v>35</v>
      </c>
      <c r="AU324" s="463">
        <v>48</v>
      </c>
      <c r="AV324" s="463">
        <v>65</v>
      </c>
      <c r="AW324" s="463">
        <v>2</v>
      </c>
      <c r="AX324" s="463">
        <v>26</v>
      </c>
      <c r="AY324" s="463">
        <v>10</v>
      </c>
      <c r="AZ324" s="463">
        <v>20</v>
      </c>
      <c r="BA324" s="463">
        <v>57</v>
      </c>
      <c r="BB324" s="463">
        <v>53</v>
      </c>
      <c r="BC324" s="463">
        <v>60</v>
      </c>
      <c r="BD324" s="463">
        <v>40</v>
      </c>
      <c r="BE324" s="463">
        <v>49</v>
      </c>
      <c r="BF324" s="463">
        <v>42</v>
      </c>
      <c r="BG324" s="463">
        <v>28</v>
      </c>
      <c r="BH324" s="463">
        <v>58</v>
      </c>
      <c r="BI324" s="463">
        <v>30</v>
      </c>
      <c r="BJ324" s="463">
        <v>18</v>
      </c>
      <c r="BK324" s="463">
        <v>50</v>
      </c>
      <c r="BL324" s="463">
        <v>11</v>
      </c>
      <c r="BN324" s="463">
        <v>19</v>
      </c>
      <c r="BO324" s="463">
        <v>13</v>
      </c>
      <c r="BP324" s="463">
        <v>27</v>
      </c>
      <c r="BQ324" s="463">
        <v>7</v>
      </c>
      <c r="BS324" s="463">
        <v>5</v>
      </c>
      <c r="BT324" s="463">
        <v>43</v>
      </c>
      <c r="BU324" s="463">
        <v>39</v>
      </c>
      <c r="BV324" s="463">
        <v>16</v>
      </c>
    </row>
    <row r="327" spans="4:74" x14ac:dyDescent="0.2">
      <c r="D327" s="307">
        <v>68</v>
      </c>
      <c r="E327" s="307" t="s">
        <v>248</v>
      </c>
    </row>
    <row r="328" spans="4:74" x14ac:dyDescent="0.2">
      <c r="E328" s="463" t="s">
        <v>196</v>
      </c>
      <c r="F328" s="463">
        <v>1</v>
      </c>
      <c r="G328" s="463">
        <v>2</v>
      </c>
      <c r="H328" s="463">
        <v>3</v>
      </c>
      <c r="I328" s="463">
        <v>4</v>
      </c>
      <c r="J328" s="463">
        <v>5</v>
      </c>
      <c r="K328" s="463">
        <v>6</v>
      </c>
      <c r="L328" s="463">
        <v>7</v>
      </c>
      <c r="M328" s="463">
        <v>8</v>
      </c>
      <c r="N328" s="463">
        <v>9</v>
      </c>
      <c r="O328" s="463">
        <v>10</v>
      </c>
      <c r="P328" s="463">
        <v>11</v>
      </c>
      <c r="Q328" s="463">
        <v>12</v>
      </c>
      <c r="R328" s="463">
        <v>13</v>
      </c>
      <c r="S328" s="463">
        <v>14</v>
      </c>
      <c r="T328" s="463">
        <v>15</v>
      </c>
      <c r="U328" s="463">
        <v>16</v>
      </c>
      <c r="V328" s="463">
        <v>17</v>
      </c>
      <c r="W328" s="463">
        <v>18</v>
      </c>
      <c r="X328" s="463">
        <v>19</v>
      </c>
      <c r="Y328" s="463">
        <v>20</v>
      </c>
      <c r="Z328" s="463">
        <v>21</v>
      </c>
      <c r="AA328" s="463">
        <v>22</v>
      </c>
      <c r="AB328" s="463">
        <v>23</v>
      </c>
      <c r="AC328" s="463">
        <v>24</v>
      </c>
      <c r="AD328" s="463">
        <v>25</v>
      </c>
      <c r="AE328" s="463">
        <v>26</v>
      </c>
      <c r="AF328" s="463">
        <v>27</v>
      </c>
      <c r="AG328" s="463">
        <v>28</v>
      </c>
      <c r="AH328" s="463">
        <v>29</v>
      </c>
      <c r="AI328" s="463">
        <v>30</v>
      </c>
      <c r="AJ328" s="463">
        <v>31</v>
      </c>
      <c r="AK328" s="463">
        <v>32</v>
      </c>
      <c r="AL328" s="463">
        <v>33</v>
      </c>
      <c r="AM328" s="463">
        <v>34</v>
      </c>
      <c r="AN328" s="463">
        <v>35</v>
      </c>
      <c r="AO328" s="463">
        <v>36</v>
      </c>
      <c r="AP328" s="463">
        <v>37</v>
      </c>
      <c r="AQ328" s="463">
        <v>38</v>
      </c>
      <c r="AR328" s="463">
        <v>39</v>
      </c>
      <c r="AS328" s="463">
        <v>40</v>
      </c>
      <c r="AT328" s="463">
        <v>41</v>
      </c>
      <c r="AU328" s="463">
        <v>42</v>
      </c>
      <c r="AV328" s="463">
        <v>43</v>
      </c>
      <c r="AW328" s="463">
        <v>44</v>
      </c>
      <c r="AX328" s="463">
        <v>45</v>
      </c>
      <c r="AY328" s="463">
        <v>46</v>
      </c>
      <c r="AZ328" s="463">
        <v>47</v>
      </c>
      <c r="BA328" s="463">
        <v>48</v>
      </c>
      <c r="BB328" s="463">
        <v>49</v>
      </c>
      <c r="BC328" s="463">
        <v>50</v>
      </c>
      <c r="BD328" s="463">
        <v>51</v>
      </c>
      <c r="BE328" s="463">
        <v>52</v>
      </c>
      <c r="BF328" s="463">
        <v>53</v>
      </c>
      <c r="BG328" s="463">
        <v>54</v>
      </c>
      <c r="BH328" s="463">
        <v>55</v>
      </c>
      <c r="BI328" s="463">
        <v>56</v>
      </c>
      <c r="BJ328" s="463">
        <v>57</v>
      </c>
      <c r="BK328" s="463">
        <v>58</v>
      </c>
      <c r="BL328" s="463">
        <v>59</v>
      </c>
      <c r="BM328" s="463">
        <v>60</v>
      </c>
      <c r="BN328" s="463">
        <v>61</v>
      </c>
      <c r="BO328" s="463">
        <v>62</v>
      </c>
      <c r="BP328" s="463">
        <v>63</v>
      </c>
      <c r="BQ328" s="463">
        <v>64</v>
      </c>
      <c r="BS328" s="463">
        <v>65</v>
      </c>
      <c r="BT328" s="463">
        <v>66</v>
      </c>
      <c r="BU328" s="463">
        <v>67</v>
      </c>
      <c r="BV328" s="463">
        <v>68</v>
      </c>
    </row>
    <row r="329" spans="4:74" x14ac:dyDescent="0.2">
      <c r="E329" s="463" t="s">
        <v>230</v>
      </c>
      <c r="F329" s="463">
        <v>19</v>
      </c>
      <c r="G329" s="463">
        <v>8</v>
      </c>
      <c r="H329" s="463">
        <v>57</v>
      </c>
      <c r="I329" s="463">
        <v>61</v>
      </c>
      <c r="J329" s="463">
        <v>31</v>
      </c>
      <c r="K329" s="463">
        <v>44</v>
      </c>
      <c r="L329" s="463">
        <v>64</v>
      </c>
      <c r="M329" s="463">
        <v>15</v>
      </c>
      <c r="N329" s="463">
        <v>2</v>
      </c>
      <c r="O329" s="463">
        <v>47</v>
      </c>
      <c r="P329" s="463">
        <v>39</v>
      </c>
      <c r="Q329" s="463">
        <v>28</v>
      </c>
      <c r="R329" s="463">
        <v>5</v>
      </c>
      <c r="S329" s="463">
        <v>33</v>
      </c>
      <c r="T329" s="463">
        <v>67</v>
      </c>
      <c r="U329" s="463">
        <v>34</v>
      </c>
      <c r="V329" s="463">
        <v>59</v>
      </c>
      <c r="W329" s="463">
        <v>4</v>
      </c>
      <c r="X329" s="463">
        <v>63</v>
      </c>
      <c r="Y329" s="463">
        <v>21</v>
      </c>
      <c r="Z329" s="463">
        <v>20</v>
      </c>
      <c r="AA329" s="463">
        <v>54</v>
      </c>
      <c r="AB329" s="463">
        <v>22</v>
      </c>
      <c r="AC329" s="463">
        <v>46</v>
      </c>
      <c r="AD329" s="463">
        <v>11</v>
      </c>
      <c r="AE329" s="463">
        <v>50</v>
      </c>
      <c r="AF329" s="463">
        <v>13</v>
      </c>
      <c r="AG329" s="463">
        <v>27</v>
      </c>
      <c r="AH329" s="463">
        <v>53</v>
      </c>
      <c r="AI329" s="463">
        <v>41</v>
      </c>
      <c r="AJ329" s="463">
        <v>29</v>
      </c>
      <c r="AK329" s="463">
        <v>49</v>
      </c>
      <c r="AL329" s="463">
        <v>14</v>
      </c>
      <c r="AM329" s="463">
        <v>36</v>
      </c>
      <c r="AN329" s="463">
        <v>1</v>
      </c>
      <c r="AO329" s="463">
        <v>55</v>
      </c>
      <c r="AP329" s="463">
        <v>48</v>
      </c>
      <c r="AQ329" s="463">
        <v>42</v>
      </c>
      <c r="AR329" s="463">
        <v>65</v>
      </c>
      <c r="AS329" s="463">
        <v>56</v>
      </c>
      <c r="AT329" s="463">
        <v>30</v>
      </c>
      <c r="AU329" s="463">
        <v>23</v>
      </c>
      <c r="AV329" s="463">
        <v>62</v>
      </c>
      <c r="AW329" s="463">
        <v>6</v>
      </c>
      <c r="AX329" s="463">
        <v>38</v>
      </c>
      <c r="AY329" s="463">
        <v>68</v>
      </c>
      <c r="AZ329" s="463">
        <v>10</v>
      </c>
      <c r="BA329" s="463">
        <v>37</v>
      </c>
      <c r="BB329" s="463">
        <v>26</v>
      </c>
      <c r="BC329" s="463">
        <v>16</v>
      </c>
      <c r="BD329" s="463">
        <v>60</v>
      </c>
      <c r="BE329" s="463">
        <v>3</v>
      </c>
      <c r="BF329" s="463">
        <v>12</v>
      </c>
      <c r="BG329" s="463">
        <v>66</v>
      </c>
      <c r="BH329" s="463">
        <v>17</v>
      </c>
      <c r="BI329" s="463">
        <v>24</v>
      </c>
      <c r="BJ329" s="463">
        <v>40</v>
      </c>
      <c r="BK329" s="463">
        <v>9</v>
      </c>
      <c r="BL329" s="463">
        <v>43</v>
      </c>
      <c r="BM329" s="463">
        <v>51</v>
      </c>
      <c r="BN329" s="463">
        <v>45</v>
      </c>
      <c r="BO329" s="463">
        <v>25</v>
      </c>
      <c r="BP329" s="463">
        <v>32</v>
      </c>
      <c r="BQ329" s="463">
        <v>7</v>
      </c>
      <c r="BS329" s="463">
        <v>35</v>
      </c>
      <c r="BT329" s="463">
        <v>58</v>
      </c>
      <c r="BU329" s="463">
        <v>52</v>
      </c>
      <c r="BV329" s="463">
        <v>18</v>
      </c>
    </row>
    <row r="332" spans="4:74" x14ac:dyDescent="0.2">
      <c r="D332" s="307">
        <v>69</v>
      </c>
      <c r="E332" s="307" t="s">
        <v>248</v>
      </c>
    </row>
    <row r="333" spans="4:74" x14ac:dyDescent="0.2">
      <c r="E333" s="463" t="s">
        <v>196</v>
      </c>
      <c r="F333" s="463">
        <v>1</v>
      </c>
      <c r="G333" s="463">
        <v>2</v>
      </c>
      <c r="H333" s="463">
        <v>3</v>
      </c>
      <c r="I333" s="463">
        <v>4</v>
      </c>
      <c r="J333" s="463">
        <v>5</v>
      </c>
      <c r="K333" s="463">
        <v>6</v>
      </c>
      <c r="L333" s="463">
        <v>7</v>
      </c>
      <c r="M333" s="463">
        <v>8</v>
      </c>
      <c r="N333" s="463">
        <v>9</v>
      </c>
      <c r="O333" s="463">
        <v>10</v>
      </c>
      <c r="P333" s="463">
        <v>11</v>
      </c>
      <c r="Q333" s="463">
        <v>12</v>
      </c>
      <c r="R333" s="463">
        <v>13</v>
      </c>
      <c r="S333" s="463">
        <v>14</v>
      </c>
      <c r="T333" s="463">
        <v>15</v>
      </c>
      <c r="U333" s="463">
        <v>16</v>
      </c>
      <c r="V333" s="463">
        <v>17</v>
      </c>
      <c r="W333" s="463">
        <v>18</v>
      </c>
      <c r="X333" s="463">
        <v>19</v>
      </c>
      <c r="Y333" s="463">
        <v>20</v>
      </c>
      <c r="Z333" s="463">
        <v>21</v>
      </c>
      <c r="AA333" s="463">
        <v>22</v>
      </c>
      <c r="AB333" s="463">
        <v>23</v>
      </c>
      <c r="AC333" s="463">
        <v>24</v>
      </c>
      <c r="AD333" s="463">
        <v>25</v>
      </c>
      <c r="AE333" s="463">
        <v>26</v>
      </c>
      <c r="AF333" s="463">
        <v>27</v>
      </c>
      <c r="AG333" s="463">
        <v>28</v>
      </c>
      <c r="AH333" s="463">
        <v>29</v>
      </c>
      <c r="AI333" s="463">
        <v>30</v>
      </c>
      <c r="AJ333" s="463">
        <v>31</v>
      </c>
      <c r="AK333" s="463">
        <v>32</v>
      </c>
      <c r="AL333" s="463">
        <v>33</v>
      </c>
      <c r="AM333" s="463">
        <v>34</v>
      </c>
      <c r="AN333" s="463">
        <v>35</v>
      </c>
      <c r="AO333" s="463">
        <v>36</v>
      </c>
      <c r="AP333" s="463">
        <v>37</v>
      </c>
      <c r="AQ333" s="463">
        <v>38</v>
      </c>
      <c r="AR333" s="463">
        <v>39</v>
      </c>
      <c r="AS333" s="463">
        <v>40</v>
      </c>
      <c r="AT333" s="463">
        <v>41</v>
      </c>
      <c r="AU333" s="463">
        <v>42</v>
      </c>
      <c r="AV333" s="463">
        <v>43</v>
      </c>
      <c r="AW333" s="463">
        <v>44</v>
      </c>
      <c r="AX333" s="463">
        <v>45</v>
      </c>
      <c r="AY333" s="463">
        <v>46</v>
      </c>
      <c r="AZ333" s="463">
        <v>47</v>
      </c>
      <c r="BA333" s="463">
        <v>48</v>
      </c>
      <c r="BB333" s="463">
        <v>49</v>
      </c>
      <c r="BC333" s="463">
        <v>50</v>
      </c>
      <c r="BD333" s="463">
        <v>51</v>
      </c>
      <c r="BE333" s="463">
        <v>52</v>
      </c>
      <c r="BF333" s="463">
        <v>53</v>
      </c>
      <c r="BG333" s="463">
        <v>54</v>
      </c>
      <c r="BH333" s="463">
        <v>55</v>
      </c>
      <c r="BI333" s="463">
        <v>56</v>
      </c>
      <c r="BJ333" s="463">
        <v>57</v>
      </c>
      <c r="BK333" s="463">
        <v>58</v>
      </c>
      <c r="BL333" s="463">
        <v>59</v>
      </c>
      <c r="BM333" s="463">
        <v>60</v>
      </c>
      <c r="BN333" s="463">
        <v>61</v>
      </c>
      <c r="BO333" s="463">
        <v>62</v>
      </c>
      <c r="BP333" s="463">
        <v>63</v>
      </c>
      <c r="BQ333" s="463">
        <v>64</v>
      </c>
      <c r="BR333" s="463">
        <v>65</v>
      </c>
      <c r="BS333" s="463">
        <v>66</v>
      </c>
      <c r="BT333" s="463">
        <v>67</v>
      </c>
      <c r="BU333" s="463">
        <v>68</v>
      </c>
      <c r="BV333" s="463">
        <v>69</v>
      </c>
    </row>
    <row r="334" spans="4:74" x14ac:dyDescent="0.2">
      <c r="E334" s="463" t="s">
        <v>230</v>
      </c>
      <c r="F334" s="463">
        <v>40</v>
      </c>
      <c r="G334" s="463">
        <v>30</v>
      </c>
      <c r="H334" s="463">
        <v>67</v>
      </c>
      <c r="I334" s="463">
        <v>1</v>
      </c>
      <c r="J334" s="463">
        <v>18</v>
      </c>
      <c r="K334" s="463">
        <v>69</v>
      </c>
      <c r="L334" s="463">
        <v>20</v>
      </c>
      <c r="M334" s="463">
        <v>10</v>
      </c>
      <c r="N334" s="463">
        <v>52</v>
      </c>
      <c r="O334" s="463">
        <v>46</v>
      </c>
      <c r="P334" s="463">
        <v>5</v>
      </c>
      <c r="Q334" s="463">
        <v>28</v>
      </c>
      <c r="R334" s="463">
        <v>54</v>
      </c>
      <c r="S334" s="463">
        <v>61</v>
      </c>
      <c r="T334" s="463">
        <v>6</v>
      </c>
      <c r="U334" s="463">
        <v>64</v>
      </c>
      <c r="V334" s="463">
        <v>23</v>
      </c>
      <c r="W334" s="463">
        <v>12</v>
      </c>
      <c r="X334" s="463">
        <v>58</v>
      </c>
      <c r="Y334" s="463">
        <v>7</v>
      </c>
      <c r="Z334" s="463">
        <v>19</v>
      </c>
      <c r="AA334" s="463">
        <v>48</v>
      </c>
      <c r="AB334" s="463">
        <v>22</v>
      </c>
      <c r="AC334" s="463">
        <v>33</v>
      </c>
      <c r="AD334" s="463">
        <v>68</v>
      </c>
      <c r="AE334" s="463">
        <v>9</v>
      </c>
      <c r="AF334" s="463">
        <v>60</v>
      </c>
      <c r="AG334" s="463">
        <v>17</v>
      </c>
      <c r="AH334" s="463">
        <v>38</v>
      </c>
      <c r="AI334" s="463">
        <v>42</v>
      </c>
      <c r="AJ334" s="463">
        <v>15</v>
      </c>
      <c r="AK334" s="463">
        <v>3</v>
      </c>
      <c r="AL334" s="463">
        <v>62</v>
      </c>
      <c r="AM334" s="463">
        <v>51</v>
      </c>
      <c r="AN334" s="463">
        <v>32</v>
      </c>
      <c r="AO334" s="463">
        <v>59</v>
      </c>
      <c r="AP334" s="463">
        <v>43</v>
      </c>
      <c r="AQ334" s="463">
        <v>24</v>
      </c>
      <c r="AR334" s="463">
        <v>8</v>
      </c>
      <c r="AS334" s="463">
        <v>31</v>
      </c>
      <c r="AT334" s="463">
        <v>14</v>
      </c>
      <c r="AU334" s="463">
        <v>55</v>
      </c>
      <c r="AV334" s="463">
        <v>27</v>
      </c>
      <c r="AW334" s="463">
        <v>41</v>
      </c>
      <c r="AX334" s="463">
        <v>56</v>
      </c>
      <c r="AY334" s="463">
        <v>50</v>
      </c>
      <c r="AZ334" s="463">
        <v>13</v>
      </c>
      <c r="BA334" s="463">
        <v>35</v>
      </c>
      <c r="BB334" s="463">
        <v>16</v>
      </c>
      <c r="BC334" s="463">
        <v>37</v>
      </c>
      <c r="BD334" s="463">
        <v>4</v>
      </c>
      <c r="BE334" s="463">
        <v>44</v>
      </c>
      <c r="BF334" s="463">
        <v>47</v>
      </c>
      <c r="BG334" s="463">
        <v>11</v>
      </c>
      <c r="BH334" s="463">
        <v>26</v>
      </c>
      <c r="BI334" s="463">
        <v>45</v>
      </c>
      <c r="BJ334" s="463">
        <v>39</v>
      </c>
      <c r="BK334" s="463">
        <v>2</v>
      </c>
      <c r="BL334" s="463">
        <v>21</v>
      </c>
      <c r="BM334" s="463">
        <v>66</v>
      </c>
      <c r="BN334" s="463">
        <v>29</v>
      </c>
      <c r="BO334" s="463">
        <v>34</v>
      </c>
      <c r="BP334" s="463">
        <v>49</v>
      </c>
      <c r="BQ334" s="463">
        <v>63</v>
      </c>
      <c r="BR334" s="463">
        <v>57</v>
      </c>
      <c r="BS334" s="463">
        <v>65</v>
      </c>
      <c r="BT334" s="463">
        <v>53</v>
      </c>
      <c r="BU334" s="463">
        <v>25</v>
      </c>
      <c r="BV334" s="463">
        <v>36</v>
      </c>
    </row>
    <row r="337" spans="4:79" x14ac:dyDescent="0.2">
      <c r="D337" s="307">
        <v>70</v>
      </c>
      <c r="E337" s="307" t="s">
        <v>248</v>
      </c>
    </row>
    <row r="338" spans="4:79" x14ac:dyDescent="0.2">
      <c r="E338" s="463" t="s">
        <v>196</v>
      </c>
      <c r="F338" s="463">
        <v>1</v>
      </c>
      <c r="G338" s="463">
        <v>2</v>
      </c>
      <c r="H338" s="463">
        <v>3</v>
      </c>
      <c r="I338" s="463">
        <v>4</v>
      </c>
      <c r="J338" s="463">
        <v>5</v>
      </c>
      <c r="K338" s="463">
        <v>6</v>
      </c>
      <c r="L338" s="463">
        <v>7</v>
      </c>
      <c r="M338" s="463">
        <v>8</v>
      </c>
      <c r="N338" s="463">
        <v>9</v>
      </c>
      <c r="O338" s="463">
        <v>10</v>
      </c>
      <c r="P338" s="463">
        <v>11</v>
      </c>
      <c r="Q338" s="463">
        <v>12</v>
      </c>
      <c r="R338" s="463">
        <v>13</v>
      </c>
      <c r="S338" s="463">
        <v>14</v>
      </c>
      <c r="T338" s="463">
        <v>15</v>
      </c>
      <c r="U338" s="463">
        <v>16</v>
      </c>
      <c r="V338" s="463">
        <v>17</v>
      </c>
      <c r="W338" s="463">
        <v>18</v>
      </c>
      <c r="X338" s="463">
        <v>19</v>
      </c>
      <c r="Y338" s="463">
        <v>20</v>
      </c>
      <c r="Z338" s="463">
        <v>21</v>
      </c>
      <c r="AA338" s="463">
        <v>22</v>
      </c>
      <c r="AB338" s="463">
        <v>23</v>
      </c>
      <c r="AC338" s="463">
        <v>24</v>
      </c>
      <c r="AD338" s="463">
        <v>25</v>
      </c>
      <c r="AE338" s="463">
        <v>26</v>
      </c>
      <c r="AF338" s="463">
        <v>27</v>
      </c>
      <c r="AG338" s="463">
        <v>28</v>
      </c>
      <c r="AH338" s="463">
        <v>29</v>
      </c>
      <c r="AI338" s="463">
        <v>30</v>
      </c>
      <c r="AJ338" s="463">
        <v>31</v>
      </c>
      <c r="AK338" s="463">
        <v>32</v>
      </c>
      <c r="AL338" s="463">
        <v>33</v>
      </c>
      <c r="AM338" s="463">
        <v>34</v>
      </c>
      <c r="AN338" s="463">
        <v>35</v>
      </c>
      <c r="AO338" s="463">
        <v>36</v>
      </c>
      <c r="AP338" s="463">
        <v>37</v>
      </c>
      <c r="AQ338" s="463">
        <v>38</v>
      </c>
      <c r="AR338" s="463">
        <v>39</v>
      </c>
      <c r="AS338" s="463">
        <v>40</v>
      </c>
      <c r="AT338" s="463">
        <v>41</v>
      </c>
      <c r="AU338" s="463">
        <v>42</v>
      </c>
      <c r="AV338" s="463">
        <v>43</v>
      </c>
      <c r="AW338" s="463">
        <v>44</v>
      </c>
      <c r="AX338" s="463">
        <v>45</v>
      </c>
      <c r="AY338" s="463">
        <v>46</v>
      </c>
      <c r="AZ338" s="463">
        <v>47</v>
      </c>
      <c r="BA338" s="463">
        <v>48</v>
      </c>
      <c r="BB338" s="463">
        <v>49</v>
      </c>
      <c r="BC338" s="463">
        <v>50</v>
      </c>
      <c r="BD338" s="463">
        <v>51</v>
      </c>
      <c r="BE338" s="463">
        <v>52</v>
      </c>
      <c r="BF338" s="463">
        <v>53</v>
      </c>
      <c r="BG338" s="463">
        <v>54</v>
      </c>
      <c r="BH338" s="463">
        <v>55</v>
      </c>
      <c r="BI338" s="463">
        <v>56</v>
      </c>
      <c r="BJ338" s="463">
        <v>57</v>
      </c>
      <c r="BK338" s="463">
        <v>58</v>
      </c>
      <c r="BL338" s="463">
        <v>59</v>
      </c>
      <c r="BM338" s="463">
        <v>60</v>
      </c>
      <c r="BN338" s="463">
        <v>61</v>
      </c>
      <c r="BO338" s="463">
        <v>62</v>
      </c>
      <c r="BP338" s="463">
        <v>63</v>
      </c>
      <c r="BQ338" s="463">
        <v>64</v>
      </c>
      <c r="BR338" s="463">
        <v>65</v>
      </c>
      <c r="BS338" s="463">
        <v>66</v>
      </c>
      <c r="BT338" s="463">
        <v>67</v>
      </c>
      <c r="BU338" s="463">
        <v>68</v>
      </c>
      <c r="BV338" s="463">
        <v>69</v>
      </c>
      <c r="BW338" s="463">
        <v>70</v>
      </c>
    </row>
    <row r="339" spans="4:79" x14ac:dyDescent="0.2">
      <c r="E339" s="463" t="s">
        <v>230</v>
      </c>
      <c r="F339" s="463">
        <v>40</v>
      </c>
      <c r="G339" s="463">
        <v>53</v>
      </c>
      <c r="H339" s="463">
        <v>9</v>
      </c>
      <c r="I339" s="463">
        <v>18</v>
      </c>
      <c r="J339" s="463">
        <v>67</v>
      </c>
      <c r="K339" s="463">
        <v>50</v>
      </c>
      <c r="L339" s="463">
        <v>69</v>
      </c>
      <c r="M339" s="463">
        <v>52</v>
      </c>
      <c r="N339" s="463">
        <v>61</v>
      </c>
      <c r="O339" s="463">
        <v>37</v>
      </c>
      <c r="P339" s="463">
        <v>55</v>
      </c>
      <c r="Q339" s="463">
        <v>43</v>
      </c>
      <c r="R339" s="463">
        <v>17</v>
      </c>
      <c r="S339" s="463">
        <v>13</v>
      </c>
      <c r="T339" s="463">
        <v>48</v>
      </c>
      <c r="U339" s="463">
        <v>54</v>
      </c>
      <c r="V339" s="463">
        <v>8</v>
      </c>
      <c r="W339" s="463">
        <v>42</v>
      </c>
      <c r="X339" s="463">
        <v>57</v>
      </c>
      <c r="Y339" s="463">
        <v>32</v>
      </c>
      <c r="Z339" s="463">
        <v>10</v>
      </c>
      <c r="AA339" s="463">
        <v>29</v>
      </c>
      <c r="AB339" s="463">
        <v>12</v>
      </c>
      <c r="AC339" s="463">
        <v>41</v>
      </c>
      <c r="AD339" s="463">
        <v>66</v>
      </c>
      <c r="AE339" s="463">
        <v>4</v>
      </c>
      <c r="AF339" s="463">
        <v>23</v>
      </c>
      <c r="AG339" s="463">
        <v>59</v>
      </c>
      <c r="AH339" s="463">
        <v>38</v>
      </c>
      <c r="AI339" s="463">
        <v>46</v>
      </c>
      <c r="AJ339" s="463">
        <v>34</v>
      </c>
      <c r="AK339" s="463">
        <v>60</v>
      </c>
      <c r="AL339" s="463">
        <v>25</v>
      </c>
      <c r="AM339" s="463">
        <v>68</v>
      </c>
      <c r="AN339" s="463">
        <v>11</v>
      </c>
      <c r="AO339" s="463">
        <v>35</v>
      </c>
      <c r="AP339" s="463">
        <v>14</v>
      </c>
      <c r="AQ339" s="463">
        <v>62</v>
      </c>
      <c r="AR339" s="463">
        <v>36</v>
      </c>
      <c r="AS339" s="463">
        <v>1</v>
      </c>
      <c r="AT339" s="463">
        <v>44</v>
      </c>
      <c r="AU339" s="463">
        <v>70</v>
      </c>
      <c r="AV339" s="463">
        <v>24</v>
      </c>
      <c r="AW339" s="463">
        <v>26</v>
      </c>
      <c r="AX339" s="463">
        <v>58</v>
      </c>
      <c r="AY339" s="463">
        <v>39</v>
      </c>
      <c r="AZ339" s="463">
        <v>63</v>
      </c>
      <c r="BA339" s="463">
        <v>27</v>
      </c>
      <c r="BB339" s="463">
        <v>56</v>
      </c>
      <c r="BC339" s="463">
        <v>31</v>
      </c>
      <c r="BD339" s="463">
        <v>5</v>
      </c>
      <c r="BE339" s="463">
        <v>30</v>
      </c>
      <c r="BF339" s="463">
        <v>65</v>
      </c>
      <c r="BG339" s="463">
        <v>6</v>
      </c>
      <c r="BH339" s="463">
        <v>21</v>
      </c>
      <c r="BI339" s="463">
        <v>49</v>
      </c>
      <c r="BJ339" s="463">
        <v>33</v>
      </c>
      <c r="BK339" s="463">
        <v>20</v>
      </c>
      <c r="BL339" s="463">
        <v>2</v>
      </c>
      <c r="BM339" s="463">
        <v>7</v>
      </c>
      <c r="BN339" s="463">
        <v>45</v>
      </c>
      <c r="BO339" s="463">
        <v>3</v>
      </c>
      <c r="BP339" s="463">
        <v>64</v>
      </c>
      <c r="BQ339" s="463">
        <v>16</v>
      </c>
      <c r="BR339" s="463">
        <v>28</v>
      </c>
      <c r="BS339" s="463">
        <v>19</v>
      </c>
      <c r="BT339" s="463">
        <v>15</v>
      </c>
      <c r="BU339" s="463">
        <v>47</v>
      </c>
      <c r="BV339" s="463">
        <v>51</v>
      </c>
      <c r="BW339" s="463">
        <v>22</v>
      </c>
    </row>
    <row r="342" spans="4:79" x14ac:dyDescent="0.2">
      <c r="D342" s="307">
        <v>71</v>
      </c>
      <c r="E342" s="307" t="s">
        <v>248</v>
      </c>
    </row>
    <row r="343" spans="4:79" x14ac:dyDescent="0.2">
      <c r="E343" s="463" t="s">
        <v>196</v>
      </c>
      <c r="F343" s="463">
        <v>1</v>
      </c>
      <c r="G343" s="463">
        <v>2</v>
      </c>
      <c r="H343" s="463">
        <v>3</v>
      </c>
      <c r="I343" s="463">
        <v>4</v>
      </c>
      <c r="J343" s="463">
        <v>5</v>
      </c>
      <c r="K343" s="463">
        <v>6</v>
      </c>
      <c r="L343" s="463">
        <v>7</v>
      </c>
      <c r="M343" s="463">
        <v>8</v>
      </c>
      <c r="N343" s="463">
        <v>9</v>
      </c>
      <c r="O343" s="463">
        <v>10</v>
      </c>
      <c r="P343" s="463">
        <v>11</v>
      </c>
      <c r="Q343" s="463">
        <v>12</v>
      </c>
      <c r="R343" s="463">
        <v>13</v>
      </c>
      <c r="S343" s="463">
        <v>14</v>
      </c>
      <c r="T343" s="463">
        <v>15</v>
      </c>
      <c r="U343" s="463">
        <v>16</v>
      </c>
      <c r="V343" s="463">
        <v>17</v>
      </c>
      <c r="W343" s="463">
        <v>18</v>
      </c>
      <c r="X343" s="463">
        <v>19</v>
      </c>
      <c r="Y343" s="463">
        <v>20</v>
      </c>
      <c r="Z343" s="463">
        <v>21</v>
      </c>
      <c r="AA343" s="463">
        <v>22</v>
      </c>
      <c r="AB343" s="463">
        <v>23</v>
      </c>
      <c r="AC343" s="463">
        <v>24</v>
      </c>
      <c r="AD343" s="463">
        <v>25</v>
      </c>
      <c r="AE343" s="463">
        <v>26</v>
      </c>
      <c r="AF343" s="463">
        <v>27</v>
      </c>
      <c r="AG343" s="463">
        <v>28</v>
      </c>
      <c r="AH343" s="463">
        <v>29</v>
      </c>
      <c r="AI343" s="463">
        <v>30</v>
      </c>
      <c r="AJ343" s="463">
        <v>31</v>
      </c>
      <c r="AK343" s="463">
        <v>32</v>
      </c>
      <c r="AL343" s="463">
        <v>33</v>
      </c>
      <c r="AM343" s="463">
        <v>34</v>
      </c>
      <c r="AN343" s="463">
        <v>35</v>
      </c>
      <c r="AO343" s="463">
        <v>36</v>
      </c>
      <c r="AP343" s="463">
        <v>37</v>
      </c>
      <c r="AQ343" s="463">
        <v>38</v>
      </c>
      <c r="AR343" s="463">
        <v>39</v>
      </c>
      <c r="AS343" s="463">
        <v>40</v>
      </c>
      <c r="AT343" s="463">
        <v>41</v>
      </c>
      <c r="AU343" s="463">
        <v>42</v>
      </c>
      <c r="AV343" s="463">
        <v>43</v>
      </c>
      <c r="AW343" s="463">
        <v>44</v>
      </c>
      <c r="AX343" s="463">
        <v>45</v>
      </c>
      <c r="AY343" s="463">
        <v>46</v>
      </c>
      <c r="AZ343" s="463">
        <v>47</v>
      </c>
      <c r="BA343" s="463">
        <v>48</v>
      </c>
      <c r="BB343" s="463">
        <v>49</v>
      </c>
      <c r="BC343" s="463">
        <v>50</v>
      </c>
      <c r="BD343" s="463">
        <v>51</v>
      </c>
      <c r="BE343" s="463">
        <v>52</v>
      </c>
      <c r="BF343" s="463">
        <v>53</v>
      </c>
      <c r="BG343" s="463">
        <v>54</v>
      </c>
      <c r="BH343" s="463">
        <v>55</v>
      </c>
      <c r="BI343" s="463">
        <v>56</v>
      </c>
      <c r="BJ343" s="463">
        <v>57</v>
      </c>
      <c r="BK343" s="463">
        <v>58</v>
      </c>
      <c r="BL343" s="463">
        <v>59</v>
      </c>
      <c r="BN343" s="463">
        <v>60</v>
      </c>
      <c r="BO343" s="463">
        <v>61</v>
      </c>
      <c r="BP343" s="463">
        <v>62</v>
      </c>
      <c r="BQ343" s="463">
        <v>63</v>
      </c>
      <c r="BS343" s="463">
        <v>64</v>
      </c>
      <c r="BT343" s="463">
        <v>65</v>
      </c>
      <c r="BU343" s="463">
        <v>66</v>
      </c>
      <c r="BV343" s="463">
        <v>67</v>
      </c>
      <c r="BX343" s="463">
        <v>68</v>
      </c>
      <c r="BY343" s="463">
        <v>69</v>
      </c>
      <c r="BZ343" s="463">
        <v>70</v>
      </c>
      <c r="CA343" s="463">
        <v>71</v>
      </c>
    </row>
    <row r="344" spans="4:79" x14ac:dyDescent="0.2">
      <c r="E344" s="463" t="s">
        <v>230</v>
      </c>
      <c r="F344" s="463">
        <v>24</v>
      </c>
      <c r="G344" s="463">
        <v>48</v>
      </c>
      <c r="H344" s="463">
        <v>44</v>
      </c>
      <c r="I344" s="463">
        <v>64</v>
      </c>
      <c r="J344" s="463">
        <v>16</v>
      </c>
      <c r="K344" s="463">
        <v>71</v>
      </c>
      <c r="L344" s="463">
        <v>58</v>
      </c>
      <c r="M344" s="463">
        <v>20</v>
      </c>
      <c r="N344" s="463">
        <v>46</v>
      </c>
      <c r="O344" s="463">
        <v>36</v>
      </c>
      <c r="P344" s="463">
        <v>55</v>
      </c>
      <c r="Q344" s="463">
        <v>9</v>
      </c>
      <c r="R344" s="463">
        <v>2</v>
      </c>
      <c r="S344" s="463">
        <v>70</v>
      </c>
      <c r="T344" s="463">
        <v>21</v>
      </c>
      <c r="U344" s="463">
        <v>63</v>
      </c>
      <c r="V344" s="463">
        <v>33</v>
      </c>
      <c r="W344" s="463">
        <v>27</v>
      </c>
      <c r="X344" s="463">
        <v>13</v>
      </c>
      <c r="Y344" s="463">
        <v>8</v>
      </c>
      <c r="Z344" s="463">
        <v>39</v>
      </c>
      <c r="AA344" s="463">
        <v>45</v>
      </c>
      <c r="AB344" s="463">
        <v>17</v>
      </c>
      <c r="AC344" s="463">
        <v>61</v>
      </c>
      <c r="AD344" s="463">
        <v>51</v>
      </c>
      <c r="AE344" s="463">
        <v>40</v>
      </c>
      <c r="AF344" s="463">
        <v>67</v>
      </c>
      <c r="AG344" s="463">
        <v>69</v>
      </c>
      <c r="AH344" s="463">
        <v>26</v>
      </c>
      <c r="AI344" s="463">
        <v>53</v>
      </c>
      <c r="AJ344" s="463">
        <v>50</v>
      </c>
      <c r="AK344" s="463">
        <v>59</v>
      </c>
      <c r="AL344" s="463">
        <v>32</v>
      </c>
      <c r="AM344" s="463">
        <v>66</v>
      </c>
      <c r="AN344" s="463">
        <v>60</v>
      </c>
      <c r="AO344" s="463">
        <v>49</v>
      </c>
      <c r="AP344" s="463">
        <v>15</v>
      </c>
      <c r="AQ344" s="463">
        <v>7</v>
      </c>
      <c r="AR344" s="463">
        <v>68</v>
      </c>
      <c r="AS344" s="463">
        <v>62</v>
      </c>
      <c r="AT344" s="463">
        <v>34</v>
      </c>
      <c r="AU344" s="463">
        <v>29</v>
      </c>
      <c r="AV344" s="463">
        <v>47</v>
      </c>
      <c r="AW344" s="463">
        <v>1</v>
      </c>
      <c r="AX344" s="463">
        <v>22</v>
      </c>
      <c r="AY344" s="463">
        <v>14</v>
      </c>
      <c r="AZ344" s="463">
        <v>18</v>
      </c>
      <c r="BA344" s="463">
        <v>57</v>
      </c>
      <c r="BB344" s="463">
        <v>41</v>
      </c>
      <c r="BC344" s="463">
        <v>38</v>
      </c>
      <c r="BD344" s="463">
        <v>19</v>
      </c>
      <c r="BE344" s="463">
        <v>43</v>
      </c>
      <c r="BF344" s="463">
        <v>65</v>
      </c>
      <c r="BG344" s="463">
        <v>56</v>
      </c>
      <c r="BH344" s="463">
        <v>11</v>
      </c>
      <c r="BI344" s="463">
        <v>54</v>
      </c>
      <c r="BJ344" s="463">
        <v>3</v>
      </c>
      <c r="BK344" s="463">
        <v>12</v>
      </c>
      <c r="BL344" s="463">
        <v>6</v>
      </c>
      <c r="BN344" s="463">
        <v>30</v>
      </c>
      <c r="BO344" s="463">
        <v>5</v>
      </c>
      <c r="BP344" s="463">
        <v>37</v>
      </c>
      <c r="BQ344" s="463">
        <v>52</v>
      </c>
      <c r="BS344" s="463">
        <v>35</v>
      </c>
      <c r="BT344" s="463">
        <v>10</v>
      </c>
      <c r="BU344" s="463">
        <v>42</v>
      </c>
      <c r="BV344" s="463">
        <v>23</v>
      </c>
      <c r="BX344" s="463">
        <v>4</v>
      </c>
      <c r="BY344" s="463">
        <v>28</v>
      </c>
      <c r="BZ344" s="463">
        <v>25</v>
      </c>
      <c r="CA344" s="463">
        <v>31</v>
      </c>
    </row>
    <row r="347" spans="4:79" x14ac:dyDescent="0.2">
      <c r="D347" s="307">
        <v>72</v>
      </c>
      <c r="E347" s="307" t="s">
        <v>248</v>
      </c>
    </row>
    <row r="348" spans="4:79" x14ac:dyDescent="0.2">
      <c r="E348" s="463" t="s">
        <v>196</v>
      </c>
      <c r="F348" s="463">
        <v>1</v>
      </c>
      <c r="G348" s="463">
        <v>2</v>
      </c>
      <c r="H348" s="463">
        <v>3</v>
      </c>
      <c r="I348" s="463">
        <v>4</v>
      </c>
      <c r="J348" s="463">
        <v>5</v>
      </c>
      <c r="K348" s="463">
        <v>6</v>
      </c>
      <c r="L348" s="463">
        <v>7</v>
      </c>
      <c r="M348" s="463">
        <v>8</v>
      </c>
      <c r="N348" s="463">
        <v>9</v>
      </c>
      <c r="O348" s="463">
        <v>10</v>
      </c>
      <c r="P348" s="463">
        <v>11</v>
      </c>
      <c r="Q348" s="463">
        <v>12</v>
      </c>
      <c r="R348" s="463">
        <v>13</v>
      </c>
      <c r="S348" s="463">
        <v>14</v>
      </c>
      <c r="T348" s="463">
        <v>15</v>
      </c>
      <c r="U348" s="463">
        <v>16</v>
      </c>
      <c r="V348" s="463">
        <v>17</v>
      </c>
      <c r="W348" s="463">
        <v>18</v>
      </c>
      <c r="X348" s="463">
        <v>19</v>
      </c>
      <c r="Y348" s="463">
        <v>20</v>
      </c>
      <c r="Z348" s="463">
        <v>21</v>
      </c>
      <c r="AA348" s="463">
        <v>22</v>
      </c>
      <c r="AB348" s="463">
        <v>23</v>
      </c>
      <c r="AC348" s="463">
        <v>24</v>
      </c>
      <c r="AD348" s="463">
        <v>25</v>
      </c>
      <c r="AE348" s="463">
        <v>26</v>
      </c>
      <c r="AF348" s="463">
        <v>27</v>
      </c>
      <c r="AG348" s="463">
        <v>28</v>
      </c>
      <c r="AH348" s="463">
        <v>29</v>
      </c>
      <c r="AI348" s="463">
        <v>30</v>
      </c>
      <c r="AJ348" s="463">
        <v>31</v>
      </c>
      <c r="AK348" s="463">
        <v>32</v>
      </c>
      <c r="AL348" s="463">
        <v>33</v>
      </c>
      <c r="AM348" s="463">
        <v>34</v>
      </c>
      <c r="AN348" s="463">
        <v>35</v>
      </c>
      <c r="AO348" s="463">
        <v>36</v>
      </c>
      <c r="AP348" s="463">
        <v>37</v>
      </c>
      <c r="AQ348" s="463">
        <v>38</v>
      </c>
      <c r="AR348" s="463">
        <v>39</v>
      </c>
      <c r="AS348" s="463">
        <v>40</v>
      </c>
      <c r="AT348" s="463">
        <v>41</v>
      </c>
      <c r="AU348" s="463">
        <v>42</v>
      </c>
      <c r="AV348" s="463">
        <v>43</v>
      </c>
      <c r="AW348" s="463">
        <v>44</v>
      </c>
      <c r="AX348" s="463">
        <v>45</v>
      </c>
      <c r="AY348" s="463">
        <v>46</v>
      </c>
      <c r="AZ348" s="463">
        <v>47</v>
      </c>
      <c r="BA348" s="463">
        <v>48</v>
      </c>
      <c r="BB348" s="463">
        <v>49</v>
      </c>
      <c r="BC348" s="463">
        <v>50</v>
      </c>
      <c r="BD348" s="463">
        <v>51</v>
      </c>
      <c r="BE348" s="463">
        <v>52</v>
      </c>
      <c r="BF348" s="463">
        <v>53</v>
      </c>
      <c r="BG348" s="463">
        <v>54</v>
      </c>
      <c r="BH348" s="463">
        <v>55</v>
      </c>
      <c r="BI348" s="463">
        <v>56</v>
      </c>
      <c r="BJ348" s="463">
        <v>57</v>
      </c>
      <c r="BK348" s="463">
        <v>58</v>
      </c>
      <c r="BL348" s="463">
        <v>59</v>
      </c>
      <c r="BM348" s="463">
        <v>60</v>
      </c>
      <c r="BN348" s="463">
        <v>61</v>
      </c>
      <c r="BO348" s="463">
        <v>62</v>
      </c>
      <c r="BP348" s="463">
        <v>63</v>
      </c>
      <c r="BQ348" s="463">
        <v>64</v>
      </c>
      <c r="BS348" s="463">
        <v>65</v>
      </c>
      <c r="BT348" s="463">
        <v>66</v>
      </c>
      <c r="BU348" s="463">
        <v>67</v>
      </c>
      <c r="BV348" s="463">
        <v>68</v>
      </c>
      <c r="BX348" s="463">
        <v>69</v>
      </c>
      <c r="BY348" s="463">
        <v>70</v>
      </c>
      <c r="BZ348" s="463">
        <v>71</v>
      </c>
      <c r="CA348" s="463">
        <v>72</v>
      </c>
    </row>
    <row r="349" spans="4:79" x14ac:dyDescent="0.2">
      <c r="E349" s="463" t="s">
        <v>230</v>
      </c>
      <c r="F349" s="463">
        <v>10</v>
      </c>
      <c r="G349" s="463">
        <v>63</v>
      </c>
      <c r="H349" s="463">
        <v>52</v>
      </c>
      <c r="I349" s="463">
        <v>37</v>
      </c>
      <c r="J349" s="463">
        <v>42</v>
      </c>
      <c r="K349" s="463">
        <v>30</v>
      </c>
      <c r="L349" s="463">
        <v>72</v>
      </c>
      <c r="M349" s="463">
        <v>49</v>
      </c>
      <c r="N349" s="463">
        <v>41</v>
      </c>
      <c r="O349" s="463">
        <v>51</v>
      </c>
      <c r="P349" s="463">
        <v>44</v>
      </c>
      <c r="Q349" s="463">
        <v>59</v>
      </c>
      <c r="R349" s="463">
        <v>64</v>
      </c>
      <c r="S349" s="463">
        <v>70</v>
      </c>
      <c r="T349" s="463">
        <v>8</v>
      </c>
      <c r="U349" s="463">
        <v>29</v>
      </c>
      <c r="V349" s="463">
        <v>13</v>
      </c>
      <c r="W349" s="463">
        <v>47</v>
      </c>
      <c r="X349" s="463">
        <v>36</v>
      </c>
      <c r="Y349" s="463">
        <v>53</v>
      </c>
      <c r="Z349" s="463">
        <v>20</v>
      </c>
      <c r="AA349" s="463">
        <v>48</v>
      </c>
      <c r="AB349" s="463">
        <v>2</v>
      </c>
      <c r="AC349" s="463">
        <v>26</v>
      </c>
      <c r="AD349" s="463">
        <v>43</v>
      </c>
      <c r="AE349" s="463">
        <v>4</v>
      </c>
      <c r="AF349" s="463">
        <v>34</v>
      </c>
      <c r="AG349" s="463">
        <v>62</v>
      </c>
      <c r="AH349" s="463">
        <v>16</v>
      </c>
      <c r="AI349" s="463">
        <v>71</v>
      </c>
      <c r="AJ349" s="463">
        <v>39</v>
      </c>
      <c r="AK349" s="463">
        <v>18</v>
      </c>
      <c r="AL349" s="463">
        <v>22</v>
      </c>
      <c r="AM349" s="463">
        <v>27</v>
      </c>
      <c r="AN349" s="463">
        <v>46</v>
      </c>
      <c r="AO349" s="463">
        <v>54</v>
      </c>
      <c r="AP349" s="463">
        <v>3</v>
      </c>
      <c r="AQ349" s="463">
        <v>68</v>
      </c>
      <c r="AR349" s="463">
        <v>6</v>
      </c>
      <c r="AS349" s="463">
        <v>17</v>
      </c>
      <c r="AT349" s="463">
        <v>15</v>
      </c>
      <c r="AU349" s="463">
        <v>45</v>
      </c>
      <c r="AV349" s="463">
        <v>25</v>
      </c>
      <c r="AW349" s="463">
        <v>56</v>
      </c>
      <c r="AX349" s="463">
        <v>31</v>
      </c>
      <c r="AY349" s="463">
        <v>19</v>
      </c>
      <c r="AZ349" s="463">
        <v>40</v>
      </c>
      <c r="BA349" s="463">
        <v>14</v>
      </c>
      <c r="BB349" s="463">
        <v>23</v>
      </c>
      <c r="BC349" s="463">
        <v>65</v>
      </c>
      <c r="BD349" s="463">
        <v>35</v>
      </c>
      <c r="BE349" s="463">
        <v>58</v>
      </c>
      <c r="BF349" s="463">
        <v>66</v>
      </c>
      <c r="BG349" s="463">
        <v>1</v>
      </c>
      <c r="BH349" s="463">
        <v>21</v>
      </c>
      <c r="BI349" s="463">
        <v>55</v>
      </c>
      <c r="BJ349" s="463">
        <v>67</v>
      </c>
      <c r="BK349" s="463">
        <v>7</v>
      </c>
      <c r="BL349" s="463">
        <v>61</v>
      </c>
      <c r="BM349" s="463">
        <v>69</v>
      </c>
      <c r="BN349" s="463">
        <v>5</v>
      </c>
      <c r="BO349" s="463">
        <v>9</v>
      </c>
      <c r="BP349" s="463">
        <v>12</v>
      </c>
      <c r="BQ349" s="463">
        <v>32</v>
      </c>
      <c r="BS349" s="463">
        <v>50</v>
      </c>
      <c r="BT349" s="463">
        <v>33</v>
      </c>
      <c r="BU349" s="463">
        <v>57</v>
      </c>
      <c r="BV349" s="463">
        <v>28</v>
      </c>
      <c r="BX349" s="463">
        <v>60</v>
      </c>
      <c r="BY349" s="463">
        <v>38</v>
      </c>
      <c r="BZ349" s="463">
        <v>24</v>
      </c>
      <c r="CA349" s="463">
        <v>11</v>
      </c>
    </row>
    <row r="352" spans="4:79" x14ac:dyDescent="0.2">
      <c r="D352" s="307">
        <v>73</v>
      </c>
      <c r="E352" s="307" t="s">
        <v>248</v>
      </c>
    </row>
    <row r="353" spans="4:84" x14ac:dyDescent="0.2">
      <c r="E353" s="463" t="s">
        <v>196</v>
      </c>
      <c r="F353" s="463">
        <v>1</v>
      </c>
      <c r="G353" s="463">
        <v>2</v>
      </c>
      <c r="H353" s="463">
        <v>3</v>
      </c>
      <c r="I353" s="463">
        <v>4</v>
      </c>
      <c r="J353" s="463">
        <v>5</v>
      </c>
      <c r="K353" s="463">
        <v>6</v>
      </c>
      <c r="L353" s="463">
        <v>7</v>
      </c>
      <c r="M353" s="463">
        <v>8</v>
      </c>
      <c r="N353" s="463">
        <v>9</v>
      </c>
      <c r="O353" s="463">
        <v>10</v>
      </c>
      <c r="P353" s="463">
        <v>11</v>
      </c>
      <c r="Q353" s="463">
        <v>12</v>
      </c>
      <c r="R353" s="463">
        <v>13</v>
      </c>
      <c r="S353" s="463">
        <v>14</v>
      </c>
      <c r="T353" s="463">
        <v>15</v>
      </c>
      <c r="U353" s="463">
        <v>16</v>
      </c>
      <c r="V353" s="463">
        <v>17</v>
      </c>
      <c r="W353" s="463">
        <v>18</v>
      </c>
      <c r="X353" s="463">
        <v>19</v>
      </c>
      <c r="Y353" s="463">
        <v>20</v>
      </c>
      <c r="Z353" s="463">
        <v>21</v>
      </c>
      <c r="AA353" s="463">
        <v>22</v>
      </c>
      <c r="AB353" s="463">
        <v>23</v>
      </c>
      <c r="AC353" s="463">
        <v>24</v>
      </c>
      <c r="AD353" s="463">
        <v>25</v>
      </c>
      <c r="AE353" s="463">
        <v>26</v>
      </c>
      <c r="AF353" s="463">
        <v>27</v>
      </c>
      <c r="AG353" s="463">
        <v>28</v>
      </c>
      <c r="AH353" s="463">
        <v>29</v>
      </c>
      <c r="AI353" s="463">
        <v>30</v>
      </c>
      <c r="AJ353" s="463">
        <v>31</v>
      </c>
      <c r="AK353" s="463">
        <v>32</v>
      </c>
      <c r="AL353" s="463">
        <v>33</v>
      </c>
      <c r="AM353" s="463">
        <v>34</v>
      </c>
      <c r="AN353" s="463">
        <v>35</v>
      </c>
      <c r="AO353" s="463">
        <v>36</v>
      </c>
      <c r="AP353" s="463">
        <v>37</v>
      </c>
      <c r="AQ353" s="463">
        <v>38</v>
      </c>
      <c r="AR353" s="463">
        <v>39</v>
      </c>
      <c r="AS353" s="463">
        <v>40</v>
      </c>
      <c r="AT353" s="463">
        <v>41</v>
      </c>
      <c r="AU353" s="463">
        <v>42</v>
      </c>
      <c r="AV353" s="463">
        <v>43</v>
      </c>
      <c r="AW353" s="463">
        <v>44</v>
      </c>
      <c r="AX353" s="463">
        <v>45</v>
      </c>
      <c r="AY353" s="463">
        <v>46</v>
      </c>
      <c r="AZ353" s="463">
        <v>47</v>
      </c>
      <c r="BA353" s="463">
        <v>48</v>
      </c>
      <c r="BB353" s="463">
        <v>49</v>
      </c>
      <c r="BC353" s="463">
        <v>50</v>
      </c>
      <c r="BD353" s="463">
        <v>51</v>
      </c>
      <c r="BE353" s="463">
        <v>52</v>
      </c>
      <c r="BF353" s="463">
        <v>53</v>
      </c>
      <c r="BG353" s="463">
        <v>54</v>
      </c>
      <c r="BH353" s="463">
        <v>55</v>
      </c>
      <c r="BI353" s="463">
        <v>56</v>
      </c>
      <c r="BJ353" s="463">
        <v>57</v>
      </c>
      <c r="BK353" s="463">
        <v>58</v>
      </c>
      <c r="BL353" s="463">
        <v>59</v>
      </c>
      <c r="BM353" s="463">
        <v>60</v>
      </c>
      <c r="BN353" s="463">
        <v>61</v>
      </c>
      <c r="BO353" s="463">
        <v>62</v>
      </c>
      <c r="BP353" s="463">
        <v>63</v>
      </c>
      <c r="BQ353" s="463">
        <v>64</v>
      </c>
      <c r="BR353" s="463">
        <v>65</v>
      </c>
      <c r="BS353" s="463">
        <v>66</v>
      </c>
      <c r="BT353" s="463">
        <v>67</v>
      </c>
      <c r="BU353" s="463">
        <v>68</v>
      </c>
      <c r="BV353" s="463">
        <v>69</v>
      </c>
      <c r="BX353" s="463">
        <v>70</v>
      </c>
      <c r="BY353" s="463">
        <v>71</v>
      </c>
      <c r="BZ353" s="463">
        <v>72</v>
      </c>
      <c r="CA353" s="463">
        <v>73</v>
      </c>
    </row>
    <row r="354" spans="4:84" x14ac:dyDescent="0.2">
      <c r="E354" s="463" t="s">
        <v>230</v>
      </c>
      <c r="F354" s="463">
        <v>4</v>
      </c>
      <c r="G354" s="463">
        <v>72</v>
      </c>
      <c r="H354" s="463">
        <v>62</v>
      </c>
      <c r="I354" s="463">
        <v>43</v>
      </c>
      <c r="J354" s="463">
        <v>31</v>
      </c>
      <c r="K354" s="463">
        <v>34</v>
      </c>
      <c r="L354" s="463">
        <v>53</v>
      </c>
      <c r="M354" s="463">
        <v>2</v>
      </c>
      <c r="N354" s="463">
        <v>67</v>
      </c>
      <c r="O354" s="463">
        <v>18</v>
      </c>
      <c r="P354" s="463">
        <v>45</v>
      </c>
      <c r="Q354" s="463">
        <v>48</v>
      </c>
      <c r="R354" s="463">
        <v>37</v>
      </c>
      <c r="S354" s="463">
        <v>1</v>
      </c>
      <c r="T354" s="463">
        <v>51</v>
      </c>
      <c r="U354" s="463">
        <v>59</v>
      </c>
      <c r="V354" s="463">
        <v>9</v>
      </c>
      <c r="W354" s="463">
        <v>20</v>
      </c>
      <c r="X354" s="463">
        <v>71</v>
      </c>
      <c r="Y354" s="463">
        <v>22</v>
      </c>
      <c r="Z354" s="463">
        <v>39</v>
      </c>
      <c r="AA354" s="463">
        <v>68</v>
      </c>
      <c r="AB354" s="463">
        <v>12</v>
      </c>
      <c r="AC354" s="463">
        <v>47</v>
      </c>
      <c r="AD354" s="463">
        <v>52</v>
      </c>
      <c r="AE354" s="463">
        <v>14</v>
      </c>
      <c r="AF354" s="463">
        <v>65</v>
      </c>
      <c r="AG354" s="463">
        <v>42</v>
      </c>
      <c r="AH354" s="463">
        <v>6</v>
      </c>
      <c r="AI354" s="463">
        <v>26</v>
      </c>
      <c r="AJ354" s="463">
        <v>10</v>
      </c>
      <c r="AK354" s="463">
        <v>58</v>
      </c>
      <c r="AL354" s="463">
        <v>69</v>
      </c>
      <c r="AM354" s="463">
        <v>36</v>
      </c>
      <c r="AN354" s="463">
        <v>27</v>
      </c>
      <c r="AO354" s="463">
        <v>25</v>
      </c>
      <c r="AP354" s="463">
        <v>33</v>
      </c>
      <c r="AQ354" s="463">
        <v>7</v>
      </c>
      <c r="AR354" s="463">
        <v>3</v>
      </c>
      <c r="AS354" s="463">
        <v>46</v>
      </c>
      <c r="AT354" s="463">
        <v>35</v>
      </c>
      <c r="AU354" s="463">
        <v>28</v>
      </c>
      <c r="AV354" s="463">
        <v>60</v>
      </c>
      <c r="AW354" s="463">
        <v>21</v>
      </c>
      <c r="AX354" s="463">
        <v>66</v>
      </c>
      <c r="AY354" s="463">
        <v>30</v>
      </c>
      <c r="AZ354" s="463">
        <v>24</v>
      </c>
      <c r="BA354" s="463">
        <v>17</v>
      </c>
      <c r="BB354" s="463">
        <v>41</v>
      </c>
      <c r="BC354" s="463">
        <v>57</v>
      </c>
      <c r="BD354" s="463">
        <v>40</v>
      </c>
      <c r="BE354" s="463">
        <v>13</v>
      </c>
      <c r="BF354" s="463">
        <v>49</v>
      </c>
      <c r="BG354" s="463">
        <v>70</v>
      </c>
      <c r="BH354" s="463">
        <v>61</v>
      </c>
      <c r="BI354" s="463">
        <v>15</v>
      </c>
      <c r="BJ354" s="463">
        <v>50</v>
      </c>
      <c r="BK354" s="463">
        <v>32</v>
      </c>
      <c r="BL354" s="463">
        <v>16</v>
      </c>
      <c r="BM354" s="463">
        <v>38</v>
      </c>
      <c r="BN354" s="463">
        <v>29</v>
      </c>
      <c r="BO354" s="463">
        <v>5</v>
      </c>
      <c r="BP354" s="463">
        <v>73</v>
      </c>
      <c r="BQ354" s="463">
        <v>63</v>
      </c>
      <c r="BR354" s="463">
        <v>8</v>
      </c>
      <c r="BS354" s="463">
        <v>64</v>
      </c>
      <c r="BT354" s="463">
        <v>54</v>
      </c>
      <c r="BU354" s="463">
        <v>19</v>
      </c>
      <c r="BV354" s="463">
        <v>11</v>
      </c>
      <c r="BX354" s="463">
        <v>44</v>
      </c>
      <c r="BY354" s="463">
        <v>23</v>
      </c>
      <c r="BZ354" s="463">
        <v>55</v>
      </c>
      <c r="CA354" s="463">
        <v>56</v>
      </c>
    </row>
    <row r="357" spans="4:84" x14ac:dyDescent="0.2">
      <c r="D357" s="307">
        <v>74</v>
      </c>
      <c r="E357" s="307" t="s">
        <v>248</v>
      </c>
    </row>
    <row r="358" spans="4:84" x14ac:dyDescent="0.2">
      <c r="E358" s="463" t="s">
        <v>196</v>
      </c>
      <c r="F358" s="463">
        <v>1</v>
      </c>
      <c r="G358" s="463">
        <v>2</v>
      </c>
      <c r="H358" s="463">
        <v>3</v>
      </c>
      <c r="I358" s="463">
        <v>4</v>
      </c>
      <c r="J358" s="463">
        <v>5</v>
      </c>
      <c r="K358" s="463">
        <v>6</v>
      </c>
      <c r="L358" s="463">
        <v>7</v>
      </c>
      <c r="M358" s="463">
        <v>8</v>
      </c>
      <c r="N358" s="463">
        <v>9</v>
      </c>
      <c r="O358" s="463">
        <v>10</v>
      </c>
      <c r="P358" s="463">
        <v>11</v>
      </c>
      <c r="Q358" s="463">
        <v>12</v>
      </c>
      <c r="R358" s="463">
        <v>13</v>
      </c>
      <c r="S358" s="463">
        <v>14</v>
      </c>
      <c r="T358" s="463">
        <v>15</v>
      </c>
      <c r="U358" s="463">
        <v>16</v>
      </c>
      <c r="V358" s="463">
        <v>17</v>
      </c>
      <c r="W358" s="463">
        <v>18</v>
      </c>
      <c r="X358" s="463">
        <v>19</v>
      </c>
      <c r="Y358" s="463">
        <v>20</v>
      </c>
      <c r="Z358" s="463">
        <v>21</v>
      </c>
      <c r="AA358" s="463">
        <v>22</v>
      </c>
      <c r="AB358" s="463">
        <v>23</v>
      </c>
      <c r="AC358" s="463">
        <v>24</v>
      </c>
      <c r="AD358" s="463">
        <v>25</v>
      </c>
      <c r="AE358" s="463">
        <v>26</v>
      </c>
      <c r="AF358" s="463">
        <v>27</v>
      </c>
      <c r="AG358" s="463">
        <v>28</v>
      </c>
      <c r="AH358" s="463">
        <v>29</v>
      </c>
      <c r="AI358" s="463">
        <v>30</v>
      </c>
      <c r="AJ358" s="463">
        <v>31</v>
      </c>
      <c r="AK358" s="463">
        <v>32</v>
      </c>
      <c r="AL358" s="463">
        <v>33</v>
      </c>
      <c r="AM358" s="463">
        <v>34</v>
      </c>
      <c r="AN358" s="463">
        <v>35</v>
      </c>
      <c r="AO358" s="463">
        <v>36</v>
      </c>
      <c r="AP358" s="463">
        <v>37</v>
      </c>
      <c r="AQ358" s="463">
        <v>38</v>
      </c>
      <c r="AR358" s="463">
        <v>39</v>
      </c>
      <c r="AS358" s="463">
        <v>40</v>
      </c>
      <c r="AT358" s="463">
        <v>41</v>
      </c>
      <c r="AU358" s="463">
        <v>42</v>
      </c>
      <c r="AV358" s="463">
        <v>43</v>
      </c>
      <c r="AW358" s="463">
        <v>44</v>
      </c>
      <c r="AX358" s="463">
        <v>45</v>
      </c>
      <c r="AY358" s="463">
        <v>46</v>
      </c>
      <c r="AZ358" s="463">
        <v>47</v>
      </c>
      <c r="BA358" s="463">
        <v>48</v>
      </c>
      <c r="BB358" s="463">
        <v>49</v>
      </c>
      <c r="BC358" s="463">
        <v>50</v>
      </c>
      <c r="BD358" s="463">
        <v>51</v>
      </c>
      <c r="BE358" s="463">
        <v>52</v>
      </c>
      <c r="BF358" s="463">
        <v>53</v>
      </c>
      <c r="BG358" s="463">
        <v>54</v>
      </c>
      <c r="BH358" s="463">
        <v>55</v>
      </c>
      <c r="BI358" s="463">
        <v>56</v>
      </c>
      <c r="BJ358" s="463">
        <v>57</v>
      </c>
      <c r="BK358" s="463">
        <v>58</v>
      </c>
      <c r="BL358" s="463">
        <v>59</v>
      </c>
      <c r="BM358" s="463">
        <v>60</v>
      </c>
      <c r="BN358" s="463">
        <v>61</v>
      </c>
      <c r="BO358" s="463">
        <v>62</v>
      </c>
      <c r="BP358" s="463">
        <v>63</v>
      </c>
      <c r="BQ358" s="463">
        <v>64</v>
      </c>
      <c r="BR358" s="463">
        <v>65</v>
      </c>
      <c r="BS358" s="463">
        <v>66</v>
      </c>
      <c r="BT358" s="463">
        <v>67</v>
      </c>
      <c r="BU358" s="463">
        <v>68</v>
      </c>
      <c r="BV358" s="463">
        <v>69</v>
      </c>
      <c r="BW358" s="463">
        <v>70</v>
      </c>
      <c r="BX358" s="463">
        <v>71</v>
      </c>
      <c r="BY358" s="463">
        <v>72</v>
      </c>
      <c r="BZ358" s="463">
        <v>73</v>
      </c>
      <c r="CA358" s="463">
        <v>74</v>
      </c>
    </row>
    <row r="359" spans="4:84" x14ac:dyDescent="0.2">
      <c r="E359" s="463" t="s">
        <v>230</v>
      </c>
      <c r="F359" s="463">
        <v>59</v>
      </c>
      <c r="G359" s="463">
        <v>5</v>
      </c>
      <c r="H359" s="463">
        <v>62</v>
      </c>
      <c r="I359" s="463">
        <v>11</v>
      </c>
      <c r="J359" s="463">
        <v>18</v>
      </c>
      <c r="K359" s="463">
        <v>39</v>
      </c>
      <c r="L359" s="463">
        <v>13</v>
      </c>
      <c r="M359" s="463">
        <v>57</v>
      </c>
      <c r="N359" s="463">
        <v>33</v>
      </c>
      <c r="O359" s="463">
        <v>16</v>
      </c>
      <c r="P359" s="463">
        <v>9</v>
      </c>
      <c r="Q359" s="463">
        <v>38</v>
      </c>
      <c r="R359" s="463">
        <v>35</v>
      </c>
      <c r="S359" s="463">
        <v>48</v>
      </c>
      <c r="T359" s="463">
        <v>52</v>
      </c>
      <c r="U359" s="463">
        <v>44</v>
      </c>
      <c r="V359" s="463">
        <v>29</v>
      </c>
      <c r="W359" s="463">
        <v>25</v>
      </c>
      <c r="X359" s="463">
        <v>68</v>
      </c>
      <c r="Y359" s="463">
        <v>37</v>
      </c>
      <c r="Z359" s="463">
        <v>69</v>
      </c>
      <c r="AA359" s="463">
        <v>24</v>
      </c>
      <c r="AB359" s="463">
        <v>4</v>
      </c>
      <c r="AC359" s="463">
        <v>28</v>
      </c>
      <c r="AD359" s="463">
        <v>36</v>
      </c>
      <c r="AE359" s="463">
        <v>64</v>
      </c>
      <c r="AF359" s="463">
        <v>45</v>
      </c>
      <c r="AG359" s="463">
        <v>12</v>
      </c>
      <c r="AH359" s="463">
        <v>51</v>
      </c>
      <c r="AI359" s="463">
        <v>72</v>
      </c>
      <c r="AJ359" s="463">
        <v>60</v>
      </c>
      <c r="AK359" s="463">
        <v>73</v>
      </c>
      <c r="AL359" s="463">
        <v>7</v>
      </c>
      <c r="AM359" s="463">
        <v>61</v>
      </c>
      <c r="AN359" s="463">
        <v>23</v>
      </c>
      <c r="AO359" s="463">
        <v>55</v>
      </c>
      <c r="AP359" s="463">
        <v>20</v>
      </c>
      <c r="AQ359" s="463">
        <v>42</v>
      </c>
      <c r="AR359" s="463">
        <v>31</v>
      </c>
      <c r="AS359" s="463">
        <v>1</v>
      </c>
      <c r="AT359" s="463">
        <v>74</v>
      </c>
      <c r="AU359" s="463">
        <v>70</v>
      </c>
      <c r="AV359" s="463">
        <v>17</v>
      </c>
      <c r="AW359" s="463">
        <v>41</v>
      </c>
      <c r="AX359" s="463">
        <v>26</v>
      </c>
      <c r="AY359" s="463">
        <v>15</v>
      </c>
      <c r="AZ359" s="463">
        <v>3</v>
      </c>
      <c r="BA359" s="463">
        <v>22</v>
      </c>
      <c r="BB359" s="463">
        <v>27</v>
      </c>
      <c r="BC359" s="463">
        <v>43</v>
      </c>
      <c r="BD359" s="463">
        <v>10</v>
      </c>
      <c r="BE359" s="463">
        <v>58</v>
      </c>
      <c r="BF359" s="463">
        <v>40</v>
      </c>
      <c r="BG359" s="463">
        <v>63</v>
      </c>
      <c r="BH359" s="463">
        <v>2</v>
      </c>
      <c r="BI359" s="463">
        <v>30</v>
      </c>
      <c r="BJ359" s="463">
        <v>8</v>
      </c>
      <c r="BK359" s="463">
        <v>14</v>
      </c>
      <c r="BL359" s="463">
        <v>46</v>
      </c>
      <c r="BM359" s="463">
        <v>32</v>
      </c>
      <c r="BN359" s="463">
        <v>34</v>
      </c>
      <c r="BO359" s="463">
        <v>53</v>
      </c>
      <c r="BP359" s="463">
        <v>47</v>
      </c>
      <c r="BQ359" s="463">
        <v>56</v>
      </c>
      <c r="BR359" s="463">
        <v>6</v>
      </c>
      <c r="BS359" s="463">
        <v>54</v>
      </c>
      <c r="BT359" s="463">
        <v>50</v>
      </c>
      <c r="BU359" s="463">
        <v>19</v>
      </c>
      <c r="BV359" s="463">
        <v>71</v>
      </c>
      <c r="BW359" s="463">
        <v>66</v>
      </c>
      <c r="BX359" s="463">
        <v>65</v>
      </c>
      <c r="BY359" s="463">
        <v>49</v>
      </c>
      <c r="BZ359" s="463">
        <v>67</v>
      </c>
      <c r="CA359" s="463">
        <v>21</v>
      </c>
    </row>
    <row r="362" spans="4:84" x14ac:dyDescent="0.2">
      <c r="D362" s="307">
        <v>75</v>
      </c>
      <c r="E362" s="307" t="s">
        <v>248</v>
      </c>
    </row>
    <row r="363" spans="4:84" x14ac:dyDescent="0.2">
      <c r="E363" s="463" t="s">
        <v>196</v>
      </c>
      <c r="F363" s="463">
        <v>1</v>
      </c>
      <c r="G363" s="463">
        <v>2</v>
      </c>
      <c r="H363" s="463">
        <v>3</v>
      </c>
      <c r="I363" s="463">
        <v>4</v>
      </c>
      <c r="J363" s="463">
        <v>5</v>
      </c>
      <c r="K363" s="463">
        <v>6</v>
      </c>
      <c r="L363" s="463">
        <v>7</v>
      </c>
      <c r="M363" s="463">
        <v>8</v>
      </c>
      <c r="N363" s="463">
        <v>9</v>
      </c>
      <c r="O363" s="463">
        <v>10</v>
      </c>
      <c r="P363" s="463">
        <v>11</v>
      </c>
      <c r="Q363" s="463">
        <v>12</v>
      </c>
      <c r="R363" s="463">
        <v>13</v>
      </c>
      <c r="S363" s="463">
        <v>14</v>
      </c>
      <c r="T363" s="463">
        <v>15</v>
      </c>
      <c r="U363" s="463">
        <v>16</v>
      </c>
      <c r="V363" s="463">
        <v>17</v>
      </c>
      <c r="W363" s="463">
        <v>18</v>
      </c>
      <c r="X363" s="463">
        <v>19</v>
      </c>
      <c r="Y363" s="463">
        <v>20</v>
      </c>
      <c r="Z363" s="463">
        <v>21</v>
      </c>
      <c r="AA363" s="463">
        <v>22</v>
      </c>
      <c r="AB363" s="463">
        <v>23</v>
      </c>
      <c r="AC363" s="463">
        <v>24</v>
      </c>
      <c r="AD363" s="463">
        <v>25</v>
      </c>
      <c r="AE363" s="463">
        <v>26</v>
      </c>
      <c r="AF363" s="463">
        <v>27</v>
      </c>
      <c r="AG363" s="463">
        <v>28</v>
      </c>
      <c r="AH363" s="463">
        <v>29</v>
      </c>
      <c r="AI363" s="463">
        <v>30</v>
      </c>
      <c r="AJ363" s="463">
        <v>31</v>
      </c>
      <c r="AK363" s="463">
        <v>32</v>
      </c>
      <c r="AL363" s="463">
        <v>33</v>
      </c>
      <c r="AM363" s="463">
        <v>34</v>
      </c>
      <c r="AN363" s="463">
        <v>35</v>
      </c>
      <c r="AO363" s="463">
        <v>36</v>
      </c>
      <c r="AP363" s="463">
        <v>37</v>
      </c>
      <c r="AQ363" s="463">
        <v>38</v>
      </c>
      <c r="AR363" s="463">
        <v>39</v>
      </c>
      <c r="AS363" s="463">
        <v>40</v>
      </c>
      <c r="AT363" s="463">
        <v>41</v>
      </c>
      <c r="AU363" s="463">
        <v>42</v>
      </c>
      <c r="AV363" s="463">
        <v>43</v>
      </c>
      <c r="AW363" s="463">
        <v>44</v>
      </c>
      <c r="AX363" s="463">
        <v>45</v>
      </c>
      <c r="AY363" s="463">
        <v>46</v>
      </c>
      <c r="AZ363" s="463">
        <v>47</v>
      </c>
      <c r="BA363" s="463">
        <v>48</v>
      </c>
      <c r="BB363" s="463">
        <v>49</v>
      </c>
      <c r="BC363" s="463">
        <v>50</v>
      </c>
      <c r="BD363" s="463">
        <v>51</v>
      </c>
      <c r="BE363" s="463">
        <v>52</v>
      </c>
      <c r="BF363" s="463">
        <v>53</v>
      </c>
      <c r="BG363" s="463">
        <v>54</v>
      </c>
      <c r="BH363" s="463">
        <v>55</v>
      </c>
      <c r="BI363" s="463">
        <v>56</v>
      </c>
      <c r="BJ363" s="463">
        <v>57</v>
      </c>
      <c r="BK363" s="463">
        <v>58</v>
      </c>
      <c r="BL363" s="463">
        <v>59</v>
      </c>
      <c r="BM363" s="463">
        <v>60</v>
      </c>
      <c r="BN363" s="463">
        <v>61</v>
      </c>
      <c r="BO363" s="463">
        <v>62</v>
      </c>
      <c r="BP363" s="463">
        <v>63</v>
      </c>
      <c r="BQ363" s="463">
        <v>64</v>
      </c>
      <c r="BR363" s="463">
        <v>65</v>
      </c>
      <c r="BS363" s="463">
        <v>66</v>
      </c>
      <c r="BT363" s="463">
        <v>67</v>
      </c>
      <c r="BU363" s="463">
        <v>68</v>
      </c>
      <c r="BV363" s="463">
        <v>69</v>
      </c>
      <c r="BW363" s="463">
        <v>70</v>
      </c>
      <c r="BX363" s="463">
        <v>71</v>
      </c>
      <c r="BY363" s="463">
        <v>72</v>
      </c>
      <c r="BZ363" s="463">
        <v>73</v>
      </c>
      <c r="CA363" s="463">
        <v>74</v>
      </c>
      <c r="CB363" s="463">
        <v>75</v>
      </c>
    </row>
    <row r="364" spans="4:84" x14ac:dyDescent="0.2">
      <c r="E364" s="463" t="s">
        <v>230</v>
      </c>
      <c r="F364" s="463">
        <v>20</v>
      </c>
      <c r="G364" s="463">
        <v>38</v>
      </c>
      <c r="H364" s="463">
        <v>57</v>
      </c>
      <c r="I364" s="463">
        <v>53</v>
      </c>
      <c r="J364" s="463">
        <v>13</v>
      </c>
      <c r="K364" s="463">
        <v>4</v>
      </c>
      <c r="L364" s="463">
        <v>39</v>
      </c>
      <c r="M364" s="463">
        <v>75</v>
      </c>
      <c r="N364" s="463">
        <v>56</v>
      </c>
      <c r="O364" s="463">
        <v>41</v>
      </c>
      <c r="P364" s="463">
        <v>14</v>
      </c>
      <c r="Q364" s="463">
        <v>45</v>
      </c>
      <c r="R364" s="463">
        <v>32</v>
      </c>
      <c r="S364" s="463">
        <v>36</v>
      </c>
      <c r="T364" s="463">
        <v>52</v>
      </c>
      <c r="U364" s="463">
        <v>69</v>
      </c>
      <c r="V364" s="463">
        <v>40</v>
      </c>
      <c r="W364" s="463">
        <v>64</v>
      </c>
      <c r="X364" s="463">
        <v>21</v>
      </c>
      <c r="Y364" s="463">
        <v>1</v>
      </c>
      <c r="Z364" s="463">
        <v>44</v>
      </c>
      <c r="AA364" s="463">
        <v>49</v>
      </c>
      <c r="AB364" s="463">
        <v>9</v>
      </c>
      <c r="AC364" s="463">
        <v>51</v>
      </c>
      <c r="AD364" s="463">
        <v>71</v>
      </c>
      <c r="AE364" s="463">
        <v>29</v>
      </c>
      <c r="AF364" s="463">
        <v>54</v>
      </c>
      <c r="AG364" s="463">
        <v>12</v>
      </c>
      <c r="AH364" s="463">
        <v>66</v>
      </c>
      <c r="AI364" s="463">
        <v>22</v>
      </c>
      <c r="AJ364" s="463">
        <v>74</v>
      </c>
      <c r="AK364" s="463">
        <v>5</v>
      </c>
      <c r="AL364" s="463">
        <v>47</v>
      </c>
      <c r="AM364" s="463">
        <v>7</v>
      </c>
      <c r="AN364" s="463">
        <v>43</v>
      </c>
      <c r="AO364" s="463">
        <v>50</v>
      </c>
      <c r="AP364" s="463">
        <v>70</v>
      </c>
      <c r="AQ364" s="463">
        <v>55</v>
      </c>
      <c r="AR364" s="463">
        <v>26</v>
      </c>
      <c r="AS364" s="463">
        <v>8</v>
      </c>
      <c r="AT364" s="463">
        <v>10</v>
      </c>
      <c r="AU364" s="463">
        <v>73</v>
      </c>
      <c r="AV364" s="463">
        <v>65</v>
      </c>
      <c r="AW364" s="463">
        <v>11</v>
      </c>
      <c r="AX364" s="463">
        <v>46</v>
      </c>
      <c r="AY364" s="463">
        <v>59</v>
      </c>
      <c r="AZ364" s="463">
        <v>33</v>
      </c>
      <c r="BA364" s="463">
        <v>62</v>
      </c>
      <c r="BB364" s="463">
        <v>27</v>
      </c>
      <c r="BC364" s="463">
        <v>16</v>
      </c>
      <c r="BD364" s="463">
        <v>15</v>
      </c>
      <c r="BE364" s="463">
        <v>28</v>
      </c>
      <c r="BF364" s="463">
        <v>60</v>
      </c>
      <c r="BG364" s="463">
        <v>17</v>
      </c>
      <c r="BH364" s="463">
        <v>61</v>
      </c>
      <c r="BI364" s="463">
        <v>24</v>
      </c>
      <c r="BJ364" s="463">
        <v>3</v>
      </c>
      <c r="BK364" s="463">
        <v>42</v>
      </c>
      <c r="BL364" s="463">
        <v>48</v>
      </c>
      <c r="BM364" s="463">
        <v>67</v>
      </c>
      <c r="BN364" s="463">
        <v>30</v>
      </c>
      <c r="BO364" s="463">
        <v>35</v>
      </c>
      <c r="BP364" s="463">
        <v>2</v>
      </c>
      <c r="BQ364" s="463">
        <v>18</v>
      </c>
      <c r="BR364" s="463">
        <v>6</v>
      </c>
      <c r="BS364" s="463">
        <v>34</v>
      </c>
      <c r="BT364" s="463">
        <v>23</v>
      </c>
      <c r="BU364" s="463">
        <v>72</v>
      </c>
      <c r="BV364" s="463">
        <v>58</v>
      </c>
      <c r="BW364" s="463">
        <v>37</v>
      </c>
      <c r="BX364" s="463">
        <v>25</v>
      </c>
      <c r="BY364" s="463">
        <v>63</v>
      </c>
      <c r="BZ364" s="463">
        <v>19</v>
      </c>
      <c r="CA364" s="463">
        <v>31</v>
      </c>
      <c r="CB364" s="463">
        <v>68</v>
      </c>
    </row>
    <row r="367" spans="4:84" x14ac:dyDescent="0.2">
      <c r="D367" s="307">
        <v>76</v>
      </c>
      <c r="E367" s="307" t="s">
        <v>248</v>
      </c>
    </row>
    <row r="368" spans="4:84" x14ac:dyDescent="0.2">
      <c r="E368" s="463" t="s">
        <v>196</v>
      </c>
      <c r="F368" s="463">
        <v>1</v>
      </c>
      <c r="G368" s="463">
        <v>2</v>
      </c>
      <c r="H368" s="463">
        <v>3</v>
      </c>
      <c r="I368" s="463">
        <v>4</v>
      </c>
      <c r="J368" s="463">
        <v>5</v>
      </c>
      <c r="K368" s="463">
        <v>6</v>
      </c>
      <c r="L368" s="463">
        <v>7</v>
      </c>
      <c r="M368" s="463">
        <v>8</v>
      </c>
      <c r="N368" s="463">
        <v>9</v>
      </c>
      <c r="O368" s="463">
        <v>10</v>
      </c>
      <c r="P368" s="463">
        <v>11</v>
      </c>
      <c r="Q368" s="463">
        <v>12</v>
      </c>
      <c r="R368" s="463">
        <v>13</v>
      </c>
      <c r="S368" s="463">
        <v>14</v>
      </c>
      <c r="T368" s="463">
        <v>15</v>
      </c>
      <c r="U368" s="463">
        <v>16</v>
      </c>
      <c r="V368" s="463">
        <v>17</v>
      </c>
      <c r="W368" s="463">
        <v>18</v>
      </c>
      <c r="X368" s="463">
        <v>19</v>
      </c>
      <c r="Y368" s="463">
        <v>20</v>
      </c>
      <c r="Z368" s="463">
        <v>21</v>
      </c>
      <c r="AA368" s="463">
        <v>22</v>
      </c>
      <c r="AB368" s="463">
        <v>23</v>
      </c>
      <c r="AC368" s="463">
        <v>24</v>
      </c>
      <c r="AD368" s="463">
        <v>25</v>
      </c>
      <c r="AE368" s="463">
        <v>26</v>
      </c>
      <c r="AF368" s="463">
        <v>27</v>
      </c>
      <c r="AG368" s="463">
        <v>28</v>
      </c>
      <c r="AH368" s="463">
        <v>29</v>
      </c>
      <c r="AI368" s="463">
        <v>30</v>
      </c>
      <c r="AJ368" s="463">
        <v>31</v>
      </c>
      <c r="AK368" s="463">
        <v>32</v>
      </c>
      <c r="AL368" s="463">
        <v>33</v>
      </c>
      <c r="AM368" s="463">
        <v>34</v>
      </c>
      <c r="AN368" s="463">
        <v>35</v>
      </c>
      <c r="AO368" s="463">
        <v>36</v>
      </c>
      <c r="AP368" s="463">
        <v>37</v>
      </c>
      <c r="AQ368" s="463">
        <v>38</v>
      </c>
      <c r="AR368" s="463">
        <v>39</v>
      </c>
      <c r="AS368" s="463">
        <v>40</v>
      </c>
      <c r="AT368" s="463">
        <v>41</v>
      </c>
      <c r="AU368" s="463">
        <v>42</v>
      </c>
      <c r="AV368" s="463">
        <v>43</v>
      </c>
      <c r="AW368" s="463">
        <v>44</v>
      </c>
      <c r="AX368" s="463">
        <v>45</v>
      </c>
      <c r="AY368" s="463">
        <v>46</v>
      </c>
      <c r="AZ368" s="463">
        <v>47</v>
      </c>
      <c r="BA368" s="463">
        <v>48</v>
      </c>
      <c r="BB368" s="463">
        <v>49</v>
      </c>
      <c r="BC368" s="463">
        <v>50</v>
      </c>
      <c r="BD368" s="463">
        <v>51</v>
      </c>
      <c r="BE368" s="463">
        <v>52</v>
      </c>
      <c r="BF368" s="463">
        <v>53</v>
      </c>
      <c r="BG368" s="463">
        <v>54</v>
      </c>
      <c r="BH368" s="463">
        <v>55</v>
      </c>
      <c r="BI368" s="463">
        <v>56</v>
      </c>
      <c r="BJ368" s="463">
        <v>57</v>
      </c>
      <c r="BK368" s="463">
        <v>58</v>
      </c>
      <c r="BL368" s="463">
        <v>59</v>
      </c>
      <c r="BM368" s="463">
        <v>60</v>
      </c>
      <c r="BN368" s="463">
        <v>61</v>
      </c>
      <c r="BO368" s="463">
        <v>62</v>
      </c>
      <c r="BP368" s="463">
        <v>63</v>
      </c>
      <c r="BQ368" s="463">
        <v>64</v>
      </c>
      <c r="BS368" s="463">
        <v>65</v>
      </c>
      <c r="BT368" s="463">
        <v>66</v>
      </c>
      <c r="BU368" s="463">
        <v>67</v>
      </c>
      <c r="BV368" s="463">
        <v>68</v>
      </c>
      <c r="BX368" s="463">
        <v>69</v>
      </c>
      <c r="BY368" s="463">
        <v>70</v>
      </c>
      <c r="BZ368" s="463">
        <v>71</v>
      </c>
      <c r="CA368" s="463">
        <v>72</v>
      </c>
      <c r="CC368" s="463">
        <v>73</v>
      </c>
      <c r="CD368" s="463">
        <v>74</v>
      </c>
      <c r="CE368" s="463">
        <v>75</v>
      </c>
      <c r="CF368" s="463">
        <v>76</v>
      </c>
    </row>
    <row r="369" spans="4:84" x14ac:dyDescent="0.2">
      <c r="E369" s="463" t="s">
        <v>230</v>
      </c>
      <c r="F369" s="463">
        <v>19</v>
      </c>
      <c r="G369" s="463">
        <v>8</v>
      </c>
      <c r="H369" s="463">
        <v>32</v>
      </c>
      <c r="I369" s="463">
        <v>74</v>
      </c>
      <c r="J369" s="463">
        <v>13</v>
      </c>
      <c r="K369" s="463">
        <v>9</v>
      </c>
      <c r="L369" s="463">
        <v>34</v>
      </c>
      <c r="M369" s="463">
        <v>27</v>
      </c>
      <c r="N369" s="463">
        <v>23</v>
      </c>
      <c r="O369" s="463">
        <v>63</v>
      </c>
      <c r="P369" s="463">
        <v>68</v>
      </c>
      <c r="Q369" s="463">
        <v>10</v>
      </c>
      <c r="R369" s="463">
        <v>2</v>
      </c>
      <c r="S369" s="463">
        <v>73</v>
      </c>
      <c r="T369" s="463">
        <v>36</v>
      </c>
      <c r="U369" s="463">
        <v>54</v>
      </c>
      <c r="V369" s="463">
        <v>75</v>
      </c>
      <c r="W369" s="463">
        <v>37</v>
      </c>
      <c r="X369" s="463">
        <v>1</v>
      </c>
      <c r="Y369" s="463">
        <v>6</v>
      </c>
      <c r="Z369" s="463">
        <v>45</v>
      </c>
      <c r="AA369" s="463">
        <v>3</v>
      </c>
      <c r="AB369" s="463">
        <v>47</v>
      </c>
      <c r="AC369" s="463">
        <v>61</v>
      </c>
      <c r="AD369" s="463">
        <v>38</v>
      </c>
      <c r="AE369" s="463">
        <v>59</v>
      </c>
      <c r="AF369" s="463">
        <v>24</v>
      </c>
      <c r="AG369" s="463">
        <v>20</v>
      </c>
      <c r="AH369" s="463">
        <v>65</v>
      </c>
      <c r="AI369" s="463">
        <v>41</v>
      </c>
      <c r="AJ369" s="463">
        <v>5</v>
      </c>
      <c r="AK369" s="463">
        <v>49</v>
      </c>
      <c r="AL369" s="463">
        <v>64</v>
      </c>
      <c r="AM369" s="463">
        <v>69</v>
      </c>
      <c r="AN369" s="463">
        <v>31</v>
      </c>
      <c r="AO369" s="463">
        <v>44</v>
      </c>
      <c r="AP369" s="463">
        <v>33</v>
      </c>
      <c r="AQ369" s="463">
        <v>50</v>
      </c>
      <c r="AR369" s="463">
        <v>51</v>
      </c>
      <c r="AS369" s="463">
        <v>16</v>
      </c>
      <c r="AT369" s="463">
        <v>25</v>
      </c>
      <c r="AU369" s="463">
        <v>67</v>
      </c>
      <c r="AV369" s="463">
        <v>70</v>
      </c>
      <c r="AW369" s="463">
        <v>56</v>
      </c>
      <c r="AX369" s="463">
        <v>26</v>
      </c>
      <c r="AY369" s="463">
        <v>60</v>
      </c>
      <c r="AZ369" s="463">
        <v>28</v>
      </c>
      <c r="BA369" s="463">
        <v>62</v>
      </c>
      <c r="BB369" s="463">
        <v>21</v>
      </c>
      <c r="BC369" s="463">
        <v>66</v>
      </c>
      <c r="BD369" s="463">
        <v>55</v>
      </c>
      <c r="BE369" s="463">
        <v>72</v>
      </c>
      <c r="BF369" s="463">
        <v>14</v>
      </c>
      <c r="BG369" s="463">
        <v>18</v>
      </c>
      <c r="BH369" s="463">
        <v>46</v>
      </c>
      <c r="BI369" s="463">
        <v>76</v>
      </c>
      <c r="BJ369" s="463">
        <v>71</v>
      </c>
      <c r="BK369" s="463">
        <v>42</v>
      </c>
      <c r="BL369" s="463">
        <v>57</v>
      </c>
      <c r="BM369" s="463">
        <v>22</v>
      </c>
      <c r="BN369" s="463">
        <v>40</v>
      </c>
      <c r="BO369" s="463">
        <v>43</v>
      </c>
      <c r="BP369" s="463">
        <v>15</v>
      </c>
      <c r="BQ369" s="463">
        <v>52</v>
      </c>
      <c r="BS369" s="463">
        <v>35</v>
      </c>
      <c r="BT369" s="463">
        <v>30</v>
      </c>
      <c r="BU369" s="463">
        <v>7</v>
      </c>
      <c r="BV369" s="463">
        <v>11</v>
      </c>
      <c r="BX369" s="463">
        <v>39</v>
      </c>
      <c r="BY369" s="463">
        <v>48</v>
      </c>
      <c r="BZ369" s="463">
        <v>12</v>
      </c>
      <c r="CA369" s="463">
        <v>53</v>
      </c>
      <c r="CC369" s="463">
        <v>29</v>
      </c>
      <c r="CD369" s="463">
        <v>4</v>
      </c>
      <c r="CE369" s="463">
        <v>17</v>
      </c>
      <c r="CF369" s="463">
        <v>58</v>
      </c>
    </row>
    <row r="372" spans="4:84" x14ac:dyDescent="0.2">
      <c r="D372" s="307">
        <v>77</v>
      </c>
      <c r="E372" s="307" t="s">
        <v>248</v>
      </c>
    </row>
    <row r="373" spans="4:84" x14ac:dyDescent="0.2">
      <c r="E373" s="463" t="s">
        <v>196</v>
      </c>
      <c r="F373" s="463">
        <v>1</v>
      </c>
      <c r="G373" s="463">
        <v>2</v>
      </c>
      <c r="H373" s="463">
        <v>3</v>
      </c>
      <c r="I373" s="463">
        <v>4</v>
      </c>
      <c r="J373" s="463">
        <v>5</v>
      </c>
      <c r="K373" s="463">
        <v>6</v>
      </c>
      <c r="L373" s="463">
        <v>7</v>
      </c>
      <c r="M373" s="463">
        <v>8</v>
      </c>
      <c r="N373" s="463">
        <v>9</v>
      </c>
      <c r="O373" s="463">
        <v>10</v>
      </c>
      <c r="P373" s="463">
        <v>11</v>
      </c>
      <c r="Q373" s="463">
        <v>12</v>
      </c>
      <c r="R373" s="463">
        <v>13</v>
      </c>
      <c r="S373" s="463">
        <v>14</v>
      </c>
      <c r="T373" s="463">
        <v>15</v>
      </c>
      <c r="U373" s="463">
        <v>16</v>
      </c>
      <c r="V373" s="463">
        <v>17</v>
      </c>
      <c r="W373" s="463">
        <v>18</v>
      </c>
      <c r="X373" s="463">
        <v>19</v>
      </c>
      <c r="Y373" s="463">
        <v>20</v>
      </c>
      <c r="Z373" s="463">
        <v>21</v>
      </c>
      <c r="AA373" s="463">
        <v>22</v>
      </c>
      <c r="AB373" s="463">
        <v>23</v>
      </c>
      <c r="AC373" s="463">
        <v>24</v>
      </c>
      <c r="AD373" s="463">
        <v>25</v>
      </c>
      <c r="AE373" s="463">
        <v>26</v>
      </c>
      <c r="AF373" s="463">
        <v>27</v>
      </c>
      <c r="AG373" s="463">
        <v>28</v>
      </c>
      <c r="AH373" s="463">
        <v>29</v>
      </c>
      <c r="AI373" s="463">
        <v>30</v>
      </c>
      <c r="AJ373" s="463">
        <v>31</v>
      </c>
      <c r="AK373" s="463">
        <v>32</v>
      </c>
      <c r="AL373" s="463">
        <v>33</v>
      </c>
      <c r="AM373" s="463">
        <v>34</v>
      </c>
      <c r="AN373" s="463">
        <v>35</v>
      </c>
      <c r="AO373" s="463">
        <v>36</v>
      </c>
      <c r="AP373" s="463">
        <v>37</v>
      </c>
      <c r="AQ373" s="463">
        <v>38</v>
      </c>
      <c r="AR373" s="463">
        <v>39</v>
      </c>
      <c r="AS373" s="463">
        <v>40</v>
      </c>
      <c r="AT373" s="463">
        <v>41</v>
      </c>
      <c r="AU373" s="463">
        <v>42</v>
      </c>
      <c r="AV373" s="463">
        <v>43</v>
      </c>
      <c r="AW373" s="463">
        <v>44</v>
      </c>
      <c r="AX373" s="463">
        <v>45</v>
      </c>
      <c r="AY373" s="463">
        <v>46</v>
      </c>
      <c r="AZ373" s="463">
        <v>47</v>
      </c>
      <c r="BA373" s="463">
        <v>48</v>
      </c>
      <c r="BB373" s="463">
        <v>49</v>
      </c>
      <c r="BC373" s="463">
        <v>50</v>
      </c>
      <c r="BD373" s="463">
        <v>51</v>
      </c>
      <c r="BE373" s="463">
        <v>52</v>
      </c>
      <c r="BF373" s="463">
        <v>53</v>
      </c>
      <c r="BG373" s="463">
        <v>54</v>
      </c>
      <c r="BH373" s="463">
        <v>55</v>
      </c>
      <c r="BI373" s="463">
        <v>56</v>
      </c>
      <c r="BJ373" s="463">
        <v>57</v>
      </c>
      <c r="BK373" s="463">
        <v>58</v>
      </c>
      <c r="BL373" s="463">
        <v>59</v>
      </c>
      <c r="BM373" s="463">
        <v>60</v>
      </c>
      <c r="BN373" s="463">
        <v>61</v>
      </c>
      <c r="BO373" s="463">
        <v>62</v>
      </c>
      <c r="BP373" s="463">
        <v>63</v>
      </c>
      <c r="BQ373" s="463">
        <v>64</v>
      </c>
      <c r="BR373" s="463">
        <v>65</v>
      </c>
      <c r="BS373" s="463">
        <v>66</v>
      </c>
      <c r="BT373" s="463">
        <v>67</v>
      </c>
      <c r="BU373" s="463">
        <v>68</v>
      </c>
      <c r="BV373" s="463">
        <v>69</v>
      </c>
      <c r="BX373" s="463">
        <v>70</v>
      </c>
      <c r="BY373" s="463">
        <v>71</v>
      </c>
      <c r="BZ373" s="463">
        <v>72</v>
      </c>
      <c r="CA373" s="463">
        <v>73</v>
      </c>
      <c r="CC373" s="463">
        <v>74</v>
      </c>
      <c r="CD373" s="463">
        <v>75</v>
      </c>
      <c r="CE373" s="463">
        <v>76</v>
      </c>
      <c r="CF373" s="463">
        <v>77</v>
      </c>
    </row>
    <row r="374" spans="4:84" x14ac:dyDescent="0.2">
      <c r="E374" s="463" t="s">
        <v>230</v>
      </c>
      <c r="F374" s="463">
        <v>25</v>
      </c>
      <c r="G374" s="463">
        <v>10</v>
      </c>
      <c r="H374" s="463">
        <v>52</v>
      </c>
      <c r="I374" s="463">
        <v>26</v>
      </c>
      <c r="J374" s="463">
        <v>36</v>
      </c>
      <c r="K374" s="463">
        <v>30</v>
      </c>
      <c r="L374" s="463">
        <v>8</v>
      </c>
      <c r="M374" s="463">
        <v>73</v>
      </c>
      <c r="N374" s="463">
        <v>31</v>
      </c>
      <c r="O374" s="463">
        <v>61</v>
      </c>
      <c r="P374" s="463">
        <v>59</v>
      </c>
      <c r="Q374" s="463">
        <v>43</v>
      </c>
      <c r="R374" s="463">
        <v>12</v>
      </c>
      <c r="S374" s="463">
        <v>46</v>
      </c>
      <c r="T374" s="463">
        <v>75</v>
      </c>
      <c r="U374" s="463">
        <v>55</v>
      </c>
      <c r="V374" s="463">
        <v>33</v>
      </c>
      <c r="W374" s="463">
        <v>62</v>
      </c>
      <c r="X374" s="463">
        <v>41</v>
      </c>
      <c r="Y374" s="463">
        <v>74</v>
      </c>
      <c r="Z374" s="463">
        <v>54</v>
      </c>
      <c r="AA374" s="463">
        <v>64</v>
      </c>
      <c r="AB374" s="463">
        <v>17</v>
      </c>
      <c r="AC374" s="463">
        <v>2</v>
      </c>
      <c r="AD374" s="463">
        <v>70</v>
      </c>
      <c r="AE374" s="463">
        <v>9</v>
      </c>
      <c r="AF374" s="463">
        <v>5</v>
      </c>
      <c r="AG374" s="463">
        <v>49</v>
      </c>
      <c r="AH374" s="463">
        <v>66</v>
      </c>
      <c r="AI374" s="463">
        <v>38</v>
      </c>
      <c r="AJ374" s="463">
        <v>34</v>
      </c>
      <c r="AK374" s="463">
        <v>58</v>
      </c>
      <c r="AL374" s="463">
        <v>4</v>
      </c>
      <c r="AM374" s="463">
        <v>22</v>
      </c>
      <c r="AN374" s="463">
        <v>6</v>
      </c>
      <c r="AO374" s="463">
        <v>24</v>
      </c>
      <c r="AP374" s="463">
        <v>63</v>
      </c>
      <c r="AQ374" s="463">
        <v>57</v>
      </c>
      <c r="AR374" s="463">
        <v>11</v>
      </c>
      <c r="AS374" s="463">
        <v>76</v>
      </c>
      <c r="AT374" s="463">
        <v>19</v>
      </c>
      <c r="AU374" s="463">
        <v>77</v>
      </c>
      <c r="AV374" s="463">
        <v>69</v>
      </c>
      <c r="AW374" s="463">
        <v>32</v>
      </c>
      <c r="AX374" s="463">
        <v>42</v>
      </c>
      <c r="AY374" s="463">
        <v>39</v>
      </c>
      <c r="AZ374" s="463">
        <v>28</v>
      </c>
      <c r="BA374" s="463">
        <v>35</v>
      </c>
      <c r="BB374" s="463">
        <v>16</v>
      </c>
      <c r="BC374" s="463">
        <v>71</v>
      </c>
      <c r="BD374" s="463">
        <v>60</v>
      </c>
      <c r="BE374" s="463">
        <v>50</v>
      </c>
      <c r="BF374" s="463">
        <v>27</v>
      </c>
      <c r="BG374" s="463">
        <v>21</v>
      </c>
      <c r="BH374" s="463">
        <v>51</v>
      </c>
      <c r="BI374" s="463">
        <v>45</v>
      </c>
      <c r="BJ374" s="463">
        <v>72</v>
      </c>
      <c r="BK374" s="463">
        <v>37</v>
      </c>
      <c r="BL374" s="463">
        <v>68</v>
      </c>
      <c r="BM374" s="463">
        <v>1</v>
      </c>
      <c r="BN374" s="463">
        <v>40</v>
      </c>
      <c r="BO374" s="463">
        <v>18</v>
      </c>
      <c r="BP374" s="463">
        <v>14</v>
      </c>
      <c r="BQ374" s="463">
        <v>67</v>
      </c>
      <c r="BR374" s="463">
        <v>56</v>
      </c>
      <c r="BS374" s="463">
        <v>29</v>
      </c>
      <c r="BT374" s="463">
        <v>13</v>
      </c>
      <c r="BU374" s="463">
        <v>7</v>
      </c>
      <c r="BV374" s="463">
        <v>53</v>
      </c>
      <c r="BX374" s="463">
        <v>15</v>
      </c>
      <c r="BY374" s="463">
        <v>23</v>
      </c>
      <c r="BZ374" s="463">
        <v>65</v>
      </c>
      <c r="CA374" s="463">
        <v>47</v>
      </c>
      <c r="CC374" s="463">
        <v>20</v>
      </c>
      <c r="CD374" s="463">
        <v>3</v>
      </c>
      <c r="CE374" s="463">
        <v>44</v>
      </c>
      <c r="CF374" s="463">
        <v>48</v>
      </c>
    </row>
    <row r="377" spans="4:84" x14ac:dyDescent="0.2">
      <c r="D377" s="307">
        <v>78</v>
      </c>
      <c r="E377" s="307" t="s">
        <v>248</v>
      </c>
    </row>
    <row r="378" spans="4:84" x14ac:dyDescent="0.2">
      <c r="E378" s="463" t="s">
        <v>196</v>
      </c>
      <c r="F378" s="463">
        <v>1</v>
      </c>
      <c r="G378" s="463">
        <v>2</v>
      </c>
      <c r="H378" s="463">
        <v>3</v>
      </c>
      <c r="I378" s="463">
        <v>4</v>
      </c>
      <c r="J378" s="463">
        <v>5</v>
      </c>
      <c r="K378" s="463">
        <v>6</v>
      </c>
      <c r="L378" s="463">
        <v>7</v>
      </c>
      <c r="M378" s="463">
        <v>8</v>
      </c>
      <c r="N378" s="463">
        <v>9</v>
      </c>
      <c r="O378" s="463">
        <v>10</v>
      </c>
      <c r="P378" s="463">
        <v>11</v>
      </c>
      <c r="Q378" s="463">
        <v>12</v>
      </c>
      <c r="R378" s="463">
        <v>13</v>
      </c>
      <c r="S378" s="463">
        <v>14</v>
      </c>
      <c r="T378" s="463">
        <v>15</v>
      </c>
      <c r="U378" s="463">
        <v>16</v>
      </c>
      <c r="V378" s="463">
        <v>17</v>
      </c>
      <c r="W378" s="463">
        <v>18</v>
      </c>
      <c r="X378" s="463">
        <v>19</v>
      </c>
      <c r="Y378" s="463">
        <v>20</v>
      </c>
      <c r="Z378" s="463">
        <v>21</v>
      </c>
      <c r="AA378" s="463">
        <v>22</v>
      </c>
      <c r="AB378" s="463">
        <v>23</v>
      </c>
      <c r="AC378" s="463">
        <v>24</v>
      </c>
      <c r="AD378" s="463">
        <v>25</v>
      </c>
      <c r="AE378" s="463">
        <v>26</v>
      </c>
      <c r="AF378" s="463">
        <v>27</v>
      </c>
      <c r="AG378" s="463">
        <v>28</v>
      </c>
      <c r="AH378" s="463">
        <v>29</v>
      </c>
      <c r="AI378" s="463">
        <v>30</v>
      </c>
      <c r="AJ378" s="463">
        <v>31</v>
      </c>
      <c r="AK378" s="463">
        <v>32</v>
      </c>
      <c r="AL378" s="463">
        <v>33</v>
      </c>
      <c r="AM378" s="463">
        <v>34</v>
      </c>
      <c r="AN378" s="463">
        <v>35</v>
      </c>
      <c r="AO378" s="463">
        <v>36</v>
      </c>
      <c r="AP378" s="463">
        <v>37</v>
      </c>
      <c r="AQ378" s="463">
        <v>38</v>
      </c>
      <c r="AR378" s="463">
        <v>39</v>
      </c>
      <c r="AS378" s="463">
        <v>40</v>
      </c>
      <c r="AT378" s="463">
        <v>41</v>
      </c>
      <c r="AU378" s="463">
        <v>42</v>
      </c>
      <c r="AV378" s="463">
        <v>43</v>
      </c>
      <c r="AW378" s="463">
        <v>44</v>
      </c>
      <c r="AX378" s="463">
        <v>45</v>
      </c>
      <c r="AY378" s="463">
        <v>46</v>
      </c>
      <c r="AZ378" s="463">
        <v>47</v>
      </c>
      <c r="BA378" s="463">
        <v>48</v>
      </c>
      <c r="BB378" s="463">
        <v>49</v>
      </c>
      <c r="BC378" s="463">
        <v>50</v>
      </c>
      <c r="BD378" s="463">
        <v>51</v>
      </c>
      <c r="BE378" s="463">
        <v>52</v>
      </c>
      <c r="BF378" s="463">
        <v>53</v>
      </c>
      <c r="BG378" s="463">
        <v>54</v>
      </c>
      <c r="BH378" s="463">
        <v>55</v>
      </c>
      <c r="BI378" s="463">
        <v>56</v>
      </c>
      <c r="BJ378" s="463">
        <v>57</v>
      </c>
      <c r="BK378" s="463">
        <v>58</v>
      </c>
      <c r="BL378" s="463">
        <v>59</v>
      </c>
      <c r="BM378" s="463">
        <v>60</v>
      </c>
      <c r="BN378" s="463">
        <v>61</v>
      </c>
      <c r="BO378" s="463">
        <v>62</v>
      </c>
      <c r="BP378" s="463">
        <v>63</v>
      </c>
      <c r="BQ378" s="463">
        <v>64</v>
      </c>
      <c r="BR378" s="463">
        <v>65</v>
      </c>
      <c r="BS378" s="463">
        <v>66</v>
      </c>
      <c r="BT378" s="463">
        <v>67</v>
      </c>
      <c r="BU378" s="463">
        <v>68</v>
      </c>
      <c r="BV378" s="463">
        <v>69</v>
      </c>
      <c r="BW378" s="463">
        <v>70</v>
      </c>
      <c r="BX378" s="463">
        <v>71</v>
      </c>
      <c r="BY378" s="463">
        <v>72</v>
      </c>
      <c r="BZ378" s="463">
        <v>73</v>
      </c>
      <c r="CA378" s="463">
        <v>74</v>
      </c>
      <c r="CC378" s="463">
        <v>75</v>
      </c>
      <c r="CD378" s="463">
        <v>76</v>
      </c>
      <c r="CE378" s="463">
        <v>77</v>
      </c>
      <c r="CF378" s="463">
        <v>78</v>
      </c>
    </row>
    <row r="379" spans="4:84" x14ac:dyDescent="0.2">
      <c r="E379" s="463" t="s">
        <v>230</v>
      </c>
      <c r="F379" s="463">
        <v>44</v>
      </c>
      <c r="G379" s="463">
        <v>48</v>
      </c>
      <c r="H379" s="463">
        <v>72</v>
      </c>
      <c r="I379" s="463">
        <v>32</v>
      </c>
      <c r="J379" s="463">
        <v>51</v>
      </c>
      <c r="K379" s="463">
        <v>4</v>
      </c>
      <c r="L379" s="463">
        <v>13</v>
      </c>
      <c r="M379" s="463">
        <v>37</v>
      </c>
      <c r="N379" s="463">
        <v>28</v>
      </c>
      <c r="O379" s="463">
        <v>75</v>
      </c>
      <c r="P379" s="463">
        <v>14</v>
      </c>
      <c r="Q379" s="463">
        <v>73</v>
      </c>
      <c r="R379" s="463">
        <v>7</v>
      </c>
      <c r="S379" s="463">
        <v>53</v>
      </c>
      <c r="T379" s="463">
        <v>26</v>
      </c>
      <c r="U379" s="463">
        <v>5</v>
      </c>
      <c r="V379" s="463">
        <v>69</v>
      </c>
      <c r="W379" s="463">
        <v>64</v>
      </c>
      <c r="X379" s="463">
        <v>71</v>
      </c>
      <c r="Y379" s="463">
        <v>36</v>
      </c>
      <c r="Z379" s="463">
        <v>50</v>
      </c>
      <c r="AA379" s="463">
        <v>8</v>
      </c>
      <c r="AB379" s="463">
        <v>27</v>
      </c>
      <c r="AC379" s="463">
        <v>17</v>
      </c>
      <c r="AD379" s="463">
        <v>2</v>
      </c>
      <c r="AE379" s="463">
        <v>70</v>
      </c>
      <c r="AF379" s="463">
        <v>23</v>
      </c>
      <c r="AG379" s="463">
        <v>62</v>
      </c>
      <c r="AH379" s="463">
        <v>77</v>
      </c>
      <c r="AI379" s="463">
        <v>43</v>
      </c>
      <c r="AJ379" s="463">
        <v>55</v>
      </c>
      <c r="AK379" s="463">
        <v>38</v>
      </c>
      <c r="AL379" s="463">
        <v>20</v>
      </c>
      <c r="AM379" s="463">
        <v>46</v>
      </c>
      <c r="AN379" s="463">
        <v>68</v>
      </c>
      <c r="AO379" s="463">
        <v>30</v>
      </c>
      <c r="AP379" s="463">
        <v>40</v>
      </c>
      <c r="AQ379" s="463">
        <v>15</v>
      </c>
      <c r="AR379" s="463">
        <v>6</v>
      </c>
      <c r="AS379" s="463">
        <v>61</v>
      </c>
      <c r="AT379" s="463">
        <v>29</v>
      </c>
      <c r="AU379" s="463">
        <v>78</v>
      </c>
      <c r="AV379" s="463">
        <v>74</v>
      </c>
      <c r="AW379" s="463">
        <v>57</v>
      </c>
      <c r="AX379" s="463">
        <v>11</v>
      </c>
      <c r="AY379" s="463">
        <v>9</v>
      </c>
      <c r="AZ379" s="463">
        <v>34</v>
      </c>
      <c r="BA379" s="463">
        <v>52</v>
      </c>
      <c r="BB379" s="463">
        <v>58</v>
      </c>
      <c r="BC379" s="463">
        <v>16</v>
      </c>
      <c r="BD379" s="463">
        <v>25</v>
      </c>
      <c r="BE379" s="463">
        <v>3</v>
      </c>
      <c r="BF379" s="463">
        <v>65</v>
      </c>
      <c r="BG379" s="463">
        <v>66</v>
      </c>
      <c r="BH379" s="463">
        <v>12</v>
      </c>
      <c r="BI379" s="463">
        <v>19</v>
      </c>
      <c r="BJ379" s="463">
        <v>63</v>
      </c>
      <c r="BK379" s="463">
        <v>76</v>
      </c>
      <c r="BL379" s="463">
        <v>41</v>
      </c>
      <c r="BM379" s="463">
        <v>47</v>
      </c>
      <c r="BN379" s="463">
        <v>24</v>
      </c>
      <c r="BO379" s="463">
        <v>49</v>
      </c>
      <c r="BP379" s="463">
        <v>42</v>
      </c>
      <c r="BQ379" s="463">
        <v>31</v>
      </c>
      <c r="BR379" s="463">
        <v>56</v>
      </c>
      <c r="BS379" s="463">
        <v>39</v>
      </c>
      <c r="BT379" s="463">
        <v>59</v>
      </c>
      <c r="BU379" s="463">
        <v>35</v>
      </c>
      <c r="BV379" s="463">
        <v>67</v>
      </c>
      <c r="BW379" s="463">
        <v>1</v>
      </c>
      <c r="BX379" s="463">
        <v>45</v>
      </c>
      <c r="BY379" s="463">
        <v>18</v>
      </c>
      <c r="BZ379" s="463">
        <v>22</v>
      </c>
      <c r="CA379" s="463">
        <v>33</v>
      </c>
      <c r="CC379" s="463">
        <v>10</v>
      </c>
      <c r="CD379" s="463">
        <v>54</v>
      </c>
      <c r="CE379" s="463">
        <v>60</v>
      </c>
      <c r="CF379" s="463">
        <v>21</v>
      </c>
    </row>
    <row r="382" spans="4:84" x14ac:dyDescent="0.2">
      <c r="D382" s="307">
        <v>79</v>
      </c>
      <c r="E382" s="307" t="s">
        <v>248</v>
      </c>
    </row>
    <row r="383" spans="4:84" x14ac:dyDescent="0.2">
      <c r="E383" s="463" t="s">
        <v>196</v>
      </c>
      <c r="F383" s="463">
        <v>1</v>
      </c>
      <c r="G383" s="463">
        <v>2</v>
      </c>
      <c r="H383" s="463">
        <v>3</v>
      </c>
      <c r="I383" s="463">
        <v>4</v>
      </c>
      <c r="J383" s="463">
        <v>5</v>
      </c>
      <c r="K383" s="463">
        <v>6</v>
      </c>
      <c r="L383" s="463">
        <v>7</v>
      </c>
      <c r="M383" s="463">
        <v>8</v>
      </c>
      <c r="N383" s="463">
        <v>9</v>
      </c>
      <c r="O383" s="463">
        <v>10</v>
      </c>
      <c r="P383" s="463">
        <v>11</v>
      </c>
      <c r="Q383" s="463">
        <v>12</v>
      </c>
      <c r="R383" s="463">
        <v>13</v>
      </c>
      <c r="S383" s="463">
        <v>14</v>
      </c>
      <c r="T383" s="463">
        <v>15</v>
      </c>
      <c r="U383" s="463">
        <v>16</v>
      </c>
      <c r="V383" s="463">
        <v>17</v>
      </c>
      <c r="W383" s="463">
        <v>18</v>
      </c>
      <c r="X383" s="463">
        <v>19</v>
      </c>
      <c r="Y383" s="463">
        <v>20</v>
      </c>
      <c r="Z383" s="463">
        <v>21</v>
      </c>
      <c r="AA383" s="463">
        <v>22</v>
      </c>
      <c r="AB383" s="463">
        <v>23</v>
      </c>
      <c r="AC383" s="463">
        <v>24</v>
      </c>
      <c r="AD383" s="463">
        <v>25</v>
      </c>
      <c r="AE383" s="463">
        <v>26</v>
      </c>
      <c r="AF383" s="463">
        <v>27</v>
      </c>
      <c r="AG383" s="463">
        <v>28</v>
      </c>
      <c r="AH383" s="463">
        <v>29</v>
      </c>
      <c r="AI383" s="463">
        <v>30</v>
      </c>
      <c r="AJ383" s="463">
        <v>31</v>
      </c>
      <c r="AK383" s="463">
        <v>32</v>
      </c>
      <c r="AL383" s="463">
        <v>33</v>
      </c>
      <c r="AM383" s="463">
        <v>34</v>
      </c>
      <c r="AN383" s="463">
        <v>35</v>
      </c>
      <c r="AO383" s="463">
        <v>36</v>
      </c>
      <c r="AP383" s="463">
        <v>37</v>
      </c>
      <c r="AQ383" s="463">
        <v>38</v>
      </c>
      <c r="AR383" s="463">
        <v>39</v>
      </c>
      <c r="AS383" s="463">
        <v>40</v>
      </c>
      <c r="AT383" s="463">
        <v>41</v>
      </c>
      <c r="AU383" s="463">
        <v>42</v>
      </c>
      <c r="AV383" s="463">
        <v>43</v>
      </c>
      <c r="AW383" s="463">
        <v>44</v>
      </c>
      <c r="AX383" s="463">
        <v>45</v>
      </c>
      <c r="AY383" s="463">
        <v>46</v>
      </c>
      <c r="AZ383" s="463">
        <v>47</v>
      </c>
      <c r="BA383" s="463">
        <v>48</v>
      </c>
      <c r="BB383" s="463">
        <v>49</v>
      </c>
      <c r="BC383" s="463">
        <v>50</v>
      </c>
      <c r="BD383" s="463">
        <v>51</v>
      </c>
      <c r="BE383" s="463">
        <v>52</v>
      </c>
      <c r="BF383" s="463">
        <v>53</v>
      </c>
      <c r="BG383" s="463">
        <v>54</v>
      </c>
      <c r="BH383" s="463">
        <v>55</v>
      </c>
      <c r="BI383" s="463">
        <v>56</v>
      </c>
      <c r="BJ383" s="463">
        <v>57</v>
      </c>
      <c r="BK383" s="463">
        <v>58</v>
      </c>
      <c r="BL383" s="463">
        <v>59</v>
      </c>
      <c r="BM383" s="463">
        <v>60</v>
      </c>
      <c r="BN383" s="463">
        <v>61</v>
      </c>
      <c r="BO383" s="463">
        <v>62</v>
      </c>
      <c r="BP383" s="463">
        <v>63</v>
      </c>
      <c r="BQ383" s="463">
        <v>64</v>
      </c>
      <c r="BR383" s="463">
        <v>65</v>
      </c>
      <c r="BS383" s="463">
        <v>66</v>
      </c>
      <c r="BT383" s="463">
        <v>67</v>
      </c>
      <c r="BU383" s="463">
        <v>68</v>
      </c>
      <c r="BV383" s="463">
        <v>69</v>
      </c>
      <c r="BW383" s="463">
        <v>70</v>
      </c>
      <c r="BX383" s="463">
        <v>71</v>
      </c>
      <c r="BY383" s="463">
        <v>72</v>
      </c>
      <c r="BZ383" s="463">
        <v>73</v>
      </c>
      <c r="CA383" s="463">
        <v>74</v>
      </c>
      <c r="CB383" s="463">
        <v>75</v>
      </c>
      <c r="CC383" s="463">
        <v>76</v>
      </c>
      <c r="CD383" s="463">
        <v>77</v>
      </c>
      <c r="CE383" s="463">
        <v>78</v>
      </c>
      <c r="CF383" s="463">
        <v>79</v>
      </c>
    </row>
    <row r="384" spans="4:84" x14ac:dyDescent="0.2">
      <c r="E384" s="463" t="s">
        <v>230</v>
      </c>
      <c r="F384" s="463">
        <v>55</v>
      </c>
      <c r="G384" s="463">
        <v>20</v>
      </c>
      <c r="H384" s="463">
        <v>40</v>
      </c>
      <c r="I384" s="463">
        <v>58</v>
      </c>
      <c r="J384" s="463">
        <v>66</v>
      </c>
      <c r="K384" s="463">
        <v>15</v>
      </c>
      <c r="L384" s="463">
        <v>63</v>
      </c>
      <c r="M384" s="463">
        <v>27</v>
      </c>
      <c r="N384" s="463">
        <v>41</v>
      </c>
      <c r="O384" s="463">
        <v>72</v>
      </c>
      <c r="P384" s="463">
        <v>19</v>
      </c>
      <c r="Q384" s="463">
        <v>73</v>
      </c>
      <c r="R384" s="463">
        <v>67</v>
      </c>
      <c r="S384" s="463">
        <v>31</v>
      </c>
      <c r="T384" s="463">
        <v>1</v>
      </c>
      <c r="U384" s="463">
        <v>70</v>
      </c>
      <c r="V384" s="463">
        <v>53</v>
      </c>
      <c r="W384" s="463">
        <v>7</v>
      </c>
      <c r="X384" s="463">
        <v>21</v>
      </c>
      <c r="Y384" s="463">
        <v>76</v>
      </c>
      <c r="Z384" s="463">
        <v>25</v>
      </c>
      <c r="AA384" s="463">
        <v>68</v>
      </c>
      <c r="AB384" s="463">
        <v>9</v>
      </c>
      <c r="AC384" s="463">
        <v>37</v>
      </c>
      <c r="AD384" s="463">
        <v>16</v>
      </c>
      <c r="AE384" s="463">
        <v>44</v>
      </c>
      <c r="AF384" s="463">
        <v>8</v>
      </c>
      <c r="AG384" s="463">
        <v>14</v>
      </c>
      <c r="AH384" s="463">
        <v>46</v>
      </c>
      <c r="AI384" s="463">
        <v>33</v>
      </c>
      <c r="AJ384" s="463">
        <v>74</v>
      </c>
      <c r="AK384" s="463">
        <v>64</v>
      </c>
      <c r="AL384" s="463">
        <v>79</v>
      </c>
      <c r="AM384" s="463">
        <v>43</v>
      </c>
      <c r="AN384" s="463">
        <v>18</v>
      </c>
      <c r="AO384" s="463">
        <v>50</v>
      </c>
      <c r="AP384" s="463">
        <v>24</v>
      </c>
      <c r="AQ384" s="463">
        <v>4</v>
      </c>
      <c r="AR384" s="463">
        <v>61</v>
      </c>
      <c r="AS384" s="463">
        <v>71</v>
      </c>
      <c r="AT384" s="463">
        <v>69</v>
      </c>
      <c r="AU384" s="463">
        <v>23</v>
      </c>
      <c r="AV384" s="463">
        <v>47</v>
      </c>
      <c r="AW384" s="463">
        <v>52</v>
      </c>
      <c r="AX384" s="463">
        <v>57</v>
      </c>
      <c r="AY384" s="463">
        <v>54</v>
      </c>
      <c r="AZ384" s="463">
        <v>45</v>
      </c>
      <c r="BA384" s="463">
        <v>35</v>
      </c>
      <c r="BB384" s="463">
        <v>78</v>
      </c>
      <c r="BC384" s="463">
        <v>6</v>
      </c>
      <c r="BD384" s="463">
        <v>75</v>
      </c>
      <c r="BE384" s="463">
        <v>5</v>
      </c>
      <c r="BF384" s="463">
        <v>17</v>
      </c>
      <c r="BG384" s="463">
        <v>56</v>
      </c>
      <c r="BH384" s="463">
        <v>36</v>
      </c>
      <c r="BI384" s="463">
        <v>29</v>
      </c>
      <c r="BJ384" s="463">
        <v>49</v>
      </c>
      <c r="BK384" s="463">
        <v>42</v>
      </c>
      <c r="BL384" s="463">
        <v>13</v>
      </c>
      <c r="BM384" s="463">
        <v>77</v>
      </c>
      <c r="BN384" s="463">
        <v>60</v>
      </c>
      <c r="BO384" s="463">
        <v>48</v>
      </c>
      <c r="BP384" s="463">
        <v>65</v>
      </c>
      <c r="BQ384" s="463">
        <v>32</v>
      </c>
      <c r="BR384" s="463">
        <v>3</v>
      </c>
      <c r="BS384" s="463">
        <v>10</v>
      </c>
      <c r="BT384" s="463">
        <v>28</v>
      </c>
      <c r="BU384" s="463">
        <v>59</v>
      </c>
      <c r="BV384" s="463">
        <v>22</v>
      </c>
      <c r="BW384" s="463">
        <v>11</v>
      </c>
      <c r="BX384" s="463">
        <v>30</v>
      </c>
      <c r="BY384" s="463">
        <v>38</v>
      </c>
      <c r="BZ384" s="463">
        <v>2</v>
      </c>
      <c r="CA384" s="463">
        <v>62</v>
      </c>
      <c r="CB384" s="463">
        <v>51</v>
      </c>
      <c r="CC384" s="463">
        <v>34</v>
      </c>
      <c r="CD384" s="463">
        <v>39</v>
      </c>
      <c r="CE384" s="463">
        <v>12</v>
      </c>
      <c r="CF384" s="463">
        <v>26</v>
      </c>
    </row>
    <row r="387" spans="4:89" x14ac:dyDescent="0.2">
      <c r="D387" s="307">
        <v>80</v>
      </c>
      <c r="E387" s="307" t="s">
        <v>248</v>
      </c>
    </row>
    <row r="388" spans="4:89" x14ac:dyDescent="0.2">
      <c r="E388" s="463" t="s">
        <v>196</v>
      </c>
      <c r="F388" s="463">
        <v>1</v>
      </c>
      <c r="G388" s="463">
        <v>2</v>
      </c>
      <c r="H388" s="463">
        <v>3</v>
      </c>
      <c r="I388" s="463">
        <v>4</v>
      </c>
      <c r="J388" s="463">
        <v>5</v>
      </c>
      <c r="K388" s="463">
        <v>6</v>
      </c>
      <c r="L388" s="463">
        <v>7</v>
      </c>
      <c r="M388" s="463">
        <v>8</v>
      </c>
      <c r="N388" s="463">
        <v>9</v>
      </c>
      <c r="O388" s="463">
        <v>10</v>
      </c>
      <c r="P388" s="463">
        <v>11</v>
      </c>
      <c r="Q388" s="463">
        <v>12</v>
      </c>
      <c r="R388" s="463">
        <v>13</v>
      </c>
      <c r="S388" s="463">
        <v>14</v>
      </c>
      <c r="T388" s="463">
        <v>15</v>
      </c>
      <c r="U388" s="463">
        <v>16</v>
      </c>
      <c r="V388" s="463">
        <v>17</v>
      </c>
      <c r="W388" s="463">
        <v>18</v>
      </c>
      <c r="X388" s="463">
        <v>19</v>
      </c>
      <c r="Y388" s="463">
        <v>20</v>
      </c>
      <c r="Z388" s="463">
        <v>21</v>
      </c>
      <c r="AA388" s="463">
        <v>22</v>
      </c>
      <c r="AB388" s="463">
        <v>23</v>
      </c>
      <c r="AC388" s="463">
        <v>24</v>
      </c>
      <c r="AD388" s="463">
        <v>25</v>
      </c>
      <c r="AE388" s="463">
        <v>26</v>
      </c>
      <c r="AF388" s="463">
        <v>27</v>
      </c>
      <c r="AG388" s="463">
        <v>28</v>
      </c>
      <c r="AH388" s="463">
        <v>29</v>
      </c>
      <c r="AI388" s="463">
        <v>30</v>
      </c>
      <c r="AJ388" s="463">
        <v>31</v>
      </c>
      <c r="AK388" s="463">
        <v>32</v>
      </c>
      <c r="AL388" s="463">
        <v>33</v>
      </c>
      <c r="AM388" s="463">
        <v>34</v>
      </c>
      <c r="AN388" s="463">
        <v>35</v>
      </c>
      <c r="AO388" s="463">
        <v>36</v>
      </c>
      <c r="AP388" s="463">
        <v>37</v>
      </c>
      <c r="AQ388" s="463">
        <v>38</v>
      </c>
      <c r="AR388" s="463">
        <v>39</v>
      </c>
      <c r="AS388" s="463">
        <v>40</v>
      </c>
      <c r="AT388" s="463">
        <v>41</v>
      </c>
      <c r="AU388" s="463">
        <v>42</v>
      </c>
      <c r="AV388" s="463">
        <v>43</v>
      </c>
      <c r="AW388" s="463">
        <v>44</v>
      </c>
      <c r="AX388" s="463">
        <v>45</v>
      </c>
      <c r="AY388" s="463">
        <v>46</v>
      </c>
      <c r="AZ388" s="463">
        <v>47</v>
      </c>
      <c r="BA388" s="463">
        <v>48</v>
      </c>
      <c r="BB388" s="463">
        <v>49</v>
      </c>
      <c r="BC388" s="463">
        <v>50</v>
      </c>
      <c r="BD388" s="463">
        <v>51</v>
      </c>
      <c r="BE388" s="463">
        <v>52</v>
      </c>
      <c r="BF388" s="463">
        <v>53</v>
      </c>
      <c r="BG388" s="463">
        <v>54</v>
      </c>
      <c r="BH388" s="463">
        <v>55</v>
      </c>
      <c r="BI388" s="463">
        <v>56</v>
      </c>
      <c r="BJ388" s="463">
        <v>57</v>
      </c>
      <c r="BK388" s="463">
        <v>58</v>
      </c>
      <c r="BL388" s="463">
        <v>59</v>
      </c>
      <c r="BM388" s="463">
        <v>60</v>
      </c>
      <c r="BN388" s="463">
        <v>61</v>
      </c>
      <c r="BO388" s="463">
        <v>62</v>
      </c>
      <c r="BP388" s="463">
        <v>63</v>
      </c>
      <c r="BQ388" s="463">
        <v>64</v>
      </c>
      <c r="BR388" s="463">
        <v>65</v>
      </c>
      <c r="BS388" s="463">
        <v>66</v>
      </c>
      <c r="BT388" s="463">
        <v>67</v>
      </c>
      <c r="BU388" s="463">
        <v>68</v>
      </c>
      <c r="BV388" s="463">
        <v>69</v>
      </c>
      <c r="BW388" s="463">
        <v>70</v>
      </c>
      <c r="BX388" s="463">
        <v>71</v>
      </c>
      <c r="BY388" s="463">
        <v>72</v>
      </c>
      <c r="BZ388" s="463">
        <v>73</v>
      </c>
      <c r="CA388" s="463">
        <v>74</v>
      </c>
      <c r="CB388" s="463">
        <v>75</v>
      </c>
      <c r="CC388" s="463">
        <v>76</v>
      </c>
      <c r="CD388" s="463">
        <v>77</v>
      </c>
      <c r="CE388" s="463">
        <v>78</v>
      </c>
      <c r="CF388" s="463">
        <v>79</v>
      </c>
      <c r="CG388" s="463">
        <v>80</v>
      </c>
    </row>
    <row r="389" spans="4:89" x14ac:dyDescent="0.2">
      <c r="E389" s="463" t="s">
        <v>230</v>
      </c>
      <c r="F389" s="463">
        <v>40</v>
      </c>
      <c r="G389" s="463">
        <v>20</v>
      </c>
      <c r="H389" s="463">
        <v>27</v>
      </c>
      <c r="I389" s="463">
        <v>57</v>
      </c>
      <c r="J389" s="463">
        <v>23</v>
      </c>
      <c r="K389" s="463">
        <v>34</v>
      </c>
      <c r="L389" s="463">
        <v>14</v>
      </c>
      <c r="M389" s="463">
        <v>17</v>
      </c>
      <c r="N389" s="463">
        <v>28</v>
      </c>
      <c r="O389" s="463">
        <v>48</v>
      </c>
      <c r="P389" s="463">
        <v>29</v>
      </c>
      <c r="Q389" s="463">
        <v>25</v>
      </c>
      <c r="R389" s="463">
        <v>9</v>
      </c>
      <c r="S389" s="463">
        <v>61</v>
      </c>
      <c r="T389" s="463">
        <v>72</v>
      </c>
      <c r="U389" s="463">
        <v>24</v>
      </c>
      <c r="V389" s="463">
        <v>69</v>
      </c>
      <c r="W389" s="463">
        <v>5</v>
      </c>
      <c r="X389" s="463">
        <v>7</v>
      </c>
      <c r="Y389" s="463">
        <v>37</v>
      </c>
      <c r="Z389" s="463">
        <v>45</v>
      </c>
      <c r="AA389" s="463">
        <v>63</v>
      </c>
      <c r="AB389" s="463">
        <v>67</v>
      </c>
      <c r="AC389" s="463">
        <v>51</v>
      </c>
      <c r="AD389" s="463">
        <v>36</v>
      </c>
      <c r="AE389" s="463">
        <v>4</v>
      </c>
      <c r="AF389" s="463">
        <v>78</v>
      </c>
      <c r="AG389" s="463">
        <v>70</v>
      </c>
      <c r="AH389" s="463">
        <v>11</v>
      </c>
      <c r="AI389" s="463">
        <v>46</v>
      </c>
      <c r="AJ389" s="463">
        <v>55</v>
      </c>
      <c r="AK389" s="463">
        <v>75</v>
      </c>
      <c r="AL389" s="463">
        <v>19</v>
      </c>
      <c r="AM389" s="463">
        <v>12</v>
      </c>
      <c r="AN389" s="463">
        <v>3</v>
      </c>
      <c r="AO389" s="463">
        <v>44</v>
      </c>
      <c r="AP389" s="463">
        <v>38</v>
      </c>
      <c r="AQ389" s="463">
        <v>2</v>
      </c>
      <c r="AR389" s="463">
        <v>22</v>
      </c>
      <c r="AS389" s="463">
        <v>76</v>
      </c>
      <c r="AT389" s="463">
        <v>64</v>
      </c>
      <c r="AU389" s="463">
        <v>18</v>
      </c>
      <c r="AV389" s="463">
        <v>15</v>
      </c>
      <c r="AW389" s="463">
        <v>1</v>
      </c>
      <c r="AX389" s="463">
        <v>21</v>
      </c>
      <c r="AY389" s="463">
        <v>30</v>
      </c>
      <c r="AZ389" s="463">
        <v>39</v>
      </c>
      <c r="BA389" s="463">
        <v>77</v>
      </c>
      <c r="BB389" s="463">
        <v>58</v>
      </c>
      <c r="BC389" s="463">
        <v>33</v>
      </c>
      <c r="BD389" s="463">
        <v>49</v>
      </c>
      <c r="BE389" s="463">
        <v>53</v>
      </c>
      <c r="BF389" s="463">
        <v>59</v>
      </c>
      <c r="BG389" s="463">
        <v>73</v>
      </c>
      <c r="BH389" s="463">
        <v>16</v>
      </c>
      <c r="BI389" s="463">
        <v>65</v>
      </c>
      <c r="BJ389" s="463">
        <v>60</v>
      </c>
      <c r="BK389" s="463">
        <v>42</v>
      </c>
      <c r="BL389" s="463">
        <v>68</v>
      </c>
      <c r="BM389" s="463">
        <v>8</v>
      </c>
      <c r="BN389" s="463">
        <v>50</v>
      </c>
      <c r="BO389" s="463">
        <v>79</v>
      </c>
      <c r="BP389" s="463">
        <v>32</v>
      </c>
      <c r="BQ389" s="463">
        <v>6</v>
      </c>
      <c r="BR389" s="463">
        <v>56</v>
      </c>
      <c r="BS389" s="463">
        <v>80</v>
      </c>
      <c r="BT389" s="463">
        <v>43</v>
      </c>
      <c r="BU389" s="463">
        <v>52</v>
      </c>
      <c r="BV389" s="463">
        <v>47</v>
      </c>
      <c r="BW389" s="463">
        <v>31</v>
      </c>
      <c r="BX389" s="463">
        <v>10</v>
      </c>
      <c r="BY389" s="463">
        <v>35</v>
      </c>
      <c r="BZ389" s="463">
        <v>54</v>
      </c>
      <c r="CA389" s="463">
        <v>66</v>
      </c>
      <c r="CB389" s="463">
        <v>71</v>
      </c>
      <c r="CC389" s="463">
        <v>74</v>
      </c>
      <c r="CD389" s="463">
        <v>13</v>
      </c>
      <c r="CE389" s="463">
        <v>62</v>
      </c>
      <c r="CF389" s="463">
        <v>41</v>
      </c>
      <c r="CG389" s="463">
        <v>26</v>
      </c>
    </row>
    <row r="392" spans="4:89" x14ac:dyDescent="0.2">
      <c r="D392" s="307">
        <v>81</v>
      </c>
      <c r="E392" s="307" t="s">
        <v>248</v>
      </c>
    </row>
    <row r="393" spans="4:89" x14ac:dyDescent="0.2">
      <c r="E393" s="463" t="s">
        <v>196</v>
      </c>
      <c r="F393" s="463">
        <v>1</v>
      </c>
      <c r="G393" s="463">
        <v>2</v>
      </c>
      <c r="H393" s="463">
        <v>3</v>
      </c>
      <c r="I393" s="463">
        <v>4</v>
      </c>
      <c r="J393" s="463">
        <v>5</v>
      </c>
      <c r="K393" s="463">
        <v>6</v>
      </c>
      <c r="L393" s="463">
        <v>7</v>
      </c>
      <c r="M393" s="463">
        <v>8</v>
      </c>
      <c r="N393" s="463">
        <v>9</v>
      </c>
      <c r="O393" s="463">
        <v>10</v>
      </c>
      <c r="P393" s="463">
        <v>11</v>
      </c>
      <c r="Q393" s="463">
        <v>12</v>
      </c>
      <c r="R393" s="463">
        <v>13</v>
      </c>
      <c r="S393" s="463">
        <v>14</v>
      </c>
      <c r="T393" s="463">
        <v>15</v>
      </c>
      <c r="U393" s="463">
        <v>16</v>
      </c>
      <c r="V393" s="463">
        <v>17</v>
      </c>
      <c r="W393" s="463">
        <v>18</v>
      </c>
      <c r="X393" s="463">
        <v>19</v>
      </c>
      <c r="Y393" s="463">
        <v>20</v>
      </c>
      <c r="Z393" s="463">
        <v>21</v>
      </c>
      <c r="AA393" s="463">
        <v>22</v>
      </c>
      <c r="AB393" s="463">
        <v>23</v>
      </c>
      <c r="AC393" s="463">
        <v>24</v>
      </c>
      <c r="AD393" s="463">
        <v>25</v>
      </c>
      <c r="AE393" s="463">
        <v>26</v>
      </c>
      <c r="AF393" s="463">
        <v>27</v>
      </c>
      <c r="AG393" s="463">
        <v>28</v>
      </c>
      <c r="AH393" s="463">
        <v>29</v>
      </c>
      <c r="AI393" s="463">
        <v>30</v>
      </c>
      <c r="AJ393" s="463">
        <v>31</v>
      </c>
      <c r="AK393" s="463">
        <v>32</v>
      </c>
      <c r="AL393" s="463">
        <v>33</v>
      </c>
      <c r="AM393" s="463">
        <v>34</v>
      </c>
      <c r="AN393" s="463">
        <v>35</v>
      </c>
      <c r="AO393" s="463">
        <v>36</v>
      </c>
      <c r="AP393" s="463">
        <v>37</v>
      </c>
      <c r="AQ393" s="463">
        <v>38</v>
      </c>
      <c r="AR393" s="463">
        <v>39</v>
      </c>
      <c r="AS393" s="463">
        <v>40</v>
      </c>
      <c r="AT393" s="463">
        <v>41</v>
      </c>
      <c r="AU393" s="463">
        <v>42</v>
      </c>
      <c r="AV393" s="463">
        <v>43</v>
      </c>
      <c r="AW393" s="463">
        <v>44</v>
      </c>
      <c r="AX393" s="463">
        <v>45</v>
      </c>
      <c r="AY393" s="463">
        <v>46</v>
      </c>
      <c r="AZ393" s="463">
        <v>47</v>
      </c>
      <c r="BA393" s="463">
        <v>48</v>
      </c>
      <c r="BB393" s="463">
        <v>49</v>
      </c>
      <c r="BC393" s="463">
        <v>50</v>
      </c>
      <c r="BD393" s="463">
        <v>51</v>
      </c>
      <c r="BE393" s="463">
        <v>52</v>
      </c>
      <c r="BF393" s="463">
        <v>53</v>
      </c>
      <c r="BG393" s="463">
        <v>54</v>
      </c>
      <c r="BH393" s="463">
        <v>55</v>
      </c>
      <c r="BI393" s="463">
        <v>56</v>
      </c>
      <c r="BJ393" s="463">
        <v>57</v>
      </c>
      <c r="BK393" s="463">
        <v>58</v>
      </c>
      <c r="BL393" s="463">
        <v>59</v>
      </c>
      <c r="BM393" s="463">
        <v>60</v>
      </c>
      <c r="BN393" s="463">
        <v>61</v>
      </c>
      <c r="BO393" s="463">
        <v>62</v>
      </c>
      <c r="BP393" s="463">
        <v>63</v>
      </c>
      <c r="BQ393" s="463">
        <v>64</v>
      </c>
      <c r="BR393" s="463">
        <v>65</v>
      </c>
      <c r="BS393" s="463">
        <v>66</v>
      </c>
      <c r="BT393" s="463">
        <v>67</v>
      </c>
      <c r="BU393" s="463">
        <v>68</v>
      </c>
      <c r="BV393" s="463">
        <v>69</v>
      </c>
      <c r="BX393" s="463">
        <v>70</v>
      </c>
      <c r="BY393" s="463">
        <v>71</v>
      </c>
      <c r="BZ393" s="463">
        <v>72</v>
      </c>
      <c r="CA393" s="463">
        <v>73</v>
      </c>
      <c r="CC393" s="463">
        <v>74</v>
      </c>
      <c r="CD393" s="463">
        <v>75</v>
      </c>
      <c r="CE393" s="463">
        <v>76</v>
      </c>
      <c r="CF393" s="463">
        <v>77</v>
      </c>
      <c r="CH393" s="463">
        <v>78</v>
      </c>
      <c r="CI393" s="463">
        <v>79</v>
      </c>
      <c r="CJ393" s="463">
        <v>80</v>
      </c>
      <c r="CK393" s="463">
        <v>81</v>
      </c>
    </row>
    <row r="394" spans="4:89" x14ac:dyDescent="0.2">
      <c r="E394" s="463" t="s">
        <v>230</v>
      </c>
      <c r="F394" s="463">
        <v>39</v>
      </c>
      <c r="G394" s="463">
        <v>80</v>
      </c>
      <c r="H394" s="463">
        <v>75</v>
      </c>
      <c r="I394" s="463">
        <v>31</v>
      </c>
      <c r="J394" s="463">
        <v>70</v>
      </c>
      <c r="K394" s="463">
        <v>59</v>
      </c>
      <c r="L394" s="463">
        <v>68</v>
      </c>
      <c r="M394" s="463">
        <v>65</v>
      </c>
      <c r="N394" s="463">
        <v>74</v>
      </c>
      <c r="O394" s="463">
        <v>43</v>
      </c>
      <c r="P394" s="463">
        <v>25</v>
      </c>
      <c r="Q394" s="463">
        <v>18</v>
      </c>
      <c r="R394" s="463">
        <v>67</v>
      </c>
      <c r="S394" s="463">
        <v>51</v>
      </c>
      <c r="T394" s="463">
        <v>79</v>
      </c>
      <c r="U394" s="463">
        <v>19</v>
      </c>
      <c r="V394" s="463">
        <v>72</v>
      </c>
      <c r="W394" s="463">
        <v>32</v>
      </c>
      <c r="X394" s="463">
        <v>61</v>
      </c>
      <c r="Y394" s="463">
        <v>46</v>
      </c>
      <c r="Z394" s="463">
        <v>64</v>
      </c>
      <c r="AA394" s="463">
        <v>29</v>
      </c>
      <c r="AB394" s="463">
        <v>22</v>
      </c>
      <c r="AC394" s="463">
        <v>36</v>
      </c>
      <c r="AD394" s="463">
        <v>17</v>
      </c>
      <c r="AE394" s="463">
        <v>77</v>
      </c>
      <c r="AF394" s="463">
        <v>53</v>
      </c>
      <c r="AG394" s="463">
        <v>12</v>
      </c>
      <c r="AH394" s="463">
        <v>66</v>
      </c>
      <c r="AI394" s="463">
        <v>56</v>
      </c>
      <c r="AJ394" s="463">
        <v>15</v>
      </c>
      <c r="AK394" s="463">
        <v>76</v>
      </c>
      <c r="AL394" s="463">
        <v>57</v>
      </c>
      <c r="AM394" s="463">
        <v>48</v>
      </c>
      <c r="AN394" s="463">
        <v>78</v>
      </c>
      <c r="AO394" s="463">
        <v>45</v>
      </c>
      <c r="AP394" s="463">
        <v>20</v>
      </c>
      <c r="AQ394" s="463">
        <v>71</v>
      </c>
      <c r="AR394" s="463">
        <v>1</v>
      </c>
      <c r="AS394" s="463">
        <v>47</v>
      </c>
      <c r="AT394" s="463">
        <v>49</v>
      </c>
      <c r="AU394" s="463">
        <v>73</v>
      </c>
      <c r="AV394" s="463">
        <v>35</v>
      </c>
      <c r="AW394" s="463">
        <v>2</v>
      </c>
      <c r="AX394" s="463">
        <v>16</v>
      </c>
      <c r="AY394" s="463">
        <v>10</v>
      </c>
      <c r="AZ394" s="463">
        <v>13</v>
      </c>
      <c r="BA394" s="463">
        <v>37</v>
      </c>
      <c r="BB394" s="463">
        <v>41</v>
      </c>
      <c r="BC394" s="463">
        <v>26</v>
      </c>
      <c r="BD394" s="463">
        <v>34</v>
      </c>
      <c r="BE394" s="463">
        <v>23</v>
      </c>
      <c r="BF394" s="463">
        <v>81</v>
      </c>
      <c r="BG394" s="463">
        <v>52</v>
      </c>
      <c r="BH394" s="463">
        <v>42</v>
      </c>
      <c r="BI394" s="463">
        <v>30</v>
      </c>
      <c r="BJ394" s="463">
        <v>3</v>
      </c>
      <c r="BK394" s="463">
        <v>54</v>
      </c>
      <c r="BL394" s="463">
        <v>6</v>
      </c>
      <c r="BM394" s="463">
        <v>62</v>
      </c>
      <c r="BN394" s="463">
        <v>60</v>
      </c>
      <c r="BO394" s="463">
        <v>40</v>
      </c>
      <c r="BP394" s="463">
        <v>69</v>
      </c>
      <c r="BQ394" s="463">
        <v>21</v>
      </c>
      <c r="BR394" s="463">
        <v>11</v>
      </c>
      <c r="BS394" s="463">
        <v>4</v>
      </c>
      <c r="BT394" s="463">
        <v>28</v>
      </c>
      <c r="BU394" s="463">
        <v>7</v>
      </c>
      <c r="BV394" s="463">
        <v>63</v>
      </c>
      <c r="BX394" s="463">
        <v>5</v>
      </c>
      <c r="BY394" s="463">
        <v>33</v>
      </c>
      <c r="BZ394" s="463">
        <v>27</v>
      </c>
      <c r="CA394" s="463">
        <v>58</v>
      </c>
      <c r="CC394" s="463">
        <v>9</v>
      </c>
      <c r="CD394" s="463">
        <v>55</v>
      </c>
      <c r="CE394" s="463">
        <v>14</v>
      </c>
      <c r="CF394" s="463">
        <v>38</v>
      </c>
      <c r="CH394" s="463">
        <v>24</v>
      </c>
      <c r="CI394" s="463">
        <v>50</v>
      </c>
      <c r="CJ394" s="463">
        <v>44</v>
      </c>
      <c r="CK394" s="463">
        <v>8</v>
      </c>
    </row>
    <row r="397" spans="4:89" x14ac:dyDescent="0.2">
      <c r="D397" s="307">
        <v>82</v>
      </c>
      <c r="E397" s="307" t="s">
        <v>248</v>
      </c>
    </row>
    <row r="398" spans="4:89" x14ac:dyDescent="0.2">
      <c r="E398" s="463" t="s">
        <v>196</v>
      </c>
      <c r="F398" s="463">
        <v>1</v>
      </c>
      <c r="G398" s="463">
        <v>2</v>
      </c>
      <c r="H398" s="463">
        <v>3</v>
      </c>
      <c r="I398" s="463">
        <v>4</v>
      </c>
      <c r="J398" s="463">
        <v>5</v>
      </c>
      <c r="K398" s="463">
        <v>6</v>
      </c>
      <c r="L398" s="463">
        <v>7</v>
      </c>
      <c r="M398" s="463">
        <v>8</v>
      </c>
      <c r="N398" s="463">
        <v>9</v>
      </c>
      <c r="O398" s="463">
        <v>10</v>
      </c>
      <c r="P398" s="463">
        <v>11</v>
      </c>
      <c r="Q398" s="463">
        <v>12</v>
      </c>
      <c r="R398" s="463">
        <v>13</v>
      </c>
      <c r="S398" s="463">
        <v>14</v>
      </c>
      <c r="T398" s="463">
        <v>15</v>
      </c>
      <c r="U398" s="463">
        <v>16</v>
      </c>
      <c r="V398" s="463">
        <v>17</v>
      </c>
      <c r="W398" s="463">
        <v>18</v>
      </c>
      <c r="X398" s="463">
        <v>19</v>
      </c>
      <c r="Y398" s="463">
        <v>20</v>
      </c>
      <c r="Z398" s="463">
        <v>21</v>
      </c>
      <c r="AA398" s="463">
        <v>22</v>
      </c>
      <c r="AB398" s="463">
        <v>23</v>
      </c>
      <c r="AC398" s="463">
        <v>24</v>
      </c>
      <c r="AD398" s="463">
        <v>25</v>
      </c>
      <c r="AE398" s="463">
        <v>26</v>
      </c>
      <c r="AF398" s="463">
        <v>27</v>
      </c>
      <c r="AG398" s="463">
        <v>28</v>
      </c>
      <c r="AH398" s="463">
        <v>29</v>
      </c>
      <c r="AI398" s="463">
        <v>30</v>
      </c>
      <c r="AJ398" s="463">
        <v>31</v>
      </c>
      <c r="AK398" s="463">
        <v>32</v>
      </c>
      <c r="AL398" s="463">
        <v>33</v>
      </c>
      <c r="AM398" s="463">
        <v>34</v>
      </c>
      <c r="AN398" s="463">
        <v>35</v>
      </c>
      <c r="AO398" s="463">
        <v>36</v>
      </c>
      <c r="AP398" s="463">
        <v>37</v>
      </c>
      <c r="AQ398" s="463">
        <v>38</v>
      </c>
      <c r="AR398" s="463">
        <v>39</v>
      </c>
      <c r="AS398" s="463">
        <v>40</v>
      </c>
      <c r="AT398" s="463">
        <v>41</v>
      </c>
      <c r="AU398" s="463">
        <v>42</v>
      </c>
      <c r="AV398" s="463">
        <v>43</v>
      </c>
      <c r="AW398" s="463">
        <v>44</v>
      </c>
      <c r="AX398" s="463">
        <v>45</v>
      </c>
      <c r="AY398" s="463">
        <v>46</v>
      </c>
      <c r="AZ398" s="463">
        <v>47</v>
      </c>
      <c r="BA398" s="463">
        <v>48</v>
      </c>
      <c r="BB398" s="463">
        <v>49</v>
      </c>
      <c r="BC398" s="463">
        <v>50</v>
      </c>
      <c r="BD398" s="463">
        <v>51</v>
      </c>
      <c r="BE398" s="463">
        <v>52</v>
      </c>
      <c r="BF398" s="463">
        <v>53</v>
      </c>
      <c r="BG398" s="463">
        <v>54</v>
      </c>
      <c r="BH398" s="463">
        <v>55</v>
      </c>
      <c r="BI398" s="463">
        <v>56</v>
      </c>
      <c r="BJ398" s="463">
        <v>57</v>
      </c>
      <c r="BK398" s="463">
        <v>58</v>
      </c>
      <c r="BL398" s="463">
        <v>59</v>
      </c>
      <c r="BM398" s="463">
        <v>60</v>
      </c>
      <c r="BN398" s="463">
        <v>61</v>
      </c>
      <c r="BO398" s="463">
        <v>62</v>
      </c>
      <c r="BP398" s="463">
        <v>63</v>
      </c>
      <c r="BQ398" s="463">
        <v>64</v>
      </c>
      <c r="BR398" s="463">
        <v>65</v>
      </c>
      <c r="BS398" s="463">
        <v>66</v>
      </c>
      <c r="BT398" s="463">
        <v>67</v>
      </c>
      <c r="BU398" s="463">
        <v>68</v>
      </c>
      <c r="BV398" s="463">
        <v>69</v>
      </c>
      <c r="BW398" s="463">
        <v>70</v>
      </c>
      <c r="BX398" s="463">
        <v>71</v>
      </c>
      <c r="BY398" s="463">
        <v>72</v>
      </c>
      <c r="BZ398" s="463">
        <v>73</v>
      </c>
      <c r="CA398" s="463">
        <v>74</v>
      </c>
      <c r="CC398" s="463">
        <v>75</v>
      </c>
      <c r="CD398" s="463">
        <v>76</v>
      </c>
      <c r="CE398" s="463">
        <v>77</v>
      </c>
      <c r="CF398" s="463">
        <v>78</v>
      </c>
      <c r="CH398" s="463">
        <v>79</v>
      </c>
      <c r="CI398" s="463">
        <v>80</v>
      </c>
      <c r="CJ398" s="463">
        <v>81</v>
      </c>
      <c r="CK398" s="463">
        <v>82</v>
      </c>
    </row>
    <row r="399" spans="4:89" x14ac:dyDescent="0.2">
      <c r="E399" s="463" t="s">
        <v>230</v>
      </c>
      <c r="F399" s="463">
        <v>55</v>
      </c>
      <c r="G399" s="463">
        <v>60</v>
      </c>
      <c r="H399" s="463">
        <v>34</v>
      </c>
      <c r="I399" s="463">
        <v>62</v>
      </c>
      <c r="J399" s="463">
        <v>11</v>
      </c>
      <c r="K399" s="463">
        <v>65</v>
      </c>
      <c r="L399" s="463">
        <v>45</v>
      </c>
      <c r="M399" s="463">
        <v>2</v>
      </c>
      <c r="N399" s="463">
        <v>47</v>
      </c>
      <c r="O399" s="463">
        <v>27</v>
      </c>
      <c r="P399" s="463">
        <v>44</v>
      </c>
      <c r="Q399" s="463">
        <v>13</v>
      </c>
      <c r="R399" s="463">
        <v>76</v>
      </c>
      <c r="S399" s="463">
        <v>3</v>
      </c>
      <c r="T399" s="463">
        <v>16</v>
      </c>
      <c r="U399" s="463">
        <v>39</v>
      </c>
      <c r="V399" s="463">
        <v>48</v>
      </c>
      <c r="W399" s="463">
        <v>80</v>
      </c>
      <c r="X399" s="463">
        <v>21</v>
      </c>
      <c r="Y399" s="463">
        <v>31</v>
      </c>
      <c r="Z399" s="463">
        <v>74</v>
      </c>
      <c r="AA399" s="463">
        <v>81</v>
      </c>
      <c r="AB399" s="463">
        <v>40</v>
      </c>
      <c r="AC399" s="463">
        <v>1</v>
      </c>
      <c r="AD399" s="463">
        <v>46</v>
      </c>
      <c r="AE399" s="463">
        <v>49</v>
      </c>
      <c r="AF399" s="463">
        <v>28</v>
      </c>
      <c r="AG399" s="463">
        <v>10</v>
      </c>
      <c r="AH399" s="463">
        <v>53</v>
      </c>
      <c r="AI399" s="463">
        <v>56</v>
      </c>
      <c r="AJ399" s="463">
        <v>59</v>
      </c>
      <c r="AK399" s="463">
        <v>78</v>
      </c>
      <c r="AL399" s="463">
        <v>67</v>
      </c>
      <c r="AM399" s="463">
        <v>41</v>
      </c>
      <c r="AN399" s="463">
        <v>71</v>
      </c>
      <c r="AO399" s="463">
        <v>14</v>
      </c>
      <c r="AP399" s="463">
        <v>63</v>
      </c>
      <c r="AQ399" s="463">
        <v>52</v>
      </c>
      <c r="AR399" s="463">
        <v>66</v>
      </c>
      <c r="AS399" s="463">
        <v>7</v>
      </c>
      <c r="AT399" s="463">
        <v>25</v>
      </c>
      <c r="AU399" s="463">
        <v>15</v>
      </c>
      <c r="AV399" s="463">
        <v>17</v>
      </c>
      <c r="AW399" s="463">
        <v>79</v>
      </c>
      <c r="AX399" s="463">
        <v>75</v>
      </c>
      <c r="AY399" s="463">
        <v>50</v>
      </c>
      <c r="AZ399" s="463">
        <v>43</v>
      </c>
      <c r="BA399" s="463">
        <v>69</v>
      </c>
      <c r="BB399" s="463">
        <v>26</v>
      </c>
      <c r="BC399" s="463">
        <v>37</v>
      </c>
      <c r="BD399" s="463">
        <v>19</v>
      </c>
      <c r="BE399" s="463">
        <v>23</v>
      </c>
      <c r="BF399" s="463">
        <v>29</v>
      </c>
      <c r="BG399" s="463">
        <v>51</v>
      </c>
      <c r="BH399" s="463">
        <v>61</v>
      </c>
      <c r="BI399" s="463">
        <v>5</v>
      </c>
      <c r="BJ399" s="463">
        <v>77</v>
      </c>
      <c r="BK399" s="463">
        <v>64</v>
      </c>
      <c r="BL399" s="463">
        <v>73</v>
      </c>
      <c r="BM399" s="463">
        <v>6</v>
      </c>
      <c r="BN399" s="463">
        <v>82</v>
      </c>
      <c r="BO399" s="463">
        <v>8</v>
      </c>
      <c r="BP399" s="463">
        <v>22</v>
      </c>
      <c r="BQ399" s="463">
        <v>18</v>
      </c>
      <c r="BR399" s="463">
        <v>68</v>
      </c>
      <c r="BS399" s="463">
        <v>4</v>
      </c>
      <c r="BT399" s="463">
        <v>33</v>
      </c>
      <c r="BU399" s="463">
        <v>72</v>
      </c>
      <c r="BV399" s="463">
        <v>38</v>
      </c>
      <c r="BW399" s="463">
        <v>42</v>
      </c>
      <c r="BX399" s="463">
        <v>35</v>
      </c>
      <c r="BY399" s="463">
        <v>24</v>
      </c>
      <c r="BZ399" s="463">
        <v>30</v>
      </c>
      <c r="CA399" s="463">
        <v>57</v>
      </c>
      <c r="CC399" s="463">
        <v>9</v>
      </c>
      <c r="CD399" s="463">
        <v>58</v>
      </c>
      <c r="CE399" s="463">
        <v>54</v>
      </c>
      <c r="CF399" s="463">
        <v>36</v>
      </c>
      <c r="CH399" s="463">
        <v>70</v>
      </c>
      <c r="CI399" s="463">
        <v>20</v>
      </c>
      <c r="CJ399" s="463">
        <v>32</v>
      </c>
      <c r="CK399" s="463">
        <v>12</v>
      </c>
    </row>
    <row r="402" spans="4:90" x14ac:dyDescent="0.2">
      <c r="D402" s="307">
        <v>83</v>
      </c>
      <c r="E402" s="307" t="s">
        <v>248</v>
      </c>
    </row>
    <row r="403" spans="4:90" x14ac:dyDescent="0.2">
      <c r="E403" s="463" t="s">
        <v>196</v>
      </c>
      <c r="F403" s="463">
        <v>1</v>
      </c>
      <c r="G403" s="463">
        <v>2</v>
      </c>
      <c r="H403" s="463">
        <v>3</v>
      </c>
      <c r="I403" s="463">
        <v>4</v>
      </c>
      <c r="J403" s="463">
        <v>5</v>
      </c>
      <c r="K403" s="463">
        <v>6</v>
      </c>
      <c r="L403" s="463">
        <v>7</v>
      </c>
      <c r="M403" s="463">
        <v>8</v>
      </c>
      <c r="N403" s="463">
        <v>9</v>
      </c>
      <c r="O403" s="463">
        <v>10</v>
      </c>
      <c r="P403" s="463">
        <v>11</v>
      </c>
      <c r="Q403" s="463">
        <v>12</v>
      </c>
      <c r="R403" s="463">
        <v>13</v>
      </c>
      <c r="S403" s="463">
        <v>14</v>
      </c>
      <c r="T403" s="463">
        <v>15</v>
      </c>
      <c r="U403" s="463">
        <v>16</v>
      </c>
      <c r="V403" s="463">
        <v>17</v>
      </c>
      <c r="W403" s="463">
        <v>18</v>
      </c>
      <c r="X403" s="463">
        <v>19</v>
      </c>
      <c r="Y403" s="463">
        <v>20</v>
      </c>
      <c r="Z403" s="463">
        <v>21</v>
      </c>
      <c r="AA403" s="463">
        <v>22</v>
      </c>
      <c r="AB403" s="463">
        <v>23</v>
      </c>
      <c r="AC403" s="463">
        <v>24</v>
      </c>
      <c r="AD403" s="463">
        <v>25</v>
      </c>
      <c r="AE403" s="463">
        <v>26</v>
      </c>
      <c r="AF403" s="463">
        <v>27</v>
      </c>
      <c r="AG403" s="463">
        <v>28</v>
      </c>
      <c r="AH403" s="463">
        <v>29</v>
      </c>
      <c r="AI403" s="463">
        <v>30</v>
      </c>
      <c r="AJ403" s="463">
        <v>31</v>
      </c>
      <c r="AK403" s="463">
        <v>32</v>
      </c>
      <c r="AL403" s="463">
        <v>33</v>
      </c>
      <c r="AM403" s="463">
        <v>34</v>
      </c>
      <c r="AN403" s="463">
        <v>35</v>
      </c>
      <c r="AO403" s="463">
        <v>36</v>
      </c>
      <c r="AP403" s="463">
        <v>37</v>
      </c>
      <c r="AQ403" s="463">
        <v>38</v>
      </c>
      <c r="AR403" s="463">
        <v>39</v>
      </c>
      <c r="AS403" s="463">
        <v>40</v>
      </c>
      <c r="AT403" s="463">
        <v>41</v>
      </c>
      <c r="AU403" s="463">
        <v>42</v>
      </c>
      <c r="AV403" s="463">
        <v>43</v>
      </c>
      <c r="AW403" s="463">
        <v>44</v>
      </c>
      <c r="AX403" s="463">
        <v>45</v>
      </c>
      <c r="AY403" s="463">
        <v>46</v>
      </c>
      <c r="AZ403" s="463">
        <v>47</v>
      </c>
      <c r="BA403" s="463">
        <v>48</v>
      </c>
      <c r="BB403" s="463">
        <v>49</v>
      </c>
      <c r="BC403" s="463">
        <v>50</v>
      </c>
      <c r="BD403" s="463">
        <v>51</v>
      </c>
      <c r="BE403" s="463">
        <v>52</v>
      </c>
      <c r="BF403" s="463">
        <v>53</v>
      </c>
      <c r="BG403" s="463">
        <v>54</v>
      </c>
      <c r="BH403" s="463">
        <v>55</v>
      </c>
      <c r="BI403" s="463">
        <v>56</v>
      </c>
      <c r="BJ403" s="463">
        <v>57</v>
      </c>
      <c r="BK403" s="463">
        <v>58</v>
      </c>
      <c r="BL403" s="463">
        <v>59</v>
      </c>
      <c r="BM403" s="463">
        <v>60</v>
      </c>
      <c r="BN403" s="463">
        <v>61</v>
      </c>
      <c r="BO403" s="463">
        <v>62</v>
      </c>
      <c r="BP403" s="463">
        <v>63</v>
      </c>
      <c r="BQ403" s="463">
        <v>64</v>
      </c>
      <c r="BR403" s="463">
        <v>65</v>
      </c>
      <c r="BS403" s="463">
        <v>66</v>
      </c>
      <c r="BT403" s="463">
        <v>67</v>
      </c>
      <c r="BU403" s="463">
        <v>68</v>
      </c>
      <c r="BV403" s="463">
        <v>69</v>
      </c>
      <c r="BW403" s="463">
        <v>70</v>
      </c>
      <c r="BX403" s="463">
        <v>71</v>
      </c>
      <c r="BY403" s="463">
        <v>72</v>
      </c>
      <c r="BZ403" s="463">
        <v>73</v>
      </c>
      <c r="CA403" s="463">
        <v>74</v>
      </c>
      <c r="CB403" s="463">
        <v>75</v>
      </c>
      <c r="CC403" s="463">
        <v>76</v>
      </c>
      <c r="CD403" s="463">
        <v>77</v>
      </c>
      <c r="CE403" s="463">
        <v>78</v>
      </c>
      <c r="CF403" s="463">
        <v>79</v>
      </c>
      <c r="CH403" s="463">
        <v>80</v>
      </c>
      <c r="CI403" s="463">
        <v>81</v>
      </c>
      <c r="CJ403" s="463">
        <v>82</v>
      </c>
      <c r="CK403" s="463">
        <v>83</v>
      </c>
    </row>
    <row r="404" spans="4:90" x14ac:dyDescent="0.2">
      <c r="E404" s="463" t="s">
        <v>230</v>
      </c>
      <c r="F404" s="463">
        <v>45</v>
      </c>
      <c r="G404" s="463">
        <v>48</v>
      </c>
      <c r="H404" s="463">
        <v>40</v>
      </c>
      <c r="I404" s="463">
        <v>26</v>
      </c>
      <c r="J404" s="463">
        <v>7</v>
      </c>
      <c r="K404" s="463">
        <v>30</v>
      </c>
      <c r="L404" s="463">
        <v>53</v>
      </c>
      <c r="M404" s="463">
        <v>35</v>
      </c>
      <c r="N404" s="463">
        <v>56</v>
      </c>
      <c r="O404" s="463">
        <v>80</v>
      </c>
      <c r="P404" s="463">
        <v>60</v>
      </c>
      <c r="Q404" s="463">
        <v>5</v>
      </c>
      <c r="R404" s="463">
        <v>27</v>
      </c>
      <c r="S404" s="463">
        <v>77</v>
      </c>
      <c r="T404" s="463">
        <v>6</v>
      </c>
      <c r="U404" s="463">
        <v>69</v>
      </c>
      <c r="V404" s="463">
        <v>74</v>
      </c>
      <c r="W404" s="463">
        <v>4</v>
      </c>
      <c r="X404" s="463">
        <v>43</v>
      </c>
      <c r="Y404" s="463">
        <v>57</v>
      </c>
      <c r="Z404" s="463">
        <v>44</v>
      </c>
      <c r="AA404" s="463">
        <v>38</v>
      </c>
      <c r="AB404" s="463">
        <v>83</v>
      </c>
      <c r="AC404" s="463">
        <v>12</v>
      </c>
      <c r="AD404" s="463">
        <v>33</v>
      </c>
      <c r="AE404" s="463">
        <v>49</v>
      </c>
      <c r="AF404" s="463">
        <v>29</v>
      </c>
      <c r="AG404" s="463">
        <v>52</v>
      </c>
      <c r="AH404" s="463">
        <v>23</v>
      </c>
      <c r="AI404" s="463">
        <v>72</v>
      </c>
      <c r="AJ404" s="463">
        <v>10</v>
      </c>
      <c r="AK404" s="463">
        <v>78</v>
      </c>
      <c r="AL404" s="463">
        <v>17</v>
      </c>
      <c r="AM404" s="463">
        <v>3</v>
      </c>
      <c r="AN404" s="463">
        <v>13</v>
      </c>
      <c r="AO404" s="463">
        <v>64</v>
      </c>
      <c r="AP404" s="463">
        <v>18</v>
      </c>
      <c r="AQ404" s="463">
        <v>9</v>
      </c>
      <c r="AR404" s="463">
        <v>66</v>
      </c>
      <c r="AS404" s="463">
        <v>36</v>
      </c>
      <c r="AT404" s="463">
        <v>55</v>
      </c>
      <c r="AU404" s="463">
        <v>8</v>
      </c>
      <c r="AV404" s="463">
        <v>2</v>
      </c>
      <c r="AW404" s="463">
        <v>67</v>
      </c>
      <c r="AX404" s="463">
        <v>82</v>
      </c>
      <c r="AY404" s="463">
        <v>54</v>
      </c>
      <c r="AZ404" s="463">
        <v>63</v>
      </c>
      <c r="BA404" s="463">
        <v>37</v>
      </c>
      <c r="BB404" s="463">
        <v>47</v>
      </c>
      <c r="BC404" s="463">
        <v>21</v>
      </c>
      <c r="BD404" s="463">
        <v>15</v>
      </c>
      <c r="BE404" s="463">
        <v>28</v>
      </c>
      <c r="BF404" s="463">
        <v>34</v>
      </c>
      <c r="BG404" s="463">
        <v>51</v>
      </c>
      <c r="BH404" s="463">
        <v>22</v>
      </c>
      <c r="BI404" s="463">
        <v>79</v>
      </c>
      <c r="BJ404" s="463">
        <v>58</v>
      </c>
      <c r="BK404" s="463">
        <v>20</v>
      </c>
      <c r="BL404" s="463">
        <v>71</v>
      </c>
      <c r="BM404" s="463">
        <v>61</v>
      </c>
      <c r="BN404" s="463">
        <v>25</v>
      </c>
      <c r="BO404" s="463">
        <v>70</v>
      </c>
      <c r="BP404" s="463">
        <v>39</v>
      </c>
      <c r="BQ404" s="463">
        <v>1</v>
      </c>
      <c r="BR404" s="463">
        <v>46</v>
      </c>
      <c r="BS404" s="463">
        <v>50</v>
      </c>
      <c r="BT404" s="463">
        <v>73</v>
      </c>
      <c r="BU404" s="463">
        <v>42</v>
      </c>
      <c r="BV404" s="463">
        <v>16</v>
      </c>
      <c r="BW404" s="463">
        <v>76</v>
      </c>
      <c r="BX404" s="463">
        <v>59</v>
      </c>
      <c r="BY404" s="463">
        <v>68</v>
      </c>
      <c r="BZ404" s="463">
        <v>62</v>
      </c>
      <c r="CA404" s="463">
        <v>31</v>
      </c>
      <c r="CB404" s="463">
        <v>81</v>
      </c>
      <c r="CC404" s="463">
        <v>19</v>
      </c>
      <c r="CD404" s="463">
        <v>14</v>
      </c>
      <c r="CE404" s="463">
        <v>32</v>
      </c>
      <c r="CF404" s="463">
        <v>41</v>
      </c>
      <c r="CH404" s="463">
        <v>24</v>
      </c>
      <c r="CI404" s="463">
        <v>65</v>
      </c>
      <c r="CJ404" s="463">
        <v>75</v>
      </c>
      <c r="CK404" s="463">
        <v>11</v>
      </c>
    </row>
    <row r="407" spans="4:90" x14ac:dyDescent="0.2">
      <c r="D407" s="307">
        <v>84</v>
      </c>
      <c r="E407" s="307" t="s">
        <v>248</v>
      </c>
    </row>
    <row r="408" spans="4:90" x14ac:dyDescent="0.2">
      <c r="E408" s="463" t="s">
        <v>196</v>
      </c>
      <c r="F408" s="463">
        <v>1</v>
      </c>
      <c r="G408" s="463">
        <v>2</v>
      </c>
      <c r="H408" s="463">
        <v>3</v>
      </c>
      <c r="I408" s="463">
        <v>4</v>
      </c>
      <c r="J408" s="463">
        <v>5</v>
      </c>
      <c r="K408" s="463">
        <v>6</v>
      </c>
      <c r="L408" s="463">
        <v>7</v>
      </c>
      <c r="M408" s="463">
        <v>8</v>
      </c>
      <c r="N408" s="463">
        <v>9</v>
      </c>
      <c r="O408" s="463">
        <v>10</v>
      </c>
      <c r="P408" s="463">
        <v>11</v>
      </c>
      <c r="Q408" s="463">
        <v>12</v>
      </c>
      <c r="R408" s="463">
        <v>13</v>
      </c>
      <c r="S408" s="463">
        <v>14</v>
      </c>
      <c r="T408" s="463">
        <v>15</v>
      </c>
      <c r="U408" s="463">
        <v>16</v>
      </c>
      <c r="V408" s="463">
        <v>17</v>
      </c>
      <c r="W408" s="463">
        <v>18</v>
      </c>
      <c r="X408" s="463">
        <v>19</v>
      </c>
      <c r="Y408" s="463">
        <v>20</v>
      </c>
      <c r="Z408" s="463">
        <v>21</v>
      </c>
      <c r="AA408" s="463">
        <v>22</v>
      </c>
      <c r="AB408" s="463">
        <v>23</v>
      </c>
      <c r="AC408" s="463">
        <v>24</v>
      </c>
      <c r="AD408" s="463">
        <v>25</v>
      </c>
      <c r="AE408" s="463">
        <v>26</v>
      </c>
      <c r="AF408" s="463">
        <v>27</v>
      </c>
      <c r="AG408" s="463">
        <v>28</v>
      </c>
      <c r="AH408" s="463">
        <v>29</v>
      </c>
      <c r="AI408" s="463">
        <v>30</v>
      </c>
      <c r="AJ408" s="463">
        <v>31</v>
      </c>
      <c r="AK408" s="463">
        <v>32</v>
      </c>
      <c r="AL408" s="463">
        <v>33</v>
      </c>
      <c r="AM408" s="463">
        <v>34</v>
      </c>
      <c r="AN408" s="463">
        <v>35</v>
      </c>
      <c r="AO408" s="463">
        <v>36</v>
      </c>
      <c r="AP408" s="463">
        <v>37</v>
      </c>
      <c r="AQ408" s="463">
        <v>38</v>
      </c>
      <c r="AR408" s="463">
        <v>39</v>
      </c>
      <c r="AS408" s="463">
        <v>40</v>
      </c>
      <c r="AT408" s="463">
        <v>41</v>
      </c>
      <c r="AU408" s="463">
        <v>42</v>
      </c>
      <c r="AV408" s="463">
        <v>43</v>
      </c>
      <c r="AW408" s="463">
        <v>44</v>
      </c>
      <c r="AX408" s="463">
        <v>45</v>
      </c>
      <c r="AY408" s="463">
        <v>46</v>
      </c>
      <c r="AZ408" s="463">
        <v>47</v>
      </c>
      <c r="BA408" s="463">
        <v>48</v>
      </c>
      <c r="BB408" s="463">
        <v>49</v>
      </c>
      <c r="BC408" s="463">
        <v>50</v>
      </c>
      <c r="BD408" s="463">
        <v>51</v>
      </c>
      <c r="BE408" s="463">
        <v>52</v>
      </c>
      <c r="BF408" s="463">
        <v>53</v>
      </c>
      <c r="BG408" s="463">
        <v>54</v>
      </c>
      <c r="BH408" s="463">
        <v>55</v>
      </c>
      <c r="BI408" s="463">
        <v>56</v>
      </c>
      <c r="BJ408" s="463">
        <v>57</v>
      </c>
      <c r="BK408" s="463">
        <v>58</v>
      </c>
      <c r="BL408" s="463">
        <v>59</v>
      </c>
      <c r="BM408" s="463">
        <v>60</v>
      </c>
      <c r="BN408" s="463">
        <v>61</v>
      </c>
      <c r="BO408" s="463">
        <v>62</v>
      </c>
      <c r="BP408" s="463">
        <v>63</v>
      </c>
      <c r="BQ408" s="463">
        <v>64</v>
      </c>
      <c r="BR408" s="463">
        <v>65</v>
      </c>
      <c r="BS408" s="463">
        <v>66</v>
      </c>
      <c r="BT408" s="463">
        <v>67</v>
      </c>
      <c r="BU408" s="463">
        <v>68</v>
      </c>
      <c r="BV408" s="463">
        <v>69</v>
      </c>
      <c r="BW408" s="463">
        <v>70</v>
      </c>
      <c r="BX408" s="463">
        <v>71</v>
      </c>
      <c r="BY408" s="463">
        <v>72</v>
      </c>
      <c r="BZ408" s="463">
        <v>73</v>
      </c>
      <c r="CA408" s="463">
        <v>74</v>
      </c>
      <c r="CB408" s="463">
        <v>75</v>
      </c>
      <c r="CC408" s="463">
        <v>76</v>
      </c>
      <c r="CD408" s="463">
        <v>77</v>
      </c>
      <c r="CE408" s="463">
        <v>78</v>
      </c>
      <c r="CF408" s="463">
        <v>79</v>
      </c>
      <c r="CG408" s="463">
        <v>80</v>
      </c>
      <c r="CH408" s="463">
        <v>81</v>
      </c>
      <c r="CI408" s="463">
        <v>82</v>
      </c>
      <c r="CJ408" s="463">
        <v>83</v>
      </c>
      <c r="CK408" s="463">
        <v>84</v>
      </c>
    </row>
    <row r="409" spans="4:90" x14ac:dyDescent="0.2">
      <c r="E409" s="463" t="s">
        <v>230</v>
      </c>
      <c r="F409" s="463">
        <v>40</v>
      </c>
      <c r="G409" s="463">
        <v>59</v>
      </c>
      <c r="H409" s="463">
        <v>32</v>
      </c>
      <c r="I409" s="463">
        <v>26</v>
      </c>
      <c r="J409" s="463">
        <v>83</v>
      </c>
      <c r="K409" s="463">
        <v>9</v>
      </c>
      <c r="L409" s="463">
        <v>64</v>
      </c>
      <c r="M409" s="463">
        <v>57</v>
      </c>
      <c r="N409" s="463">
        <v>17</v>
      </c>
      <c r="O409" s="463">
        <v>31</v>
      </c>
      <c r="P409" s="463">
        <v>74</v>
      </c>
      <c r="Q409" s="463">
        <v>28</v>
      </c>
      <c r="R409" s="463">
        <v>69</v>
      </c>
      <c r="S409" s="463">
        <v>21</v>
      </c>
      <c r="T409" s="463">
        <v>6</v>
      </c>
      <c r="U409" s="463">
        <v>60</v>
      </c>
      <c r="V409" s="463">
        <v>35</v>
      </c>
      <c r="W409" s="463">
        <v>15</v>
      </c>
      <c r="X409" s="463">
        <v>71</v>
      </c>
      <c r="Y409" s="463">
        <v>1</v>
      </c>
      <c r="Z409" s="463">
        <v>14</v>
      </c>
      <c r="AA409" s="463">
        <v>23</v>
      </c>
      <c r="AB409" s="463">
        <v>70</v>
      </c>
      <c r="AC409" s="463">
        <v>46</v>
      </c>
      <c r="AD409" s="463">
        <v>51</v>
      </c>
      <c r="AE409" s="463">
        <v>29</v>
      </c>
      <c r="AF409" s="463">
        <v>68</v>
      </c>
      <c r="AG409" s="463">
        <v>7</v>
      </c>
      <c r="AH409" s="463">
        <v>77</v>
      </c>
      <c r="AI409" s="463">
        <v>36</v>
      </c>
      <c r="AJ409" s="463">
        <v>34</v>
      </c>
      <c r="AK409" s="463">
        <v>3</v>
      </c>
      <c r="AL409" s="463">
        <v>42</v>
      </c>
      <c r="AM409" s="463">
        <v>73</v>
      </c>
      <c r="AN409" s="463">
        <v>56</v>
      </c>
      <c r="AO409" s="463">
        <v>55</v>
      </c>
      <c r="AP409" s="463">
        <v>50</v>
      </c>
      <c r="AQ409" s="463">
        <v>44</v>
      </c>
      <c r="AR409" s="463">
        <v>82</v>
      </c>
      <c r="AS409" s="463">
        <v>33</v>
      </c>
      <c r="AT409" s="463">
        <v>54</v>
      </c>
      <c r="AU409" s="463">
        <v>20</v>
      </c>
      <c r="AV409" s="463">
        <v>27</v>
      </c>
      <c r="AW409" s="463">
        <v>58</v>
      </c>
      <c r="AX409" s="463">
        <v>11</v>
      </c>
      <c r="AY409" s="463">
        <v>5</v>
      </c>
      <c r="AZ409" s="463">
        <v>78</v>
      </c>
      <c r="BA409" s="463">
        <v>84</v>
      </c>
      <c r="BB409" s="463">
        <v>63</v>
      </c>
      <c r="BC409" s="463">
        <v>13</v>
      </c>
      <c r="BD409" s="463">
        <v>4</v>
      </c>
      <c r="BE409" s="463">
        <v>38</v>
      </c>
      <c r="BF409" s="463">
        <v>75</v>
      </c>
      <c r="BG409" s="463">
        <v>67</v>
      </c>
      <c r="BH409" s="463">
        <v>43</v>
      </c>
      <c r="BI409" s="463">
        <v>80</v>
      </c>
      <c r="BJ409" s="463">
        <v>8</v>
      </c>
      <c r="BK409" s="463">
        <v>47</v>
      </c>
      <c r="BL409" s="463">
        <v>2</v>
      </c>
      <c r="BM409" s="463">
        <v>12</v>
      </c>
      <c r="BN409" s="463">
        <v>10</v>
      </c>
      <c r="BO409" s="463">
        <v>53</v>
      </c>
      <c r="BP409" s="463">
        <v>49</v>
      </c>
      <c r="BQ409" s="463">
        <v>81</v>
      </c>
      <c r="BR409" s="463">
        <v>76</v>
      </c>
      <c r="BS409" s="463">
        <v>25</v>
      </c>
      <c r="BT409" s="463">
        <v>18</v>
      </c>
      <c r="BU409" s="463">
        <v>62</v>
      </c>
      <c r="BV409" s="463">
        <v>37</v>
      </c>
      <c r="BW409" s="463">
        <v>48</v>
      </c>
      <c r="BX409" s="463">
        <v>39</v>
      </c>
      <c r="BY409" s="463">
        <v>79</v>
      </c>
      <c r="BZ409" s="463">
        <v>22</v>
      </c>
      <c r="CA409" s="463">
        <v>66</v>
      </c>
      <c r="CB409" s="463">
        <v>41</v>
      </c>
      <c r="CC409" s="463">
        <v>19</v>
      </c>
      <c r="CD409" s="463">
        <v>24</v>
      </c>
      <c r="CE409" s="463">
        <v>45</v>
      </c>
      <c r="CF409" s="463">
        <v>72</v>
      </c>
      <c r="CG409" s="463">
        <v>61</v>
      </c>
      <c r="CH409" s="463">
        <v>30</v>
      </c>
      <c r="CI409" s="463">
        <v>65</v>
      </c>
      <c r="CJ409" s="463">
        <v>52</v>
      </c>
      <c r="CK409" s="463">
        <v>16</v>
      </c>
    </row>
    <row r="412" spans="4:90" x14ac:dyDescent="0.2">
      <c r="D412" s="307">
        <v>85</v>
      </c>
      <c r="E412" s="307" t="s">
        <v>248</v>
      </c>
    </row>
    <row r="413" spans="4:90" x14ac:dyDescent="0.2">
      <c r="E413" s="463" t="s">
        <v>196</v>
      </c>
      <c r="F413" s="463">
        <v>1</v>
      </c>
      <c r="G413" s="463">
        <v>2</v>
      </c>
      <c r="H413" s="463">
        <v>3</v>
      </c>
      <c r="I413" s="463">
        <v>4</v>
      </c>
      <c r="J413" s="463">
        <v>5</v>
      </c>
      <c r="K413" s="463">
        <v>6</v>
      </c>
      <c r="L413" s="463">
        <v>7</v>
      </c>
      <c r="M413" s="463">
        <v>8</v>
      </c>
      <c r="N413" s="463">
        <v>9</v>
      </c>
      <c r="O413" s="463">
        <v>10</v>
      </c>
      <c r="P413" s="463">
        <v>11</v>
      </c>
      <c r="Q413" s="463">
        <v>12</v>
      </c>
      <c r="R413" s="463">
        <v>13</v>
      </c>
      <c r="S413" s="463">
        <v>14</v>
      </c>
      <c r="T413" s="463">
        <v>15</v>
      </c>
      <c r="U413" s="463">
        <v>16</v>
      </c>
      <c r="V413" s="463">
        <v>17</v>
      </c>
      <c r="W413" s="463">
        <v>18</v>
      </c>
      <c r="X413" s="463">
        <v>19</v>
      </c>
      <c r="Y413" s="463">
        <v>20</v>
      </c>
      <c r="Z413" s="463">
        <v>21</v>
      </c>
      <c r="AA413" s="463">
        <v>22</v>
      </c>
      <c r="AB413" s="463">
        <v>23</v>
      </c>
      <c r="AC413" s="463">
        <v>24</v>
      </c>
      <c r="AD413" s="463">
        <v>25</v>
      </c>
      <c r="AE413" s="463">
        <v>26</v>
      </c>
      <c r="AF413" s="463">
        <v>27</v>
      </c>
      <c r="AG413" s="463">
        <v>28</v>
      </c>
      <c r="AH413" s="463">
        <v>29</v>
      </c>
      <c r="AI413" s="463">
        <v>30</v>
      </c>
      <c r="AJ413" s="463">
        <v>31</v>
      </c>
      <c r="AK413" s="463">
        <v>32</v>
      </c>
      <c r="AL413" s="463">
        <v>33</v>
      </c>
      <c r="AM413" s="463">
        <v>34</v>
      </c>
      <c r="AN413" s="463">
        <v>35</v>
      </c>
      <c r="AO413" s="463">
        <v>36</v>
      </c>
      <c r="AP413" s="463">
        <v>37</v>
      </c>
      <c r="AQ413" s="463">
        <v>38</v>
      </c>
      <c r="AR413" s="463">
        <v>39</v>
      </c>
      <c r="AS413" s="463">
        <v>40</v>
      </c>
      <c r="AT413" s="463">
        <v>41</v>
      </c>
      <c r="AU413" s="463">
        <v>42</v>
      </c>
      <c r="AV413" s="463">
        <v>43</v>
      </c>
      <c r="AW413" s="463">
        <v>44</v>
      </c>
      <c r="AX413" s="463">
        <v>45</v>
      </c>
      <c r="AY413" s="463">
        <v>46</v>
      </c>
      <c r="AZ413" s="463">
        <v>47</v>
      </c>
      <c r="BA413" s="463">
        <v>48</v>
      </c>
      <c r="BB413" s="463">
        <v>49</v>
      </c>
      <c r="BC413" s="463">
        <v>50</v>
      </c>
      <c r="BD413" s="463">
        <v>51</v>
      </c>
      <c r="BE413" s="463">
        <v>52</v>
      </c>
      <c r="BF413" s="463">
        <v>53</v>
      </c>
      <c r="BG413" s="463">
        <v>54</v>
      </c>
      <c r="BH413" s="463">
        <v>55</v>
      </c>
      <c r="BI413" s="463">
        <v>56</v>
      </c>
      <c r="BJ413" s="463">
        <v>57</v>
      </c>
      <c r="BK413" s="463">
        <v>58</v>
      </c>
      <c r="BL413" s="463">
        <v>59</v>
      </c>
      <c r="BM413" s="463">
        <v>60</v>
      </c>
      <c r="BN413" s="463">
        <v>61</v>
      </c>
      <c r="BO413" s="463">
        <v>62</v>
      </c>
      <c r="BP413" s="463">
        <v>63</v>
      </c>
      <c r="BQ413" s="463">
        <v>64</v>
      </c>
      <c r="BR413" s="463">
        <v>65</v>
      </c>
      <c r="BS413" s="463">
        <v>66</v>
      </c>
      <c r="BT413" s="463">
        <v>67</v>
      </c>
      <c r="BU413" s="463">
        <v>68</v>
      </c>
      <c r="BV413" s="463">
        <v>69</v>
      </c>
      <c r="BW413" s="463">
        <v>70</v>
      </c>
      <c r="BX413" s="463">
        <v>71</v>
      </c>
      <c r="BY413" s="463">
        <v>72</v>
      </c>
      <c r="BZ413" s="463">
        <v>73</v>
      </c>
      <c r="CA413" s="463">
        <v>74</v>
      </c>
      <c r="CB413" s="463">
        <v>75</v>
      </c>
      <c r="CC413" s="463">
        <v>76</v>
      </c>
      <c r="CD413" s="463">
        <v>77</v>
      </c>
      <c r="CE413" s="463">
        <v>78</v>
      </c>
      <c r="CF413" s="463">
        <v>79</v>
      </c>
      <c r="CG413" s="463">
        <v>80</v>
      </c>
      <c r="CH413" s="463">
        <v>81</v>
      </c>
      <c r="CI413" s="463">
        <v>82</v>
      </c>
      <c r="CJ413" s="463">
        <v>83</v>
      </c>
      <c r="CK413" s="463">
        <v>84</v>
      </c>
      <c r="CL413" s="463">
        <v>85</v>
      </c>
    </row>
    <row r="414" spans="4:90" x14ac:dyDescent="0.2">
      <c r="E414" s="463" t="s">
        <v>230</v>
      </c>
      <c r="F414" s="463">
        <v>84</v>
      </c>
      <c r="G414" s="463">
        <v>45</v>
      </c>
      <c r="H414" s="463">
        <v>35</v>
      </c>
      <c r="I414" s="463">
        <v>56</v>
      </c>
      <c r="J414" s="463">
        <v>26</v>
      </c>
      <c r="K414" s="463">
        <v>65</v>
      </c>
      <c r="L414" s="463">
        <v>83</v>
      </c>
      <c r="M414" s="463">
        <v>42</v>
      </c>
      <c r="N414" s="463">
        <v>52</v>
      </c>
      <c r="O414" s="463">
        <v>33</v>
      </c>
      <c r="P414" s="463">
        <v>34</v>
      </c>
      <c r="Q414" s="463">
        <v>50</v>
      </c>
      <c r="R414" s="463">
        <v>20</v>
      </c>
      <c r="S414" s="463">
        <v>27</v>
      </c>
      <c r="T414" s="463">
        <v>67</v>
      </c>
      <c r="U414" s="463">
        <v>75</v>
      </c>
      <c r="V414" s="463">
        <v>85</v>
      </c>
      <c r="W414" s="463">
        <v>47</v>
      </c>
      <c r="X414" s="463">
        <v>68</v>
      </c>
      <c r="Y414" s="463">
        <v>13</v>
      </c>
      <c r="Z414" s="463">
        <v>15</v>
      </c>
      <c r="AA414" s="463">
        <v>24</v>
      </c>
      <c r="AB414" s="463">
        <v>72</v>
      </c>
      <c r="AC414" s="463">
        <v>3</v>
      </c>
      <c r="AD414" s="463">
        <v>6</v>
      </c>
      <c r="AE414" s="463">
        <v>5</v>
      </c>
      <c r="AF414" s="463">
        <v>78</v>
      </c>
      <c r="AG414" s="463">
        <v>17</v>
      </c>
      <c r="AH414" s="463">
        <v>48</v>
      </c>
      <c r="AI414" s="463">
        <v>11</v>
      </c>
      <c r="AJ414" s="463">
        <v>30</v>
      </c>
      <c r="AK414" s="463">
        <v>40</v>
      </c>
      <c r="AL414" s="463">
        <v>82</v>
      </c>
      <c r="AM414" s="463">
        <v>58</v>
      </c>
      <c r="AN414" s="463">
        <v>41</v>
      </c>
      <c r="AO414" s="463">
        <v>29</v>
      </c>
      <c r="AP414" s="463">
        <v>18</v>
      </c>
      <c r="AQ414" s="463">
        <v>39</v>
      </c>
      <c r="AR414" s="463">
        <v>21</v>
      </c>
      <c r="AS414" s="463">
        <v>76</v>
      </c>
      <c r="AT414" s="463">
        <v>59</v>
      </c>
      <c r="AU414" s="463">
        <v>8</v>
      </c>
      <c r="AV414" s="463">
        <v>19</v>
      </c>
      <c r="AW414" s="463">
        <v>51</v>
      </c>
      <c r="AX414" s="463">
        <v>61</v>
      </c>
      <c r="AY414" s="463">
        <v>55</v>
      </c>
      <c r="AZ414" s="463">
        <v>10</v>
      </c>
      <c r="BA414" s="463">
        <v>32</v>
      </c>
      <c r="BB414" s="463">
        <v>81</v>
      </c>
      <c r="BC414" s="463">
        <v>23</v>
      </c>
      <c r="BD414" s="463">
        <v>44</v>
      </c>
      <c r="BE414" s="463">
        <v>53</v>
      </c>
      <c r="BF414" s="463">
        <v>57</v>
      </c>
      <c r="BG414" s="463">
        <v>22</v>
      </c>
      <c r="BH414" s="463">
        <v>46</v>
      </c>
      <c r="BI414" s="463">
        <v>80</v>
      </c>
      <c r="BJ414" s="463">
        <v>64</v>
      </c>
      <c r="BK414" s="463">
        <v>54</v>
      </c>
      <c r="BL414" s="463">
        <v>36</v>
      </c>
      <c r="BM414" s="463">
        <v>66</v>
      </c>
      <c r="BN414" s="463">
        <v>74</v>
      </c>
      <c r="BO414" s="463">
        <v>43</v>
      </c>
      <c r="BP414" s="463">
        <v>60</v>
      </c>
      <c r="BQ414" s="463">
        <v>12</v>
      </c>
      <c r="BR414" s="463">
        <v>77</v>
      </c>
      <c r="BS414" s="463">
        <v>79</v>
      </c>
      <c r="BT414" s="463">
        <v>38</v>
      </c>
      <c r="BU414" s="463">
        <v>62</v>
      </c>
      <c r="BV414" s="463">
        <v>71</v>
      </c>
      <c r="BW414" s="463">
        <v>16</v>
      </c>
      <c r="BX414" s="463">
        <v>14</v>
      </c>
      <c r="BY414" s="463">
        <v>49</v>
      </c>
      <c r="BZ414" s="463">
        <v>7</v>
      </c>
      <c r="CA414" s="463">
        <v>2</v>
      </c>
      <c r="CB414" s="463">
        <v>37</v>
      </c>
      <c r="CC414" s="463">
        <v>69</v>
      </c>
      <c r="CD414" s="463">
        <v>73</v>
      </c>
      <c r="CE414" s="463">
        <v>4</v>
      </c>
      <c r="CF414" s="463">
        <v>31</v>
      </c>
      <c r="CG414" s="463">
        <v>28</v>
      </c>
      <c r="CH414" s="463">
        <v>25</v>
      </c>
      <c r="CI414" s="463">
        <v>9</v>
      </c>
      <c r="CJ414" s="463">
        <v>70</v>
      </c>
      <c r="CK414" s="463">
        <v>1</v>
      </c>
      <c r="CL414" s="463">
        <v>63</v>
      </c>
    </row>
    <row r="417" spans="4:94" x14ac:dyDescent="0.2">
      <c r="D417" s="307">
        <v>86</v>
      </c>
      <c r="E417" s="307" t="s">
        <v>248</v>
      </c>
    </row>
    <row r="418" spans="4:94" x14ac:dyDescent="0.2">
      <c r="E418" s="463" t="s">
        <v>196</v>
      </c>
      <c r="F418" s="463">
        <v>1</v>
      </c>
      <c r="G418" s="463">
        <v>2</v>
      </c>
      <c r="H418" s="463">
        <v>3</v>
      </c>
      <c r="I418" s="463">
        <v>4</v>
      </c>
      <c r="J418" s="463">
        <v>5</v>
      </c>
      <c r="K418" s="463">
        <v>6</v>
      </c>
      <c r="L418" s="463">
        <v>7</v>
      </c>
      <c r="M418" s="463">
        <v>8</v>
      </c>
      <c r="N418" s="463">
        <v>9</v>
      </c>
      <c r="O418" s="463">
        <v>10</v>
      </c>
      <c r="P418" s="463">
        <v>11</v>
      </c>
      <c r="Q418" s="463">
        <v>12</v>
      </c>
      <c r="R418" s="463">
        <v>13</v>
      </c>
      <c r="S418" s="463">
        <v>14</v>
      </c>
      <c r="T418" s="463">
        <v>15</v>
      </c>
      <c r="U418" s="463">
        <v>16</v>
      </c>
      <c r="V418" s="463">
        <v>17</v>
      </c>
      <c r="W418" s="463">
        <v>18</v>
      </c>
      <c r="X418" s="463">
        <v>19</v>
      </c>
      <c r="Y418" s="463">
        <v>20</v>
      </c>
      <c r="Z418" s="463">
        <v>21</v>
      </c>
      <c r="AA418" s="463">
        <v>22</v>
      </c>
      <c r="AB418" s="463">
        <v>23</v>
      </c>
      <c r="AC418" s="463">
        <v>24</v>
      </c>
      <c r="AD418" s="463">
        <v>25</v>
      </c>
      <c r="AE418" s="463">
        <v>26</v>
      </c>
      <c r="AF418" s="463">
        <v>27</v>
      </c>
      <c r="AG418" s="463">
        <v>28</v>
      </c>
      <c r="AH418" s="463">
        <v>29</v>
      </c>
      <c r="AI418" s="463">
        <v>30</v>
      </c>
      <c r="AJ418" s="463">
        <v>31</v>
      </c>
      <c r="AK418" s="463">
        <v>32</v>
      </c>
      <c r="AL418" s="463">
        <v>33</v>
      </c>
      <c r="AM418" s="463">
        <v>34</v>
      </c>
      <c r="AN418" s="463">
        <v>35</v>
      </c>
      <c r="AO418" s="463">
        <v>36</v>
      </c>
      <c r="AP418" s="463">
        <v>37</v>
      </c>
      <c r="AQ418" s="463">
        <v>38</v>
      </c>
      <c r="AR418" s="463">
        <v>39</v>
      </c>
      <c r="AS418" s="463">
        <v>40</v>
      </c>
      <c r="AT418" s="463">
        <v>41</v>
      </c>
      <c r="AU418" s="463">
        <v>42</v>
      </c>
      <c r="AV418" s="463">
        <v>43</v>
      </c>
      <c r="AW418" s="463">
        <v>44</v>
      </c>
      <c r="AX418" s="463">
        <v>45</v>
      </c>
      <c r="AY418" s="463">
        <v>46</v>
      </c>
      <c r="AZ418" s="463">
        <v>47</v>
      </c>
      <c r="BA418" s="463">
        <v>48</v>
      </c>
      <c r="BB418" s="463">
        <v>49</v>
      </c>
      <c r="BC418" s="463">
        <v>50</v>
      </c>
      <c r="BD418" s="463">
        <v>51</v>
      </c>
      <c r="BE418" s="463">
        <v>52</v>
      </c>
      <c r="BF418" s="463">
        <v>53</v>
      </c>
      <c r="BG418" s="463">
        <v>54</v>
      </c>
      <c r="BH418" s="463">
        <v>55</v>
      </c>
      <c r="BI418" s="463">
        <v>56</v>
      </c>
      <c r="BJ418" s="463">
        <v>57</v>
      </c>
      <c r="BK418" s="463">
        <v>58</v>
      </c>
      <c r="BL418" s="463">
        <v>59</v>
      </c>
      <c r="BM418" s="463">
        <v>60</v>
      </c>
      <c r="BN418" s="463">
        <v>61</v>
      </c>
      <c r="BO418" s="463">
        <v>62</v>
      </c>
      <c r="BP418" s="463">
        <v>63</v>
      </c>
      <c r="BQ418" s="463">
        <v>64</v>
      </c>
      <c r="BR418" s="463">
        <v>65</v>
      </c>
      <c r="BS418" s="463">
        <v>66</v>
      </c>
      <c r="BT418" s="463">
        <v>67</v>
      </c>
      <c r="BU418" s="463">
        <v>68</v>
      </c>
      <c r="BV418" s="463">
        <v>69</v>
      </c>
      <c r="BW418" s="463">
        <v>70</v>
      </c>
      <c r="BX418" s="463">
        <v>71</v>
      </c>
      <c r="BY418" s="463">
        <v>72</v>
      </c>
      <c r="BZ418" s="463">
        <v>73</v>
      </c>
      <c r="CA418" s="463">
        <v>74</v>
      </c>
      <c r="CC418" s="463">
        <v>75</v>
      </c>
      <c r="CD418" s="463">
        <v>76</v>
      </c>
      <c r="CE418" s="463">
        <v>77</v>
      </c>
      <c r="CF418" s="463">
        <v>78</v>
      </c>
      <c r="CH418" s="463">
        <v>79</v>
      </c>
      <c r="CI418" s="463">
        <v>80</v>
      </c>
      <c r="CJ418" s="463">
        <v>81</v>
      </c>
      <c r="CK418" s="463">
        <v>82</v>
      </c>
      <c r="CM418" s="463">
        <v>83</v>
      </c>
      <c r="CN418" s="463">
        <v>84</v>
      </c>
      <c r="CO418" s="463">
        <v>85</v>
      </c>
      <c r="CP418" s="463">
        <v>86</v>
      </c>
    </row>
    <row r="419" spans="4:94" x14ac:dyDescent="0.2">
      <c r="E419" s="463" t="s">
        <v>230</v>
      </c>
      <c r="F419" s="463">
        <v>40</v>
      </c>
      <c r="G419" s="463">
        <v>43</v>
      </c>
      <c r="H419" s="463">
        <v>17</v>
      </c>
      <c r="I419" s="463">
        <v>11</v>
      </c>
      <c r="J419" s="463">
        <v>23</v>
      </c>
      <c r="K419" s="463">
        <v>5</v>
      </c>
      <c r="L419" s="463">
        <v>50</v>
      </c>
      <c r="M419" s="463">
        <v>52</v>
      </c>
      <c r="N419" s="463">
        <v>42</v>
      </c>
      <c r="O419" s="463">
        <v>6</v>
      </c>
      <c r="P419" s="463">
        <v>14</v>
      </c>
      <c r="Q419" s="463">
        <v>65</v>
      </c>
      <c r="R419" s="463">
        <v>32</v>
      </c>
      <c r="S419" s="463">
        <v>51</v>
      </c>
      <c r="T419" s="463">
        <v>66</v>
      </c>
      <c r="U419" s="463">
        <v>9</v>
      </c>
      <c r="V419" s="463">
        <v>4</v>
      </c>
      <c r="W419" s="463">
        <v>37</v>
      </c>
      <c r="X419" s="463">
        <v>68</v>
      </c>
      <c r="Y419" s="463">
        <v>26</v>
      </c>
      <c r="Z419" s="463">
        <v>86</v>
      </c>
      <c r="AA419" s="463">
        <v>58</v>
      </c>
      <c r="AB419" s="463">
        <v>74</v>
      </c>
      <c r="AC419" s="463">
        <v>31</v>
      </c>
      <c r="AD419" s="463">
        <v>48</v>
      </c>
      <c r="AE419" s="463">
        <v>70</v>
      </c>
      <c r="AF419" s="463">
        <v>15</v>
      </c>
      <c r="AG419" s="463">
        <v>84</v>
      </c>
      <c r="AH419" s="463">
        <v>75</v>
      </c>
      <c r="AI419" s="463">
        <v>28</v>
      </c>
      <c r="AJ419" s="463">
        <v>54</v>
      </c>
      <c r="AK419" s="463">
        <v>77</v>
      </c>
      <c r="AL419" s="463">
        <v>82</v>
      </c>
      <c r="AM419" s="463">
        <v>21</v>
      </c>
      <c r="AN419" s="463">
        <v>41</v>
      </c>
      <c r="AO419" s="463">
        <v>10</v>
      </c>
      <c r="AP419" s="463">
        <v>30</v>
      </c>
      <c r="AQ419" s="463">
        <v>55</v>
      </c>
      <c r="AR419" s="463">
        <v>71</v>
      </c>
      <c r="AS419" s="463">
        <v>76</v>
      </c>
      <c r="AT419" s="463">
        <v>44</v>
      </c>
      <c r="AU419" s="463">
        <v>64</v>
      </c>
      <c r="AV419" s="463">
        <v>57</v>
      </c>
      <c r="AW419" s="463">
        <v>53</v>
      </c>
      <c r="AX419" s="463">
        <v>3</v>
      </c>
      <c r="AY419" s="463">
        <v>39</v>
      </c>
      <c r="AZ419" s="463">
        <v>19</v>
      </c>
      <c r="BA419" s="463">
        <v>80</v>
      </c>
      <c r="BB419" s="463">
        <v>61</v>
      </c>
      <c r="BC419" s="463">
        <v>22</v>
      </c>
      <c r="BD419" s="463">
        <v>60</v>
      </c>
      <c r="BE419" s="463">
        <v>85</v>
      </c>
      <c r="BF419" s="463">
        <v>7</v>
      </c>
      <c r="BG419" s="463">
        <v>46</v>
      </c>
      <c r="BH419" s="463">
        <v>81</v>
      </c>
      <c r="BI419" s="463">
        <v>78</v>
      </c>
      <c r="BJ419" s="463">
        <v>20</v>
      </c>
      <c r="BK419" s="463">
        <v>72</v>
      </c>
      <c r="BL419" s="463">
        <v>83</v>
      </c>
      <c r="BM419" s="463">
        <v>36</v>
      </c>
      <c r="BN419" s="463">
        <v>34</v>
      </c>
      <c r="BO419" s="463">
        <v>63</v>
      </c>
      <c r="BP419" s="463">
        <v>67</v>
      </c>
      <c r="BQ419" s="463">
        <v>79</v>
      </c>
      <c r="BR419" s="463">
        <v>12</v>
      </c>
      <c r="BS419" s="463">
        <v>35</v>
      </c>
      <c r="BT419" s="463">
        <v>45</v>
      </c>
      <c r="BU419" s="463">
        <v>62</v>
      </c>
      <c r="BV419" s="463">
        <v>73</v>
      </c>
      <c r="BW419" s="463">
        <v>13</v>
      </c>
      <c r="BX419" s="463">
        <v>25</v>
      </c>
      <c r="BY419" s="463">
        <v>18</v>
      </c>
      <c r="BZ419" s="463">
        <v>27</v>
      </c>
      <c r="CA419" s="463">
        <v>1</v>
      </c>
      <c r="CC419" s="463">
        <v>29</v>
      </c>
      <c r="CD419" s="463">
        <v>33</v>
      </c>
      <c r="CE419" s="463">
        <v>69</v>
      </c>
      <c r="CF419" s="463">
        <v>56</v>
      </c>
      <c r="CH419" s="463">
        <v>49</v>
      </c>
      <c r="CI419" s="463">
        <v>8</v>
      </c>
      <c r="CJ419" s="463">
        <v>2</v>
      </c>
      <c r="CK419" s="463">
        <v>38</v>
      </c>
      <c r="CM419" s="463">
        <v>24</v>
      </c>
      <c r="CN419" s="463">
        <v>59</v>
      </c>
      <c r="CO419" s="463">
        <v>47</v>
      </c>
      <c r="CP419" s="463">
        <v>16</v>
      </c>
    </row>
    <row r="422" spans="4:94" x14ac:dyDescent="0.2">
      <c r="D422" s="307">
        <v>87</v>
      </c>
      <c r="E422" s="307" t="s">
        <v>248</v>
      </c>
    </row>
    <row r="423" spans="4:94" x14ac:dyDescent="0.2">
      <c r="E423" s="463" t="s">
        <v>196</v>
      </c>
      <c r="F423" s="463">
        <v>1</v>
      </c>
      <c r="G423" s="463">
        <v>2</v>
      </c>
      <c r="H423" s="463">
        <v>3</v>
      </c>
      <c r="I423" s="463">
        <v>4</v>
      </c>
      <c r="J423" s="463">
        <v>5</v>
      </c>
      <c r="K423" s="463">
        <v>6</v>
      </c>
      <c r="L423" s="463">
        <v>7</v>
      </c>
      <c r="M423" s="463">
        <v>8</v>
      </c>
      <c r="N423" s="463">
        <v>9</v>
      </c>
      <c r="O423" s="463">
        <v>10</v>
      </c>
      <c r="P423" s="463">
        <v>11</v>
      </c>
      <c r="Q423" s="463">
        <v>12</v>
      </c>
      <c r="R423" s="463">
        <v>13</v>
      </c>
      <c r="S423" s="463">
        <v>14</v>
      </c>
      <c r="T423" s="463">
        <v>15</v>
      </c>
      <c r="U423" s="463">
        <v>16</v>
      </c>
      <c r="V423" s="463">
        <v>17</v>
      </c>
      <c r="W423" s="463">
        <v>18</v>
      </c>
      <c r="X423" s="463">
        <v>19</v>
      </c>
      <c r="Y423" s="463">
        <v>20</v>
      </c>
      <c r="Z423" s="463">
        <v>21</v>
      </c>
      <c r="AA423" s="463">
        <v>22</v>
      </c>
      <c r="AB423" s="463">
        <v>23</v>
      </c>
      <c r="AC423" s="463">
        <v>24</v>
      </c>
      <c r="AD423" s="463">
        <v>25</v>
      </c>
      <c r="AE423" s="463">
        <v>26</v>
      </c>
      <c r="AF423" s="463">
        <v>27</v>
      </c>
      <c r="AG423" s="463">
        <v>28</v>
      </c>
      <c r="AH423" s="463">
        <v>29</v>
      </c>
      <c r="AI423" s="463">
        <v>30</v>
      </c>
      <c r="AJ423" s="463">
        <v>31</v>
      </c>
      <c r="AK423" s="463">
        <v>32</v>
      </c>
      <c r="AL423" s="463">
        <v>33</v>
      </c>
      <c r="AM423" s="463">
        <v>34</v>
      </c>
      <c r="AN423" s="463">
        <v>35</v>
      </c>
      <c r="AO423" s="463">
        <v>36</v>
      </c>
      <c r="AP423" s="463">
        <v>37</v>
      </c>
      <c r="AQ423" s="463">
        <v>38</v>
      </c>
      <c r="AR423" s="463">
        <v>39</v>
      </c>
      <c r="AS423" s="463">
        <v>40</v>
      </c>
      <c r="AT423" s="463">
        <v>41</v>
      </c>
      <c r="AU423" s="463">
        <v>42</v>
      </c>
      <c r="AV423" s="463">
        <v>43</v>
      </c>
      <c r="AW423" s="463">
        <v>44</v>
      </c>
      <c r="AX423" s="463">
        <v>45</v>
      </c>
      <c r="AY423" s="463">
        <v>46</v>
      </c>
      <c r="AZ423" s="463">
        <v>47</v>
      </c>
      <c r="BA423" s="463">
        <v>48</v>
      </c>
      <c r="BB423" s="463">
        <v>49</v>
      </c>
      <c r="BC423" s="463">
        <v>50</v>
      </c>
      <c r="BD423" s="463">
        <v>51</v>
      </c>
      <c r="BE423" s="463">
        <v>52</v>
      </c>
      <c r="BF423" s="463">
        <v>53</v>
      </c>
      <c r="BG423" s="463">
        <v>54</v>
      </c>
      <c r="BH423" s="463">
        <v>55</v>
      </c>
      <c r="BI423" s="463">
        <v>56</v>
      </c>
      <c r="BJ423" s="463">
        <v>57</v>
      </c>
      <c r="BK423" s="463">
        <v>58</v>
      </c>
      <c r="BL423" s="463">
        <v>59</v>
      </c>
      <c r="BM423" s="463">
        <v>60</v>
      </c>
      <c r="BN423" s="463">
        <v>61</v>
      </c>
      <c r="BO423" s="463">
        <v>62</v>
      </c>
      <c r="BP423" s="463">
        <v>63</v>
      </c>
      <c r="BQ423" s="463">
        <v>64</v>
      </c>
      <c r="BR423" s="463">
        <v>65</v>
      </c>
      <c r="BS423" s="463">
        <v>66</v>
      </c>
      <c r="BT423" s="463">
        <v>67</v>
      </c>
      <c r="BU423" s="463">
        <v>68</v>
      </c>
      <c r="BV423" s="463">
        <v>69</v>
      </c>
      <c r="BW423" s="463">
        <v>70</v>
      </c>
      <c r="BX423" s="463">
        <v>71</v>
      </c>
      <c r="BY423" s="463">
        <v>72</v>
      </c>
      <c r="BZ423" s="463">
        <v>73</v>
      </c>
      <c r="CA423" s="463">
        <v>74</v>
      </c>
      <c r="CB423" s="463">
        <v>75</v>
      </c>
      <c r="CC423" s="463">
        <v>76</v>
      </c>
      <c r="CD423" s="463">
        <v>77</v>
      </c>
      <c r="CE423" s="463">
        <v>78</v>
      </c>
      <c r="CF423" s="463">
        <v>79</v>
      </c>
      <c r="CH423" s="463">
        <v>80</v>
      </c>
      <c r="CI423" s="463">
        <v>81</v>
      </c>
      <c r="CJ423" s="463">
        <v>82</v>
      </c>
      <c r="CK423" s="463">
        <v>83</v>
      </c>
      <c r="CM423" s="463">
        <v>84</v>
      </c>
      <c r="CN423" s="463">
        <v>85</v>
      </c>
      <c r="CO423" s="463">
        <v>86</v>
      </c>
      <c r="CP423" s="463">
        <v>87</v>
      </c>
    </row>
    <row r="424" spans="4:94" x14ac:dyDescent="0.2">
      <c r="E424" s="463" t="s">
        <v>230</v>
      </c>
      <c r="F424" s="463">
        <v>10</v>
      </c>
      <c r="G424" s="463">
        <v>39</v>
      </c>
      <c r="H424" s="463">
        <v>83</v>
      </c>
      <c r="I424" s="463">
        <v>31</v>
      </c>
      <c r="J424" s="463">
        <v>2</v>
      </c>
      <c r="K424" s="463">
        <v>9</v>
      </c>
      <c r="L424" s="463">
        <v>13</v>
      </c>
      <c r="M424" s="463">
        <v>32</v>
      </c>
      <c r="N424" s="463">
        <v>28</v>
      </c>
      <c r="O424" s="463">
        <v>1</v>
      </c>
      <c r="P424" s="463">
        <v>15</v>
      </c>
      <c r="Q424" s="463">
        <v>53</v>
      </c>
      <c r="R424" s="463">
        <v>37</v>
      </c>
      <c r="S424" s="463">
        <v>27</v>
      </c>
      <c r="T424" s="463">
        <v>76</v>
      </c>
      <c r="U424" s="463">
        <v>14</v>
      </c>
      <c r="V424" s="463">
        <v>24</v>
      </c>
      <c r="W424" s="463">
        <v>40</v>
      </c>
      <c r="X424" s="463">
        <v>61</v>
      </c>
      <c r="Y424" s="463">
        <v>26</v>
      </c>
      <c r="Z424" s="463">
        <v>45</v>
      </c>
      <c r="AA424" s="463">
        <v>78</v>
      </c>
      <c r="AB424" s="463">
        <v>5</v>
      </c>
      <c r="AC424" s="463">
        <v>11</v>
      </c>
      <c r="AD424" s="463">
        <v>85</v>
      </c>
      <c r="AE424" s="463">
        <v>87</v>
      </c>
      <c r="AF424" s="463">
        <v>30</v>
      </c>
      <c r="AG424" s="463">
        <v>77</v>
      </c>
      <c r="AH424" s="463">
        <v>16</v>
      </c>
      <c r="AI424" s="463">
        <v>63</v>
      </c>
      <c r="AJ424" s="463">
        <v>59</v>
      </c>
      <c r="AK424" s="463">
        <v>49</v>
      </c>
      <c r="AL424" s="463">
        <v>70</v>
      </c>
      <c r="AM424" s="463">
        <v>71</v>
      </c>
      <c r="AN424" s="463">
        <v>42</v>
      </c>
      <c r="AO424" s="463">
        <v>55</v>
      </c>
      <c r="AP424" s="463">
        <v>79</v>
      </c>
      <c r="AQ424" s="463">
        <v>12</v>
      </c>
      <c r="AR424" s="463">
        <v>8</v>
      </c>
      <c r="AS424" s="463">
        <v>57</v>
      </c>
      <c r="AT424" s="463">
        <v>35</v>
      </c>
      <c r="AU424" s="463">
        <v>23</v>
      </c>
      <c r="AV424" s="463">
        <v>72</v>
      </c>
      <c r="AW424" s="463">
        <v>82</v>
      </c>
      <c r="AX424" s="463">
        <v>46</v>
      </c>
      <c r="AY424" s="463">
        <v>25</v>
      </c>
      <c r="AZ424" s="463">
        <v>44</v>
      </c>
      <c r="BA424" s="463">
        <v>50</v>
      </c>
      <c r="BB424" s="463">
        <v>17</v>
      </c>
      <c r="BC424" s="463">
        <v>36</v>
      </c>
      <c r="BD424" s="463">
        <v>54</v>
      </c>
      <c r="BE424" s="463">
        <v>73</v>
      </c>
      <c r="BF424" s="463">
        <v>62</v>
      </c>
      <c r="BG424" s="463">
        <v>66</v>
      </c>
      <c r="BH424" s="463">
        <v>84</v>
      </c>
      <c r="BI424" s="463">
        <v>69</v>
      </c>
      <c r="BJ424" s="463">
        <v>3</v>
      </c>
      <c r="BK424" s="463">
        <v>7</v>
      </c>
      <c r="BL424" s="463">
        <v>51</v>
      </c>
      <c r="BM424" s="463">
        <v>56</v>
      </c>
      <c r="BN424" s="463">
        <v>4</v>
      </c>
      <c r="BO424" s="463">
        <v>38</v>
      </c>
      <c r="BP424" s="463">
        <v>34</v>
      </c>
      <c r="BQ424" s="463">
        <v>68</v>
      </c>
      <c r="BR424" s="463">
        <v>80</v>
      </c>
      <c r="BS424" s="463">
        <v>60</v>
      </c>
      <c r="BT424" s="463">
        <v>75</v>
      </c>
      <c r="BU424" s="463">
        <v>81</v>
      </c>
      <c r="BV424" s="463">
        <v>86</v>
      </c>
      <c r="BW424" s="463">
        <v>33</v>
      </c>
      <c r="BX424" s="463">
        <v>19</v>
      </c>
      <c r="BY424" s="463">
        <v>58</v>
      </c>
      <c r="BZ424" s="463">
        <v>29</v>
      </c>
      <c r="CA424" s="463">
        <v>6</v>
      </c>
      <c r="CB424" s="463">
        <v>21</v>
      </c>
      <c r="CC424" s="463">
        <v>20</v>
      </c>
      <c r="CD424" s="463">
        <v>48</v>
      </c>
      <c r="CE424" s="463">
        <v>22</v>
      </c>
      <c r="CF424" s="463">
        <v>41</v>
      </c>
      <c r="CH424" s="463">
        <v>65</v>
      </c>
      <c r="CI424" s="463">
        <v>74</v>
      </c>
      <c r="CJ424" s="463">
        <v>47</v>
      </c>
      <c r="CK424" s="463">
        <v>18</v>
      </c>
      <c r="CM424" s="463">
        <v>64</v>
      </c>
      <c r="CN424" s="463">
        <v>43</v>
      </c>
      <c r="CO424" s="463">
        <v>67</v>
      </c>
      <c r="CP424" s="463">
        <v>52</v>
      </c>
    </row>
    <row r="427" spans="4:94" x14ac:dyDescent="0.2">
      <c r="D427" s="307">
        <v>88</v>
      </c>
      <c r="E427" s="307" t="s">
        <v>248</v>
      </c>
    </row>
    <row r="428" spans="4:94" x14ac:dyDescent="0.2">
      <c r="E428" s="463" t="s">
        <v>196</v>
      </c>
      <c r="F428" s="463">
        <v>1</v>
      </c>
      <c r="G428" s="463">
        <v>2</v>
      </c>
      <c r="H428" s="463">
        <v>3</v>
      </c>
      <c r="I428" s="463">
        <v>4</v>
      </c>
      <c r="J428" s="463">
        <v>5</v>
      </c>
      <c r="K428" s="463">
        <v>6</v>
      </c>
      <c r="L428" s="463">
        <v>7</v>
      </c>
      <c r="M428" s="463">
        <v>8</v>
      </c>
      <c r="N428" s="463">
        <v>9</v>
      </c>
      <c r="O428" s="463">
        <v>10</v>
      </c>
      <c r="P428" s="463">
        <v>11</v>
      </c>
      <c r="Q428" s="463">
        <v>12</v>
      </c>
      <c r="R428" s="463">
        <v>13</v>
      </c>
      <c r="S428" s="463">
        <v>14</v>
      </c>
      <c r="T428" s="463">
        <v>15</v>
      </c>
      <c r="U428" s="463">
        <v>16</v>
      </c>
      <c r="V428" s="463">
        <v>17</v>
      </c>
      <c r="W428" s="463">
        <v>18</v>
      </c>
      <c r="X428" s="463">
        <v>19</v>
      </c>
      <c r="Y428" s="463">
        <v>20</v>
      </c>
      <c r="Z428" s="463">
        <v>21</v>
      </c>
      <c r="AA428" s="463">
        <v>22</v>
      </c>
      <c r="AB428" s="463">
        <v>23</v>
      </c>
      <c r="AC428" s="463">
        <v>24</v>
      </c>
      <c r="AD428" s="463">
        <v>25</v>
      </c>
      <c r="AE428" s="463">
        <v>26</v>
      </c>
      <c r="AF428" s="463">
        <v>27</v>
      </c>
      <c r="AG428" s="463">
        <v>28</v>
      </c>
      <c r="AH428" s="463">
        <v>29</v>
      </c>
      <c r="AI428" s="463">
        <v>30</v>
      </c>
      <c r="AJ428" s="463">
        <v>31</v>
      </c>
      <c r="AK428" s="463">
        <v>32</v>
      </c>
      <c r="AL428" s="463">
        <v>33</v>
      </c>
      <c r="AM428" s="463">
        <v>34</v>
      </c>
      <c r="AN428" s="463">
        <v>35</v>
      </c>
      <c r="AO428" s="463">
        <v>36</v>
      </c>
      <c r="AP428" s="463">
        <v>37</v>
      </c>
      <c r="AQ428" s="463">
        <v>38</v>
      </c>
      <c r="AR428" s="463">
        <v>39</v>
      </c>
      <c r="AS428" s="463">
        <v>40</v>
      </c>
      <c r="AT428" s="463">
        <v>41</v>
      </c>
      <c r="AU428" s="463">
        <v>42</v>
      </c>
      <c r="AV428" s="463">
        <v>43</v>
      </c>
      <c r="AW428" s="463">
        <v>44</v>
      </c>
      <c r="AX428" s="463">
        <v>45</v>
      </c>
      <c r="AY428" s="463">
        <v>46</v>
      </c>
      <c r="AZ428" s="463">
        <v>47</v>
      </c>
      <c r="BA428" s="463">
        <v>48</v>
      </c>
      <c r="BB428" s="463">
        <v>49</v>
      </c>
      <c r="BC428" s="463">
        <v>50</v>
      </c>
      <c r="BD428" s="463">
        <v>51</v>
      </c>
      <c r="BE428" s="463">
        <v>52</v>
      </c>
      <c r="BF428" s="463">
        <v>53</v>
      </c>
      <c r="BG428" s="463">
        <v>54</v>
      </c>
      <c r="BH428" s="463">
        <v>55</v>
      </c>
      <c r="BI428" s="463">
        <v>56</v>
      </c>
      <c r="BJ428" s="463">
        <v>57</v>
      </c>
      <c r="BK428" s="463">
        <v>58</v>
      </c>
      <c r="BL428" s="463">
        <v>59</v>
      </c>
      <c r="BM428" s="463">
        <v>60</v>
      </c>
      <c r="BN428" s="463">
        <v>61</v>
      </c>
      <c r="BO428" s="463">
        <v>62</v>
      </c>
      <c r="BP428" s="463">
        <v>63</v>
      </c>
      <c r="BQ428" s="463">
        <v>64</v>
      </c>
      <c r="BR428" s="463">
        <v>65</v>
      </c>
      <c r="BS428" s="463">
        <v>66</v>
      </c>
      <c r="BT428" s="463">
        <v>67</v>
      </c>
      <c r="BU428" s="463">
        <v>68</v>
      </c>
      <c r="BV428" s="463">
        <v>69</v>
      </c>
      <c r="BW428" s="463">
        <v>70</v>
      </c>
      <c r="BX428" s="463">
        <v>71</v>
      </c>
      <c r="BY428" s="463">
        <v>72</v>
      </c>
      <c r="BZ428" s="463">
        <v>73</v>
      </c>
      <c r="CA428" s="463">
        <v>74</v>
      </c>
      <c r="CB428" s="463">
        <v>75</v>
      </c>
      <c r="CC428" s="463">
        <v>76</v>
      </c>
      <c r="CD428" s="463">
        <v>77</v>
      </c>
      <c r="CE428" s="463">
        <v>78</v>
      </c>
      <c r="CF428" s="463">
        <v>79</v>
      </c>
      <c r="CG428" s="463">
        <v>80</v>
      </c>
      <c r="CH428" s="463">
        <v>81</v>
      </c>
      <c r="CI428" s="463">
        <v>82</v>
      </c>
      <c r="CJ428" s="463">
        <v>83</v>
      </c>
      <c r="CK428" s="463">
        <v>84</v>
      </c>
      <c r="CM428" s="463">
        <v>85</v>
      </c>
      <c r="CN428" s="463">
        <v>86</v>
      </c>
      <c r="CO428" s="463">
        <v>87</v>
      </c>
      <c r="CP428" s="463">
        <v>88</v>
      </c>
    </row>
    <row r="429" spans="4:94" x14ac:dyDescent="0.2">
      <c r="E429" s="463" t="s">
        <v>230</v>
      </c>
      <c r="F429" s="463">
        <v>30</v>
      </c>
      <c r="G429" s="463">
        <v>53</v>
      </c>
      <c r="H429" s="463">
        <v>2</v>
      </c>
      <c r="I429" s="463">
        <v>61</v>
      </c>
      <c r="J429" s="463">
        <v>21</v>
      </c>
      <c r="K429" s="463">
        <v>69</v>
      </c>
      <c r="L429" s="463">
        <v>83</v>
      </c>
      <c r="M429" s="463">
        <v>20</v>
      </c>
      <c r="N429" s="463">
        <v>33</v>
      </c>
      <c r="O429" s="463">
        <v>85</v>
      </c>
      <c r="P429" s="463">
        <v>39</v>
      </c>
      <c r="Q429" s="463">
        <v>75</v>
      </c>
      <c r="R429" s="463">
        <v>52</v>
      </c>
      <c r="S429" s="463">
        <v>76</v>
      </c>
      <c r="T429" s="463">
        <v>6</v>
      </c>
      <c r="U429" s="463">
        <v>29</v>
      </c>
      <c r="V429" s="463">
        <v>13</v>
      </c>
      <c r="W429" s="463">
        <v>37</v>
      </c>
      <c r="X429" s="463">
        <v>56</v>
      </c>
      <c r="Y429" s="463">
        <v>46</v>
      </c>
      <c r="Z429" s="463">
        <v>5</v>
      </c>
      <c r="AA429" s="463">
        <v>48</v>
      </c>
      <c r="AB429" s="463">
        <v>79</v>
      </c>
      <c r="AC429" s="463">
        <v>58</v>
      </c>
      <c r="AD429" s="463">
        <v>71</v>
      </c>
      <c r="AE429" s="463">
        <v>88</v>
      </c>
      <c r="AF429" s="463">
        <v>55</v>
      </c>
      <c r="AG429" s="463">
        <v>32</v>
      </c>
      <c r="AH429" s="463">
        <v>47</v>
      </c>
      <c r="AI429" s="463">
        <v>22</v>
      </c>
      <c r="AJ429" s="463">
        <v>9</v>
      </c>
      <c r="AK429" s="463">
        <v>28</v>
      </c>
      <c r="AL429" s="463">
        <v>62</v>
      </c>
      <c r="AM429" s="463">
        <v>86</v>
      </c>
      <c r="AN429" s="463">
        <v>73</v>
      </c>
      <c r="AO429" s="463">
        <v>19</v>
      </c>
      <c r="AP429" s="463">
        <v>25</v>
      </c>
      <c r="AQ429" s="463">
        <v>44</v>
      </c>
      <c r="AR429" s="463">
        <v>12</v>
      </c>
      <c r="AS429" s="463">
        <v>36</v>
      </c>
      <c r="AT429" s="463">
        <v>4</v>
      </c>
      <c r="AU429" s="463">
        <v>64</v>
      </c>
      <c r="AV429" s="463">
        <v>84</v>
      </c>
      <c r="AW429" s="463">
        <v>51</v>
      </c>
      <c r="AX429" s="463">
        <v>67</v>
      </c>
      <c r="AY429" s="463">
        <v>15</v>
      </c>
      <c r="AZ429" s="463">
        <v>40</v>
      </c>
      <c r="BA429" s="463">
        <v>27</v>
      </c>
      <c r="BB429" s="463">
        <v>66</v>
      </c>
      <c r="BC429" s="463">
        <v>1</v>
      </c>
      <c r="BD429" s="463">
        <v>60</v>
      </c>
      <c r="BE429" s="463">
        <v>10</v>
      </c>
      <c r="BF429" s="463">
        <v>72</v>
      </c>
      <c r="BG429" s="463">
        <v>23</v>
      </c>
      <c r="BH429" s="463">
        <v>11</v>
      </c>
      <c r="BI429" s="463">
        <v>24</v>
      </c>
      <c r="BJ429" s="463">
        <v>38</v>
      </c>
      <c r="BK429" s="463">
        <v>14</v>
      </c>
      <c r="BL429" s="463">
        <v>31</v>
      </c>
      <c r="BM429" s="463">
        <v>17</v>
      </c>
      <c r="BN429" s="463">
        <v>34</v>
      </c>
      <c r="BO429" s="463">
        <v>68</v>
      </c>
      <c r="BP429" s="463">
        <v>49</v>
      </c>
      <c r="BQ429" s="463">
        <v>42</v>
      </c>
      <c r="BR429" s="463">
        <v>78</v>
      </c>
      <c r="BS429" s="463">
        <v>59</v>
      </c>
      <c r="BT429" s="463">
        <v>80</v>
      </c>
      <c r="BU429" s="463">
        <v>50</v>
      </c>
      <c r="BV429" s="463">
        <v>43</v>
      </c>
      <c r="BW429" s="463">
        <v>81</v>
      </c>
      <c r="BX429" s="463">
        <v>65</v>
      </c>
      <c r="BY429" s="463">
        <v>8</v>
      </c>
      <c r="BZ429" s="463">
        <v>35</v>
      </c>
      <c r="CA429" s="463">
        <v>18</v>
      </c>
      <c r="CB429" s="463">
        <v>82</v>
      </c>
      <c r="CC429" s="463">
        <v>54</v>
      </c>
      <c r="CD429" s="463">
        <v>63</v>
      </c>
      <c r="CE429" s="463">
        <v>57</v>
      </c>
      <c r="CF429" s="463">
        <v>87</v>
      </c>
      <c r="CG429" s="463">
        <v>16</v>
      </c>
      <c r="CH429" s="463">
        <v>74</v>
      </c>
      <c r="CI429" s="463">
        <v>3</v>
      </c>
      <c r="CJ429" s="463">
        <v>7</v>
      </c>
      <c r="CK429" s="463">
        <v>41</v>
      </c>
      <c r="CM429" s="463">
        <v>45</v>
      </c>
      <c r="CN429" s="463">
        <v>70</v>
      </c>
      <c r="CO429" s="463">
        <v>77</v>
      </c>
      <c r="CP429" s="463">
        <v>26</v>
      </c>
    </row>
    <row r="432" spans="4:94" x14ac:dyDescent="0.2">
      <c r="D432" s="307">
        <v>89</v>
      </c>
      <c r="E432" s="307" t="s">
        <v>248</v>
      </c>
    </row>
    <row r="433" spans="4:99" x14ac:dyDescent="0.2">
      <c r="E433" s="463" t="s">
        <v>196</v>
      </c>
      <c r="F433" s="463">
        <v>1</v>
      </c>
      <c r="G433" s="463">
        <v>2</v>
      </c>
      <c r="H433" s="463">
        <v>3</v>
      </c>
      <c r="I433" s="463">
        <v>4</v>
      </c>
      <c r="J433" s="463">
        <v>5</v>
      </c>
      <c r="K433" s="463">
        <v>6</v>
      </c>
      <c r="L433" s="463">
        <v>7</v>
      </c>
      <c r="M433" s="463">
        <v>8</v>
      </c>
      <c r="N433" s="463">
        <v>9</v>
      </c>
      <c r="O433" s="463">
        <v>10</v>
      </c>
      <c r="P433" s="463">
        <v>11</v>
      </c>
      <c r="Q433" s="463">
        <v>12</v>
      </c>
      <c r="R433" s="463">
        <v>13</v>
      </c>
      <c r="S433" s="463">
        <v>14</v>
      </c>
      <c r="T433" s="463">
        <v>15</v>
      </c>
      <c r="U433" s="463">
        <v>16</v>
      </c>
      <c r="V433" s="463">
        <v>17</v>
      </c>
      <c r="W433" s="463">
        <v>18</v>
      </c>
      <c r="X433" s="463">
        <v>19</v>
      </c>
      <c r="Y433" s="463">
        <v>20</v>
      </c>
      <c r="Z433" s="463">
        <v>21</v>
      </c>
      <c r="AA433" s="463">
        <v>22</v>
      </c>
      <c r="AB433" s="463">
        <v>23</v>
      </c>
      <c r="AC433" s="463">
        <v>24</v>
      </c>
      <c r="AD433" s="463">
        <v>25</v>
      </c>
      <c r="AE433" s="463">
        <v>26</v>
      </c>
      <c r="AF433" s="463">
        <v>27</v>
      </c>
      <c r="AG433" s="463">
        <v>28</v>
      </c>
      <c r="AH433" s="463">
        <v>29</v>
      </c>
      <c r="AI433" s="463">
        <v>30</v>
      </c>
      <c r="AJ433" s="463">
        <v>31</v>
      </c>
      <c r="AK433" s="463">
        <v>32</v>
      </c>
      <c r="AL433" s="463">
        <v>33</v>
      </c>
      <c r="AM433" s="463">
        <v>34</v>
      </c>
      <c r="AN433" s="463">
        <v>35</v>
      </c>
      <c r="AO433" s="463">
        <v>36</v>
      </c>
      <c r="AP433" s="463">
        <v>37</v>
      </c>
      <c r="AQ433" s="463">
        <v>38</v>
      </c>
      <c r="AR433" s="463">
        <v>39</v>
      </c>
      <c r="AS433" s="463">
        <v>40</v>
      </c>
      <c r="AT433" s="463">
        <v>41</v>
      </c>
      <c r="AU433" s="463">
        <v>42</v>
      </c>
      <c r="AV433" s="463">
        <v>43</v>
      </c>
      <c r="AW433" s="463">
        <v>44</v>
      </c>
      <c r="AX433" s="463">
        <v>45</v>
      </c>
      <c r="AY433" s="463">
        <v>46</v>
      </c>
      <c r="AZ433" s="463">
        <v>47</v>
      </c>
      <c r="BA433" s="463">
        <v>48</v>
      </c>
      <c r="BB433" s="463">
        <v>49</v>
      </c>
      <c r="BC433" s="463">
        <v>50</v>
      </c>
      <c r="BD433" s="463">
        <v>51</v>
      </c>
      <c r="BE433" s="463">
        <v>52</v>
      </c>
      <c r="BF433" s="463">
        <v>53</v>
      </c>
      <c r="BG433" s="463">
        <v>54</v>
      </c>
      <c r="BH433" s="463">
        <v>55</v>
      </c>
      <c r="BI433" s="463">
        <v>56</v>
      </c>
      <c r="BJ433" s="463">
        <v>57</v>
      </c>
      <c r="BK433" s="463">
        <v>58</v>
      </c>
      <c r="BL433" s="463">
        <v>59</v>
      </c>
      <c r="BM433" s="463">
        <v>60</v>
      </c>
      <c r="BN433" s="463">
        <v>61</v>
      </c>
      <c r="BO433" s="463">
        <v>62</v>
      </c>
      <c r="BP433" s="463">
        <v>63</v>
      </c>
      <c r="BQ433" s="463">
        <v>64</v>
      </c>
      <c r="BR433" s="463">
        <v>65</v>
      </c>
      <c r="BS433" s="463">
        <v>66</v>
      </c>
      <c r="BT433" s="463">
        <v>67</v>
      </c>
      <c r="BU433" s="463">
        <v>68</v>
      </c>
      <c r="BV433" s="463">
        <v>69</v>
      </c>
      <c r="BW433" s="463">
        <v>70</v>
      </c>
      <c r="BX433" s="463">
        <v>71</v>
      </c>
      <c r="BY433" s="463">
        <v>72</v>
      </c>
      <c r="BZ433" s="463">
        <v>73</v>
      </c>
      <c r="CA433" s="463">
        <v>74</v>
      </c>
      <c r="CB433" s="463">
        <v>75</v>
      </c>
      <c r="CC433" s="463">
        <v>76</v>
      </c>
      <c r="CD433" s="463">
        <v>77</v>
      </c>
      <c r="CE433" s="463">
        <v>78</v>
      </c>
      <c r="CF433" s="463">
        <v>79</v>
      </c>
      <c r="CG433" s="463">
        <v>80</v>
      </c>
      <c r="CH433" s="463">
        <v>81</v>
      </c>
      <c r="CI433" s="463">
        <v>82</v>
      </c>
      <c r="CJ433" s="463">
        <v>83</v>
      </c>
      <c r="CK433" s="463">
        <v>84</v>
      </c>
      <c r="CL433" s="463">
        <v>85</v>
      </c>
      <c r="CM433" s="463">
        <v>86</v>
      </c>
      <c r="CN433" s="463">
        <v>87</v>
      </c>
      <c r="CO433" s="463">
        <v>88</v>
      </c>
      <c r="CP433" s="463">
        <v>89</v>
      </c>
    </row>
    <row r="434" spans="4:99" x14ac:dyDescent="0.2">
      <c r="E434" s="463" t="s">
        <v>230</v>
      </c>
      <c r="F434" s="463">
        <v>84</v>
      </c>
      <c r="G434" s="463">
        <v>33</v>
      </c>
      <c r="H434" s="463">
        <v>62</v>
      </c>
      <c r="I434" s="463">
        <v>46</v>
      </c>
      <c r="J434" s="463">
        <v>58</v>
      </c>
      <c r="K434" s="463">
        <v>80</v>
      </c>
      <c r="L434" s="463">
        <v>44</v>
      </c>
      <c r="M434" s="463">
        <v>87</v>
      </c>
      <c r="N434" s="463">
        <v>67</v>
      </c>
      <c r="O434" s="463">
        <v>72</v>
      </c>
      <c r="P434" s="463">
        <v>75</v>
      </c>
      <c r="Q434" s="463">
        <v>24</v>
      </c>
      <c r="R434" s="463">
        <v>37</v>
      </c>
      <c r="S434" s="463">
        <v>48</v>
      </c>
      <c r="T434" s="463">
        <v>51</v>
      </c>
      <c r="U434" s="463">
        <v>49</v>
      </c>
      <c r="V434" s="463">
        <v>85</v>
      </c>
      <c r="W434" s="463">
        <v>19</v>
      </c>
      <c r="X434" s="463">
        <v>73</v>
      </c>
      <c r="Y434" s="463">
        <v>12</v>
      </c>
      <c r="Z434" s="463">
        <v>35</v>
      </c>
      <c r="AA434" s="463">
        <v>4</v>
      </c>
      <c r="AB434" s="463">
        <v>82</v>
      </c>
      <c r="AC434" s="463">
        <v>88</v>
      </c>
      <c r="AD434" s="463">
        <v>11</v>
      </c>
      <c r="AE434" s="463">
        <v>70</v>
      </c>
      <c r="AF434" s="463">
        <v>50</v>
      </c>
      <c r="AG434" s="463">
        <v>57</v>
      </c>
      <c r="AH434" s="463">
        <v>22</v>
      </c>
      <c r="AI434" s="463">
        <v>36</v>
      </c>
      <c r="AJ434" s="463">
        <v>65</v>
      </c>
      <c r="AK434" s="463">
        <v>45</v>
      </c>
      <c r="AL434" s="463">
        <v>7</v>
      </c>
      <c r="AM434" s="463">
        <v>71</v>
      </c>
      <c r="AN434" s="463">
        <v>21</v>
      </c>
      <c r="AO434" s="463">
        <v>60</v>
      </c>
      <c r="AP434" s="463">
        <v>13</v>
      </c>
      <c r="AQ434" s="463">
        <v>64</v>
      </c>
      <c r="AR434" s="463">
        <v>28</v>
      </c>
      <c r="AS434" s="463">
        <v>66</v>
      </c>
      <c r="AT434" s="463">
        <v>69</v>
      </c>
      <c r="AU434" s="463">
        <v>14</v>
      </c>
      <c r="AV434" s="463">
        <v>27</v>
      </c>
      <c r="AW434" s="463">
        <v>47</v>
      </c>
      <c r="AX434" s="463">
        <v>76</v>
      </c>
      <c r="AY434" s="463">
        <v>54</v>
      </c>
      <c r="AZ434" s="463">
        <v>29</v>
      </c>
      <c r="BA434" s="463">
        <v>2</v>
      </c>
      <c r="BB434" s="463">
        <v>16</v>
      </c>
      <c r="BC434" s="463">
        <v>41</v>
      </c>
      <c r="BD434" s="463">
        <v>15</v>
      </c>
      <c r="BE434" s="463">
        <v>8</v>
      </c>
      <c r="BF434" s="463">
        <v>5</v>
      </c>
      <c r="BG434" s="463">
        <v>53</v>
      </c>
      <c r="BH434" s="463">
        <v>81</v>
      </c>
      <c r="BI434" s="463">
        <v>30</v>
      </c>
      <c r="BJ434" s="463">
        <v>83</v>
      </c>
      <c r="BK434" s="463">
        <v>77</v>
      </c>
      <c r="BL434" s="463">
        <v>42</v>
      </c>
      <c r="BM434" s="463">
        <v>86</v>
      </c>
      <c r="BN434" s="463">
        <v>20</v>
      </c>
      <c r="BO434" s="463">
        <v>9</v>
      </c>
      <c r="BP434" s="463">
        <v>59</v>
      </c>
      <c r="BQ434" s="463">
        <v>43</v>
      </c>
      <c r="BR434" s="463">
        <v>31</v>
      </c>
      <c r="BS434" s="463">
        <v>40</v>
      </c>
      <c r="BT434" s="463">
        <v>68</v>
      </c>
      <c r="BU434" s="463">
        <v>74</v>
      </c>
      <c r="BV434" s="463">
        <v>3</v>
      </c>
      <c r="BW434" s="463">
        <v>56</v>
      </c>
      <c r="BX434" s="463">
        <v>34</v>
      </c>
      <c r="BY434" s="463">
        <v>25</v>
      </c>
      <c r="BZ434" s="463">
        <v>52</v>
      </c>
      <c r="CA434" s="463">
        <v>38</v>
      </c>
      <c r="CB434" s="463">
        <v>18</v>
      </c>
      <c r="CC434" s="463">
        <v>79</v>
      </c>
      <c r="CD434" s="463">
        <v>63</v>
      </c>
      <c r="CE434" s="463">
        <v>89</v>
      </c>
      <c r="CF434" s="463">
        <v>26</v>
      </c>
      <c r="CG434" s="463">
        <v>6</v>
      </c>
      <c r="CH434" s="463">
        <v>10</v>
      </c>
      <c r="CI434" s="463">
        <v>23</v>
      </c>
      <c r="CJ434" s="463">
        <v>32</v>
      </c>
      <c r="CK434" s="463">
        <v>1</v>
      </c>
      <c r="CL434" s="463">
        <v>17</v>
      </c>
      <c r="CM434" s="463">
        <v>39</v>
      </c>
      <c r="CN434" s="463">
        <v>78</v>
      </c>
      <c r="CO434" s="463">
        <v>55</v>
      </c>
      <c r="CP434" s="463">
        <v>61</v>
      </c>
    </row>
    <row r="437" spans="4:99" x14ac:dyDescent="0.2">
      <c r="D437" s="307">
        <v>90</v>
      </c>
      <c r="E437" s="307" t="s">
        <v>248</v>
      </c>
    </row>
    <row r="438" spans="4:99" x14ac:dyDescent="0.2">
      <c r="E438" s="463" t="s">
        <v>196</v>
      </c>
      <c r="F438" s="463">
        <v>1</v>
      </c>
      <c r="G438" s="463">
        <v>2</v>
      </c>
      <c r="H438" s="463">
        <v>3</v>
      </c>
      <c r="I438" s="463">
        <v>4</v>
      </c>
      <c r="J438" s="463">
        <v>5</v>
      </c>
      <c r="K438" s="463">
        <v>6</v>
      </c>
      <c r="L438" s="463">
        <v>7</v>
      </c>
      <c r="M438" s="463">
        <v>8</v>
      </c>
      <c r="N438" s="463">
        <v>9</v>
      </c>
      <c r="O438" s="463">
        <v>10</v>
      </c>
      <c r="P438" s="463">
        <v>11</v>
      </c>
      <c r="Q438" s="463">
        <v>12</v>
      </c>
      <c r="R438" s="463">
        <v>13</v>
      </c>
      <c r="S438" s="463">
        <v>14</v>
      </c>
      <c r="T438" s="463">
        <v>15</v>
      </c>
      <c r="U438" s="463">
        <v>16</v>
      </c>
      <c r="V438" s="463">
        <v>17</v>
      </c>
      <c r="W438" s="463">
        <v>18</v>
      </c>
      <c r="X438" s="463">
        <v>19</v>
      </c>
      <c r="Y438" s="463">
        <v>20</v>
      </c>
      <c r="Z438" s="463">
        <v>21</v>
      </c>
      <c r="AA438" s="463">
        <v>22</v>
      </c>
      <c r="AB438" s="463">
        <v>23</v>
      </c>
      <c r="AC438" s="463">
        <v>24</v>
      </c>
      <c r="AD438" s="463">
        <v>25</v>
      </c>
      <c r="AE438" s="463">
        <v>26</v>
      </c>
      <c r="AF438" s="463">
        <v>27</v>
      </c>
      <c r="AG438" s="463">
        <v>28</v>
      </c>
      <c r="AH438" s="463">
        <v>29</v>
      </c>
      <c r="AI438" s="463">
        <v>30</v>
      </c>
      <c r="AJ438" s="463">
        <v>31</v>
      </c>
      <c r="AK438" s="463">
        <v>32</v>
      </c>
      <c r="AL438" s="463">
        <v>33</v>
      </c>
      <c r="AM438" s="463">
        <v>34</v>
      </c>
      <c r="AN438" s="463">
        <v>35</v>
      </c>
      <c r="AO438" s="463">
        <v>36</v>
      </c>
      <c r="AP438" s="463">
        <v>37</v>
      </c>
      <c r="AQ438" s="463">
        <v>38</v>
      </c>
      <c r="AR438" s="463">
        <v>39</v>
      </c>
      <c r="AS438" s="463">
        <v>40</v>
      </c>
      <c r="AT438" s="463">
        <v>41</v>
      </c>
      <c r="AU438" s="463">
        <v>42</v>
      </c>
      <c r="AV438" s="463">
        <v>43</v>
      </c>
      <c r="AW438" s="463">
        <v>44</v>
      </c>
      <c r="AX438" s="463">
        <v>45</v>
      </c>
      <c r="AY438" s="463">
        <v>46</v>
      </c>
      <c r="AZ438" s="463">
        <v>47</v>
      </c>
      <c r="BA438" s="463">
        <v>48</v>
      </c>
      <c r="BB438" s="463">
        <v>49</v>
      </c>
      <c r="BC438" s="463">
        <v>50</v>
      </c>
      <c r="BD438" s="463">
        <v>51</v>
      </c>
      <c r="BE438" s="463">
        <v>52</v>
      </c>
      <c r="BF438" s="463">
        <v>53</v>
      </c>
      <c r="BG438" s="463">
        <v>54</v>
      </c>
      <c r="BH438" s="463">
        <v>55</v>
      </c>
      <c r="BI438" s="463">
        <v>56</v>
      </c>
      <c r="BJ438" s="463">
        <v>57</v>
      </c>
      <c r="BK438" s="463">
        <v>58</v>
      </c>
      <c r="BL438" s="463">
        <v>59</v>
      </c>
      <c r="BM438" s="463">
        <v>60</v>
      </c>
      <c r="BN438" s="463">
        <v>61</v>
      </c>
      <c r="BO438" s="463">
        <v>62</v>
      </c>
      <c r="BP438" s="463">
        <v>63</v>
      </c>
      <c r="BQ438" s="463">
        <v>64</v>
      </c>
      <c r="BR438" s="463">
        <v>65</v>
      </c>
      <c r="BS438" s="463">
        <v>66</v>
      </c>
      <c r="BT438" s="463">
        <v>67</v>
      </c>
      <c r="BU438" s="463">
        <v>68</v>
      </c>
      <c r="BV438" s="463">
        <v>69</v>
      </c>
      <c r="BW438" s="463">
        <v>70</v>
      </c>
      <c r="BX438" s="463">
        <v>71</v>
      </c>
      <c r="BY438" s="463">
        <v>72</v>
      </c>
      <c r="BZ438" s="463">
        <v>73</v>
      </c>
      <c r="CA438" s="463">
        <v>74</v>
      </c>
      <c r="CB438" s="463">
        <v>75</v>
      </c>
      <c r="CC438" s="463">
        <v>76</v>
      </c>
      <c r="CD438" s="463">
        <v>77</v>
      </c>
      <c r="CE438" s="463">
        <v>78</v>
      </c>
      <c r="CF438" s="463">
        <v>79</v>
      </c>
      <c r="CG438" s="463">
        <v>80</v>
      </c>
      <c r="CH438" s="463">
        <v>81</v>
      </c>
      <c r="CI438" s="463">
        <v>82</v>
      </c>
      <c r="CJ438" s="463">
        <v>83</v>
      </c>
      <c r="CK438" s="463">
        <v>84</v>
      </c>
      <c r="CL438" s="463">
        <v>85</v>
      </c>
      <c r="CM438" s="463">
        <v>86</v>
      </c>
      <c r="CN438" s="463">
        <v>87</v>
      </c>
      <c r="CO438" s="463">
        <v>88</v>
      </c>
      <c r="CP438" s="463">
        <v>89</v>
      </c>
      <c r="CQ438" s="463">
        <v>90</v>
      </c>
    </row>
    <row r="439" spans="4:99" x14ac:dyDescent="0.2">
      <c r="E439" s="463" t="s">
        <v>230</v>
      </c>
      <c r="F439" s="463">
        <v>50</v>
      </c>
      <c r="G439" s="463">
        <v>68</v>
      </c>
      <c r="H439" s="463">
        <v>22</v>
      </c>
      <c r="I439" s="463">
        <v>38</v>
      </c>
      <c r="J439" s="463">
        <v>12</v>
      </c>
      <c r="K439" s="463">
        <v>79</v>
      </c>
      <c r="L439" s="463">
        <v>70</v>
      </c>
      <c r="M439" s="463">
        <v>52</v>
      </c>
      <c r="N439" s="463">
        <v>6</v>
      </c>
      <c r="O439" s="463">
        <v>41</v>
      </c>
      <c r="P439" s="463">
        <v>19</v>
      </c>
      <c r="Q439" s="463">
        <v>4</v>
      </c>
      <c r="R439" s="463">
        <v>82</v>
      </c>
      <c r="S439" s="463">
        <v>87</v>
      </c>
      <c r="T439" s="463">
        <v>26</v>
      </c>
      <c r="U439" s="463">
        <v>90</v>
      </c>
      <c r="V439" s="463">
        <v>44</v>
      </c>
      <c r="W439" s="463">
        <v>64</v>
      </c>
      <c r="X439" s="463">
        <v>11</v>
      </c>
      <c r="Y439" s="463">
        <v>23</v>
      </c>
      <c r="Z439" s="463">
        <v>5</v>
      </c>
      <c r="AA439" s="463">
        <v>18</v>
      </c>
      <c r="AB439" s="463">
        <v>72</v>
      </c>
      <c r="AC439" s="463">
        <v>86</v>
      </c>
      <c r="AD439" s="463">
        <v>42</v>
      </c>
      <c r="AE439" s="463">
        <v>9</v>
      </c>
      <c r="AF439" s="463">
        <v>29</v>
      </c>
      <c r="AG439" s="463">
        <v>39</v>
      </c>
      <c r="AH439" s="463">
        <v>51</v>
      </c>
      <c r="AI439" s="463">
        <v>56</v>
      </c>
      <c r="AJ439" s="463">
        <v>55</v>
      </c>
      <c r="AK439" s="463">
        <v>24</v>
      </c>
      <c r="AL439" s="463">
        <v>69</v>
      </c>
      <c r="AM439" s="463">
        <v>71</v>
      </c>
      <c r="AN439" s="463">
        <v>32</v>
      </c>
      <c r="AO439" s="463">
        <v>60</v>
      </c>
      <c r="AP439" s="463">
        <v>73</v>
      </c>
      <c r="AQ439" s="463">
        <v>84</v>
      </c>
      <c r="AR439" s="463">
        <v>61</v>
      </c>
      <c r="AS439" s="463">
        <v>13</v>
      </c>
      <c r="AT439" s="463">
        <v>34</v>
      </c>
      <c r="AU439" s="463">
        <v>25</v>
      </c>
      <c r="AV439" s="463">
        <v>74</v>
      </c>
      <c r="AW439" s="463">
        <v>76</v>
      </c>
      <c r="AX439" s="463">
        <v>66</v>
      </c>
      <c r="AY439" s="463">
        <v>45</v>
      </c>
      <c r="AZ439" s="463">
        <v>63</v>
      </c>
      <c r="BA439" s="463">
        <v>77</v>
      </c>
      <c r="BB439" s="463">
        <v>36</v>
      </c>
      <c r="BC439" s="463">
        <v>33</v>
      </c>
      <c r="BD439" s="463">
        <v>20</v>
      </c>
      <c r="BE439" s="463">
        <v>8</v>
      </c>
      <c r="BF439" s="463">
        <v>57</v>
      </c>
      <c r="BG439" s="463">
        <v>1</v>
      </c>
      <c r="BH439" s="463">
        <v>47</v>
      </c>
      <c r="BI439" s="463">
        <v>14</v>
      </c>
      <c r="BJ439" s="463">
        <v>53</v>
      </c>
      <c r="BK439" s="463">
        <v>30</v>
      </c>
      <c r="BL439" s="463">
        <v>81</v>
      </c>
      <c r="BM439" s="463">
        <v>78</v>
      </c>
      <c r="BN439" s="463">
        <v>85</v>
      </c>
      <c r="BO439" s="463">
        <v>10</v>
      </c>
      <c r="BP439" s="463">
        <v>89</v>
      </c>
      <c r="BQ439" s="463">
        <v>48</v>
      </c>
      <c r="BR439" s="463">
        <v>27</v>
      </c>
      <c r="BS439" s="463">
        <v>54</v>
      </c>
      <c r="BT439" s="463">
        <v>80</v>
      </c>
      <c r="BU439" s="463">
        <v>62</v>
      </c>
      <c r="BV439" s="463">
        <v>28</v>
      </c>
      <c r="BW439" s="463">
        <v>88</v>
      </c>
      <c r="BX439" s="463">
        <v>49</v>
      </c>
      <c r="BY439" s="463">
        <v>3</v>
      </c>
      <c r="BZ439" s="463">
        <v>7</v>
      </c>
      <c r="CA439" s="463">
        <v>83</v>
      </c>
      <c r="CB439" s="463">
        <v>16</v>
      </c>
      <c r="CC439" s="463">
        <v>59</v>
      </c>
      <c r="CD439" s="463">
        <v>75</v>
      </c>
      <c r="CE439" s="463">
        <v>37</v>
      </c>
      <c r="CF439" s="463">
        <v>31</v>
      </c>
      <c r="CG439" s="463">
        <v>67</v>
      </c>
      <c r="CH439" s="463">
        <v>40</v>
      </c>
      <c r="CI439" s="463">
        <v>65</v>
      </c>
      <c r="CJ439" s="463">
        <v>2</v>
      </c>
      <c r="CK439" s="463">
        <v>58</v>
      </c>
      <c r="CL439" s="463">
        <v>46</v>
      </c>
      <c r="CM439" s="463">
        <v>35</v>
      </c>
      <c r="CN439" s="463">
        <v>15</v>
      </c>
      <c r="CO439" s="463">
        <v>17</v>
      </c>
      <c r="CP439" s="463">
        <v>21</v>
      </c>
      <c r="CQ439" s="463">
        <v>43</v>
      </c>
    </row>
    <row r="442" spans="4:99" x14ac:dyDescent="0.2">
      <c r="D442" s="307">
        <v>91</v>
      </c>
      <c r="E442" s="307" t="s">
        <v>248</v>
      </c>
    </row>
    <row r="443" spans="4:99" x14ac:dyDescent="0.2">
      <c r="E443" s="463" t="s">
        <v>196</v>
      </c>
      <c r="F443" s="463">
        <v>1</v>
      </c>
      <c r="G443" s="463">
        <v>2</v>
      </c>
      <c r="H443" s="463">
        <v>3</v>
      </c>
      <c r="I443" s="463">
        <v>4</v>
      </c>
      <c r="J443" s="463">
        <v>5</v>
      </c>
      <c r="K443" s="463">
        <v>6</v>
      </c>
      <c r="L443" s="463">
        <v>7</v>
      </c>
      <c r="M443" s="463">
        <v>8</v>
      </c>
      <c r="N443" s="463">
        <v>9</v>
      </c>
      <c r="O443" s="463">
        <v>10</v>
      </c>
      <c r="P443" s="463">
        <v>11</v>
      </c>
      <c r="Q443" s="463">
        <v>12</v>
      </c>
      <c r="R443" s="463">
        <v>13</v>
      </c>
      <c r="S443" s="463">
        <v>14</v>
      </c>
      <c r="T443" s="463">
        <v>15</v>
      </c>
      <c r="U443" s="463">
        <v>16</v>
      </c>
      <c r="V443" s="463">
        <v>17</v>
      </c>
      <c r="W443" s="463">
        <v>18</v>
      </c>
      <c r="X443" s="463">
        <v>19</v>
      </c>
      <c r="Y443" s="463">
        <v>20</v>
      </c>
      <c r="Z443" s="463">
        <v>21</v>
      </c>
      <c r="AA443" s="463">
        <v>22</v>
      </c>
      <c r="AB443" s="463">
        <v>23</v>
      </c>
      <c r="AC443" s="463">
        <v>24</v>
      </c>
      <c r="AD443" s="463">
        <v>25</v>
      </c>
      <c r="AE443" s="463">
        <v>26</v>
      </c>
      <c r="AF443" s="463">
        <v>27</v>
      </c>
      <c r="AG443" s="463">
        <v>28</v>
      </c>
      <c r="AH443" s="463">
        <v>29</v>
      </c>
      <c r="AI443" s="463">
        <v>30</v>
      </c>
      <c r="AJ443" s="463">
        <v>31</v>
      </c>
      <c r="AK443" s="463">
        <v>32</v>
      </c>
      <c r="AL443" s="463">
        <v>33</v>
      </c>
      <c r="AM443" s="463">
        <v>34</v>
      </c>
      <c r="AN443" s="463">
        <v>35</v>
      </c>
      <c r="AO443" s="463">
        <v>36</v>
      </c>
      <c r="AP443" s="463">
        <v>37</v>
      </c>
      <c r="AQ443" s="463">
        <v>38</v>
      </c>
      <c r="AR443" s="463">
        <v>39</v>
      </c>
      <c r="AS443" s="463">
        <v>40</v>
      </c>
      <c r="AT443" s="463">
        <v>41</v>
      </c>
      <c r="AU443" s="463">
        <v>42</v>
      </c>
      <c r="AV443" s="463">
        <v>43</v>
      </c>
      <c r="AW443" s="463">
        <v>44</v>
      </c>
      <c r="AX443" s="463">
        <v>45</v>
      </c>
      <c r="AY443" s="463">
        <v>46</v>
      </c>
      <c r="AZ443" s="463">
        <v>47</v>
      </c>
      <c r="BA443" s="463">
        <v>48</v>
      </c>
      <c r="BB443" s="463">
        <v>49</v>
      </c>
      <c r="BC443" s="463">
        <v>50</v>
      </c>
      <c r="BD443" s="463">
        <v>51</v>
      </c>
      <c r="BE443" s="463">
        <v>52</v>
      </c>
      <c r="BF443" s="463">
        <v>53</v>
      </c>
      <c r="BG443" s="463">
        <v>54</v>
      </c>
      <c r="BH443" s="463">
        <v>55</v>
      </c>
      <c r="BI443" s="463">
        <v>56</v>
      </c>
      <c r="BJ443" s="463">
        <v>57</v>
      </c>
      <c r="BK443" s="463">
        <v>58</v>
      </c>
      <c r="BL443" s="463">
        <v>59</v>
      </c>
      <c r="BM443" s="463">
        <v>60</v>
      </c>
      <c r="BN443" s="463">
        <v>61</v>
      </c>
      <c r="BO443" s="463">
        <v>62</v>
      </c>
      <c r="BP443" s="463">
        <v>63</v>
      </c>
      <c r="BQ443" s="463">
        <v>64</v>
      </c>
      <c r="BR443" s="463">
        <v>65</v>
      </c>
      <c r="BS443" s="463">
        <v>66</v>
      </c>
      <c r="BT443" s="463">
        <v>67</v>
      </c>
      <c r="BU443" s="463">
        <v>68</v>
      </c>
      <c r="BV443" s="463">
        <v>69</v>
      </c>
      <c r="BW443" s="463">
        <v>70</v>
      </c>
      <c r="BX443" s="463">
        <v>71</v>
      </c>
      <c r="BY443" s="463">
        <v>72</v>
      </c>
      <c r="BZ443" s="463">
        <v>73</v>
      </c>
      <c r="CA443" s="463">
        <v>74</v>
      </c>
      <c r="CB443" s="463">
        <v>75</v>
      </c>
      <c r="CC443" s="463">
        <v>76</v>
      </c>
      <c r="CD443" s="463">
        <v>77</v>
      </c>
      <c r="CE443" s="463">
        <v>78</v>
      </c>
      <c r="CF443" s="463">
        <v>79</v>
      </c>
      <c r="CH443" s="463">
        <v>80</v>
      </c>
      <c r="CI443" s="463">
        <v>81</v>
      </c>
      <c r="CJ443" s="463">
        <v>82</v>
      </c>
      <c r="CK443" s="463">
        <v>83</v>
      </c>
      <c r="CM443" s="463">
        <v>84</v>
      </c>
      <c r="CN443" s="463">
        <v>85</v>
      </c>
      <c r="CO443" s="463">
        <v>86</v>
      </c>
      <c r="CP443" s="463">
        <v>87</v>
      </c>
      <c r="CR443" s="463">
        <v>88</v>
      </c>
      <c r="CS443" s="463">
        <v>89</v>
      </c>
      <c r="CT443" s="463">
        <v>90</v>
      </c>
      <c r="CU443" s="463">
        <v>91</v>
      </c>
    </row>
    <row r="444" spans="4:99" x14ac:dyDescent="0.2">
      <c r="E444" s="463" t="s">
        <v>230</v>
      </c>
      <c r="F444" s="463">
        <v>59</v>
      </c>
      <c r="G444" s="463">
        <v>3</v>
      </c>
      <c r="H444" s="463">
        <v>42</v>
      </c>
      <c r="I444" s="463">
        <v>27</v>
      </c>
      <c r="J444" s="463">
        <v>80</v>
      </c>
      <c r="K444" s="463">
        <v>75</v>
      </c>
      <c r="L444" s="463">
        <v>83</v>
      </c>
      <c r="M444" s="463">
        <v>47</v>
      </c>
      <c r="N444" s="463">
        <v>41</v>
      </c>
      <c r="O444" s="463">
        <v>6</v>
      </c>
      <c r="P444" s="463">
        <v>74</v>
      </c>
      <c r="Q444" s="463">
        <v>82</v>
      </c>
      <c r="R444" s="463">
        <v>67</v>
      </c>
      <c r="S444" s="463">
        <v>63</v>
      </c>
      <c r="T444" s="463">
        <v>84</v>
      </c>
      <c r="U444" s="463">
        <v>44</v>
      </c>
      <c r="V444" s="463">
        <v>9</v>
      </c>
      <c r="W444" s="463">
        <v>40</v>
      </c>
      <c r="X444" s="463">
        <v>17</v>
      </c>
      <c r="Y444" s="463">
        <v>76</v>
      </c>
      <c r="Z444" s="463">
        <v>79</v>
      </c>
      <c r="AA444" s="463">
        <v>91</v>
      </c>
      <c r="AB444" s="463">
        <v>7</v>
      </c>
      <c r="AC444" s="463">
        <v>21</v>
      </c>
      <c r="AD444" s="463">
        <v>66</v>
      </c>
      <c r="AE444" s="463">
        <v>20</v>
      </c>
      <c r="AF444" s="463">
        <v>4</v>
      </c>
      <c r="AG444" s="463">
        <v>49</v>
      </c>
      <c r="AH444" s="463">
        <v>88</v>
      </c>
      <c r="AI444" s="463">
        <v>31</v>
      </c>
      <c r="AJ444" s="463">
        <v>34</v>
      </c>
      <c r="AK444" s="463">
        <v>39</v>
      </c>
      <c r="AL444" s="463">
        <v>81</v>
      </c>
      <c r="AM444" s="463">
        <v>56</v>
      </c>
      <c r="AN444" s="463">
        <v>11</v>
      </c>
      <c r="AO444" s="463">
        <v>50</v>
      </c>
      <c r="AP444" s="463">
        <v>69</v>
      </c>
      <c r="AQ444" s="463">
        <v>85</v>
      </c>
      <c r="AR444" s="463">
        <v>72</v>
      </c>
      <c r="AS444" s="463">
        <v>53</v>
      </c>
      <c r="AT444" s="463">
        <v>45</v>
      </c>
      <c r="AU444" s="463">
        <v>86</v>
      </c>
      <c r="AV444" s="463">
        <v>54</v>
      </c>
      <c r="AW444" s="463">
        <v>26</v>
      </c>
      <c r="AX444" s="463">
        <v>46</v>
      </c>
      <c r="AY444" s="463">
        <v>5</v>
      </c>
      <c r="AZ444" s="463">
        <v>60</v>
      </c>
      <c r="BA444" s="463">
        <v>19</v>
      </c>
      <c r="BB444" s="463">
        <v>77</v>
      </c>
      <c r="BC444" s="463">
        <v>51</v>
      </c>
      <c r="BD444" s="463">
        <v>14</v>
      </c>
      <c r="BE444" s="463">
        <v>70</v>
      </c>
      <c r="BF444" s="463">
        <v>25</v>
      </c>
      <c r="BG444" s="463">
        <v>43</v>
      </c>
      <c r="BH444" s="463">
        <v>36</v>
      </c>
      <c r="BI444" s="463">
        <v>87</v>
      </c>
      <c r="BJ444" s="463">
        <v>18</v>
      </c>
      <c r="BK444" s="463">
        <v>35</v>
      </c>
      <c r="BL444" s="463">
        <v>1</v>
      </c>
      <c r="BM444" s="463">
        <v>13</v>
      </c>
      <c r="BN444" s="463">
        <v>15</v>
      </c>
      <c r="BO444" s="463">
        <v>38</v>
      </c>
      <c r="BP444" s="463">
        <v>2</v>
      </c>
      <c r="BQ444" s="463">
        <v>61</v>
      </c>
      <c r="BR444" s="463">
        <v>90</v>
      </c>
      <c r="BS444" s="463">
        <v>24</v>
      </c>
      <c r="BT444" s="463">
        <v>28</v>
      </c>
      <c r="BU444" s="463">
        <v>52</v>
      </c>
      <c r="BV444" s="463">
        <v>37</v>
      </c>
      <c r="BW444" s="463">
        <v>78</v>
      </c>
      <c r="BX444" s="463">
        <v>30</v>
      </c>
      <c r="BY444" s="463">
        <v>73</v>
      </c>
      <c r="BZ444" s="463">
        <v>12</v>
      </c>
      <c r="CA444" s="463">
        <v>33</v>
      </c>
      <c r="CB444" s="463">
        <v>89</v>
      </c>
      <c r="CC444" s="463">
        <v>64</v>
      </c>
      <c r="CD444" s="463">
        <v>48</v>
      </c>
      <c r="CE444" s="463">
        <v>32</v>
      </c>
      <c r="CF444" s="463">
        <v>57</v>
      </c>
      <c r="CH444" s="463">
        <v>10</v>
      </c>
      <c r="CI444" s="463">
        <v>68</v>
      </c>
      <c r="CJ444" s="463">
        <v>22</v>
      </c>
      <c r="CK444" s="463">
        <v>58</v>
      </c>
      <c r="CM444" s="463">
        <v>65</v>
      </c>
      <c r="CN444" s="463">
        <v>8</v>
      </c>
      <c r="CO444" s="463">
        <v>55</v>
      </c>
      <c r="CP444" s="463">
        <v>71</v>
      </c>
      <c r="CR444" s="463">
        <v>29</v>
      </c>
      <c r="CS444" s="463">
        <v>23</v>
      </c>
      <c r="CT444" s="463">
        <v>62</v>
      </c>
      <c r="CU444" s="463">
        <v>16</v>
      </c>
    </row>
    <row r="447" spans="4:99" x14ac:dyDescent="0.2">
      <c r="D447" s="307">
        <v>92</v>
      </c>
      <c r="E447" s="307" t="s">
        <v>248</v>
      </c>
    </row>
    <row r="448" spans="4:99" x14ac:dyDescent="0.2">
      <c r="E448" s="463" t="s">
        <v>196</v>
      </c>
      <c r="F448" s="463">
        <v>1</v>
      </c>
      <c r="G448" s="463">
        <v>2</v>
      </c>
      <c r="H448" s="463">
        <v>3</v>
      </c>
      <c r="I448" s="463">
        <v>4</v>
      </c>
      <c r="J448" s="463">
        <v>5</v>
      </c>
      <c r="K448" s="463">
        <v>6</v>
      </c>
      <c r="L448" s="463">
        <v>7</v>
      </c>
      <c r="M448" s="463">
        <v>8</v>
      </c>
      <c r="N448" s="463">
        <v>9</v>
      </c>
      <c r="O448" s="463">
        <v>10</v>
      </c>
      <c r="P448" s="463">
        <v>11</v>
      </c>
      <c r="Q448" s="463">
        <v>12</v>
      </c>
      <c r="R448" s="463">
        <v>13</v>
      </c>
      <c r="S448" s="463">
        <v>14</v>
      </c>
      <c r="T448" s="463">
        <v>15</v>
      </c>
      <c r="U448" s="463">
        <v>16</v>
      </c>
      <c r="V448" s="463">
        <v>17</v>
      </c>
      <c r="W448" s="463">
        <v>18</v>
      </c>
      <c r="X448" s="463">
        <v>19</v>
      </c>
      <c r="Y448" s="463">
        <v>20</v>
      </c>
      <c r="Z448" s="463">
        <v>21</v>
      </c>
      <c r="AA448" s="463">
        <v>22</v>
      </c>
      <c r="AB448" s="463">
        <v>23</v>
      </c>
      <c r="AC448" s="463">
        <v>24</v>
      </c>
      <c r="AD448" s="463">
        <v>25</v>
      </c>
      <c r="AE448" s="463">
        <v>26</v>
      </c>
      <c r="AF448" s="463">
        <v>27</v>
      </c>
      <c r="AG448" s="463">
        <v>28</v>
      </c>
      <c r="AH448" s="463">
        <v>29</v>
      </c>
      <c r="AI448" s="463">
        <v>30</v>
      </c>
      <c r="AJ448" s="463">
        <v>31</v>
      </c>
      <c r="AK448" s="463">
        <v>32</v>
      </c>
      <c r="AL448" s="463">
        <v>33</v>
      </c>
      <c r="AM448" s="463">
        <v>34</v>
      </c>
      <c r="AN448" s="463">
        <v>35</v>
      </c>
      <c r="AO448" s="463">
        <v>36</v>
      </c>
      <c r="AP448" s="463">
        <v>37</v>
      </c>
      <c r="AQ448" s="463">
        <v>38</v>
      </c>
      <c r="AR448" s="463">
        <v>39</v>
      </c>
      <c r="AS448" s="463">
        <v>40</v>
      </c>
      <c r="AT448" s="463">
        <v>41</v>
      </c>
      <c r="AU448" s="463">
        <v>42</v>
      </c>
      <c r="AV448" s="463">
        <v>43</v>
      </c>
      <c r="AW448" s="463">
        <v>44</v>
      </c>
      <c r="AX448" s="463">
        <v>45</v>
      </c>
      <c r="AY448" s="463">
        <v>46</v>
      </c>
      <c r="AZ448" s="463">
        <v>47</v>
      </c>
      <c r="BA448" s="463">
        <v>48</v>
      </c>
      <c r="BB448" s="463">
        <v>49</v>
      </c>
      <c r="BC448" s="463">
        <v>50</v>
      </c>
      <c r="BD448" s="463">
        <v>51</v>
      </c>
      <c r="BE448" s="463">
        <v>52</v>
      </c>
      <c r="BF448" s="463">
        <v>53</v>
      </c>
      <c r="BG448" s="463">
        <v>54</v>
      </c>
      <c r="BH448" s="463">
        <v>55</v>
      </c>
      <c r="BI448" s="463">
        <v>56</v>
      </c>
      <c r="BJ448" s="463">
        <v>57</v>
      </c>
      <c r="BK448" s="463">
        <v>58</v>
      </c>
      <c r="BL448" s="463">
        <v>59</v>
      </c>
      <c r="BM448" s="463">
        <v>60</v>
      </c>
      <c r="BN448" s="463">
        <v>61</v>
      </c>
      <c r="BO448" s="463">
        <v>62</v>
      </c>
      <c r="BP448" s="463">
        <v>63</v>
      </c>
      <c r="BQ448" s="463">
        <v>64</v>
      </c>
      <c r="BR448" s="463">
        <v>65</v>
      </c>
      <c r="BS448" s="463">
        <v>66</v>
      </c>
      <c r="BT448" s="463">
        <v>67</v>
      </c>
      <c r="BU448" s="463">
        <v>68</v>
      </c>
      <c r="BV448" s="463">
        <v>69</v>
      </c>
      <c r="BW448" s="463">
        <v>70</v>
      </c>
      <c r="BX448" s="463">
        <v>71</v>
      </c>
      <c r="BY448" s="463">
        <v>72</v>
      </c>
      <c r="BZ448" s="463">
        <v>73</v>
      </c>
      <c r="CA448" s="463">
        <v>74</v>
      </c>
      <c r="CB448" s="463">
        <v>75</v>
      </c>
      <c r="CC448" s="463">
        <v>76</v>
      </c>
      <c r="CD448" s="463">
        <v>77</v>
      </c>
      <c r="CE448" s="463">
        <v>78</v>
      </c>
      <c r="CF448" s="463">
        <v>79</v>
      </c>
      <c r="CG448" s="463">
        <v>80</v>
      </c>
      <c r="CH448" s="463">
        <v>81</v>
      </c>
      <c r="CI448" s="463">
        <v>82</v>
      </c>
      <c r="CJ448" s="463">
        <v>83</v>
      </c>
      <c r="CK448" s="463">
        <v>84</v>
      </c>
      <c r="CM448" s="463">
        <v>85</v>
      </c>
      <c r="CN448" s="463">
        <v>86</v>
      </c>
      <c r="CO448" s="463">
        <v>87</v>
      </c>
      <c r="CP448" s="463">
        <v>88</v>
      </c>
      <c r="CR448" s="463">
        <v>89</v>
      </c>
      <c r="CS448" s="463">
        <v>90</v>
      </c>
      <c r="CT448" s="463">
        <v>91</v>
      </c>
      <c r="CU448" s="463">
        <v>92</v>
      </c>
    </row>
    <row r="449" spans="4:100" x14ac:dyDescent="0.2">
      <c r="E449" s="463" t="s">
        <v>230</v>
      </c>
      <c r="F449" s="463">
        <v>75</v>
      </c>
      <c r="G449" s="463">
        <v>55</v>
      </c>
      <c r="H449" s="463">
        <v>67</v>
      </c>
      <c r="I449" s="463">
        <v>56</v>
      </c>
      <c r="J449" s="463">
        <v>23</v>
      </c>
      <c r="K449" s="463">
        <v>20</v>
      </c>
      <c r="L449" s="463">
        <v>8</v>
      </c>
      <c r="M449" s="463">
        <v>4</v>
      </c>
      <c r="N449" s="463">
        <v>85</v>
      </c>
      <c r="O449" s="463">
        <v>51</v>
      </c>
      <c r="P449" s="463">
        <v>60</v>
      </c>
      <c r="Q449" s="463">
        <v>84</v>
      </c>
      <c r="R449" s="463">
        <v>2</v>
      </c>
      <c r="S449" s="463">
        <v>37</v>
      </c>
      <c r="T449" s="463">
        <v>71</v>
      </c>
      <c r="U449" s="463">
        <v>64</v>
      </c>
      <c r="V449" s="463">
        <v>91</v>
      </c>
      <c r="W449" s="463">
        <v>70</v>
      </c>
      <c r="X449" s="463">
        <v>1</v>
      </c>
      <c r="Y449" s="463">
        <v>27</v>
      </c>
      <c r="Z449" s="463">
        <v>40</v>
      </c>
      <c r="AA449" s="463">
        <v>78</v>
      </c>
      <c r="AB449" s="463">
        <v>57</v>
      </c>
      <c r="AC449" s="463">
        <v>53</v>
      </c>
      <c r="AD449" s="463">
        <v>32</v>
      </c>
      <c r="AE449" s="463">
        <v>24</v>
      </c>
      <c r="AF449" s="463">
        <v>87</v>
      </c>
      <c r="AG449" s="463">
        <v>90</v>
      </c>
      <c r="AH449" s="463">
        <v>43</v>
      </c>
      <c r="AI449" s="463">
        <v>58</v>
      </c>
      <c r="AJ449" s="463">
        <v>19</v>
      </c>
      <c r="AK449" s="463">
        <v>48</v>
      </c>
      <c r="AL449" s="463">
        <v>34</v>
      </c>
      <c r="AM449" s="463">
        <v>26</v>
      </c>
      <c r="AN449" s="463">
        <v>6</v>
      </c>
      <c r="AO449" s="463">
        <v>79</v>
      </c>
      <c r="AP449" s="463">
        <v>28</v>
      </c>
      <c r="AQ449" s="463">
        <v>62</v>
      </c>
      <c r="AR449" s="463">
        <v>66</v>
      </c>
      <c r="AS449" s="463">
        <v>86</v>
      </c>
      <c r="AT449" s="463">
        <v>54</v>
      </c>
      <c r="AU449" s="463">
        <v>73</v>
      </c>
      <c r="AV449" s="463">
        <v>7</v>
      </c>
      <c r="AW449" s="463">
        <v>68</v>
      </c>
      <c r="AX449" s="463">
        <v>21</v>
      </c>
      <c r="AY449" s="463">
        <v>92</v>
      </c>
      <c r="AZ449" s="463">
        <v>38</v>
      </c>
      <c r="BA449" s="463">
        <v>52</v>
      </c>
      <c r="BB449" s="463">
        <v>61</v>
      </c>
      <c r="BC449" s="463">
        <v>72</v>
      </c>
      <c r="BD449" s="463">
        <v>25</v>
      </c>
      <c r="BE449" s="463">
        <v>13</v>
      </c>
      <c r="BF449" s="463">
        <v>30</v>
      </c>
      <c r="BG449" s="463">
        <v>89</v>
      </c>
      <c r="BH449" s="463">
        <v>41</v>
      </c>
      <c r="BI449" s="463">
        <v>5</v>
      </c>
      <c r="BJ449" s="463">
        <v>44</v>
      </c>
      <c r="BK449" s="463">
        <v>10</v>
      </c>
      <c r="BL449" s="463">
        <v>82</v>
      </c>
      <c r="BM449" s="463">
        <v>11</v>
      </c>
      <c r="BN449" s="463">
        <v>65</v>
      </c>
      <c r="BO449" s="463">
        <v>69</v>
      </c>
      <c r="BP449" s="463">
        <v>74</v>
      </c>
      <c r="BQ449" s="463">
        <v>36</v>
      </c>
      <c r="BR449" s="463">
        <v>16</v>
      </c>
      <c r="BS449" s="463">
        <v>14</v>
      </c>
      <c r="BT449" s="463">
        <v>45</v>
      </c>
      <c r="BU449" s="463">
        <v>22</v>
      </c>
      <c r="BV449" s="463">
        <v>83</v>
      </c>
      <c r="BW449" s="463">
        <v>18</v>
      </c>
      <c r="BX449" s="463">
        <v>15</v>
      </c>
      <c r="BY449" s="463">
        <v>3</v>
      </c>
      <c r="BZ449" s="463">
        <v>88</v>
      </c>
      <c r="CA449" s="463">
        <v>46</v>
      </c>
      <c r="CB449" s="463">
        <v>31</v>
      </c>
      <c r="CC449" s="463">
        <v>49</v>
      </c>
      <c r="CD449" s="463">
        <v>33</v>
      </c>
      <c r="CE449" s="463">
        <v>29</v>
      </c>
      <c r="CF449" s="463">
        <v>81</v>
      </c>
      <c r="CG449" s="463">
        <v>12</v>
      </c>
      <c r="CH449" s="463">
        <v>50</v>
      </c>
      <c r="CI449" s="463">
        <v>59</v>
      </c>
      <c r="CJ449" s="463">
        <v>35</v>
      </c>
      <c r="CK449" s="463">
        <v>76</v>
      </c>
      <c r="CM449" s="463">
        <v>9</v>
      </c>
      <c r="CN449" s="463">
        <v>63</v>
      </c>
      <c r="CO449" s="463">
        <v>77</v>
      </c>
      <c r="CP449" s="463">
        <v>47</v>
      </c>
      <c r="CR449" s="463">
        <v>39</v>
      </c>
      <c r="CS449" s="463">
        <v>80</v>
      </c>
      <c r="CT449" s="463">
        <v>17</v>
      </c>
      <c r="CU449" s="463">
        <v>42</v>
      </c>
    </row>
    <row r="452" spans="4:100" x14ac:dyDescent="0.2">
      <c r="D452" s="307">
        <v>93</v>
      </c>
      <c r="E452" s="307" t="s">
        <v>248</v>
      </c>
    </row>
    <row r="453" spans="4:100" x14ac:dyDescent="0.2">
      <c r="E453" s="463" t="s">
        <v>196</v>
      </c>
      <c r="F453" s="463">
        <v>1</v>
      </c>
      <c r="G453" s="463">
        <v>2</v>
      </c>
      <c r="H453" s="463">
        <v>3</v>
      </c>
      <c r="I453" s="463">
        <v>4</v>
      </c>
      <c r="J453" s="463">
        <v>5</v>
      </c>
      <c r="K453" s="463">
        <v>6</v>
      </c>
      <c r="L453" s="463">
        <v>7</v>
      </c>
      <c r="M453" s="463">
        <v>8</v>
      </c>
      <c r="N453" s="463">
        <v>9</v>
      </c>
      <c r="O453" s="463">
        <v>10</v>
      </c>
      <c r="P453" s="463">
        <v>11</v>
      </c>
      <c r="Q453" s="463">
        <v>12</v>
      </c>
      <c r="R453" s="463">
        <v>13</v>
      </c>
      <c r="S453" s="463">
        <v>14</v>
      </c>
      <c r="T453" s="463">
        <v>15</v>
      </c>
      <c r="U453" s="463">
        <v>16</v>
      </c>
      <c r="V453" s="463">
        <v>17</v>
      </c>
      <c r="W453" s="463">
        <v>18</v>
      </c>
      <c r="X453" s="463">
        <v>19</v>
      </c>
      <c r="Y453" s="463">
        <v>20</v>
      </c>
      <c r="Z453" s="463">
        <v>21</v>
      </c>
      <c r="AA453" s="463">
        <v>22</v>
      </c>
      <c r="AB453" s="463">
        <v>23</v>
      </c>
      <c r="AC453" s="463">
        <v>24</v>
      </c>
      <c r="AD453" s="463">
        <v>25</v>
      </c>
      <c r="AE453" s="463">
        <v>26</v>
      </c>
      <c r="AF453" s="463">
        <v>27</v>
      </c>
      <c r="AG453" s="463">
        <v>28</v>
      </c>
      <c r="AH453" s="463">
        <v>29</v>
      </c>
      <c r="AI453" s="463">
        <v>30</v>
      </c>
      <c r="AJ453" s="463">
        <v>31</v>
      </c>
      <c r="AK453" s="463">
        <v>32</v>
      </c>
      <c r="AL453" s="463">
        <v>33</v>
      </c>
      <c r="AM453" s="463">
        <v>34</v>
      </c>
      <c r="AN453" s="463">
        <v>35</v>
      </c>
      <c r="AO453" s="463">
        <v>36</v>
      </c>
      <c r="AP453" s="463">
        <v>37</v>
      </c>
      <c r="AQ453" s="463">
        <v>38</v>
      </c>
      <c r="AR453" s="463">
        <v>39</v>
      </c>
      <c r="AS453" s="463">
        <v>40</v>
      </c>
      <c r="AT453" s="463">
        <v>41</v>
      </c>
      <c r="AU453" s="463">
        <v>42</v>
      </c>
      <c r="AV453" s="463">
        <v>43</v>
      </c>
      <c r="AW453" s="463">
        <v>44</v>
      </c>
      <c r="AX453" s="463">
        <v>45</v>
      </c>
      <c r="AY453" s="463">
        <v>46</v>
      </c>
      <c r="AZ453" s="463">
        <v>47</v>
      </c>
      <c r="BA453" s="463">
        <v>48</v>
      </c>
      <c r="BB453" s="463">
        <v>49</v>
      </c>
      <c r="BC453" s="463">
        <v>50</v>
      </c>
      <c r="BD453" s="463">
        <v>51</v>
      </c>
      <c r="BE453" s="463">
        <v>52</v>
      </c>
      <c r="BF453" s="463">
        <v>53</v>
      </c>
      <c r="BG453" s="463">
        <v>54</v>
      </c>
      <c r="BH453" s="463">
        <v>55</v>
      </c>
      <c r="BI453" s="463">
        <v>56</v>
      </c>
      <c r="BJ453" s="463">
        <v>57</v>
      </c>
      <c r="BK453" s="463">
        <v>58</v>
      </c>
      <c r="BL453" s="463">
        <v>59</v>
      </c>
      <c r="BM453" s="463">
        <v>60</v>
      </c>
      <c r="BN453" s="463">
        <v>61</v>
      </c>
      <c r="BO453" s="463">
        <v>62</v>
      </c>
      <c r="BP453" s="463">
        <v>63</v>
      </c>
      <c r="BQ453" s="463">
        <v>64</v>
      </c>
      <c r="BR453" s="463">
        <v>65</v>
      </c>
      <c r="BS453" s="463">
        <v>66</v>
      </c>
      <c r="BT453" s="463">
        <v>67</v>
      </c>
      <c r="BU453" s="463">
        <v>68</v>
      </c>
      <c r="BV453" s="463">
        <v>69</v>
      </c>
      <c r="BW453" s="463">
        <v>70</v>
      </c>
      <c r="BX453" s="463">
        <v>71</v>
      </c>
      <c r="BY453" s="463">
        <v>72</v>
      </c>
      <c r="BZ453" s="463">
        <v>73</v>
      </c>
      <c r="CA453" s="463">
        <v>74</v>
      </c>
      <c r="CB453" s="463">
        <v>75</v>
      </c>
      <c r="CC453" s="463">
        <v>76</v>
      </c>
      <c r="CD453" s="463">
        <v>77</v>
      </c>
      <c r="CE453" s="463">
        <v>78</v>
      </c>
      <c r="CF453" s="463">
        <v>79</v>
      </c>
      <c r="CG453" s="463">
        <v>80</v>
      </c>
      <c r="CH453" s="463">
        <v>81</v>
      </c>
      <c r="CI453" s="463">
        <v>82</v>
      </c>
      <c r="CJ453" s="463">
        <v>83</v>
      </c>
      <c r="CK453" s="463">
        <v>84</v>
      </c>
      <c r="CL453" s="463">
        <v>85</v>
      </c>
      <c r="CM453" s="463">
        <v>86</v>
      </c>
      <c r="CN453" s="463">
        <v>87</v>
      </c>
      <c r="CO453" s="463">
        <v>88</v>
      </c>
      <c r="CP453" s="463">
        <v>89</v>
      </c>
      <c r="CR453" s="463">
        <v>90</v>
      </c>
      <c r="CS453" s="463">
        <v>91</v>
      </c>
      <c r="CT453" s="463">
        <v>92</v>
      </c>
      <c r="CU453" s="463">
        <v>93</v>
      </c>
    </row>
    <row r="454" spans="4:100" x14ac:dyDescent="0.2">
      <c r="E454" s="463" t="s">
        <v>230</v>
      </c>
      <c r="F454" s="463">
        <v>44</v>
      </c>
      <c r="G454" s="463">
        <v>63</v>
      </c>
      <c r="H454" s="463">
        <v>91</v>
      </c>
      <c r="I454" s="463">
        <v>77</v>
      </c>
      <c r="J454" s="463">
        <v>36</v>
      </c>
      <c r="K454" s="463">
        <v>15</v>
      </c>
      <c r="L454" s="463">
        <v>48</v>
      </c>
      <c r="M454" s="463">
        <v>39</v>
      </c>
      <c r="N454" s="463">
        <v>68</v>
      </c>
      <c r="O454" s="463">
        <v>21</v>
      </c>
      <c r="P454" s="463">
        <v>50</v>
      </c>
      <c r="Q454" s="463">
        <v>18</v>
      </c>
      <c r="R454" s="463">
        <v>62</v>
      </c>
      <c r="S454" s="463">
        <v>73</v>
      </c>
      <c r="T454" s="463">
        <v>42</v>
      </c>
      <c r="U454" s="463">
        <v>29</v>
      </c>
      <c r="V454" s="463">
        <v>65</v>
      </c>
      <c r="W454" s="463">
        <v>40</v>
      </c>
      <c r="X454" s="463">
        <v>52</v>
      </c>
      <c r="Y454" s="463">
        <v>71</v>
      </c>
      <c r="Z454" s="463">
        <v>89</v>
      </c>
      <c r="AA454" s="463">
        <v>38</v>
      </c>
      <c r="AB454" s="463">
        <v>67</v>
      </c>
      <c r="AC454" s="463">
        <v>56</v>
      </c>
      <c r="AD454" s="463">
        <v>76</v>
      </c>
      <c r="AE454" s="463">
        <v>70</v>
      </c>
      <c r="AF454" s="463">
        <v>23</v>
      </c>
      <c r="AG454" s="463">
        <v>12</v>
      </c>
      <c r="AH454" s="463">
        <v>16</v>
      </c>
      <c r="AI454" s="463">
        <v>46</v>
      </c>
      <c r="AJ454" s="463">
        <v>93</v>
      </c>
      <c r="AK454" s="463">
        <v>69</v>
      </c>
      <c r="AL454" s="463">
        <v>2</v>
      </c>
      <c r="AM454" s="463">
        <v>32</v>
      </c>
      <c r="AN454" s="463">
        <v>6</v>
      </c>
      <c r="AO454" s="463">
        <v>4</v>
      </c>
      <c r="AP454" s="463">
        <v>92</v>
      </c>
      <c r="AQ454" s="463">
        <v>82</v>
      </c>
      <c r="AR454" s="463">
        <v>41</v>
      </c>
      <c r="AS454" s="463">
        <v>88</v>
      </c>
      <c r="AT454" s="463">
        <v>60</v>
      </c>
      <c r="AU454" s="463">
        <v>8</v>
      </c>
      <c r="AV454" s="463">
        <v>45</v>
      </c>
      <c r="AW454" s="463">
        <v>86</v>
      </c>
      <c r="AX454" s="463">
        <v>61</v>
      </c>
      <c r="AY454" s="463">
        <v>80</v>
      </c>
      <c r="AZ454" s="463">
        <v>34</v>
      </c>
      <c r="BA454" s="463">
        <v>74</v>
      </c>
      <c r="BB454" s="463">
        <v>22</v>
      </c>
      <c r="BC454" s="463">
        <v>57</v>
      </c>
      <c r="BD454" s="463">
        <v>9</v>
      </c>
      <c r="BE454" s="463">
        <v>28</v>
      </c>
      <c r="BF454" s="463">
        <v>5</v>
      </c>
      <c r="BG454" s="463">
        <v>66</v>
      </c>
      <c r="BH454" s="463">
        <v>51</v>
      </c>
      <c r="BI454" s="463">
        <v>24</v>
      </c>
      <c r="BJ454" s="463">
        <v>13</v>
      </c>
      <c r="BK454" s="463">
        <v>75</v>
      </c>
      <c r="BL454" s="463">
        <v>53</v>
      </c>
      <c r="BM454" s="463">
        <v>90</v>
      </c>
      <c r="BN454" s="463">
        <v>19</v>
      </c>
      <c r="BO454" s="463">
        <v>59</v>
      </c>
      <c r="BP454" s="463">
        <v>10</v>
      </c>
      <c r="BQ454" s="463">
        <v>11</v>
      </c>
      <c r="BR454" s="463">
        <v>47</v>
      </c>
      <c r="BS454" s="463">
        <v>84</v>
      </c>
      <c r="BT454" s="463">
        <v>79</v>
      </c>
      <c r="BU454" s="463">
        <v>17</v>
      </c>
      <c r="BV454" s="463">
        <v>58</v>
      </c>
      <c r="BW454" s="463">
        <v>3</v>
      </c>
      <c r="BX454" s="463">
        <v>35</v>
      </c>
      <c r="BY454" s="463">
        <v>20</v>
      </c>
      <c r="BZ454" s="463">
        <v>14</v>
      </c>
      <c r="CA454" s="463">
        <v>37</v>
      </c>
      <c r="CB454" s="463">
        <v>83</v>
      </c>
      <c r="CC454" s="463">
        <v>25</v>
      </c>
      <c r="CD454" s="463">
        <v>49</v>
      </c>
      <c r="CE454" s="463">
        <v>72</v>
      </c>
      <c r="CF454" s="463">
        <v>31</v>
      </c>
      <c r="CG454" s="463">
        <v>26</v>
      </c>
      <c r="CH454" s="463">
        <v>54</v>
      </c>
      <c r="CI454" s="463">
        <v>64</v>
      </c>
      <c r="CJ454" s="463">
        <v>87</v>
      </c>
      <c r="CK454" s="463">
        <v>7</v>
      </c>
      <c r="CL454" s="463">
        <v>1</v>
      </c>
      <c r="CM454" s="463">
        <v>85</v>
      </c>
      <c r="CN454" s="463">
        <v>33</v>
      </c>
      <c r="CO454" s="463">
        <v>27</v>
      </c>
      <c r="CP454" s="463">
        <v>43</v>
      </c>
      <c r="CR454" s="463">
        <v>55</v>
      </c>
      <c r="CS454" s="463">
        <v>78</v>
      </c>
      <c r="CT454" s="463">
        <v>30</v>
      </c>
      <c r="CU454" s="463">
        <v>81</v>
      </c>
    </row>
    <row r="457" spans="4:100" x14ac:dyDescent="0.2">
      <c r="D457" s="307">
        <v>94</v>
      </c>
      <c r="E457" s="307" t="s">
        <v>248</v>
      </c>
    </row>
    <row r="458" spans="4:100" x14ac:dyDescent="0.2">
      <c r="E458" s="463" t="s">
        <v>196</v>
      </c>
      <c r="F458" s="463">
        <v>1</v>
      </c>
      <c r="G458" s="463">
        <v>2</v>
      </c>
      <c r="H458" s="463">
        <v>3</v>
      </c>
      <c r="I458" s="463">
        <v>4</v>
      </c>
      <c r="J458" s="463">
        <v>5</v>
      </c>
      <c r="K458" s="463">
        <v>6</v>
      </c>
      <c r="L458" s="463">
        <v>7</v>
      </c>
      <c r="M458" s="463">
        <v>8</v>
      </c>
      <c r="N458" s="463">
        <v>9</v>
      </c>
      <c r="O458" s="463">
        <v>10</v>
      </c>
      <c r="P458" s="463">
        <v>11</v>
      </c>
      <c r="Q458" s="463">
        <v>12</v>
      </c>
      <c r="R458" s="463">
        <v>13</v>
      </c>
      <c r="S458" s="463">
        <v>14</v>
      </c>
      <c r="T458" s="463">
        <v>15</v>
      </c>
      <c r="U458" s="463">
        <v>16</v>
      </c>
      <c r="V458" s="463">
        <v>17</v>
      </c>
      <c r="W458" s="463">
        <v>18</v>
      </c>
      <c r="X458" s="463">
        <v>19</v>
      </c>
      <c r="Y458" s="463">
        <v>20</v>
      </c>
      <c r="Z458" s="463">
        <v>21</v>
      </c>
      <c r="AA458" s="463">
        <v>22</v>
      </c>
      <c r="AB458" s="463">
        <v>23</v>
      </c>
      <c r="AC458" s="463">
        <v>24</v>
      </c>
      <c r="AD458" s="463">
        <v>25</v>
      </c>
      <c r="AE458" s="463">
        <v>26</v>
      </c>
      <c r="AF458" s="463">
        <v>27</v>
      </c>
      <c r="AG458" s="463">
        <v>28</v>
      </c>
      <c r="AH458" s="463">
        <v>29</v>
      </c>
      <c r="AI458" s="463">
        <v>30</v>
      </c>
      <c r="AJ458" s="463">
        <v>31</v>
      </c>
      <c r="AK458" s="463">
        <v>32</v>
      </c>
      <c r="AL458" s="463">
        <v>33</v>
      </c>
      <c r="AM458" s="463">
        <v>34</v>
      </c>
      <c r="AN458" s="463">
        <v>35</v>
      </c>
      <c r="AO458" s="463">
        <v>36</v>
      </c>
      <c r="AP458" s="463">
        <v>37</v>
      </c>
      <c r="AQ458" s="463">
        <v>38</v>
      </c>
      <c r="AR458" s="463">
        <v>39</v>
      </c>
      <c r="AS458" s="463">
        <v>40</v>
      </c>
      <c r="AT458" s="463">
        <v>41</v>
      </c>
      <c r="AU458" s="463">
        <v>42</v>
      </c>
      <c r="AV458" s="463">
        <v>43</v>
      </c>
      <c r="AW458" s="463">
        <v>44</v>
      </c>
      <c r="AX458" s="463">
        <v>45</v>
      </c>
      <c r="AY458" s="463">
        <v>46</v>
      </c>
      <c r="AZ458" s="463">
        <v>47</v>
      </c>
      <c r="BA458" s="463">
        <v>48</v>
      </c>
      <c r="BB458" s="463">
        <v>49</v>
      </c>
      <c r="BC458" s="463">
        <v>50</v>
      </c>
      <c r="BD458" s="463">
        <v>51</v>
      </c>
      <c r="BE458" s="463">
        <v>52</v>
      </c>
      <c r="BF458" s="463">
        <v>53</v>
      </c>
      <c r="BG458" s="463">
        <v>54</v>
      </c>
      <c r="BH458" s="463">
        <v>55</v>
      </c>
      <c r="BI458" s="463">
        <v>56</v>
      </c>
      <c r="BJ458" s="463">
        <v>57</v>
      </c>
      <c r="BK458" s="463">
        <v>58</v>
      </c>
      <c r="BL458" s="463">
        <v>59</v>
      </c>
      <c r="BM458" s="463">
        <v>60</v>
      </c>
      <c r="BN458" s="463">
        <v>61</v>
      </c>
      <c r="BO458" s="463">
        <v>62</v>
      </c>
      <c r="BP458" s="463">
        <v>63</v>
      </c>
      <c r="BQ458" s="463">
        <v>64</v>
      </c>
      <c r="BR458" s="463">
        <v>65</v>
      </c>
      <c r="BS458" s="463">
        <v>66</v>
      </c>
      <c r="BT458" s="463">
        <v>67</v>
      </c>
      <c r="BU458" s="463">
        <v>68</v>
      </c>
      <c r="BV458" s="463">
        <v>69</v>
      </c>
      <c r="BW458" s="463">
        <v>70</v>
      </c>
      <c r="BX458" s="463">
        <v>71</v>
      </c>
      <c r="BY458" s="463">
        <v>72</v>
      </c>
      <c r="BZ458" s="463">
        <v>73</v>
      </c>
      <c r="CA458" s="463">
        <v>74</v>
      </c>
      <c r="CB458" s="463">
        <v>75</v>
      </c>
      <c r="CC458" s="463">
        <v>76</v>
      </c>
      <c r="CD458" s="463">
        <v>77</v>
      </c>
      <c r="CE458" s="463">
        <v>78</v>
      </c>
      <c r="CF458" s="463">
        <v>79</v>
      </c>
      <c r="CG458" s="463">
        <v>80</v>
      </c>
      <c r="CH458" s="463">
        <v>81</v>
      </c>
      <c r="CI458" s="463">
        <v>82</v>
      </c>
      <c r="CJ458" s="463">
        <v>83</v>
      </c>
      <c r="CK458" s="463">
        <v>84</v>
      </c>
      <c r="CL458" s="463">
        <v>85</v>
      </c>
      <c r="CM458" s="463">
        <v>86</v>
      </c>
      <c r="CN458" s="463">
        <v>87</v>
      </c>
      <c r="CO458" s="463">
        <v>88</v>
      </c>
      <c r="CP458" s="463">
        <v>89</v>
      </c>
      <c r="CQ458" s="463">
        <v>90</v>
      </c>
      <c r="CR458" s="463">
        <v>91</v>
      </c>
      <c r="CS458" s="463">
        <v>92</v>
      </c>
      <c r="CT458" s="463">
        <v>93</v>
      </c>
      <c r="CU458" s="463">
        <v>94</v>
      </c>
    </row>
    <row r="459" spans="4:100" x14ac:dyDescent="0.2">
      <c r="E459" s="463" t="s">
        <v>230</v>
      </c>
      <c r="F459" s="463">
        <v>75</v>
      </c>
      <c r="G459" s="463">
        <v>33</v>
      </c>
      <c r="H459" s="463">
        <v>5</v>
      </c>
      <c r="I459" s="463">
        <v>23</v>
      </c>
      <c r="J459" s="463">
        <v>92</v>
      </c>
      <c r="K459" s="463">
        <v>84</v>
      </c>
      <c r="L459" s="463">
        <v>28</v>
      </c>
      <c r="M459" s="463">
        <v>57</v>
      </c>
      <c r="N459" s="463">
        <v>88</v>
      </c>
      <c r="O459" s="463">
        <v>31</v>
      </c>
      <c r="P459" s="463">
        <v>10</v>
      </c>
      <c r="Q459" s="463">
        <v>90</v>
      </c>
      <c r="R459" s="463">
        <v>27</v>
      </c>
      <c r="S459" s="463">
        <v>63</v>
      </c>
      <c r="T459" s="463">
        <v>16</v>
      </c>
      <c r="U459" s="463">
        <v>20</v>
      </c>
      <c r="V459" s="463">
        <v>53</v>
      </c>
      <c r="W459" s="463">
        <v>65</v>
      </c>
      <c r="X459" s="463">
        <v>83</v>
      </c>
      <c r="Y459" s="463">
        <v>21</v>
      </c>
      <c r="Z459" s="463">
        <v>64</v>
      </c>
      <c r="AA459" s="463">
        <v>78</v>
      </c>
      <c r="AB459" s="463">
        <v>67</v>
      </c>
      <c r="AC459" s="463">
        <v>11</v>
      </c>
      <c r="AD459" s="463">
        <v>8</v>
      </c>
      <c r="AE459" s="463">
        <v>94</v>
      </c>
      <c r="AF459" s="463">
        <v>58</v>
      </c>
      <c r="AG459" s="463">
        <v>2</v>
      </c>
      <c r="AH459" s="463">
        <v>6</v>
      </c>
      <c r="AI459" s="463">
        <v>71</v>
      </c>
      <c r="AJ459" s="463">
        <v>49</v>
      </c>
      <c r="AK459" s="463">
        <v>55</v>
      </c>
      <c r="AL459" s="463">
        <v>45</v>
      </c>
      <c r="AM459" s="463">
        <v>81</v>
      </c>
      <c r="AN459" s="463">
        <v>37</v>
      </c>
      <c r="AO459" s="463">
        <v>14</v>
      </c>
      <c r="AP459" s="463">
        <v>89</v>
      </c>
      <c r="AQ459" s="463">
        <v>54</v>
      </c>
      <c r="AR459" s="463">
        <v>56</v>
      </c>
      <c r="AS459" s="463">
        <v>41</v>
      </c>
      <c r="AT459" s="463">
        <v>74</v>
      </c>
      <c r="AU459" s="463">
        <v>19</v>
      </c>
      <c r="AV459" s="463">
        <v>30</v>
      </c>
      <c r="AW459" s="463">
        <v>91</v>
      </c>
      <c r="AX459" s="463">
        <v>66</v>
      </c>
      <c r="AY459" s="463">
        <v>44</v>
      </c>
      <c r="AZ459" s="463">
        <v>60</v>
      </c>
      <c r="BA459" s="463">
        <v>50</v>
      </c>
      <c r="BB459" s="463">
        <v>68</v>
      </c>
      <c r="BC459" s="463">
        <v>76</v>
      </c>
      <c r="BD459" s="463">
        <v>80</v>
      </c>
      <c r="BE459" s="463">
        <v>43</v>
      </c>
      <c r="BF459" s="463">
        <v>72</v>
      </c>
      <c r="BG459" s="463">
        <v>12</v>
      </c>
      <c r="BH459" s="463">
        <v>51</v>
      </c>
      <c r="BI459" s="463">
        <v>70</v>
      </c>
      <c r="BJ459" s="463">
        <v>93</v>
      </c>
      <c r="BK459" s="463">
        <v>77</v>
      </c>
      <c r="BL459" s="463">
        <v>87</v>
      </c>
      <c r="BM459" s="463">
        <v>47</v>
      </c>
      <c r="BN459" s="463">
        <v>35</v>
      </c>
      <c r="BO459" s="463">
        <v>39</v>
      </c>
      <c r="BP459" s="463">
        <v>42</v>
      </c>
      <c r="BQ459" s="463">
        <v>22</v>
      </c>
      <c r="BR459" s="463">
        <v>18</v>
      </c>
      <c r="BS459" s="463">
        <v>40</v>
      </c>
      <c r="BT459" s="463">
        <v>25</v>
      </c>
      <c r="BU459" s="463">
        <v>85</v>
      </c>
      <c r="BV459" s="463">
        <v>46</v>
      </c>
      <c r="BW459" s="463">
        <v>62</v>
      </c>
      <c r="BX459" s="463">
        <v>69</v>
      </c>
      <c r="BY459" s="463">
        <v>48</v>
      </c>
      <c r="BZ459" s="463">
        <v>24</v>
      </c>
      <c r="CA459" s="463">
        <v>61</v>
      </c>
      <c r="CB459" s="463">
        <v>38</v>
      </c>
      <c r="CC459" s="463">
        <v>9</v>
      </c>
      <c r="CD459" s="463">
        <v>79</v>
      </c>
      <c r="CE459" s="463">
        <v>17</v>
      </c>
      <c r="CF459" s="463">
        <v>36</v>
      </c>
      <c r="CG459" s="463">
        <v>26</v>
      </c>
      <c r="CH459" s="463">
        <v>34</v>
      </c>
      <c r="CI459" s="463">
        <v>4</v>
      </c>
      <c r="CJ459" s="463">
        <v>82</v>
      </c>
      <c r="CK459" s="463">
        <v>13</v>
      </c>
      <c r="CL459" s="463">
        <v>52</v>
      </c>
      <c r="CM459" s="463">
        <v>59</v>
      </c>
      <c r="CN459" s="463">
        <v>73</v>
      </c>
      <c r="CO459" s="463">
        <v>32</v>
      </c>
      <c r="CP459" s="463">
        <v>1</v>
      </c>
      <c r="CQ459" s="463">
        <v>86</v>
      </c>
      <c r="CR459" s="463">
        <v>15</v>
      </c>
      <c r="CS459" s="463">
        <v>29</v>
      </c>
      <c r="CT459" s="463">
        <v>7</v>
      </c>
      <c r="CU459" s="463">
        <v>3</v>
      </c>
    </row>
    <row r="462" spans="4:100" x14ac:dyDescent="0.2">
      <c r="D462" s="307">
        <v>95</v>
      </c>
      <c r="E462" s="307" t="s">
        <v>248</v>
      </c>
    </row>
    <row r="463" spans="4:100" x14ac:dyDescent="0.2">
      <c r="E463" s="463" t="s">
        <v>196</v>
      </c>
      <c r="F463" s="463">
        <v>1</v>
      </c>
      <c r="G463" s="463">
        <v>2</v>
      </c>
      <c r="H463" s="463">
        <v>3</v>
      </c>
      <c r="I463" s="463">
        <v>4</v>
      </c>
      <c r="J463" s="463">
        <v>5</v>
      </c>
      <c r="K463" s="463">
        <v>6</v>
      </c>
      <c r="L463" s="463">
        <v>7</v>
      </c>
      <c r="M463" s="463">
        <v>8</v>
      </c>
      <c r="N463" s="463">
        <v>9</v>
      </c>
      <c r="O463" s="463">
        <v>10</v>
      </c>
      <c r="P463" s="463">
        <v>11</v>
      </c>
      <c r="Q463" s="463">
        <v>12</v>
      </c>
      <c r="R463" s="463">
        <v>13</v>
      </c>
      <c r="S463" s="463">
        <v>14</v>
      </c>
      <c r="T463" s="463">
        <v>15</v>
      </c>
      <c r="U463" s="463">
        <v>16</v>
      </c>
      <c r="V463" s="463">
        <v>17</v>
      </c>
      <c r="W463" s="463">
        <v>18</v>
      </c>
      <c r="X463" s="463">
        <v>19</v>
      </c>
      <c r="Y463" s="463">
        <v>20</v>
      </c>
      <c r="Z463" s="463">
        <v>21</v>
      </c>
      <c r="AA463" s="463">
        <v>22</v>
      </c>
      <c r="AB463" s="463">
        <v>23</v>
      </c>
      <c r="AC463" s="463">
        <v>24</v>
      </c>
      <c r="AD463" s="463">
        <v>25</v>
      </c>
      <c r="AE463" s="463">
        <v>26</v>
      </c>
      <c r="AF463" s="463">
        <v>27</v>
      </c>
      <c r="AG463" s="463">
        <v>28</v>
      </c>
      <c r="AH463" s="463">
        <v>29</v>
      </c>
      <c r="AI463" s="463">
        <v>30</v>
      </c>
      <c r="AJ463" s="463">
        <v>31</v>
      </c>
      <c r="AK463" s="463">
        <v>32</v>
      </c>
      <c r="AL463" s="463">
        <v>33</v>
      </c>
      <c r="AM463" s="463">
        <v>34</v>
      </c>
      <c r="AN463" s="463">
        <v>35</v>
      </c>
      <c r="AO463" s="463">
        <v>36</v>
      </c>
      <c r="AP463" s="463">
        <v>37</v>
      </c>
      <c r="AQ463" s="463">
        <v>38</v>
      </c>
      <c r="AR463" s="463">
        <v>39</v>
      </c>
      <c r="AS463" s="463">
        <v>40</v>
      </c>
      <c r="AT463" s="463">
        <v>41</v>
      </c>
      <c r="AU463" s="463">
        <v>42</v>
      </c>
      <c r="AV463" s="463">
        <v>43</v>
      </c>
      <c r="AW463" s="463">
        <v>44</v>
      </c>
      <c r="AX463" s="463">
        <v>45</v>
      </c>
      <c r="AY463" s="463">
        <v>46</v>
      </c>
      <c r="AZ463" s="463">
        <v>47</v>
      </c>
      <c r="BA463" s="463">
        <v>48</v>
      </c>
      <c r="BB463" s="463">
        <v>49</v>
      </c>
      <c r="BC463" s="463">
        <v>50</v>
      </c>
      <c r="BD463" s="463">
        <v>51</v>
      </c>
      <c r="BE463" s="463">
        <v>52</v>
      </c>
      <c r="BF463" s="463">
        <v>53</v>
      </c>
      <c r="BG463" s="463">
        <v>54</v>
      </c>
      <c r="BH463" s="463">
        <v>55</v>
      </c>
      <c r="BI463" s="463">
        <v>56</v>
      </c>
      <c r="BJ463" s="463">
        <v>57</v>
      </c>
      <c r="BK463" s="463">
        <v>58</v>
      </c>
      <c r="BL463" s="463">
        <v>59</v>
      </c>
      <c r="BM463" s="463">
        <v>60</v>
      </c>
      <c r="BN463" s="463">
        <v>61</v>
      </c>
      <c r="BO463" s="463">
        <v>62</v>
      </c>
      <c r="BP463" s="463">
        <v>63</v>
      </c>
      <c r="BQ463" s="463">
        <v>64</v>
      </c>
      <c r="BR463" s="463">
        <v>65</v>
      </c>
      <c r="BS463" s="463">
        <v>66</v>
      </c>
      <c r="BT463" s="463">
        <v>67</v>
      </c>
      <c r="BU463" s="463">
        <v>68</v>
      </c>
      <c r="BV463" s="463">
        <v>69</v>
      </c>
      <c r="BW463" s="463">
        <v>70</v>
      </c>
      <c r="BX463" s="463">
        <v>71</v>
      </c>
      <c r="BY463" s="463">
        <v>72</v>
      </c>
      <c r="BZ463" s="463">
        <v>73</v>
      </c>
      <c r="CA463" s="463">
        <v>74</v>
      </c>
      <c r="CB463" s="463">
        <v>75</v>
      </c>
      <c r="CC463" s="463">
        <v>76</v>
      </c>
      <c r="CD463" s="463">
        <v>77</v>
      </c>
      <c r="CE463" s="463">
        <v>78</v>
      </c>
      <c r="CF463" s="463">
        <v>79</v>
      </c>
      <c r="CG463" s="463">
        <v>80</v>
      </c>
      <c r="CH463" s="463">
        <v>81</v>
      </c>
      <c r="CI463" s="463">
        <v>82</v>
      </c>
      <c r="CJ463" s="463">
        <v>83</v>
      </c>
      <c r="CK463" s="463">
        <v>84</v>
      </c>
      <c r="CL463" s="463">
        <v>85</v>
      </c>
      <c r="CM463" s="463">
        <v>86</v>
      </c>
      <c r="CN463" s="463">
        <v>87</v>
      </c>
      <c r="CO463" s="463">
        <v>88</v>
      </c>
      <c r="CP463" s="463">
        <v>89</v>
      </c>
      <c r="CQ463" s="463">
        <v>90</v>
      </c>
      <c r="CR463" s="463">
        <v>91</v>
      </c>
      <c r="CS463" s="463">
        <v>92</v>
      </c>
      <c r="CT463" s="463">
        <v>93</v>
      </c>
      <c r="CU463" s="463">
        <v>94</v>
      </c>
      <c r="CV463" s="463">
        <v>95</v>
      </c>
    </row>
    <row r="464" spans="4:100" x14ac:dyDescent="0.2">
      <c r="E464" s="463" t="s">
        <v>230</v>
      </c>
      <c r="F464" s="463">
        <v>94</v>
      </c>
      <c r="G464" s="463">
        <v>55</v>
      </c>
      <c r="H464" s="463">
        <v>2</v>
      </c>
      <c r="I464" s="463">
        <v>32</v>
      </c>
      <c r="J464" s="463">
        <v>26</v>
      </c>
      <c r="K464" s="463">
        <v>69</v>
      </c>
      <c r="L464" s="463">
        <v>33</v>
      </c>
      <c r="M464" s="463">
        <v>85</v>
      </c>
      <c r="N464" s="463">
        <v>53</v>
      </c>
      <c r="O464" s="463">
        <v>22</v>
      </c>
      <c r="P464" s="463">
        <v>5</v>
      </c>
      <c r="Q464" s="463">
        <v>54</v>
      </c>
      <c r="R464" s="463">
        <v>64</v>
      </c>
      <c r="S464" s="463">
        <v>42</v>
      </c>
      <c r="T464" s="463">
        <v>46</v>
      </c>
      <c r="U464" s="463">
        <v>10</v>
      </c>
      <c r="V464" s="463">
        <v>95</v>
      </c>
      <c r="W464" s="463">
        <v>89</v>
      </c>
      <c r="X464" s="463">
        <v>13</v>
      </c>
      <c r="Y464" s="463">
        <v>71</v>
      </c>
      <c r="Z464" s="463">
        <v>75</v>
      </c>
      <c r="AA464" s="463">
        <v>58</v>
      </c>
      <c r="AB464" s="463">
        <v>15</v>
      </c>
      <c r="AC464" s="463">
        <v>77</v>
      </c>
      <c r="AD464" s="463">
        <v>17</v>
      </c>
      <c r="AE464" s="463">
        <v>25</v>
      </c>
      <c r="AF464" s="463">
        <v>63</v>
      </c>
      <c r="AG464" s="463">
        <v>87</v>
      </c>
      <c r="AH464" s="463">
        <v>41</v>
      </c>
      <c r="AI464" s="463">
        <v>68</v>
      </c>
      <c r="AJ464" s="463">
        <v>4</v>
      </c>
      <c r="AK464" s="463">
        <v>28</v>
      </c>
      <c r="AL464" s="463">
        <v>52</v>
      </c>
      <c r="AM464" s="463">
        <v>81</v>
      </c>
      <c r="AN464" s="463">
        <v>36</v>
      </c>
      <c r="AO464" s="463">
        <v>35</v>
      </c>
      <c r="AP464" s="463">
        <v>73</v>
      </c>
      <c r="AQ464" s="463">
        <v>49</v>
      </c>
      <c r="AR464" s="463">
        <v>91</v>
      </c>
      <c r="AS464" s="463">
        <v>76</v>
      </c>
      <c r="AT464" s="463">
        <v>29</v>
      </c>
      <c r="AU464" s="463">
        <v>14</v>
      </c>
      <c r="AV464" s="463">
        <v>40</v>
      </c>
      <c r="AW464" s="463">
        <v>6</v>
      </c>
      <c r="AX464" s="463">
        <v>31</v>
      </c>
      <c r="AY464" s="463">
        <v>39</v>
      </c>
      <c r="AZ464" s="463">
        <v>30</v>
      </c>
      <c r="BA464" s="463">
        <v>80</v>
      </c>
      <c r="BB464" s="463">
        <v>43</v>
      </c>
      <c r="BC464" s="463">
        <v>67</v>
      </c>
      <c r="BD464" s="463">
        <v>90</v>
      </c>
      <c r="BE464" s="463">
        <v>23</v>
      </c>
      <c r="BF464" s="463">
        <v>72</v>
      </c>
      <c r="BG464" s="463">
        <v>3</v>
      </c>
      <c r="BH464" s="463">
        <v>66</v>
      </c>
      <c r="BI464" s="463">
        <v>65</v>
      </c>
      <c r="BJ464" s="463">
        <v>19</v>
      </c>
      <c r="BK464" s="463">
        <v>44</v>
      </c>
      <c r="BL464" s="463">
        <v>82</v>
      </c>
      <c r="BM464" s="463">
        <v>11</v>
      </c>
      <c r="BN464" s="463">
        <v>59</v>
      </c>
      <c r="BO464" s="463">
        <v>38</v>
      </c>
      <c r="BP464" s="463">
        <v>47</v>
      </c>
      <c r="BQ464" s="463">
        <v>1</v>
      </c>
      <c r="BR464" s="463">
        <v>83</v>
      </c>
      <c r="BS464" s="463">
        <v>84</v>
      </c>
      <c r="BT464" s="463">
        <v>93</v>
      </c>
      <c r="BU464" s="463">
        <v>50</v>
      </c>
      <c r="BV464" s="463">
        <v>16</v>
      </c>
      <c r="BW464" s="463">
        <v>86</v>
      </c>
      <c r="BX464" s="463">
        <v>70</v>
      </c>
      <c r="BY464" s="463">
        <v>9</v>
      </c>
      <c r="BZ464" s="463">
        <v>57</v>
      </c>
      <c r="CA464" s="463">
        <v>21</v>
      </c>
      <c r="CB464" s="463">
        <v>92</v>
      </c>
      <c r="CC464" s="463">
        <v>20</v>
      </c>
      <c r="CD464" s="463">
        <v>24</v>
      </c>
      <c r="CE464" s="463">
        <v>34</v>
      </c>
      <c r="CF464" s="463">
        <v>27</v>
      </c>
      <c r="CG464" s="463">
        <v>51</v>
      </c>
      <c r="CH464" s="463">
        <v>79</v>
      </c>
      <c r="CI464" s="463">
        <v>48</v>
      </c>
      <c r="CJ464" s="463">
        <v>12</v>
      </c>
      <c r="CK464" s="463">
        <v>61</v>
      </c>
      <c r="CL464" s="463">
        <v>8</v>
      </c>
      <c r="CM464" s="463">
        <v>45</v>
      </c>
      <c r="CN464" s="463">
        <v>88</v>
      </c>
      <c r="CO464" s="463">
        <v>74</v>
      </c>
      <c r="CP464" s="463">
        <v>18</v>
      </c>
      <c r="CQ464" s="463">
        <v>56</v>
      </c>
      <c r="CR464" s="463">
        <v>60</v>
      </c>
      <c r="CS464" s="463">
        <v>78</v>
      </c>
      <c r="CT464" s="463">
        <v>37</v>
      </c>
      <c r="CU464" s="463">
        <v>62</v>
      </c>
      <c r="CV464" s="463">
        <v>7</v>
      </c>
    </row>
    <row r="467" spans="4:104" x14ac:dyDescent="0.2">
      <c r="D467" s="307">
        <v>96</v>
      </c>
      <c r="E467" s="307" t="s">
        <v>248</v>
      </c>
    </row>
    <row r="468" spans="4:104" x14ac:dyDescent="0.2">
      <c r="E468" s="463" t="s">
        <v>196</v>
      </c>
      <c r="F468" s="463">
        <v>1</v>
      </c>
      <c r="G468" s="463">
        <v>2</v>
      </c>
      <c r="H468" s="463">
        <v>3</v>
      </c>
      <c r="I468" s="463">
        <v>4</v>
      </c>
      <c r="J468" s="463">
        <v>5</v>
      </c>
      <c r="K468" s="463">
        <v>6</v>
      </c>
      <c r="L468" s="463">
        <v>7</v>
      </c>
      <c r="M468" s="463">
        <v>8</v>
      </c>
      <c r="N468" s="463">
        <v>9</v>
      </c>
      <c r="O468" s="463">
        <v>10</v>
      </c>
      <c r="P468" s="463">
        <v>11</v>
      </c>
      <c r="Q468" s="463">
        <v>12</v>
      </c>
      <c r="R468" s="463">
        <v>13</v>
      </c>
      <c r="S468" s="463">
        <v>14</v>
      </c>
      <c r="T468" s="463">
        <v>15</v>
      </c>
      <c r="U468" s="463">
        <v>16</v>
      </c>
      <c r="V468" s="463">
        <v>17</v>
      </c>
      <c r="W468" s="463">
        <v>18</v>
      </c>
      <c r="X468" s="463">
        <v>19</v>
      </c>
      <c r="Y468" s="463">
        <v>20</v>
      </c>
      <c r="Z468" s="463">
        <v>21</v>
      </c>
      <c r="AA468" s="463">
        <v>22</v>
      </c>
      <c r="AB468" s="463">
        <v>23</v>
      </c>
      <c r="AC468" s="463">
        <v>24</v>
      </c>
      <c r="AD468" s="463">
        <v>25</v>
      </c>
      <c r="AE468" s="463">
        <v>26</v>
      </c>
      <c r="AF468" s="463">
        <v>27</v>
      </c>
      <c r="AG468" s="463">
        <v>28</v>
      </c>
      <c r="AH468" s="463">
        <v>29</v>
      </c>
      <c r="AI468" s="463">
        <v>30</v>
      </c>
      <c r="AJ468" s="463">
        <v>31</v>
      </c>
      <c r="AK468" s="463">
        <v>32</v>
      </c>
      <c r="AL468" s="463">
        <v>33</v>
      </c>
      <c r="AM468" s="463">
        <v>34</v>
      </c>
      <c r="AN468" s="463">
        <v>35</v>
      </c>
      <c r="AO468" s="463">
        <v>36</v>
      </c>
      <c r="AP468" s="463">
        <v>37</v>
      </c>
      <c r="AQ468" s="463">
        <v>38</v>
      </c>
      <c r="AR468" s="463">
        <v>39</v>
      </c>
      <c r="AS468" s="463">
        <v>40</v>
      </c>
      <c r="AT468" s="463">
        <v>41</v>
      </c>
      <c r="AU468" s="463">
        <v>42</v>
      </c>
      <c r="AV468" s="463">
        <v>43</v>
      </c>
      <c r="AW468" s="463">
        <v>44</v>
      </c>
      <c r="AX468" s="463">
        <v>45</v>
      </c>
      <c r="AY468" s="463">
        <v>46</v>
      </c>
      <c r="AZ468" s="463">
        <v>47</v>
      </c>
      <c r="BA468" s="463">
        <v>48</v>
      </c>
      <c r="BB468" s="463">
        <v>49</v>
      </c>
      <c r="BC468" s="463">
        <v>50</v>
      </c>
      <c r="BD468" s="463">
        <v>51</v>
      </c>
      <c r="BE468" s="463">
        <v>52</v>
      </c>
      <c r="BF468" s="463">
        <v>53</v>
      </c>
      <c r="BG468" s="463">
        <v>54</v>
      </c>
      <c r="BH468" s="463">
        <v>55</v>
      </c>
      <c r="BI468" s="463">
        <v>56</v>
      </c>
      <c r="BJ468" s="463">
        <v>57</v>
      </c>
      <c r="BK468" s="463">
        <v>58</v>
      </c>
      <c r="BL468" s="463">
        <v>59</v>
      </c>
      <c r="BM468" s="463">
        <v>60</v>
      </c>
      <c r="BN468" s="463">
        <v>61</v>
      </c>
      <c r="BO468" s="463">
        <v>62</v>
      </c>
      <c r="BP468" s="463">
        <v>63</v>
      </c>
      <c r="BQ468" s="463">
        <v>64</v>
      </c>
      <c r="BR468" s="463">
        <v>65</v>
      </c>
      <c r="BS468" s="463">
        <v>66</v>
      </c>
      <c r="BT468" s="463">
        <v>67</v>
      </c>
      <c r="BU468" s="463">
        <v>68</v>
      </c>
      <c r="BV468" s="463">
        <v>69</v>
      </c>
      <c r="BW468" s="463">
        <v>70</v>
      </c>
      <c r="BX468" s="463">
        <v>71</v>
      </c>
      <c r="BY468" s="463">
        <v>72</v>
      </c>
      <c r="BZ468" s="463">
        <v>73</v>
      </c>
      <c r="CA468" s="463">
        <v>74</v>
      </c>
      <c r="CB468" s="463">
        <v>75</v>
      </c>
      <c r="CC468" s="463">
        <v>76</v>
      </c>
      <c r="CD468" s="463">
        <v>77</v>
      </c>
      <c r="CE468" s="463">
        <v>78</v>
      </c>
      <c r="CF468" s="463">
        <v>79</v>
      </c>
      <c r="CG468" s="463">
        <v>80</v>
      </c>
      <c r="CH468" s="463">
        <v>81</v>
      </c>
      <c r="CI468" s="463">
        <v>82</v>
      </c>
      <c r="CJ468" s="463">
        <v>83</v>
      </c>
      <c r="CK468" s="463">
        <v>84</v>
      </c>
      <c r="CM468" s="463">
        <v>85</v>
      </c>
      <c r="CN468" s="463">
        <v>86</v>
      </c>
      <c r="CO468" s="463">
        <v>87</v>
      </c>
      <c r="CP468" s="463">
        <v>88</v>
      </c>
      <c r="CR468" s="463">
        <v>89</v>
      </c>
      <c r="CS468" s="463">
        <v>90</v>
      </c>
      <c r="CT468" s="463">
        <v>91</v>
      </c>
      <c r="CU468" s="463">
        <v>92</v>
      </c>
      <c r="CW468" s="463">
        <v>93</v>
      </c>
      <c r="CX468" s="463">
        <v>94</v>
      </c>
      <c r="CY468" s="463">
        <v>95</v>
      </c>
      <c r="CZ468" s="463">
        <v>96</v>
      </c>
    </row>
    <row r="469" spans="4:104" x14ac:dyDescent="0.2">
      <c r="E469" s="463" t="s">
        <v>230</v>
      </c>
      <c r="F469" s="463">
        <v>30</v>
      </c>
      <c r="G469" s="463">
        <v>18</v>
      </c>
      <c r="H469" s="463">
        <v>70</v>
      </c>
      <c r="I469" s="463">
        <v>21</v>
      </c>
      <c r="J469" s="463">
        <v>53</v>
      </c>
      <c r="K469" s="463">
        <v>84</v>
      </c>
      <c r="L469" s="463">
        <v>43</v>
      </c>
      <c r="M469" s="463">
        <v>59</v>
      </c>
      <c r="N469" s="463">
        <v>93</v>
      </c>
      <c r="O469" s="463">
        <v>1</v>
      </c>
      <c r="P469" s="463">
        <v>40</v>
      </c>
      <c r="Q469" s="463">
        <v>83</v>
      </c>
      <c r="R469" s="463">
        <v>17</v>
      </c>
      <c r="S469" s="463">
        <v>26</v>
      </c>
      <c r="T469" s="463">
        <v>56</v>
      </c>
      <c r="U469" s="463">
        <v>19</v>
      </c>
      <c r="V469" s="463">
        <v>34</v>
      </c>
      <c r="W469" s="463">
        <v>94</v>
      </c>
      <c r="X469" s="463">
        <v>13</v>
      </c>
      <c r="Y469" s="463">
        <v>85</v>
      </c>
      <c r="Z469" s="463">
        <v>4</v>
      </c>
      <c r="AA469" s="463">
        <v>14</v>
      </c>
      <c r="AB469" s="463">
        <v>44</v>
      </c>
      <c r="AC469" s="463">
        <v>16</v>
      </c>
      <c r="AD469" s="463">
        <v>76</v>
      </c>
      <c r="AE469" s="463">
        <v>45</v>
      </c>
      <c r="AF469" s="463">
        <v>73</v>
      </c>
      <c r="AG469" s="463">
        <v>29</v>
      </c>
      <c r="AH469" s="463">
        <v>61</v>
      </c>
      <c r="AI469" s="463">
        <v>82</v>
      </c>
      <c r="AJ469" s="463">
        <v>39</v>
      </c>
      <c r="AK469" s="463">
        <v>10</v>
      </c>
      <c r="AL469" s="463">
        <v>57</v>
      </c>
      <c r="AM469" s="463">
        <v>63</v>
      </c>
      <c r="AN469" s="463">
        <v>66</v>
      </c>
      <c r="AO469" s="463">
        <v>96</v>
      </c>
      <c r="AP469" s="463">
        <v>78</v>
      </c>
      <c r="AQ469" s="463">
        <v>22</v>
      </c>
      <c r="AR469" s="463">
        <v>68</v>
      </c>
      <c r="AS469" s="463">
        <v>71</v>
      </c>
      <c r="AT469" s="463">
        <v>88</v>
      </c>
      <c r="AU469" s="463">
        <v>58</v>
      </c>
      <c r="AV469" s="463">
        <v>62</v>
      </c>
      <c r="AW469" s="463">
        <v>27</v>
      </c>
      <c r="AX469" s="463">
        <v>31</v>
      </c>
      <c r="AY469" s="463">
        <v>64</v>
      </c>
      <c r="AZ469" s="463">
        <v>23</v>
      </c>
      <c r="BA469" s="463">
        <v>55</v>
      </c>
      <c r="BB469" s="463">
        <v>89</v>
      </c>
      <c r="BC469" s="463">
        <v>81</v>
      </c>
      <c r="BD469" s="463">
        <v>75</v>
      </c>
      <c r="BE469" s="463">
        <v>95</v>
      </c>
      <c r="BF469" s="463">
        <v>65</v>
      </c>
      <c r="BG469" s="463">
        <v>46</v>
      </c>
      <c r="BH469" s="463">
        <v>52</v>
      </c>
      <c r="BI469" s="463">
        <v>24</v>
      </c>
      <c r="BJ469" s="463">
        <v>20</v>
      </c>
      <c r="BK469" s="463">
        <v>72</v>
      </c>
      <c r="BL469" s="463">
        <v>67</v>
      </c>
      <c r="BM469" s="463">
        <v>91</v>
      </c>
      <c r="BN469" s="463">
        <v>79</v>
      </c>
      <c r="BO469" s="463">
        <v>48</v>
      </c>
      <c r="BP469" s="463">
        <v>90</v>
      </c>
      <c r="BQ469" s="463">
        <v>7</v>
      </c>
      <c r="BR469" s="463">
        <v>2</v>
      </c>
      <c r="BS469" s="463">
        <v>35</v>
      </c>
      <c r="BT469" s="463">
        <v>8</v>
      </c>
      <c r="BU469" s="463">
        <v>47</v>
      </c>
      <c r="BV469" s="463">
        <v>51</v>
      </c>
      <c r="BW469" s="463">
        <v>3</v>
      </c>
      <c r="BX469" s="463">
        <v>15</v>
      </c>
      <c r="BY469" s="463">
        <v>28</v>
      </c>
      <c r="BZ469" s="463">
        <v>86</v>
      </c>
      <c r="CA469" s="463">
        <v>37</v>
      </c>
      <c r="CB469" s="463">
        <v>32</v>
      </c>
      <c r="CC469" s="463">
        <v>25</v>
      </c>
      <c r="CD469" s="463">
        <v>87</v>
      </c>
      <c r="CE469" s="463">
        <v>92</v>
      </c>
      <c r="CF469" s="463">
        <v>42</v>
      </c>
      <c r="CG469" s="463">
        <v>11</v>
      </c>
      <c r="CH469" s="463">
        <v>69</v>
      </c>
      <c r="CI469" s="463">
        <v>38</v>
      </c>
      <c r="CJ469" s="463">
        <v>12</v>
      </c>
      <c r="CK469" s="463">
        <v>6</v>
      </c>
      <c r="CM469" s="463">
        <v>80</v>
      </c>
      <c r="CN469" s="463">
        <v>74</v>
      </c>
      <c r="CO469" s="463">
        <v>54</v>
      </c>
      <c r="CP469" s="463">
        <v>41</v>
      </c>
      <c r="CR469" s="463">
        <v>49</v>
      </c>
      <c r="CS469" s="463">
        <v>5</v>
      </c>
      <c r="CT469" s="463">
        <v>60</v>
      </c>
      <c r="CU469" s="463">
        <v>33</v>
      </c>
      <c r="CW469" s="463">
        <v>9</v>
      </c>
      <c r="CX469" s="463">
        <v>50</v>
      </c>
      <c r="CY469" s="463">
        <v>77</v>
      </c>
      <c r="CZ469" s="463">
        <v>36</v>
      </c>
    </row>
    <row r="472" spans="4:104" x14ac:dyDescent="0.2">
      <c r="D472" s="307">
        <v>97</v>
      </c>
      <c r="E472" s="307" t="s">
        <v>248</v>
      </c>
    </row>
    <row r="473" spans="4:104" x14ac:dyDescent="0.2">
      <c r="E473" s="463" t="s">
        <v>196</v>
      </c>
      <c r="F473" s="463">
        <v>1</v>
      </c>
      <c r="G473" s="463">
        <v>2</v>
      </c>
      <c r="H473" s="463">
        <v>3</v>
      </c>
      <c r="I473" s="463">
        <v>4</v>
      </c>
      <c r="J473" s="463">
        <v>5</v>
      </c>
      <c r="K473" s="463">
        <v>6</v>
      </c>
      <c r="L473" s="463">
        <v>7</v>
      </c>
      <c r="M473" s="463">
        <v>8</v>
      </c>
      <c r="N473" s="463">
        <v>9</v>
      </c>
      <c r="O473" s="463">
        <v>10</v>
      </c>
      <c r="P473" s="463">
        <v>11</v>
      </c>
      <c r="Q473" s="463">
        <v>12</v>
      </c>
      <c r="R473" s="463">
        <v>13</v>
      </c>
      <c r="S473" s="463">
        <v>14</v>
      </c>
      <c r="T473" s="463">
        <v>15</v>
      </c>
      <c r="U473" s="463">
        <v>16</v>
      </c>
      <c r="V473" s="463">
        <v>17</v>
      </c>
      <c r="W473" s="463">
        <v>18</v>
      </c>
      <c r="X473" s="463">
        <v>19</v>
      </c>
      <c r="Y473" s="463">
        <v>20</v>
      </c>
      <c r="Z473" s="463">
        <v>21</v>
      </c>
      <c r="AA473" s="463">
        <v>22</v>
      </c>
      <c r="AB473" s="463">
        <v>23</v>
      </c>
      <c r="AC473" s="463">
        <v>24</v>
      </c>
      <c r="AD473" s="463">
        <v>25</v>
      </c>
      <c r="AE473" s="463">
        <v>26</v>
      </c>
      <c r="AF473" s="463">
        <v>27</v>
      </c>
      <c r="AG473" s="463">
        <v>28</v>
      </c>
      <c r="AH473" s="463">
        <v>29</v>
      </c>
      <c r="AI473" s="463">
        <v>30</v>
      </c>
      <c r="AJ473" s="463">
        <v>31</v>
      </c>
      <c r="AK473" s="463">
        <v>32</v>
      </c>
      <c r="AL473" s="463">
        <v>33</v>
      </c>
      <c r="AM473" s="463">
        <v>34</v>
      </c>
      <c r="AN473" s="463">
        <v>35</v>
      </c>
      <c r="AO473" s="463">
        <v>36</v>
      </c>
      <c r="AP473" s="463">
        <v>37</v>
      </c>
      <c r="AQ473" s="463">
        <v>38</v>
      </c>
      <c r="AR473" s="463">
        <v>39</v>
      </c>
      <c r="AS473" s="463">
        <v>40</v>
      </c>
      <c r="AT473" s="463">
        <v>41</v>
      </c>
      <c r="AU473" s="463">
        <v>42</v>
      </c>
      <c r="AV473" s="463">
        <v>43</v>
      </c>
      <c r="AW473" s="463">
        <v>44</v>
      </c>
      <c r="AX473" s="463">
        <v>45</v>
      </c>
      <c r="AY473" s="463">
        <v>46</v>
      </c>
      <c r="AZ473" s="463">
        <v>47</v>
      </c>
      <c r="BA473" s="463">
        <v>48</v>
      </c>
      <c r="BB473" s="463">
        <v>49</v>
      </c>
      <c r="BC473" s="463">
        <v>50</v>
      </c>
      <c r="BD473" s="463">
        <v>51</v>
      </c>
      <c r="BE473" s="463">
        <v>52</v>
      </c>
      <c r="BF473" s="463">
        <v>53</v>
      </c>
      <c r="BG473" s="463">
        <v>54</v>
      </c>
      <c r="BH473" s="463">
        <v>55</v>
      </c>
      <c r="BI473" s="463">
        <v>56</v>
      </c>
      <c r="BJ473" s="463">
        <v>57</v>
      </c>
      <c r="BK473" s="463">
        <v>58</v>
      </c>
      <c r="BL473" s="463">
        <v>59</v>
      </c>
      <c r="BM473" s="463">
        <v>60</v>
      </c>
      <c r="BN473" s="463">
        <v>61</v>
      </c>
      <c r="BO473" s="463">
        <v>62</v>
      </c>
      <c r="BP473" s="463">
        <v>63</v>
      </c>
      <c r="BQ473" s="463">
        <v>64</v>
      </c>
      <c r="BR473" s="463">
        <v>65</v>
      </c>
      <c r="BS473" s="463">
        <v>66</v>
      </c>
      <c r="BT473" s="463">
        <v>67</v>
      </c>
      <c r="BU473" s="463">
        <v>68</v>
      </c>
      <c r="BV473" s="463">
        <v>69</v>
      </c>
      <c r="BW473" s="463">
        <v>70</v>
      </c>
      <c r="BX473" s="463">
        <v>71</v>
      </c>
      <c r="BY473" s="463">
        <v>72</v>
      </c>
      <c r="BZ473" s="463">
        <v>73</v>
      </c>
      <c r="CA473" s="463">
        <v>74</v>
      </c>
      <c r="CB473" s="463">
        <v>75</v>
      </c>
      <c r="CC473" s="463">
        <v>76</v>
      </c>
      <c r="CD473" s="463">
        <v>77</v>
      </c>
      <c r="CE473" s="463">
        <v>78</v>
      </c>
      <c r="CF473" s="463">
        <v>79</v>
      </c>
      <c r="CG473" s="463">
        <v>80</v>
      </c>
      <c r="CH473" s="463">
        <v>81</v>
      </c>
      <c r="CI473" s="463">
        <v>82</v>
      </c>
      <c r="CJ473" s="463">
        <v>83</v>
      </c>
      <c r="CK473" s="463">
        <v>84</v>
      </c>
      <c r="CL473" s="463">
        <v>85</v>
      </c>
      <c r="CM473" s="463">
        <v>86</v>
      </c>
      <c r="CN473" s="463">
        <v>87</v>
      </c>
      <c r="CO473" s="463">
        <v>88</v>
      </c>
      <c r="CP473" s="463">
        <v>89</v>
      </c>
      <c r="CR473" s="463">
        <v>90</v>
      </c>
      <c r="CS473" s="463">
        <v>91</v>
      </c>
      <c r="CT473" s="463">
        <v>92</v>
      </c>
      <c r="CU473" s="463">
        <v>93</v>
      </c>
      <c r="CW473" s="463">
        <v>94</v>
      </c>
      <c r="CX473" s="463">
        <v>95</v>
      </c>
      <c r="CY473" s="463">
        <v>96</v>
      </c>
      <c r="CZ473" s="463">
        <v>97</v>
      </c>
    </row>
    <row r="474" spans="4:104" x14ac:dyDescent="0.2">
      <c r="E474" s="463" t="s">
        <v>230</v>
      </c>
      <c r="F474" s="463">
        <v>39</v>
      </c>
      <c r="G474" s="463">
        <v>78</v>
      </c>
      <c r="H474" s="463">
        <v>93</v>
      </c>
      <c r="I474" s="463">
        <v>94</v>
      </c>
      <c r="J474" s="463">
        <v>82</v>
      </c>
      <c r="K474" s="463">
        <v>54</v>
      </c>
      <c r="L474" s="463">
        <v>9</v>
      </c>
      <c r="M474" s="463">
        <v>12</v>
      </c>
      <c r="N474" s="463">
        <v>58</v>
      </c>
      <c r="O474" s="463">
        <v>31</v>
      </c>
      <c r="P474" s="463">
        <v>29</v>
      </c>
      <c r="Q474" s="463">
        <v>10</v>
      </c>
      <c r="R474" s="463">
        <v>17</v>
      </c>
      <c r="S474" s="463">
        <v>71</v>
      </c>
      <c r="T474" s="463">
        <v>23</v>
      </c>
      <c r="U474" s="463">
        <v>55</v>
      </c>
      <c r="V474" s="463">
        <v>92</v>
      </c>
      <c r="W474" s="463">
        <v>85</v>
      </c>
      <c r="X474" s="463">
        <v>57</v>
      </c>
      <c r="Y474" s="463">
        <v>41</v>
      </c>
      <c r="Z474" s="463">
        <v>25</v>
      </c>
      <c r="AA474" s="463">
        <v>88</v>
      </c>
      <c r="AB474" s="463">
        <v>59</v>
      </c>
      <c r="AC474" s="463">
        <v>96</v>
      </c>
      <c r="AD474" s="463">
        <v>43</v>
      </c>
      <c r="AE474" s="463">
        <v>97</v>
      </c>
      <c r="AF474" s="463">
        <v>38</v>
      </c>
      <c r="AG474" s="463">
        <v>80</v>
      </c>
      <c r="AH474" s="463">
        <v>33</v>
      </c>
      <c r="AI474" s="463">
        <v>21</v>
      </c>
      <c r="AJ474" s="463">
        <v>74</v>
      </c>
      <c r="AK474" s="463">
        <v>68</v>
      </c>
      <c r="AL474" s="463">
        <v>32</v>
      </c>
      <c r="AM474" s="463">
        <v>95</v>
      </c>
      <c r="AN474" s="463">
        <v>11</v>
      </c>
      <c r="AO474" s="463">
        <v>84</v>
      </c>
      <c r="AP474" s="463">
        <v>48</v>
      </c>
      <c r="AQ474" s="463">
        <v>27</v>
      </c>
      <c r="AR474" s="463">
        <v>67</v>
      </c>
      <c r="AS474" s="463">
        <v>6</v>
      </c>
      <c r="AT474" s="463">
        <v>40</v>
      </c>
      <c r="AU474" s="463">
        <v>63</v>
      </c>
      <c r="AV474" s="463">
        <v>45</v>
      </c>
      <c r="AW474" s="463">
        <v>81</v>
      </c>
      <c r="AX474" s="463">
        <v>47</v>
      </c>
      <c r="AY474" s="463">
        <v>5</v>
      </c>
      <c r="AZ474" s="463">
        <v>70</v>
      </c>
      <c r="BA474" s="463">
        <v>52</v>
      </c>
      <c r="BB474" s="463">
        <v>76</v>
      </c>
      <c r="BC474" s="463">
        <v>91</v>
      </c>
      <c r="BD474" s="463">
        <v>44</v>
      </c>
      <c r="BE474" s="463">
        <v>30</v>
      </c>
      <c r="BF474" s="463">
        <v>62</v>
      </c>
      <c r="BG474" s="463">
        <v>72</v>
      </c>
      <c r="BH474" s="463">
        <v>1</v>
      </c>
      <c r="BI474" s="463">
        <v>34</v>
      </c>
      <c r="BJ474" s="463">
        <v>89</v>
      </c>
      <c r="BK474" s="463">
        <v>64</v>
      </c>
      <c r="BL474" s="463">
        <v>66</v>
      </c>
      <c r="BM474" s="463">
        <v>73</v>
      </c>
      <c r="BN474" s="463">
        <v>50</v>
      </c>
      <c r="BO474" s="463">
        <v>53</v>
      </c>
      <c r="BP474" s="463">
        <v>42</v>
      </c>
      <c r="BQ474" s="463">
        <v>56</v>
      </c>
      <c r="BR474" s="463">
        <v>36</v>
      </c>
      <c r="BS474" s="463">
        <v>79</v>
      </c>
      <c r="BT474" s="463">
        <v>35</v>
      </c>
      <c r="BU474" s="463">
        <v>37</v>
      </c>
      <c r="BV474" s="463">
        <v>22</v>
      </c>
      <c r="BW474" s="463">
        <v>86</v>
      </c>
      <c r="BX474" s="463">
        <v>14</v>
      </c>
      <c r="BY474" s="463">
        <v>28</v>
      </c>
      <c r="BZ474" s="463">
        <v>69</v>
      </c>
      <c r="CA474" s="463">
        <v>87</v>
      </c>
      <c r="CB474" s="463">
        <v>61</v>
      </c>
      <c r="CC474" s="463">
        <v>60</v>
      </c>
      <c r="CD474" s="463">
        <v>13</v>
      </c>
      <c r="CE474" s="463">
        <v>65</v>
      </c>
      <c r="CF474" s="463">
        <v>46</v>
      </c>
      <c r="CG474" s="463">
        <v>90</v>
      </c>
      <c r="CH474" s="463">
        <v>4</v>
      </c>
      <c r="CI474" s="463">
        <v>20</v>
      </c>
      <c r="CJ474" s="463">
        <v>15</v>
      </c>
      <c r="CK474" s="463">
        <v>7</v>
      </c>
      <c r="CL474" s="463">
        <v>26</v>
      </c>
      <c r="CM474" s="463">
        <v>49</v>
      </c>
      <c r="CN474" s="463">
        <v>18</v>
      </c>
      <c r="CO474" s="463">
        <v>2</v>
      </c>
      <c r="CP474" s="463">
        <v>51</v>
      </c>
      <c r="CR474" s="463">
        <v>75</v>
      </c>
      <c r="CS474" s="463">
        <v>3</v>
      </c>
      <c r="CT474" s="463">
        <v>24</v>
      </c>
      <c r="CU474" s="463">
        <v>16</v>
      </c>
      <c r="CW474" s="463">
        <v>19</v>
      </c>
      <c r="CX474" s="463">
        <v>8</v>
      </c>
      <c r="CY474" s="463">
        <v>77</v>
      </c>
      <c r="CZ474" s="463">
        <v>83</v>
      </c>
    </row>
    <row r="477" spans="4:104" x14ac:dyDescent="0.2">
      <c r="D477" s="307">
        <v>98</v>
      </c>
      <c r="E477" s="307" t="s">
        <v>248</v>
      </c>
    </row>
    <row r="478" spans="4:104" x14ac:dyDescent="0.2">
      <c r="E478" s="463" t="s">
        <v>196</v>
      </c>
      <c r="F478" s="463">
        <v>1</v>
      </c>
      <c r="G478" s="463">
        <v>2</v>
      </c>
      <c r="H478" s="463">
        <v>3</v>
      </c>
      <c r="I478" s="463">
        <v>4</v>
      </c>
      <c r="J478" s="463">
        <v>5</v>
      </c>
      <c r="K478" s="463">
        <v>6</v>
      </c>
      <c r="L478" s="463">
        <v>7</v>
      </c>
      <c r="M478" s="463">
        <v>8</v>
      </c>
      <c r="N478" s="463">
        <v>9</v>
      </c>
      <c r="O478" s="463">
        <v>10</v>
      </c>
      <c r="P478" s="463">
        <v>11</v>
      </c>
      <c r="Q478" s="463">
        <v>12</v>
      </c>
      <c r="R478" s="463">
        <v>13</v>
      </c>
      <c r="S478" s="463">
        <v>14</v>
      </c>
      <c r="T478" s="463">
        <v>15</v>
      </c>
      <c r="U478" s="463">
        <v>16</v>
      </c>
      <c r="V478" s="463">
        <v>17</v>
      </c>
      <c r="W478" s="463">
        <v>18</v>
      </c>
      <c r="X478" s="463">
        <v>19</v>
      </c>
      <c r="Y478" s="463">
        <v>20</v>
      </c>
      <c r="Z478" s="463">
        <v>21</v>
      </c>
      <c r="AA478" s="463">
        <v>22</v>
      </c>
      <c r="AB478" s="463">
        <v>23</v>
      </c>
      <c r="AC478" s="463">
        <v>24</v>
      </c>
      <c r="AD478" s="463">
        <v>25</v>
      </c>
      <c r="AE478" s="463">
        <v>26</v>
      </c>
      <c r="AF478" s="463">
        <v>27</v>
      </c>
      <c r="AG478" s="463">
        <v>28</v>
      </c>
      <c r="AH478" s="463">
        <v>29</v>
      </c>
      <c r="AI478" s="463">
        <v>30</v>
      </c>
      <c r="AJ478" s="463">
        <v>31</v>
      </c>
      <c r="AK478" s="463">
        <v>32</v>
      </c>
      <c r="AL478" s="463">
        <v>33</v>
      </c>
      <c r="AM478" s="463">
        <v>34</v>
      </c>
      <c r="AN478" s="463">
        <v>35</v>
      </c>
      <c r="AO478" s="463">
        <v>36</v>
      </c>
      <c r="AP478" s="463">
        <v>37</v>
      </c>
      <c r="AQ478" s="463">
        <v>38</v>
      </c>
      <c r="AR478" s="463">
        <v>39</v>
      </c>
      <c r="AS478" s="463">
        <v>40</v>
      </c>
      <c r="AT478" s="463">
        <v>41</v>
      </c>
      <c r="AU478" s="463">
        <v>42</v>
      </c>
      <c r="AV478" s="463">
        <v>43</v>
      </c>
      <c r="AW478" s="463">
        <v>44</v>
      </c>
      <c r="AX478" s="463">
        <v>45</v>
      </c>
      <c r="AY478" s="463">
        <v>46</v>
      </c>
      <c r="AZ478" s="463">
        <v>47</v>
      </c>
      <c r="BA478" s="463">
        <v>48</v>
      </c>
      <c r="BB478" s="463">
        <v>49</v>
      </c>
      <c r="BC478" s="463">
        <v>50</v>
      </c>
      <c r="BD478" s="463">
        <v>51</v>
      </c>
      <c r="BE478" s="463">
        <v>52</v>
      </c>
      <c r="BF478" s="463">
        <v>53</v>
      </c>
      <c r="BG478" s="463">
        <v>54</v>
      </c>
      <c r="BH478" s="463">
        <v>55</v>
      </c>
      <c r="BI478" s="463">
        <v>56</v>
      </c>
      <c r="BJ478" s="463">
        <v>57</v>
      </c>
      <c r="BK478" s="463">
        <v>58</v>
      </c>
      <c r="BL478" s="463">
        <v>59</v>
      </c>
      <c r="BM478" s="463">
        <v>60</v>
      </c>
      <c r="BN478" s="463">
        <v>61</v>
      </c>
      <c r="BO478" s="463">
        <v>62</v>
      </c>
      <c r="BP478" s="463">
        <v>63</v>
      </c>
      <c r="BQ478" s="463">
        <v>64</v>
      </c>
      <c r="BR478" s="463">
        <v>65</v>
      </c>
      <c r="BS478" s="463">
        <v>66</v>
      </c>
      <c r="BT478" s="463">
        <v>67</v>
      </c>
      <c r="BU478" s="463">
        <v>68</v>
      </c>
      <c r="BV478" s="463">
        <v>69</v>
      </c>
      <c r="BW478" s="463">
        <v>70</v>
      </c>
      <c r="BX478" s="463">
        <v>71</v>
      </c>
      <c r="BY478" s="463">
        <v>72</v>
      </c>
      <c r="BZ478" s="463">
        <v>73</v>
      </c>
      <c r="CA478" s="463">
        <v>74</v>
      </c>
      <c r="CB478" s="463">
        <v>75</v>
      </c>
      <c r="CC478" s="463">
        <v>76</v>
      </c>
      <c r="CD478" s="463">
        <v>77</v>
      </c>
      <c r="CE478" s="463">
        <v>78</v>
      </c>
      <c r="CF478" s="463">
        <v>79</v>
      </c>
      <c r="CG478" s="463">
        <v>80</v>
      </c>
      <c r="CH478" s="463">
        <v>81</v>
      </c>
      <c r="CI478" s="463">
        <v>82</v>
      </c>
      <c r="CJ478" s="463">
        <v>83</v>
      </c>
      <c r="CK478" s="463">
        <v>84</v>
      </c>
      <c r="CL478" s="463">
        <v>85</v>
      </c>
      <c r="CM478" s="463">
        <v>86</v>
      </c>
      <c r="CN478" s="463">
        <v>87</v>
      </c>
      <c r="CO478" s="463">
        <v>88</v>
      </c>
      <c r="CP478" s="463">
        <v>89</v>
      </c>
      <c r="CQ478" s="463">
        <v>90</v>
      </c>
      <c r="CR478" s="463">
        <v>91</v>
      </c>
      <c r="CS478" s="463">
        <v>92</v>
      </c>
      <c r="CT478" s="463">
        <v>93</v>
      </c>
      <c r="CU478" s="463">
        <v>94</v>
      </c>
      <c r="CW478" s="463">
        <v>95</v>
      </c>
      <c r="CX478" s="463">
        <v>96</v>
      </c>
      <c r="CY478" s="463">
        <v>97</v>
      </c>
      <c r="CZ478" s="463">
        <v>98</v>
      </c>
    </row>
    <row r="479" spans="4:104" x14ac:dyDescent="0.2">
      <c r="E479" s="463" t="s">
        <v>230</v>
      </c>
      <c r="F479" s="463">
        <v>90</v>
      </c>
      <c r="G479" s="463">
        <v>63</v>
      </c>
      <c r="H479" s="463">
        <v>7</v>
      </c>
      <c r="I479" s="463">
        <v>68</v>
      </c>
      <c r="J479" s="463">
        <v>46</v>
      </c>
      <c r="K479" s="463">
        <v>94</v>
      </c>
      <c r="L479" s="463">
        <v>48</v>
      </c>
      <c r="M479" s="463">
        <v>57</v>
      </c>
      <c r="N479" s="463">
        <v>6</v>
      </c>
      <c r="O479" s="463">
        <v>32</v>
      </c>
      <c r="P479" s="463">
        <v>29</v>
      </c>
      <c r="Q479" s="463">
        <v>39</v>
      </c>
      <c r="R479" s="463">
        <v>62</v>
      </c>
      <c r="S479" s="463">
        <v>56</v>
      </c>
      <c r="T479" s="463">
        <v>76</v>
      </c>
      <c r="U479" s="463">
        <v>84</v>
      </c>
      <c r="V479" s="463">
        <v>93</v>
      </c>
      <c r="W479" s="463">
        <v>89</v>
      </c>
      <c r="X479" s="463">
        <v>2</v>
      </c>
      <c r="Y479" s="463">
        <v>17</v>
      </c>
      <c r="Z479" s="463">
        <v>20</v>
      </c>
      <c r="AA479" s="463">
        <v>3</v>
      </c>
      <c r="AB479" s="463">
        <v>79</v>
      </c>
      <c r="AC479" s="463">
        <v>11</v>
      </c>
      <c r="AD479" s="463">
        <v>73</v>
      </c>
      <c r="AE479" s="463">
        <v>45</v>
      </c>
      <c r="AF479" s="463">
        <v>59</v>
      </c>
      <c r="AG479" s="463">
        <v>52</v>
      </c>
      <c r="AH479" s="463">
        <v>87</v>
      </c>
      <c r="AI479" s="463">
        <v>1</v>
      </c>
      <c r="AJ479" s="463">
        <v>69</v>
      </c>
      <c r="AK479" s="463">
        <v>58</v>
      </c>
      <c r="AL479" s="463">
        <v>85</v>
      </c>
      <c r="AM479" s="463">
        <v>42</v>
      </c>
      <c r="AN479" s="463">
        <v>91</v>
      </c>
      <c r="AO479" s="463">
        <v>5</v>
      </c>
      <c r="AP479" s="463">
        <v>43</v>
      </c>
      <c r="AQ479" s="463">
        <v>22</v>
      </c>
      <c r="AR479" s="463">
        <v>12</v>
      </c>
      <c r="AS479" s="463">
        <v>36</v>
      </c>
      <c r="AT479" s="463">
        <v>14</v>
      </c>
      <c r="AU479" s="463">
        <v>78</v>
      </c>
      <c r="AV479" s="463">
        <v>67</v>
      </c>
      <c r="AW479" s="463">
        <v>31</v>
      </c>
      <c r="AX479" s="463">
        <v>83</v>
      </c>
      <c r="AY479" s="463">
        <v>50</v>
      </c>
      <c r="AZ479" s="463">
        <v>53</v>
      </c>
      <c r="BA479" s="463">
        <v>96</v>
      </c>
      <c r="BB479" s="463">
        <v>61</v>
      </c>
      <c r="BC479" s="463">
        <v>86</v>
      </c>
      <c r="BD479" s="463">
        <v>60</v>
      </c>
      <c r="BE479" s="463">
        <v>40</v>
      </c>
      <c r="BF479" s="463">
        <v>10</v>
      </c>
      <c r="BG479" s="463">
        <v>95</v>
      </c>
      <c r="BH479" s="463">
        <v>18</v>
      </c>
      <c r="BI479" s="463">
        <v>25</v>
      </c>
      <c r="BJ479" s="463">
        <v>8</v>
      </c>
      <c r="BK479" s="463">
        <v>34</v>
      </c>
      <c r="BL479" s="463">
        <v>27</v>
      </c>
      <c r="BM479" s="463">
        <v>51</v>
      </c>
      <c r="BN479" s="463">
        <v>98</v>
      </c>
      <c r="BO479" s="463">
        <v>23</v>
      </c>
      <c r="BP479" s="463">
        <v>74</v>
      </c>
      <c r="BQ479" s="463">
        <v>77</v>
      </c>
      <c r="BR479" s="463">
        <v>41</v>
      </c>
      <c r="BS479" s="463">
        <v>80</v>
      </c>
      <c r="BT479" s="463">
        <v>30</v>
      </c>
      <c r="BU479" s="463">
        <v>92</v>
      </c>
      <c r="BV479" s="463">
        <v>71</v>
      </c>
      <c r="BW479" s="463">
        <v>37</v>
      </c>
      <c r="BX479" s="463">
        <v>19</v>
      </c>
      <c r="BY479" s="463">
        <v>70</v>
      </c>
      <c r="BZ479" s="463">
        <v>55</v>
      </c>
      <c r="CA479" s="463">
        <v>21</v>
      </c>
      <c r="CB479" s="463">
        <v>13</v>
      </c>
      <c r="CC479" s="463">
        <v>15</v>
      </c>
      <c r="CD479" s="463">
        <v>38</v>
      </c>
      <c r="CE479" s="463">
        <v>54</v>
      </c>
      <c r="CF479" s="463">
        <v>81</v>
      </c>
      <c r="CG479" s="463">
        <v>88</v>
      </c>
      <c r="CH479" s="463">
        <v>9</v>
      </c>
      <c r="CI479" s="463">
        <v>97</v>
      </c>
      <c r="CJ479" s="463">
        <v>72</v>
      </c>
      <c r="CK479" s="463">
        <v>16</v>
      </c>
      <c r="CL479" s="463">
        <v>33</v>
      </c>
      <c r="CM479" s="463">
        <v>49</v>
      </c>
      <c r="CN479" s="463">
        <v>35</v>
      </c>
      <c r="CO479" s="463">
        <v>65</v>
      </c>
      <c r="CP479" s="463">
        <v>66</v>
      </c>
      <c r="CQ479" s="463">
        <v>82</v>
      </c>
      <c r="CR479" s="463">
        <v>4</v>
      </c>
      <c r="CS479" s="463">
        <v>24</v>
      </c>
      <c r="CT479" s="463">
        <v>47</v>
      </c>
      <c r="CU479" s="463">
        <v>26</v>
      </c>
      <c r="CW479" s="463">
        <v>64</v>
      </c>
      <c r="CX479" s="463">
        <v>75</v>
      </c>
      <c r="CY479" s="463">
        <v>44</v>
      </c>
      <c r="CZ479" s="463">
        <v>28</v>
      </c>
    </row>
    <row r="482" spans="4:109" x14ac:dyDescent="0.2">
      <c r="D482" s="307">
        <v>99</v>
      </c>
      <c r="E482" s="307" t="s">
        <v>248</v>
      </c>
    </row>
    <row r="483" spans="4:109" x14ac:dyDescent="0.2">
      <c r="E483" s="463" t="s">
        <v>196</v>
      </c>
      <c r="F483" s="463">
        <v>1</v>
      </c>
      <c r="G483" s="463">
        <v>2</v>
      </c>
      <c r="H483" s="463">
        <v>3</v>
      </c>
      <c r="I483" s="463">
        <v>4</v>
      </c>
      <c r="J483" s="463">
        <v>5</v>
      </c>
      <c r="K483" s="463">
        <v>6</v>
      </c>
      <c r="L483" s="463">
        <v>7</v>
      </c>
      <c r="M483" s="463">
        <v>8</v>
      </c>
      <c r="N483" s="463">
        <v>9</v>
      </c>
      <c r="O483" s="463">
        <v>10</v>
      </c>
      <c r="P483" s="463">
        <v>11</v>
      </c>
      <c r="Q483" s="463">
        <v>12</v>
      </c>
      <c r="R483" s="463">
        <v>13</v>
      </c>
      <c r="S483" s="463">
        <v>14</v>
      </c>
      <c r="T483" s="463">
        <v>15</v>
      </c>
      <c r="U483" s="463">
        <v>16</v>
      </c>
      <c r="V483" s="463">
        <v>17</v>
      </c>
      <c r="W483" s="463">
        <v>18</v>
      </c>
      <c r="X483" s="463">
        <v>19</v>
      </c>
      <c r="Y483" s="463">
        <v>20</v>
      </c>
      <c r="Z483" s="463">
        <v>21</v>
      </c>
      <c r="AA483" s="463">
        <v>22</v>
      </c>
      <c r="AB483" s="463">
        <v>23</v>
      </c>
      <c r="AC483" s="463">
        <v>24</v>
      </c>
      <c r="AD483" s="463">
        <v>25</v>
      </c>
      <c r="AE483" s="463">
        <v>26</v>
      </c>
      <c r="AF483" s="463">
        <v>27</v>
      </c>
      <c r="AG483" s="463">
        <v>28</v>
      </c>
      <c r="AH483" s="463">
        <v>29</v>
      </c>
      <c r="AI483" s="463">
        <v>30</v>
      </c>
      <c r="AJ483" s="463">
        <v>31</v>
      </c>
      <c r="AK483" s="463">
        <v>32</v>
      </c>
      <c r="AL483" s="463">
        <v>33</v>
      </c>
      <c r="AM483" s="463">
        <v>34</v>
      </c>
      <c r="AN483" s="463">
        <v>35</v>
      </c>
      <c r="AO483" s="463">
        <v>36</v>
      </c>
      <c r="AP483" s="463">
        <v>37</v>
      </c>
      <c r="AQ483" s="463">
        <v>38</v>
      </c>
      <c r="AR483" s="463">
        <v>39</v>
      </c>
      <c r="AS483" s="463">
        <v>40</v>
      </c>
      <c r="AT483" s="463">
        <v>41</v>
      </c>
      <c r="AU483" s="463">
        <v>42</v>
      </c>
      <c r="AV483" s="463">
        <v>43</v>
      </c>
      <c r="AW483" s="463">
        <v>44</v>
      </c>
      <c r="AX483" s="463">
        <v>45</v>
      </c>
      <c r="AY483" s="463">
        <v>46</v>
      </c>
      <c r="AZ483" s="463">
        <v>47</v>
      </c>
      <c r="BA483" s="463">
        <v>48</v>
      </c>
      <c r="BB483" s="463">
        <v>49</v>
      </c>
      <c r="BC483" s="463">
        <v>50</v>
      </c>
      <c r="BD483" s="463">
        <v>51</v>
      </c>
      <c r="BE483" s="463">
        <v>52</v>
      </c>
      <c r="BF483" s="463">
        <v>53</v>
      </c>
      <c r="BG483" s="463">
        <v>54</v>
      </c>
      <c r="BH483" s="463">
        <v>55</v>
      </c>
      <c r="BI483" s="463">
        <v>56</v>
      </c>
      <c r="BJ483" s="463">
        <v>57</v>
      </c>
      <c r="BK483" s="463">
        <v>58</v>
      </c>
      <c r="BL483" s="463">
        <v>59</v>
      </c>
      <c r="BM483" s="463">
        <v>60</v>
      </c>
      <c r="BN483" s="463">
        <v>61</v>
      </c>
      <c r="BO483" s="463">
        <v>62</v>
      </c>
      <c r="BP483" s="463">
        <v>63</v>
      </c>
      <c r="BQ483" s="463">
        <v>64</v>
      </c>
      <c r="BR483" s="463">
        <v>65</v>
      </c>
      <c r="BS483" s="463">
        <v>66</v>
      </c>
      <c r="BT483" s="463">
        <v>67</v>
      </c>
      <c r="BU483" s="463">
        <v>68</v>
      </c>
      <c r="BV483" s="463">
        <v>69</v>
      </c>
      <c r="BW483" s="463">
        <v>70</v>
      </c>
      <c r="BX483" s="463">
        <v>71</v>
      </c>
      <c r="BY483" s="463">
        <v>72</v>
      </c>
      <c r="BZ483" s="463">
        <v>73</v>
      </c>
      <c r="CA483" s="463">
        <v>74</v>
      </c>
      <c r="CB483" s="463">
        <v>75</v>
      </c>
      <c r="CC483" s="463">
        <v>76</v>
      </c>
      <c r="CD483" s="463">
        <v>77</v>
      </c>
      <c r="CE483" s="463">
        <v>78</v>
      </c>
      <c r="CF483" s="463">
        <v>79</v>
      </c>
      <c r="CG483" s="463">
        <v>80</v>
      </c>
      <c r="CH483" s="463">
        <v>81</v>
      </c>
      <c r="CI483" s="463">
        <v>82</v>
      </c>
      <c r="CJ483" s="463">
        <v>83</v>
      </c>
      <c r="CK483" s="463">
        <v>84</v>
      </c>
      <c r="CL483" s="463">
        <v>85</v>
      </c>
      <c r="CM483" s="463">
        <v>86</v>
      </c>
      <c r="CN483" s="463">
        <v>87</v>
      </c>
      <c r="CO483" s="463">
        <v>88</v>
      </c>
      <c r="CP483" s="463">
        <v>89</v>
      </c>
      <c r="CQ483" s="463">
        <v>90</v>
      </c>
      <c r="CR483" s="463">
        <v>91</v>
      </c>
      <c r="CS483" s="463">
        <v>92</v>
      </c>
      <c r="CT483" s="463">
        <v>93</v>
      </c>
      <c r="CU483" s="463">
        <v>94</v>
      </c>
      <c r="CV483" s="463">
        <v>95</v>
      </c>
      <c r="CW483" s="463">
        <v>96</v>
      </c>
      <c r="CX483" s="463">
        <v>97</v>
      </c>
      <c r="CY483" s="463">
        <v>98</v>
      </c>
      <c r="CZ483" s="463">
        <v>99</v>
      </c>
    </row>
    <row r="484" spans="4:109" x14ac:dyDescent="0.2">
      <c r="E484" s="463" t="s">
        <v>230</v>
      </c>
      <c r="F484" s="463">
        <v>90</v>
      </c>
      <c r="G484" s="463">
        <v>10</v>
      </c>
      <c r="H484" s="463">
        <v>39</v>
      </c>
      <c r="I484" s="463">
        <v>26</v>
      </c>
      <c r="J484" s="463">
        <v>76</v>
      </c>
      <c r="K484" s="463">
        <v>79</v>
      </c>
      <c r="L484" s="463">
        <v>13</v>
      </c>
      <c r="M484" s="463">
        <v>57</v>
      </c>
      <c r="N484" s="463">
        <v>83</v>
      </c>
      <c r="O484" s="463">
        <v>2</v>
      </c>
      <c r="P484" s="463">
        <v>19</v>
      </c>
      <c r="Q484" s="463">
        <v>28</v>
      </c>
      <c r="R484" s="463">
        <v>32</v>
      </c>
      <c r="S484" s="463">
        <v>86</v>
      </c>
      <c r="T484" s="463">
        <v>73</v>
      </c>
      <c r="U484" s="463">
        <v>20</v>
      </c>
      <c r="V484" s="463">
        <v>38</v>
      </c>
      <c r="W484" s="463">
        <v>64</v>
      </c>
      <c r="X484" s="463">
        <v>31</v>
      </c>
      <c r="Y484" s="463">
        <v>51</v>
      </c>
      <c r="Z484" s="463">
        <v>70</v>
      </c>
      <c r="AA484" s="463">
        <v>88</v>
      </c>
      <c r="AB484" s="463">
        <v>82</v>
      </c>
      <c r="AC484" s="463">
        <v>58</v>
      </c>
      <c r="AD484" s="463">
        <v>1</v>
      </c>
      <c r="AE484" s="463">
        <v>84</v>
      </c>
      <c r="AF484" s="463">
        <v>93</v>
      </c>
      <c r="AG484" s="463">
        <v>87</v>
      </c>
      <c r="AH484" s="463">
        <v>6</v>
      </c>
      <c r="AI484" s="463">
        <v>78</v>
      </c>
      <c r="AJ484" s="463">
        <v>29</v>
      </c>
      <c r="AK484" s="463">
        <v>40</v>
      </c>
      <c r="AL484" s="463">
        <v>80</v>
      </c>
      <c r="AM484" s="463">
        <v>56</v>
      </c>
      <c r="AN484" s="463">
        <v>33</v>
      </c>
      <c r="AO484" s="463">
        <v>69</v>
      </c>
      <c r="AP484" s="463">
        <v>63</v>
      </c>
      <c r="AQ484" s="463">
        <v>27</v>
      </c>
      <c r="AR484" s="463">
        <v>16</v>
      </c>
      <c r="AS484" s="463">
        <v>53</v>
      </c>
      <c r="AT484" s="463">
        <v>45</v>
      </c>
      <c r="AU484" s="463">
        <v>4</v>
      </c>
      <c r="AV484" s="463">
        <v>35</v>
      </c>
      <c r="AW484" s="463">
        <v>23</v>
      </c>
      <c r="AX484" s="463">
        <v>48</v>
      </c>
      <c r="AY484" s="463">
        <v>59</v>
      </c>
      <c r="AZ484" s="463">
        <v>43</v>
      </c>
      <c r="BA484" s="463">
        <v>55</v>
      </c>
      <c r="BB484" s="463">
        <v>46</v>
      </c>
      <c r="BC484" s="463">
        <v>12</v>
      </c>
      <c r="BD484" s="463">
        <v>44</v>
      </c>
      <c r="BE484" s="463">
        <v>18</v>
      </c>
      <c r="BF484" s="463">
        <v>77</v>
      </c>
      <c r="BG484" s="463">
        <v>91</v>
      </c>
      <c r="BH484" s="463">
        <v>36</v>
      </c>
      <c r="BI484" s="463">
        <v>50</v>
      </c>
      <c r="BJ484" s="463">
        <v>3</v>
      </c>
      <c r="BK484" s="463">
        <v>62</v>
      </c>
      <c r="BL484" s="463">
        <v>71</v>
      </c>
      <c r="BM484" s="463">
        <v>22</v>
      </c>
      <c r="BN484" s="463">
        <v>85</v>
      </c>
      <c r="BO484" s="463">
        <v>65</v>
      </c>
      <c r="BP484" s="463">
        <v>60</v>
      </c>
      <c r="BQ484" s="463">
        <v>8</v>
      </c>
      <c r="BR484" s="463">
        <v>96</v>
      </c>
      <c r="BS484" s="463">
        <v>15</v>
      </c>
      <c r="BT484" s="463">
        <v>95</v>
      </c>
      <c r="BU484" s="463">
        <v>37</v>
      </c>
      <c r="BV484" s="463">
        <v>41</v>
      </c>
      <c r="BW484" s="463">
        <v>81</v>
      </c>
      <c r="BX484" s="463">
        <v>94</v>
      </c>
      <c r="BY484" s="463">
        <v>34</v>
      </c>
      <c r="BZ484" s="463">
        <v>99</v>
      </c>
      <c r="CA484" s="463">
        <v>66</v>
      </c>
      <c r="CB484" s="463">
        <v>72</v>
      </c>
      <c r="CC484" s="463">
        <v>5</v>
      </c>
      <c r="CD484" s="463">
        <v>89</v>
      </c>
      <c r="CE484" s="463">
        <v>30</v>
      </c>
      <c r="CF484" s="463">
        <v>61</v>
      </c>
      <c r="CG484" s="463">
        <v>11</v>
      </c>
      <c r="CH484" s="463">
        <v>54</v>
      </c>
      <c r="CI484" s="463">
        <v>68</v>
      </c>
      <c r="CJ484" s="463">
        <v>7</v>
      </c>
      <c r="CK484" s="463">
        <v>97</v>
      </c>
      <c r="CL484" s="463">
        <v>21</v>
      </c>
      <c r="CM484" s="463">
        <v>14</v>
      </c>
      <c r="CN484" s="463">
        <v>74</v>
      </c>
      <c r="CO484" s="463">
        <v>52</v>
      </c>
      <c r="CP484" s="463">
        <v>47</v>
      </c>
      <c r="CQ484" s="463">
        <v>42</v>
      </c>
      <c r="CR484" s="463">
        <v>24</v>
      </c>
      <c r="CS484" s="463">
        <v>75</v>
      </c>
      <c r="CT484" s="463">
        <v>49</v>
      </c>
      <c r="CU484" s="463">
        <v>98</v>
      </c>
      <c r="CV484" s="463">
        <v>67</v>
      </c>
      <c r="CW484" s="463">
        <v>9</v>
      </c>
      <c r="CX484" s="463">
        <v>25</v>
      </c>
      <c r="CY484" s="463">
        <v>17</v>
      </c>
      <c r="CZ484" s="463">
        <v>92</v>
      </c>
    </row>
    <row r="487" spans="4:109" x14ac:dyDescent="0.2">
      <c r="D487" s="307">
        <v>100</v>
      </c>
      <c r="E487" s="307" t="s">
        <v>248</v>
      </c>
    </row>
    <row r="488" spans="4:109" x14ac:dyDescent="0.2">
      <c r="E488" s="463" t="s">
        <v>196</v>
      </c>
      <c r="F488" s="463">
        <v>1</v>
      </c>
      <c r="G488" s="463">
        <v>2</v>
      </c>
      <c r="H488" s="463">
        <v>3</v>
      </c>
      <c r="I488" s="463">
        <v>4</v>
      </c>
      <c r="J488" s="463">
        <v>5</v>
      </c>
      <c r="K488" s="463">
        <v>6</v>
      </c>
      <c r="L488" s="463">
        <v>7</v>
      </c>
      <c r="M488" s="463">
        <v>8</v>
      </c>
      <c r="N488" s="463">
        <v>9</v>
      </c>
      <c r="O488" s="463">
        <v>10</v>
      </c>
      <c r="P488" s="463">
        <v>11</v>
      </c>
      <c r="Q488" s="463">
        <v>12</v>
      </c>
      <c r="R488" s="463">
        <v>13</v>
      </c>
      <c r="S488" s="463">
        <v>14</v>
      </c>
      <c r="T488" s="463">
        <v>15</v>
      </c>
      <c r="U488" s="463">
        <v>16</v>
      </c>
      <c r="V488" s="463">
        <v>17</v>
      </c>
      <c r="W488" s="463">
        <v>18</v>
      </c>
      <c r="X488" s="463">
        <v>19</v>
      </c>
      <c r="Y488" s="463">
        <v>20</v>
      </c>
      <c r="Z488" s="463">
        <v>21</v>
      </c>
      <c r="AA488" s="463">
        <v>22</v>
      </c>
      <c r="AB488" s="463">
        <v>23</v>
      </c>
      <c r="AC488" s="463">
        <v>24</v>
      </c>
      <c r="AD488" s="463">
        <v>25</v>
      </c>
      <c r="AE488" s="463">
        <v>26</v>
      </c>
      <c r="AF488" s="463">
        <v>27</v>
      </c>
      <c r="AG488" s="463">
        <v>28</v>
      </c>
      <c r="AH488" s="463">
        <v>29</v>
      </c>
      <c r="AI488" s="463">
        <v>30</v>
      </c>
      <c r="AJ488" s="463">
        <v>31</v>
      </c>
      <c r="AK488" s="463">
        <v>32</v>
      </c>
      <c r="AL488" s="463">
        <v>33</v>
      </c>
      <c r="AM488" s="463">
        <v>34</v>
      </c>
      <c r="AN488" s="463">
        <v>35</v>
      </c>
      <c r="AO488" s="463">
        <v>36</v>
      </c>
      <c r="AP488" s="463">
        <v>37</v>
      </c>
      <c r="AQ488" s="463">
        <v>38</v>
      </c>
      <c r="AR488" s="463">
        <v>39</v>
      </c>
      <c r="AS488" s="463">
        <v>40</v>
      </c>
      <c r="AT488" s="463">
        <v>41</v>
      </c>
      <c r="AU488" s="463">
        <v>42</v>
      </c>
      <c r="AV488" s="463">
        <v>43</v>
      </c>
      <c r="AW488" s="463">
        <v>44</v>
      </c>
      <c r="AX488" s="463">
        <v>45</v>
      </c>
      <c r="AY488" s="463">
        <v>46</v>
      </c>
      <c r="AZ488" s="463">
        <v>47</v>
      </c>
      <c r="BA488" s="463">
        <v>48</v>
      </c>
      <c r="BB488" s="463">
        <v>49</v>
      </c>
      <c r="BC488" s="463">
        <v>50</v>
      </c>
      <c r="BD488" s="463">
        <v>51</v>
      </c>
      <c r="BE488" s="463">
        <v>52</v>
      </c>
      <c r="BF488" s="463">
        <v>53</v>
      </c>
      <c r="BG488" s="463">
        <v>54</v>
      </c>
      <c r="BH488" s="463">
        <v>55</v>
      </c>
      <c r="BI488" s="463">
        <v>56</v>
      </c>
      <c r="BJ488" s="463">
        <v>57</v>
      </c>
      <c r="BK488" s="463">
        <v>58</v>
      </c>
      <c r="BL488" s="463">
        <v>59</v>
      </c>
      <c r="BM488" s="463">
        <v>60</v>
      </c>
      <c r="BN488" s="463">
        <v>61</v>
      </c>
      <c r="BO488" s="463">
        <v>62</v>
      </c>
      <c r="BP488" s="463">
        <v>63</v>
      </c>
      <c r="BQ488" s="463">
        <v>64</v>
      </c>
      <c r="BR488" s="463">
        <v>65</v>
      </c>
      <c r="BS488" s="463">
        <v>66</v>
      </c>
      <c r="BT488" s="463">
        <v>67</v>
      </c>
      <c r="BU488" s="463">
        <v>68</v>
      </c>
      <c r="BV488" s="463">
        <v>69</v>
      </c>
      <c r="BW488" s="463">
        <v>70</v>
      </c>
      <c r="BX488" s="463">
        <v>71</v>
      </c>
      <c r="BY488" s="463">
        <v>72</v>
      </c>
      <c r="BZ488" s="463">
        <v>73</v>
      </c>
      <c r="CA488" s="463">
        <v>74</v>
      </c>
      <c r="CB488" s="463">
        <v>75</v>
      </c>
      <c r="CC488" s="463">
        <v>76</v>
      </c>
      <c r="CD488" s="463">
        <v>77</v>
      </c>
      <c r="CE488" s="463">
        <v>78</v>
      </c>
      <c r="CF488" s="463">
        <v>79</v>
      </c>
      <c r="CG488" s="463">
        <v>80</v>
      </c>
      <c r="CH488" s="463">
        <v>81</v>
      </c>
      <c r="CI488" s="463">
        <v>82</v>
      </c>
      <c r="CJ488" s="463">
        <v>83</v>
      </c>
      <c r="CK488" s="463">
        <v>84</v>
      </c>
      <c r="CL488" s="463">
        <v>85</v>
      </c>
      <c r="CM488" s="463">
        <v>86</v>
      </c>
      <c r="CN488" s="463">
        <v>87</v>
      </c>
      <c r="CO488" s="463">
        <v>88</v>
      </c>
      <c r="CP488" s="463">
        <v>89</v>
      </c>
      <c r="CQ488" s="463">
        <v>90</v>
      </c>
      <c r="CR488" s="463">
        <v>91</v>
      </c>
      <c r="CS488" s="463">
        <v>92</v>
      </c>
      <c r="CT488" s="463">
        <v>93</v>
      </c>
      <c r="CU488" s="463">
        <v>94</v>
      </c>
      <c r="CV488" s="463">
        <v>95</v>
      </c>
      <c r="CW488" s="463">
        <v>96</v>
      </c>
      <c r="CX488" s="463">
        <v>97</v>
      </c>
      <c r="CY488" s="463">
        <v>98</v>
      </c>
      <c r="CZ488" s="463">
        <v>99</v>
      </c>
      <c r="DA488" s="463">
        <v>100</v>
      </c>
    </row>
    <row r="489" spans="4:109" x14ac:dyDescent="0.2">
      <c r="E489" s="463" t="s">
        <v>230</v>
      </c>
      <c r="F489" s="463">
        <v>20</v>
      </c>
      <c r="G489" s="463">
        <v>39</v>
      </c>
      <c r="H489" s="463">
        <v>92</v>
      </c>
      <c r="I489" s="463">
        <v>53</v>
      </c>
      <c r="J489" s="463">
        <v>46</v>
      </c>
      <c r="K489" s="463">
        <v>40</v>
      </c>
      <c r="L489" s="463">
        <v>14</v>
      </c>
      <c r="M489" s="463">
        <v>17</v>
      </c>
      <c r="N489" s="463">
        <v>22</v>
      </c>
      <c r="O489" s="463">
        <v>76</v>
      </c>
      <c r="P489" s="463">
        <v>64</v>
      </c>
      <c r="Q489" s="463">
        <v>5</v>
      </c>
      <c r="R489" s="463">
        <v>52</v>
      </c>
      <c r="S489" s="463">
        <v>41</v>
      </c>
      <c r="T489" s="463">
        <v>11</v>
      </c>
      <c r="U489" s="463">
        <v>74</v>
      </c>
      <c r="V489" s="463">
        <v>23</v>
      </c>
      <c r="W489" s="463">
        <v>7</v>
      </c>
      <c r="X489" s="463">
        <v>12</v>
      </c>
      <c r="Y489" s="463">
        <v>1</v>
      </c>
      <c r="Z489" s="463">
        <v>79</v>
      </c>
      <c r="AA489" s="463">
        <v>58</v>
      </c>
      <c r="AB489" s="463">
        <v>89</v>
      </c>
      <c r="AC489" s="463">
        <v>43</v>
      </c>
      <c r="AD489" s="463">
        <v>27</v>
      </c>
      <c r="AE489" s="463">
        <v>54</v>
      </c>
      <c r="AF489" s="463">
        <v>63</v>
      </c>
      <c r="AG489" s="463">
        <v>82</v>
      </c>
      <c r="AH489" s="463">
        <v>56</v>
      </c>
      <c r="AI489" s="463">
        <v>93</v>
      </c>
      <c r="AJ489" s="463">
        <v>4</v>
      </c>
      <c r="AK489" s="463">
        <v>38</v>
      </c>
      <c r="AL489" s="463">
        <v>97</v>
      </c>
      <c r="AM489" s="463">
        <v>67</v>
      </c>
      <c r="AN489" s="463">
        <v>51</v>
      </c>
      <c r="AO489" s="463">
        <v>80</v>
      </c>
      <c r="AP489" s="463">
        <v>48</v>
      </c>
      <c r="AQ489" s="463">
        <v>2</v>
      </c>
      <c r="AR489" s="463">
        <v>73</v>
      </c>
      <c r="AS489" s="463">
        <v>68</v>
      </c>
      <c r="AT489" s="463">
        <v>70</v>
      </c>
      <c r="AU489" s="463">
        <v>8</v>
      </c>
      <c r="AV489" s="463">
        <v>62</v>
      </c>
      <c r="AW489" s="463">
        <v>16</v>
      </c>
      <c r="AX489" s="463">
        <v>86</v>
      </c>
      <c r="AY489" s="463">
        <v>9</v>
      </c>
      <c r="AZ489" s="463">
        <v>75</v>
      </c>
      <c r="BA489" s="463">
        <v>44</v>
      </c>
      <c r="BB489" s="463">
        <v>83</v>
      </c>
      <c r="BC489" s="463">
        <v>98</v>
      </c>
      <c r="BD489" s="463">
        <v>85</v>
      </c>
      <c r="BE489" s="463">
        <v>13</v>
      </c>
      <c r="BF489" s="463">
        <v>57</v>
      </c>
      <c r="BG489" s="463">
        <v>26</v>
      </c>
      <c r="BH489" s="463">
        <v>96</v>
      </c>
      <c r="BI489" s="463">
        <v>29</v>
      </c>
      <c r="BJ489" s="463">
        <v>18</v>
      </c>
      <c r="BK489" s="463">
        <v>94</v>
      </c>
      <c r="BL489" s="463">
        <v>3</v>
      </c>
      <c r="BM489" s="463">
        <v>33</v>
      </c>
      <c r="BN489" s="463">
        <v>25</v>
      </c>
      <c r="BO489" s="463">
        <v>90</v>
      </c>
      <c r="BP489" s="463">
        <v>42</v>
      </c>
      <c r="BQ489" s="463">
        <v>71</v>
      </c>
      <c r="BR489" s="463">
        <v>81</v>
      </c>
      <c r="BS489" s="463">
        <v>34</v>
      </c>
      <c r="BT489" s="463">
        <v>19</v>
      </c>
      <c r="BU489" s="463">
        <v>10</v>
      </c>
      <c r="BV489" s="463">
        <v>36</v>
      </c>
      <c r="BW489" s="463">
        <v>21</v>
      </c>
      <c r="BX489" s="463">
        <v>69</v>
      </c>
      <c r="BY489" s="463">
        <v>28</v>
      </c>
      <c r="BZ489" s="463">
        <v>24</v>
      </c>
      <c r="CA489" s="463">
        <v>47</v>
      </c>
      <c r="CB489" s="463">
        <v>37</v>
      </c>
      <c r="CC489" s="463">
        <v>84</v>
      </c>
      <c r="CD489" s="463">
        <v>65</v>
      </c>
      <c r="CE489" s="463">
        <v>55</v>
      </c>
      <c r="CF489" s="463">
        <v>91</v>
      </c>
      <c r="CG489" s="463">
        <v>32</v>
      </c>
      <c r="CH489" s="463">
        <v>99</v>
      </c>
      <c r="CI489" s="463">
        <v>15</v>
      </c>
      <c r="CJ489" s="463">
        <v>49</v>
      </c>
      <c r="CK489" s="463">
        <v>31</v>
      </c>
      <c r="CL489" s="463">
        <v>77</v>
      </c>
      <c r="CM489" s="463">
        <v>45</v>
      </c>
      <c r="CN489" s="463">
        <v>59</v>
      </c>
      <c r="CO489" s="463">
        <v>50</v>
      </c>
      <c r="CP489" s="463">
        <v>6</v>
      </c>
      <c r="CQ489" s="463">
        <v>87</v>
      </c>
      <c r="CR489" s="463">
        <v>60</v>
      </c>
      <c r="CS489" s="463">
        <v>95</v>
      </c>
      <c r="CT489" s="463">
        <v>72</v>
      </c>
      <c r="CU489" s="463">
        <v>61</v>
      </c>
      <c r="CV489" s="463">
        <v>66</v>
      </c>
      <c r="CW489" s="463">
        <v>30</v>
      </c>
      <c r="CX489" s="463">
        <v>35</v>
      </c>
      <c r="CY489" s="463">
        <v>100</v>
      </c>
      <c r="CZ489" s="463">
        <v>78</v>
      </c>
      <c r="DA489" s="463">
        <v>88</v>
      </c>
    </row>
    <row r="492" spans="4:109" x14ac:dyDescent="0.2">
      <c r="D492" s="307">
        <v>101</v>
      </c>
      <c r="E492" s="307" t="s">
        <v>248</v>
      </c>
    </row>
    <row r="493" spans="4:109" x14ac:dyDescent="0.2">
      <c r="E493" s="463" t="s">
        <v>196</v>
      </c>
      <c r="F493" s="463">
        <v>1</v>
      </c>
      <c r="G493" s="463">
        <v>2</v>
      </c>
      <c r="H493" s="463">
        <v>3</v>
      </c>
      <c r="I493" s="463">
        <v>4</v>
      </c>
      <c r="J493" s="463">
        <v>5</v>
      </c>
      <c r="K493" s="463">
        <v>6</v>
      </c>
      <c r="L493" s="463">
        <v>7</v>
      </c>
      <c r="M493" s="463">
        <v>8</v>
      </c>
      <c r="N493" s="463">
        <v>9</v>
      </c>
      <c r="O493" s="463">
        <v>10</v>
      </c>
      <c r="P493" s="463">
        <v>11</v>
      </c>
      <c r="Q493" s="463">
        <v>12</v>
      </c>
      <c r="R493" s="463">
        <v>13</v>
      </c>
      <c r="S493" s="463">
        <v>14</v>
      </c>
      <c r="T493" s="463">
        <v>15</v>
      </c>
      <c r="U493" s="463">
        <v>16</v>
      </c>
      <c r="V493" s="463">
        <v>17</v>
      </c>
      <c r="W493" s="463">
        <v>18</v>
      </c>
      <c r="X493" s="463">
        <v>19</v>
      </c>
      <c r="Y493" s="463">
        <v>20</v>
      </c>
      <c r="Z493" s="463">
        <v>21</v>
      </c>
      <c r="AA493" s="463">
        <v>22</v>
      </c>
      <c r="AB493" s="463">
        <v>23</v>
      </c>
      <c r="AC493" s="463">
        <v>24</v>
      </c>
      <c r="AD493" s="463">
        <v>25</v>
      </c>
      <c r="AE493" s="463">
        <v>26</v>
      </c>
      <c r="AF493" s="463">
        <v>27</v>
      </c>
      <c r="AG493" s="463">
        <v>28</v>
      </c>
      <c r="AH493" s="463">
        <v>29</v>
      </c>
      <c r="AI493" s="463">
        <v>30</v>
      </c>
      <c r="AJ493" s="463">
        <v>31</v>
      </c>
      <c r="AK493" s="463">
        <v>32</v>
      </c>
      <c r="AL493" s="463">
        <v>33</v>
      </c>
      <c r="AM493" s="463">
        <v>34</v>
      </c>
      <c r="AN493" s="463">
        <v>35</v>
      </c>
      <c r="AO493" s="463">
        <v>36</v>
      </c>
      <c r="AP493" s="463">
        <v>37</v>
      </c>
      <c r="AQ493" s="463">
        <v>38</v>
      </c>
      <c r="AR493" s="463">
        <v>39</v>
      </c>
      <c r="AS493" s="463">
        <v>40</v>
      </c>
      <c r="AT493" s="463">
        <v>41</v>
      </c>
      <c r="AU493" s="463">
        <v>42</v>
      </c>
      <c r="AV493" s="463">
        <v>43</v>
      </c>
      <c r="AW493" s="463">
        <v>44</v>
      </c>
      <c r="AX493" s="463">
        <v>45</v>
      </c>
      <c r="AY493" s="463">
        <v>46</v>
      </c>
      <c r="AZ493" s="463">
        <v>47</v>
      </c>
      <c r="BA493" s="463">
        <v>48</v>
      </c>
      <c r="BB493" s="463">
        <v>49</v>
      </c>
      <c r="BC493" s="463">
        <v>50</v>
      </c>
      <c r="BD493" s="463">
        <v>51</v>
      </c>
      <c r="BE493" s="463">
        <v>52</v>
      </c>
      <c r="BF493" s="463">
        <v>53</v>
      </c>
      <c r="BG493" s="463">
        <v>54</v>
      </c>
      <c r="BH493" s="463">
        <v>55</v>
      </c>
      <c r="BI493" s="463">
        <v>56</v>
      </c>
      <c r="BJ493" s="463">
        <v>57</v>
      </c>
      <c r="BK493" s="463">
        <v>58</v>
      </c>
      <c r="BL493" s="463">
        <v>59</v>
      </c>
      <c r="BM493" s="463">
        <v>60</v>
      </c>
      <c r="BN493" s="463">
        <v>61</v>
      </c>
      <c r="BO493" s="463">
        <v>62</v>
      </c>
      <c r="BP493" s="463">
        <v>63</v>
      </c>
      <c r="BQ493" s="463">
        <v>64</v>
      </c>
      <c r="BR493" s="463">
        <v>65</v>
      </c>
      <c r="BS493" s="463">
        <v>66</v>
      </c>
      <c r="BT493" s="463">
        <v>67</v>
      </c>
      <c r="BU493" s="463">
        <v>68</v>
      </c>
      <c r="BV493" s="463">
        <v>69</v>
      </c>
      <c r="BW493" s="463">
        <v>70</v>
      </c>
      <c r="BX493" s="463">
        <v>71</v>
      </c>
      <c r="BY493" s="463">
        <v>72</v>
      </c>
      <c r="BZ493" s="463">
        <v>73</v>
      </c>
      <c r="CA493" s="463">
        <v>74</v>
      </c>
      <c r="CB493" s="463">
        <v>75</v>
      </c>
      <c r="CC493" s="463">
        <v>76</v>
      </c>
      <c r="CD493" s="463">
        <v>77</v>
      </c>
      <c r="CE493" s="463">
        <v>78</v>
      </c>
      <c r="CF493" s="463">
        <v>79</v>
      </c>
      <c r="CG493" s="463">
        <v>80</v>
      </c>
      <c r="CH493" s="463">
        <v>81</v>
      </c>
      <c r="CI493" s="463">
        <v>82</v>
      </c>
      <c r="CJ493" s="463">
        <v>83</v>
      </c>
      <c r="CK493" s="463">
        <v>84</v>
      </c>
      <c r="CL493" s="463">
        <v>85</v>
      </c>
      <c r="CM493" s="463">
        <v>86</v>
      </c>
      <c r="CN493" s="463">
        <v>87</v>
      </c>
      <c r="CO493" s="463">
        <v>88</v>
      </c>
      <c r="CP493" s="463">
        <v>89</v>
      </c>
      <c r="CR493" s="463">
        <v>90</v>
      </c>
      <c r="CS493" s="463">
        <v>91</v>
      </c>
      <c r="CT493" s="463">
        <v>92</v>
      </c>
      <c r="CU493" s="463">
        <v>93</v>
      </c>
      <c r="CW493" s="463">
        <v>94</v>
      </c>
      <c r="CX493" s="463">
        <v>95</v>
      </c>
      <c r="CY493" s="463">
        <v>96</v>
      </c>
      <c r="CZ493" s="463">
        <v>97</v>
      </c>
      <c r="DB493" s="463">
        <v>98</v>
      </c>
      <c r="DC493" s="463">
        <v>99</v>
      </c>
      <c r="DD493" s="463">
        <v>100</v>
      </c>
      <c r="DE493" s="463">
        <v>101</v>
      </c>
    </row>
    <row r="494" spans="4:109" x14ac:dyDescent="0.2">
      <c r="E494" s="463" t="s">
        <v>230</v>
      </c>
      <c r="F494" s="463">
        <v>25</v>
      </c>
      <c r="G494" s="463">
        <v>89</v>
      </c>
      <c r="H494" s="463">
        <v>29</v>
      </c>
      <c r="I494" s="463">
        <v>51</v>
      </c>
      <c r="J494" s="463">
        <v>17</v>
      </c>
      <c r="K494" s="463">
        <v>54</v>
      </c>
      <c r="L494" s="463">
        <v>19</v>
      </c>
      <c r="M494" s="463">
        <v>82</v>
      </c>
      <c r="N494" s="463">
        <v>56</v>
      </c>
      <c r="O494" s="463">
        <v>88</v>
      </c>
      <c r="P494" s="463">
        <v>75</v>
      </c>
      <c r="Q494" s="463">
        <v>78</v>
      </c>
      <c r="R494" s="463">
        <v>20</v>
      </c>
      <c r="S494" s="463">
        <v>58</v>
      </c>
      <c r="T494" s="463">
        <v>11</v>
      </c>
      <c r="U494" s="463">
        <v>65</v>
      </c>
      <c r="V494" s="463">
        <v>48</v>
      </c>
      <c r="W494" s="463">
        <v>37</v>
      </c>
      <c r="X494" s="463">
        <v>91</v>
      </c>
      <c r="Y494" s="463">
        <v>100</v>
      </c>
      <c r="Z494" s="463">
        <v>5</v>
      </c>
      <c r="AA494" s="463">
        <v>83</v>
      </c>
      <c r="AB494" s="463">
        <v>95</v>
      </c>
      <c r="AC494" s="463">
        <v>12</v>
      </c>
      <c r="AD494" s="463">
        <v>27</v>
      </c>
      <c r="AE494" s="463">
        <v>69</v>
      </c>
      <c r="AF494" s="463">
        <v>64</v>
      </c>
      <c r="AG494" s="463">
        <v>32</v>
      </c>
      <c r="AH494" s="463">
        <v>16</v>
      </c>
      <c r="AI494" s="463">
        <v>36</v>
      </c>
      <c r="AJ494" s="463">
        <v>101</v>
      </c>
      <c r="AK494" s="463">
        <v>28</v>
      </c>
      <c r="AL494" s="463">
        <v>60</v>
      </c>
      <c r="AM494" s="463">
        <v>2</v>
      </c>
      <c r="AN494" s="463">
        <v>81</v>
      </c>
      <c r="AO494" s="463">
        <v>30</v>
      </c>
      <c r="AP494" s="463">
        <v>23</v>
      </c>
      <c r="AQ494" s="463">
        <v>7</v>
      </c>
      <c r="AR494" s="463">
        <v>76</v>
      </c>
      <c r="AS494" s="463">
        <v>73</v>
      </c>
      <c r="AT494" s="463">
        <v>97</v>
      </c>
      <c r="AU494" s="463">
        <v>43</v>
      </c>
      <c r="AV494" s="463">
        <v>47</v>
      </c>
      <c r="AW494" s="463">
        <v>57</v>
      </c>
      <c r="AX494" s="463">
        <v>6</v>
      </c>
      <c r="AY494" s="463">
        <v>93</v>
      </c>
      <c r="AZ494" s="463">
        <v>18</v>
      </c>
      <c r="BA494" s="463">
        <v>77</v>
      </c>
      <c r="BB494" s="463">
        <v>26</v>
      </c>
      <c r="BC494" s="463">
        <v>21</v>
      </c>
      <c r="BD494" s="463">
        <v>59</v>
      </c>
      <c r="BE494" s="463">
        <v>44</v>
      </c>
      <c r="BF494" s="463">
        <v>87</v>
      </c>
      <c r="BG494" s="463">
        <v>71</v>
      </c>
      <c r="BH494" s="463">
        <v>1</v>
      </c>
      <c r="BI494" s="463">
        <v>45</v>
      </c>
      <c r="BJ494" s="463">
        <v>92</v>
      </c>
      <c r="BK494" s="463">
        <v>55</v>
      </c>
      <c r="BL494" s="463">
        <v>66</v>
      </c>
      <c r="BM494" s="463">
        <v>98</v>
      </c>
      <c r="BN494" s="463">
        <v>49</v>
      </c>
      <c r="BO494" s="463">
        <v>35</v>
      </c>
      <c r="BP494" s="463">
        <v>99</v>
      </c>
      <c r="BQ494" s="463">
        <v>94</v>
      </c>
      <c r="BR494" s="463">
        <v>86</v>
      </c>
      <c r="BS494" s="463">
        <v>39</v>
      </c>
      <c r="BT494" s="463">
        <v>33</v>
      </c>
      <c r="BU494" s="463">
        <v>72</v>
      </c>
      <c r="BV494" s="463">
        <v>61</v>
      </c>
      <c r="BW494" s="463">
        <v>68</v>
      </c>
      <c r="BX494" s="463">
        <v>10</v>
      </c>
      <c r="BY494" s="463">
        <v>40</v>
      </c>
      <c r="BZ494" s="463">
        <v>34</v>
      </c>
      <c r="CA494" s="463">
        <v>90</v>
      </c>
      <c r="CB494" s="463">
        <v>41</v>
      </c>
      <c r="CC494" s="463">
        <v>15</v>
      </c>
      <c r="CD494" s="463">
        <v>8</v>
      </c>
      <c r="CE494" s="463">
        <v>24</v>
      </c>
      <c r="CF494" s="463">
        <v>46</v>
      </c>
      <c r="CG494" s="463">
        <v>96</v>
      </c>
      <c r="CH494" s="463">
        <v>50</v>
      </c>
      <c r="CI494" s="463">
        <v>63</v>
      </c>
      <c r="CJ494" s="463">
        <v>84</v>
      </c>
      <c r="CK494" s="463">
        <v>3</v>
      </c>
      <c r="CL494" s="463">
        <v>42</v>
      </c>
      <c r="CM494" s="463">
        <v>4</v>
      </c>
      <c r="CN494" s="463">
        <v>53</v>
      </c>
      <c r="CO494" s="463">
        <v>85</v>
      </c>
      <c r="CP494" s="463">
        <v>67</v>
      </c>
      <c r="CR494" s="463">
        <v>80</v>
      </c>
      <c r="CS494" s="463">
        <v>38</v>
      </c>
      <c r="CT494" s="463">
        <v>14</v>
      </c>
      <c r="CU494" s="463">
        <v>62</v>
      </c>
      <c r="CW494" s="463">
        <v>70</v>
      </c>
      <c r="CX494" s="463">
        <v>9</v>
      </c>
      <c r="CY494" s="463">
        <v>74</v>
      </c>
      <c r="CZ494" s="463">
        <v>22</v>
      </c>
      <c r="DB494" s="463">
        <v>79</v>
      </c>
      <c r="DC494" s="463">
        <v>13</v>
      </c>
      <c r="DD494" s="463">
        <v>52</v>
      </c>
      <c r="DE494" s="463">
        <v>31</v>
      </c>
    </row>
    <row r="497" spans="4:109" x14ac:dyDescent="0.2">
      <c r="D497" s="307">
        <v>102</v>
      </c>
      <c r="E497" s="307" t="s">
        <v>248</v>
      </c>
    </row>
    <row r="498" spans="4:109" x14ac:dyDescent="0.2">
      <c r="E498" s="463" t="s">
        <v>196</v>
      </c>
      <c r="F498" s="463">
        <v>1</v>
      </c>
      <c r="G498" s="463">
        <v>2</v>
      </c>
      <c r="H498" s="463">
        <v>3</v>
      </c>
      <c r="I498" s="463">
        <v>4</v>
      </c>
      <c r="J498" s="463">
        <v>5</v>
      </c>
      <c r="K498" s="463">
        <v>6</v>
      </c>
      <c r="L498" s="463">
        <v>7</v>
      </c>
      <c r="M498" s="463">
        <v>8</v>
      </c>
      <c r="N498" s="463">
        <v>9</v>
      </c>
      <c r="O498" s="463">
        <v>10</v>
      </c>
      <c r="P498" s="463">
        <v>11</v>
      </c>
      <c r="Q498" s="463">
        <v>12</v>
      </c>
      <c r="R498" s="463">
        <v>13</v>
      </c>
      <c r="S498" s="463">
        <v>14</v>
      </c>
      <c r="T498" s="463">
        <v>15</v>
      </c>
      <c r="U498" s="463">
        <v>16</v>
      </c>
      <c r="V498" s="463">
        <v>17</v>
      </c>
      <c r="W498" s="463">
        <v>18</v>
      </c>
      <c r="X498" s="463">
        <v>19</v>
      </c>
      <c r="Y498" s="463">
        <v>20</v>
      </c>
      <c r="Z498" s="463">
        <v>21</v>
      </c>
      <c r="AA498" s="463">
        <v>22</v>
      </c>
      <c r="AB498" s="463">
        <v>23</v>
      </c>
      <c r="AC498" s="463">
        <v>24</v>
      </c>
      <c r="AD498" s="463">
        <v>25</v>
      </c>
      <c r="AE498" s="463">
        <v>26</v>
      </c>
      <c r="AF498" s="463">
        <v>27</v>
      </c>
      <c r="AG498" s="463">
        <v>28</v>
      </c>
      <c r="AH498" s="463">
        <v>29</v>
      </c>
      <c r="AI498" s="463">
        <v>30</v>
      </c>
      <c r="AJ498" s="463">
        <v>31</v>
      </c>
      <c r="AK498" s="463">
        <v>32</v>
      </c>
      <c r="AL498" s="463">
        <v>33</v>
      </c>
      <c r="AM498" s="463">
        <v>34</v>
      </c>
      <c r="AN498" s="463">
        <v>35</v>
      </c>
      <c r="AO498" s="463">
        <v>36</v>
      </c>
      <c r="AP498" s="463">
        <v>37</v>
      </c>
      <c r="AQ498" s="463">
        <v>38</v>
      </c>
      <c r="AR498" s="463">
        <v>39</v>
      </c>
      <c r="AS498" s="463">
        <v>40</v>
      </c>
      <c r="AT498" s="463">
        <v>41</v>
      </c>
      <c r="AU498" s="463">
        <v>42</v>
      </c>
      <c r="AV498" s="463">
        <v>43</v>
      </c>
      <c r="AW498" s="463">
        <v>44</v>
      </c>
      <c r="AX498" s="463">
        <v>45</v>
      </c>
      <c r="AY498" s="463">
        <v>46</v>
      </c>
      <c r="AZ498" s="463">
        <v>47</v>
      </c>
      <c r="BA498" s="463">
        <v>48</v>
      </c>
      <c r="BB498" s="463">
        <v>49</v>
      </c>
      <c r="BC498" s="463">
        <v>50</v>
      </c>
      <c r="BD498" s="463">
        <v>51</v>
      </c>
      <c r="BE498" s="463">
        <v>52</v>
      </c>
      <c r="BF498" s="463">
        <v>53</v>
      </c>
      <c r="BG498" s="463">
        <v>54</v>
      </c>
      <c r="BH498" s="463">
        <v>55</v>
      </c>
      <c r="BI498" s="463">
        <v>56</v>
      </c>
      <c r="BJ498" s="463">
        <v>57</v>
      </c>
      <c r="BK498" s="463">
        <v>58</v>
      </c>
      <c r="BL498" s="463">
        <v>59</v>
      </c>
      <c r="BM498" s="463">
        <v>60</v>
      </c>
      <c r="BN498" s="463">
        <v>61</v>
      </c>
      <c r="BO498" s="463">
        <v>62</v>
      </c>
      <c r="BP498" s="463">
        <v>63</v>
      </c>
      <c r="BQ498" s="463">
        <v>64</v>
      </c>
      <c r="BR498" s="463">
        <v>65</v>
      </c>
      <c r="BS498" s="463">
        <v>66</v>
      </c>
      <c r="BT498" s="463">
        <v>67</v>
      </c>
      <c r="BU498" s="463">
        <v>68</v>
      </c>
      <c r="BV498" s="463">
        <v>69</v>
      </c>
      <c r="BW498" s="463">
        <v>70</v>
      </c>
      <c r="BX498" s="463">
        <v>71</v>
      </c>
      <c r="BY498" s="463">
        <v>72</v>
      </c>
      <c r="BZ498" s="463">
        <v>73</v>
      </c>
      <c r="CA498" s="463">
        <v>74</v>
      </c>
      <c r="CB498" s="463">
        <v>75</v>
      </c>
      <c r="CC498" s="463">
        <v>76</v>
      </c>
      <c r="CD498" s="463">
        <v>77</v>
      </c>
      <c r="CE498" s="463">
        <v>78</v>
      </c>
      <c r="CF498" s="463">
        <v>79</v>
      </c>
      <c r="CG498" s="463">
        <v>80</v>
      </c>
      <c r="CH498" s="463">
        <v>81</v>
      </c>
      <c r="CI498" s="463">
        <v>82</v>
      </c>
      <c r="CJ498" s="463">
        <v>83</v>
      </c>
      <c r="CK498" s="463">
        <v>84</v>
      </c>
      <c r="CL498" s="463">
        <v>85</v>
      </c>
      <c r="CM498" s="463">
        <v>86</v>
      </c>
      <c r="CN498" s="463">
        <v>87</v>
      </c>
      <c r="CO498" s="463">
        <v>88</v>
      </c>
      <c r="CP498" s="463">
        <v>89</v>
      </c>
      <c r="CQ498" s="463">
        <v>90</v>
      </c>
      <c r="CR498" s="463">
        <v>91</v>
      </c>
      <c r="CS498" s="463">
        <v>92</v>
      </c>
      <c r="CT498" s="463">
        <v>93</v>
      </c>
      <c r="CU498" s="463">
        <v>94</v>
      </c>
      <c r="CW498" s="463">
        <v>95</v>
      </c>
      <c r="CX498" s="463">
        <v>96</v>
      </c>
      <c r="CY498" s="463">
        <v>97</v>
      </c>
      <c r="CZ498" s="463">
        <v>98</v>
      </c>
      <c r="DB498" s="463">
        <v>99</v>
      </c>
      <c r="DC498" s="463">
        <v>100</v>
      </c>
      <c r="DD498" s="463">
        <v>101</v>
      </c>
      <c r="DE498" s="463">
        <v>102</v>
      </c>
    </row>
    <row r="499" spans="4:109" x14ac:dyDescent="0.2">
      <c r="E499" s="463" t="s">
        <v>230</v>
      </c>
      <c r="F499" s="463">
        <v>45</v>
      </c>
      <c r="G499" s="463">
        <v>8</v>
      </c>
      <c r="H499" s="463">
        <v>35</v>
      </c>
      <c r="I499" s="463">
        <v>53</v>
      </c>
      <c r="J499" s="463">
        <v>87</v>
      </c>
      <c r="K499" s="463">
        <v>25</v>
      </c>
      <c r="L499" s="463">
        <v>34</v>
      </c>
      <c r="M499" s="463">
        <v>77</v>
      </c>
      <c r="N499" s="463">
        <v>71</v>
      </c>
      <c r="O499" s="463">
        <v>95</v>
      </c>
      <c r="P499" s="463">
        <v>74</v>
      </c>
      <c r="Q499" s="463">
        <v>84</v>
      </c>
      <c r="R499" s="463">
        <v>27</v>
      </c>
      <c r="S499" s="463">
        <v>31</v>
      </c>
      <c r="T499" s="463">
        <v>67</v>
      </c>
      <c r="U499" s="463">
        <v>98</v>
      </c>
      <c r="V499" s="463">
        <v>13</v>
      </c>
      <c r="W499" s="463">
        <v>9</v>
      </c>
      <c r="X499" s="463">
        <v>42</v>
      </c>
      <c r="Y499" s="463">
        <v>26</v>
      </c>
      <c r="Z499" s="463">
        <v>65</v>
      </c>
      <c r="AA499" s="463">
        <v>88</v>
      </c>
      <c r="AB499" s="463">
        <v>52</v>
      </c>
      <c r="AC499" s="463">
        <v>68</v>
      </c>
      <c r="AD499" s="463">
        <v>101</v>
      </c>
      <c r="AE499" s="463">
        <v>94</v>
      </c>
      <c r="AF499" s="463">
        <v>33</v>
      </c>
      <c r="AG499" s="463">
        <v>44</v>
      </c>
      <c r="AH499" s="463">
        <v>6</v>
      </c>
      <c r="AI499" s="463">
        <v>38</v>
      </c>
      <c r="AJ499" s="463">
        <v>29</v>
      </c>
      <c r="AK499" s="463">
        <v>5</v>
      </c>
      <c r="AL499" s="463">
        <v>57</v>
      </c>
      <c r="AM499" s="463">
        <v>73</v>
      </c>
      <c r="AN499" s="463">
        <v>76</v>
      </c>
      <c r="AO499" s="463">
        <v>20</v>
      </c>
      <c r="AP499" s="463">
        <v>43</v>
      </c>
      <c r="AQ499" s="463">
        <v>4</v>
      </c>
      <c r="AR499" s="463">
        <v>36</v>
      </c>
      <c r="AS499" s="463">
        <v>96</v>
      </c>
      <c r="AT499" s="463">
        <v>85</v>
      </c>
      <c r="AU499" s="463">
        <v>23</v>
      </c>
      <c r="AV499" s="463">
        <v>17</v>
      </c>
      <c r="AW499" s="463">
        <v>41</v>
      </c>
      <c r="AX499" s="463">
        <v>11</v>
      </c>
      <c r="AY499" s="463">
        <v>75</v>
      </c>
      <c r="AZ499" s="463">
        <v>14</v>
      </c>
      <c r="BA499" s="463">
        <v>39</v>
      </c>
      <c r="BB499" s="463">
        <v>66</v>
      </c>
      <c r="BC499" s="463">
        <v>86</v>
      </c>
      <c r="BD499" s="463">
        <v>102</v>
      </c>
      <c r="BE499" s="463">
        <v>48</v>
      </c>
      <c r="BF499" s="463">
        <v>90</v>
      </c>
      <c r="BG499" s="463">
        <v>81</v>
      </c>
      <c r="BH499" s="463">
        <v>92</v>
      </c>
      <c r="BI499" s="463">
        <v>80</v>
      </c>
      <c r="BJ499" s="463">
        <v>63</v>
      </c>
      <c r="BK499" s="463">
        <v>19</v>
      </c>
      <c r="BL499" s="463">
        <v>58</v>
      </c>
      <c r="BM499" s="463">
        <v>91</v>
      </c>
      <c r="BN499" s="463">
        <v>64</v>
      </c>
      <c r="BO499" s="463">
        <v>28</v>
      </c>
      <c r="BP499" s="463">
        <v>24</v>
      </c>
      <c r="BQ499" s="463">
        <v>56</v>
      </c>
      <c r="BR499" s="463">
        <v>2</v>
      </c>
      <c r="BS499" s="463">
        <v>49</v>
      </c>
      <c r="BT499" s="463">
        <v>18</v>
      </c>
      <c r="BU499" s="463">
        <v>40</v>
      </c>
      <c r="BV499" s="463">
        <v>1</v>
      </c>
      <c r="BW499" s="463">
        <v>21</v>
      </c>
      <c r="BX499" s="463">
        <v>89</v>
      </c>
      <c r="BY499" s="463">
        <v>79</v>
      </c>
      <c r="BZ499" s="463">
        <v>32</v>
      </c>
      <c r="CA499" s="463">
        <v>51</v>
      </c>
      <c r="CB499" s="463">
        <v>46</v>
      </c>
      <c r="CC499" s="463">
        <v>55</v>
      </c>
      <c r="CD499" s="463">
        <v>78</v>
      </c>
      <c r="CE499" s="463">
        <v>62</v>
      </c>
      <c r="CF499" s="463">
        <v>72</v>
      </c>
      <c r="CG499" s="463">
        <v>97</v>
      </c>
      <c r="CH499" s="463">
        <v>60</v>
      </c>
      <c r="CI499" s="463">
        <v>93</v>
      </c>
      <c r="CJ499" s="463">
        <v>100</v>
      </c>
      <c r="CK499" s="463">
        <v>12</v>
      </c>
      <c r="CL499" s="463">
        <v>47</v>
      </c>
      <c r="CM499" s="463">
        <v>50</v>
      </c>
      <c r="CN499" s="463">
        <v>59</v>
      </c>
      <c r="CO499" s="463">
        <v>37</v>
      </c>
      <c r="CP499" s="463">
        <v>99</v>
      </c>
      <c r="CQ499" s="463">
        <v>61</v>
      </c>
      <c r="CR499" s="463">
        <v>70</v>
      </c>
      <c r="CS499" s="463">
        <v>3</v>
      </c>
      <c r="CT499" s="463">
        <v>7</v>
      </c>
      <c r="CU499" s="463">
        <v>83</v>
      </c>
      <c r="CW499" s="463">
        <v>10</v>
      </c>
      <c r="CX499" s="463">
        <v>69</v>
      </c>
      <c r="CY499" s="463">
        <v>54</v>
      </c>
      <c r="CZ499" s="463">
        <v>82</v>
      </c>
      <c r="DB499" s="463">
        <v>15</v>
      </c>
      <c r="DC499" s="463">
        <v>30</v>
      </c>
      <c r="DD499" s="463">
        <v>22</v>
      </c>
      <c r="DE499" s="463">
        <v>16</v>
      </c>
    </row>
    <row r="502" spans="4:109" x14ac:dyDescent="0.2">
      <c r="D502" s="307">
        <v>103</v>
      </c>
      <c r="E502" s="307" t="s">
        <v>248</v>
      </c>
    </row>
    <row r="503" spans="4:109" x14ac:dyDescent="0.2">
      <c r="E503" s="463" t="s">
        <v>196</v>
      </c>
      <c r="F503" s="463">
        <v>1</v>
      </c>
      <c r="G503" s="463">
        <v>2</v>
      </c>
      <c r="H503" s="463">
        <v>3</v>
      </c>
      <c r="I503" s="463">
        <v>4</v>
      </c>
      <c r="J503" s="463">
        <v>5</v>
      </c>
      <c r="K503" s="463">
        <v>6</v>
      </c>
      <c r="L503" s="463">
        <v>7</v>
      </c>
      <c r="M503" s="463">
        <v>8</v>
      </c>
      <c r="N503" s="463">
        <v>9</v>
      </c>
      <c r="O503" s="463">
        <v>10</v>
      </c>
      <c r="P503" s="463">
        <v>11</v>
      </c>
      <c r="Q503" s="463">
        <v>12</v>
      </c>
      <c r="R503" s="463">
        <v>13</v>
      </c>
      <c r="S503" s="463">
        <v>14</v>
      </c>
      <c r="T503" s="463">
        <v>15</v>
      </c>
      <c r="U503" s="463">
        <v>16</v>
      </c>
      <c r="V503" s="463">
        <v>17</v>
      </c>
      <c r="W503" s="463">
        <v>18</v>
      </c>
      <c r="X503" s="463">
        <v>19</v>
      </c>
      <c r="Y503" s="463">
        <v>20</v>
      </c>
      <c r="Z503" s="463">
        <v>21</v>
      </c>
      <c r="AA503" s="463">
        <v>22</v>
      </c>
      <c r="AB503" s="463">
        <v>23</v>
      </c>
      <c r="AC503" s="463">
        <v>24</v>
      </c>
      <c r="AD503" s="463">
        <v>25</v>
      </c>
      <c r="AE503" s="463">
        <v>26</v>
      </c>
      <c r="AF503" s="463">
        <v>27</v>
      </c>
      <c r="AG503" s="463">
        <v>28</v>
      </c>
      <c r="AH503" s="463">
        <v>29</v>
      </c>
      <c r="AI503" s="463">
        <v>30</v>
      </c>
      <c r="AJ503" s="463">
        <v>31</v>
      </c>
      <c r="AK503" s="463">
        <v>32</v>
      </c>
      <c r="AL503" s="463">
        <v>33</v>
      </c>
      <c r="AM503" s="463">
        <v>34</v>
      </c>
      <c r="AN503" s="463">
        <v>35</v>
      </c>
      <c r="AO503" s="463">
        <v>36</v>
      </c>
      <c r="AP503" s="463">
        <v>37</v>
      </c>
      <c r="AQ503" s="463">
        <v>38</v>
      </c>
      <c r="AR503" s="463">
        <v>39</v>
      </c>
      <c r="AS503" s="463">
        <v>40</v>
      </c>
      <c r="AT503" s="463">
        <v>41</v>
      </c>
      <c r="AU503" s="463">
        <v>42</v>
      </c>
      <c r="AV503" s="463">
        <v>43</v>
      </c>
      <c r="AW503" s="463">
        <v>44</v>
      </c>
      <c r="AX503" s="463">
        <v>45</v>
      </c>
      <c r="AY503" s="463">
        <v>46</v>
      </c>
      <c r="AZ503" s="463">
        <v>47</v>
      </c>
      <c r="BA503" s="463">
        <v>48</v>
      </c>
      <c r="BB503" s="463">
        <v>49</v>
      </c>
      <c r="BC503" s="463">
        <v>50</v>
      </c>
      <c r="BD503" s="463">
        <v>51</v>
      </c>
      <c r="BE503" s="463">
        <v>52</v>
      </c>
      <c r="BF503" s="463">
        <v>53</v>
      </c>
      <c r="BG503" s="463">
        <v>54</v>
      </c>
      <c r="BH503" s="463">
        <v>55</v>
      </c>
      <c r="BI503" s="463">
        <v>56</v>
      </c>
      <c r="BJ503" s="463">
        <v>57</v>
      </c>
      <c r="BK503" s="463">
        <v>58</v>
      </c>
      <c r="BL503" s="463">
        <v>59</v>
      </c>
      <c r="BM503" s="463">
        <v>60</v>
      </c>
      <c r="BN503" s="463">
        <v>61</v>
      </c>
      <c r="BO503" s="463">
        <v>62</v>
      </c>
      <c r="BP503" s="463">
        <v>63</v>
      </c>
      <c r="BQ503" s="463">
        <v>64</v>
      </c>
      <c r="BR503" s="463">
        <v>65</v>
      </c>
      <c r="BS503" s="463">
        <v>66</v>
      </c>
      <c r="BT503" s="463">
        <v>67</v>
      </c>
      <c r="BU503" s="463">
        <v>68</v>
      </c>
      <c r="BV503" s="463">
        <v>69</v>
      </c>
      <c r="BW503" s="463">
        <v>70</v>
      </c>
      <c r="BX503" s="463">
        <v>71</v>
      </c>
      <c r="BY503" s="463">
        <v>72</v>
      </c>
      <c r="BZ503" s="463">
        <v>73</v>
      </c>
      <c r="CA503" s="463">
        <v>74</v>
      </c>
      <c r="CB503" s="463">
        <v>75</v>
      </c>
      <c r="CC503" s="463">
        <v>76</v>
      </c>
      <c r="CD503" s="463">
        <v>77</v>
      </c>
      <c r="CE503" s="463">
        <v>78</v>
      </c>
      <c r="CF503" s="463">
        <v>79</v>
      </c>
      <c r="CG503" s="463">
        <v>80</v>
      </c>
      <c r="CH503" s="463">
        <v>81</v>
      </c>
      <c r="CI503" s="463">
        <v>82</v>
      </c>
      <c r="CJ503" s="463">
        <v>83</v>
      </c>
      <c r="CK503" s="463">
        <v>84</v>
      </c>
      <c r="CL503" s="463">
        <v>85</v>
      </c>
      <c r="CM503" s="463">
        <v>86</v>
      </c>
      <c r="CN503" s="463">
        <v>87</v>
      </c>
      <c r="CO503" s="463">
        <v>88</v>
      </c>
      <c r="CP503" s="463">
        <v>89</v>
      </c>
      <c r="CQ503" s="463">
        <v>90</v>
      </c>
      <c r="CR503" s="463">
        <v>91</v>
      </c>
      <c r="CS503" s="463">
        <v>92</v>
      </c>
      <c r="CT503" s="463">
        <v>93</v>
      </c>
      <c r="CU503" s="463">
        <v>94</v>
      </c>
      <c r="CV503" s="463">
        <v>95</v>
      </c>
      <c r="CW503" s="463">
        <v>96</v>
      </c>
      <c r="CX503" s="463">
        <v>97</v>
      </c>
      <c r="CY503" s="463">
        <v>98</v>
      </c>
      <c r="CZ503" s="463">
        <v>99</v>
      </c>
      <c r="DB503" s="463">
        <v>100</v>
      </c>
      <c r="DC503" s="463">
        <v>101</v>
      </c>
      <c r="DD503" s="463">
        <v>102</v>
      </c>
      <c r="DE503" s="463">
        <v>103</v>
      </c>
    </row>
    <row r="504" spans="4:109" x14ac:dyDescent="0.2">
      <c r="E504" s="463" t="s">
        <v>230</v>
      </c>
      <c r="F504" s="463">
        <v>74</v>
      </c>
      <c r="G504" s="463">
        <v>78</v>
      </c>
      <c r="H504" s="463">
        <v>17</v>
      </c>
      <c r="I504" s="463">
        <v>100</v>
      </c>
      <c r="J504" s="463">
        <v>56</v>
      </c>
      <c r="K504" s="463">
        <v>64</v>
      </c>
      <c r="L504" s="463">
        <v>93</v>
      </c>
      <c r="M504" s="463">
        <v>29</v>
      </c>
      <c r="N504" s="463">
        <v>46</v>
      </c>
      <c r="O504" s="463">
        <v>67</v>
      </c>
      <c r="P504" s="463">
        <v>24</v>
      </c>
      <c r="Q504" s="463">
        <v>45</v>
      </c>
      <c r="R504" s="463">
        <v>75</v>
      </c>
      <c r="S504" s="463">
        <v>3</v>
      </c>
      <c r="T504" s="463">
        <v>66</v>
      </c>
      <c r="U504" s="463">
        <v>85</v>
      </c>
      <c r="V504" s="463">
        <v>95</v>
      </c>
      <c r="W504" s="463">
        <v>30</v>
      </c>
      <c r="X504" s="463">
        <v>8</v>
      </c>
      <c r="Y504" s="463">
        <v>43</v>
      </c>
      <c r="Z504" s="463">
        <v>60</v>
      </c>
      <c r="AA504" s="463">
        <v>69</v>
      </c>
      <c r="AB504" s="463">
        <v>42</v>
      </c>
      <c r="AC504" s="463">
        <v>81</v>
      </c>
      <c r="AD504" s="463">
        <v>48</v>
      </c>
      <c r="AE504" s="463">
        <v>80</v>
      </c>
      <c r="AF504" s="463">
        <v>102</v>
      </c>
      <c r="AG504" s="463">
        <v>27</v>
      </c>
      <c r="AH504" s="463">
        <v>36</v>
      </c>
      <c r="AI504" s="463">
        <v>11</v>
      </c>
      <c r="AJ504" s="463">
        <v>15</v>
      </c>
      <c r="AK504" s="463">
        <v>98</v>
      </c>
      <c r="AL504" s="463">
        <v>82</v>
      </c>
      <c r="AM504" s="463">
        <v>63</v>
      </c>
      <c r="AN504" s="463">
        <v>18</v>
      </c>
      <c r="AO504" s="463">
        <v>54</v>
      </c>
      <c r="AP504" s="463">
        <v>58</v>
      </c>
      <c r="AQ504" s="463">
        <v>84</v>
      </c>
      <c r="AR504" s="463">
        <v>87</v>
      </c>
      <c r="AS504" s="463">
        <v>92</v>
      </c>
      <c r="AT504" s="463">
        <v>25</v>
      </c>
      <c r="AU504" s="463">
        <v>33</v>
      </c>
      <c r="AV504" s="463">
        <v>90</v>
      </c>
      <c r="AW504" s="463">
        <v>41</v>
      </c>
      <c r="AX504" s="463">
        <v>6</v>
      </c>
      <c r="AY504" s="463">
        <v>65</v>
      </c>
      <c r="AZ504" s="463">
        <v>20</v>
      </c>
      <c r="BA504" s="463">
        <v>72</v>
      </c>
      <c r="BB504" s="463">
        <v>86</v>
      </c>
      <c r="BC504" s="463">
        <v>51</v>
      </c>
      <c r="BD504" s="463">
        <v>14</v>
      </c>
      <c r="BE504" s="463">
        <v>28</v>
      </c>
      <c r="BF504" s="463">
        <v>103</v>
      </c>
      <c r="BG504" s="463">
        <v>68</v>
      </c>
      <c r="BH504" s="463">
        <v>31</v>
      </c>
      <c r="BI504" s="463">
        <v>9</v>
      </c>
      <c r="BJ504" s="463">
        <v>83</v>
      </c>
      <c r="BK504" s="463">
        <v>101</v>
      </c>
      <c r="BL504" s="463">
        <v>62</v>
      </c>
      <c r="BM504" s="463">
        <v>26</v>
      </c>
      <c r="BN504" s="463">
        <v>40</v>
      </c>
      <c r="BO504" s="463">
        <v>53</v>
      </c>
      <c r="BP504" s="463">
        <v>34</v>
      </c>
      <c r="BQ504" s="463">
        <v>61</v>
      </c>
      <c r="BR504" s="463">
        <v>21</v>
      </c>
      <c r="BS504" s="463">
        <v>89</v>
      </c>
      <c r="BT504" s="463">
        <v>10</v>
      </c>
      <c r="BU504" s="463">
        <v>22</v>
      </c>
      <c r="BV504" s="463">
        <v>91</v>
      </c>
      <c r="BW504" s="463">
        <v>32</v>
      </c>
      <c r="BX504" s="463">
        <v>55</v>
      </c>
      <c r="BY504" s="463">
        <v>38</v>
      </c>
      <c r="BZ504" s="463">
        <v>97</v>
      </c>
      <c r="CA504" s="463">
        <v>2</v>
      </c>
      <c r="CB504" s="463">
        <v>13</v>
      </c>
      <c r="CC504" s="463">
        <v>99</v>
      </c>
      <c r="CD504" s="463">
        <v>39</v>
      </c>
      <c r="CE504" s="463">
        <v>44</v>
      </c>
      <c r="CF504" s="463">
        <v>73</v>
      </c>
      <c r="CG504" s="463">
        <v>47</v>
      </c>
      <c r="CH504" s="463">
        <v>94</v>
      </c>
      <c r="CI504" s="463">
        <v>23</v>
      </c>
      <c r="CJ504" s="463">
        <v>50</v>
      </c>
      <c r="CK504" s="463">
        <v>96</v>
      </c>
      <c r="CL504" s="463">
        <v>16</v>
      </c>
      <c r="CM504" s="463">
        <v>49</v>
      </c>
      <c r="CN504" s="463">
        <v>59</v>
      </c>
      <c r="CO504" s="463">
        <v>12</v>
      </c>
      <c r="CP504" s="463">
        <v>52</v>
      </c>
      <c r="CQ504" s="463">
        <v>1</v>
      </c>
      <c r="CR504" s="463">
        <v>5</v>
      </c>
      <c r="CS504" s="463">
        <v>88</v>
      </c>
      <c r="CT504" s="463">
        <v>7</v>
      </c>
      <c r="CU504" s="463">
        <v>77</v>
      </c>
      <c r="CV504" s="463">
        <v>71</v>
      </c>
      <c r="CW504" s="463">
        <v>79</v>
      </c>
      <c r="CX504" s="463">
        <v>70</v>
      </c>
      <c r="CY504" s="463">
        <v>37</v>
      </c>
      <c r="CZ504" s="463">
        <v>57</v>
      </c>
      <c r="DB504" s="463">
        <v>4</v>
      </c>
      <c r="DC504" s="463">
        <v>19</v>
      </c>
      <c r="DD504" s="463">
        <v>35</v>
      </c>
      <c r="DE504" s="463">
        <v>76</v>
      </c>
    </row>
    <row r="507" spans="4:109" x14ac:dyDescent="0.2">
      <c r="D507" s="307">
        <v>104</v>
      </c>
      <c r="E507" s="307" t="s">
        <v>248</v>
      </c>
    </row>
    <row r="508" spans="4:109" x14ac:dyDescent="0.2">
      <c r="E508" s="463" t="s">
        <v>196</v>
      </c>
      <c r="F508" s="463">
        <v>1</v>
      </c>
      <c r="G508" s="463">
        <v>2</v>
      </c>
      <c r="H508" s="463">
        <v>3</v>
      </c>
      <c r="I508" s="463">
        <v>4</v>
      </c>
      <c r="J508" s="463">
        <v>5</v>
      </c>
      <c r="K508" s="463">
        <v>6</v>
      </c>
      <c r="L508" s="463">
        <v>7</v>
      </c>
      <c r="M508" s="463">
        <v>8</v>
      </c>
      <c r="N508" s="463">
        <v>9</v>
      </c>
      <c r="O508" s="463">
        <v>10</v>
      </c>
      <c r="P508" s="463">
        <v>11</v>
      </c>
      <c r="Q508" s="463">
        <v>12</v>
      </c>
      <c r="R508" s="463">
        <v>13</v>
      </c>
      <c r="S508" s="463">
        <v>14</v>
      </c>
      <c r="T508" s="463">
        <v>15</v>
      </c>
      <c r="U508" s="463">
        <v>16</v>
      </c>
      <c r="V508" s="463">
        <v>17</v>
      </c>
      <c r="W508" s="463">
        <v>18</v>
      </c>
      <c r="X508" s="463">
        <v>19</v>
      </c>
      <c r="Y508" s="463">
        <v>20</v>
      </c>
      <c r="Z508" s="463">
        <v>21</v>
      </c>
      <c r="AA508" s="463">
        <v>22</v>
      </c>
      <c r="AB508" s="463">
        <v>23</v>
      </c>
      <c r="AC508" s="463">
        <v>24</v>
      </c>
      <c r="AD508" s="463">
        <v>25</v>
      </c>
      <c r="AE508" s="463">
        <v>26</v>
      </c>
      <c r="AF508" s="463">
        <v>27</v>
      </c>
      <c r="AG508" s="463">
        <v>28</v>
      </c>
      <c r="AH508" s="463">
        <v>29</v>
      </c>
      <c r="AI508" s="463">
        <v>30</v>
      </c>
      <c r="AJ508" s="463">
        <v>31</v>
      </c>
      <c r="AK508" s="463">
        <v>32</v>
      </c>
      <c r="AL508" s="463">
        <v>33</v>
      </c>
      <c r="AM508" s="463">
        <v>34</v>
      </c>
      <c r="AN508" s="463">
        <v>35</v>
      </c>
      <c r="AO508" s="463">
        <v>36</v>
      </c>
      <c r="AP508" s="463">
        <v>37</v>
      </c>
      <c r="AQ508" s="463">
        <v>38</v>
      </c>
      <c r="AR508" s="463">
        <v>39</v>
      </c>
      <c r="AS508" s="463">
        <v>40</v>
      </c>
      <c r="AT508" s="463">
        <v>41</v>
      </c>
      <c r="AU508" s="463">
        <v>42</v>
      </c>
      <c r="AV508" s="463">
        <v>43</v>
      </c>
      <c r="AW508" s="463">
        <v>44</v>
      </c>
      <c r="AX508" s="463">
        <v>45</v>
      </c>
      <c r="AY508" s="463">
        <v>46</v>
      </c>
      <c r="AZ508" s="463">
        <v>47</v>
      </c>
      <c r="BA508" s="463">
        <v>48</v>
      </c>
      <c r="BB508" s="463">
        <v>49</v>
      </c>
      <c r="BC508" s="463">
        <v>50</v>
      </c>
      <c r="BD508" s="463">
        <v>51</v>
      </c>
      <c r="BE508" s="463">
        <v>52</v>
      </c>
      <c r="BF508" s="463">
        <v>53</v>
      </c>
      <c r="BG508" s="463">
        <v>54</v>
      </c>
      <c r="BH508" s="463">
        <v>55</v>
      </c>
      <c r="BI508" s="463">
        <v>56</v>
      </c>
      <c r="BJ508" s="463">
        <v>57</v>
      </c>
      <c r="BK508" s="463">
        <v>58</v>
      </c>
      <c r="BL508" s="463">
        <v>59</v>
      </c>
      <c r="BM508" s="463">
        <v>60</v>
      </c>
      <c r="BN508" s="463">
        <v>61</v>
      </c>
      <c r="BO508" s="463">
        <v>62</v>
      </c>
      <c r="BP508" s="463">
        <v>63</v>
      </c>
      <c r="BQ508" s="463">
        <v>64</v>
      </c>
      <c r="BR508" s="463">
        <v>65</v>
      </c>
      <c r="BS508" s="463">
        <v>66</v>
      </c>
      <c r="BT508" s="463">
        <v>67</v>
      </c>
      <c r="BU508" s="463">
        <v>68</v>
      </c>
      <c r="BV508" s="463">
        <v>69</v>
      </c>
      <c r="BW508" s="463">
        <v>70</v>
      </c>
      <c r="BX508" s="463">
        <v>71</v>
      </c>
      <c r="BY508" s="463">
        <v>72</v>
      </c>
      <c r="BZ508" s="463">
        <v>73</v>
      </c>
      <c r="CA508" s="463">
        <v>74</v>
      </c>
      <c r="CB508" s="463">
        <v>75</v>
      </c>
      <c r="CC508" s="463">
        <v>76</v>
      </c>
      <c r="CD508" s="463">
        <v>77</v>
      </c>
      <c r="CE508" s="463">
        <v>78</v>
      </c>
      <c r="CF508" s="463">
        <v>79</v>
      </c>
      <c r="CG508" s="463">
        <v>80</v>
      </c>
      <c r="CH508" s="463">
        <v>81</v>
      </c>
      <c r="CI508" s="463">
        <v>82</v>
      </c>
      <c r="CJ508" s="463">
        <v>83</v>
      </c>
      <c r="CK508" s="463">
        <v>84</v>
      </c>
      <c r="CL508" s="463">
        <v>85</v>
      </c>
      <c r="CM508" s="463">
        <v>86</v>
      </c>
      <c r="CN508" s="463">
        <v>87</v>
      </c>
      <c r="CO508" s="463">
        <v>88</v>
      </c>
      <c r="CP508" s="463">
        <v>89</v>
      </c>
      <c r="CQ508" s="463">
        <v>90</v>
      </c>
      <c r="CR508" s="463">
        <v>91</v>
      </c>
      <c r="CS508" s="463">
        <v>92</v>
      </c>
      <c r="CT508" s="463">
        <v>93</v>
      </c>
      <c r="CU508" s="463">
        <v>94</v>
      </c>
      <c r="CV508" s="463">
        <v>95</v>
      </c>
      <c r="CW508" s="463">
        <v>96</v>
      </c>
      <c r="CX508" s="463">
        <v>97</v>
      </c>
      <c r="CY508" s="463">
        <v>98</v>
      </c>
      <c r="CZ508" s="463">
        <v>99</v>
      </c>
      <c r="DA508" s="463">
        <v>100</v>
      </c>
      <c r="DB508" s="463">
        <v>101</v>
      </c>
      <c r="DC508" s="463">
        <v>102</v>
      </c>
      <c r="DD508" s="463">
        <v>103</v>
      </c>
      <c r="DE508" s="463">
        <v>104</v>
      </c>
    </row>
    <row r="509" spans="4:109" x14ac:dyDescent="0.2">
      <c r="E509" s="463" t="s">
        <v>230</v>
      </c>
      <c r="F509" s="463">
        <v>29</v>
      </c>
      <c r="G509" s="463">
        <v>99</v>
      </c>
      <c r="H509" s="463">
        <v>89</v>
      </c>
      <c r="I509" s="463">
        <v>76</v>
      </c>
      <c r="J509" s="463">
        <v>83</v>
      </c>
      <c r="K509" s="463">
        <v>80</v>
      </c>
      <c r="L509" s="463">
        <v>98</v>
      </c>
      <c r="M509" s="463">
        <v>82</v>
      </c>
      <c r="N509" s="463">
        <v>51</v>
      </c>
      <c r="O509" s="463">
        <v>13</v>
      </c>
      <c r="P509" s="463">
        <v>34</v>
      </c>
      <c r="Q509" s="463">
        <v>93</v>
      </c>
      <c r="R509" s="463">
        <v>70</v>
      </c>
      <c r="S509" s="463">
        <v>78</v>
      </c>
      <c r="T509" s="463">
        <v>16</v>
      </c>
      <c r="U509" s="463">
        <v>69</v>
      </c>
      <c r="V509" s="463">
        <v>45</v>
      </c>
      <c r="W509" s="463">
        <v>72</v>
      </c>
      <c r="X509" s="463">
        <v>27</v>
      </c>
      <c r="Y509" s="463">
        <v>2</v>
      </c>
      <c r="Z509" s="463">
        <v>50</v>
      </c>
      <c r="AA509" s="463">
        <v>8</v>
      </c>
      <c r="AB509" s="463">
        <v>42</v>
      </c>
      <c r="AC509" s="463">
        <v>11</v>
      </c>
      <c r="AD509" s="463">
        <v>21</v>
      </c>
      <c r="AE509" s="463">
        <v>39</v>
      </c>
      <c r="AF509" s="463">
        <v>15</v>
      </c>
      <c r="AG509" s="463">
        <v>67</v>
      </c>
      <c r="AH509" s="463">
        <v>92</v>
      </c>
      <c r="AI509" s="463">
        <v>46</v>
      </c>
      <c r="AJ509" s="463">
        <v>4</v>
      </c>
      <c r="AK509" s="463">
        <v>88</v>
      </c>
      <c r="AL509" s="463">
        <v>52</v>
      </c>
      <c r="AM509" s="463">
        <v>91</v>
      </c>
      <c r="AN509" s="463">
        <v>63</v>
      </c>
      <c r="AO509" s="463">
        <v>79</v>
      </c>
      <c r="AP509" s="463">
        <v>3</v>
      </c>
      <c r="AQ509" s="463">
        <v>57</v>
      </c>
      <c r="AR509" s="463">
        <v>37</v>
      </c>
      <c r="AS509" s="463">
        <v>6</v>
      </c>
      <c r="AT509" s="463">
        <v>55</v>
      </c>
      <c r="AU509" s="463">
        <v>24</v>
      </c>
      <c r="AV509" s="463">
        <v>64</v>
      </c>
      <c r="AW509" s="463">
        <v>86</v>
      </c>
      <c r="AX509" s="463">
        <v>66</v>
      </c>
      <c r="AY509" s="463">
        <v>104</v>
      </c>
      <c r="AZ509" s="463">
        <v>73</v>
      </c>
      <c r="BA509" s="463">
        <v>40</v>
      </c>
      <c r="BB509" s="463">
        <v>58</v>
      </c>
      <c r="BC509" s="463">
        <v>81</v>
      </c>
      <c r="BD509" s="463">
        <v>59</v>
      </c>
      <c r="BE509" s="463">
        <v>28</v>
      </c>
      <c r="BF509" s="463">
        <v>12</v>
      </c>
      <c r="BG509" s="463">
        <v>61</v>
      </c>
      <c r="BH509" s="463">
        <v>41</v>
      </c>
      <c r="BI509" s="463">
        <v>20</v>
      </c>
      <c r="BJ509" s="463">
        <v>68</v>
      </c>
      <c r="BK509" s="463">
        <v>49</v>
      </c>
      <c r="BL509" s="463">
        <v>23</v>
      </c>
      <c r="BM509" s="463">
        <v>43</v>
      </c>
      <c r="BN509" s="463">
        <v>54</v>
      </c>
      <c r="BO509" s="463">
        <v>85</v>
      </c>
      <c r="BP509" s="463">
        <v>44</v>
      </c>
      <c r="BQ509" s="463">
        <v>18</v>
      </c>
      <c r="BR509" s="463">
        <v>101</v>
      </c>
      <c r="BS509" s="463">
        <v>14</v>
      </c>
      <c r="BT509" s="463">
        <v>33</v>
      </c>
      <c r="BU509" s="463">
        <v>90</v>
      </c>
      <c r="BV509" s="463">
        <v>22</v>
      </c>
      <c r="BW509" s="463">
        <v>102</v>
      </c>
      <c r="BX509" s="463">
        <v>95</v>
      </c>
      <c r="BY509" s="463">
        <v>25</v>
      </c>
      <c r="BZ509" s="463">
        <v>35</v>
      </c>
      <c r="CA509" s="463">
        <v>97</v>
      </c>
      <c r="CB509" s="463">
        <v>17</v>
      </c>
      <c r="CC509" s="463">
        <v>100</v>
      </c>
      <c r="CD509" s="463">
        <v>60</v>
      </c>
      <c r="CE509" s="463">
        <v>7</v>
      </c>
      <c r="CF509" s="463">
        <v>36</v>
      </c>
      <c r="CG509" s="463">
        <v>48</v>
      </c>
      <c r="CH509" s="463">
        <v>94</v>
      </c>
      <c r="CI509" s="463">
        <v>38</v>
      </c>
      <c r="CJ509" s="463">
        <v>5</v>
      </c>
      <c r="CK509" s="463">
        <v>71</v>
      </c>
      <c r="CL509" s="463">
        <v>26</v>
      </c>
      <c r="CM509" s="463">
        <v>75</v>
      </c>
      <c r="CN509" s="463">
        <v>84</v>
      </c>
      <c r="CO509" s="463">
        <v>32</v>
      </c>
      <c r="CP509" s="463">
        <v>103</v>
      </c>
      <c r="CQ509" s="463">
        <v>56</v>
      </c>
      <c r="CR509" s="463">
        <v>30</v>
      </c>
      <c r="CS509" s="463">
        <v>53</v>
      </c>
      <c r="CT509" s="463">
        <v>77</v>
      </c>
      <c r="CU509" s="463">
        <v>62</v>
      </c>
      <c r="CV509" s="463">
        <v>31</v>
      </c>
      <c r="CW509" s="463">
        <v>10</v>
      </c>
      <c r="CX509" s="463">
        <v>74</v>
      </c>
      <c r="CY509" s="463">
        <v>47</v>
      </c>
      <c r="CZ509" s="463">
        <v>1</v>
      </c>
      <c r="DA509" s="463">
        <v>96</v>
      </c>
      <c r="DB509" s="463">
        <v>65</v>
      </c>
      <c r="DC509" s="463">
        <v>9</v>
      </c>
      <c r="DD509" s="463">
        <v>19</v>
      </c>
      <c r="DE509" s="463">
        <v>87</v>
      </c>
    </row>
    <row r="512" spans="4:109" x14ac:dyDescent="0.2">
      <c r="D512" s="307">
        <v>105</v>
      </c>
      <c r="E512" s="307" t="s">
        <v>248</v>
      </c>
    </row>
    <row r="513" spans="4:114" x14ac:dyDescent="0.2">
      <c r="E513" s="463" t="s">
        <v>196</v>
      </c>
      <c r="F513" s="463">
        <v>1</v>
      </c>
      <c r="G513" s="463">
        <v>2</v>
      </c>
      <c r="H513" s="463">
        <v>3</v>
      </c>
      <c r="I513" s="463">
        <v>4</v>
      </c>
      <c r="J513" s="463">
        <v>5</v>
      </c>
      <c r="K513" s="463">
        <v>6</v>
      </c>
      <c r="L513" s="463">
        <v>7</v>
      </c>
      <c r="M513" s="463">
        <v>8</v>
      </c>
      <c r="N513" s="463">
        <v>9</v>
      </c>
      <c r="O513" s="463">
        <v>10</v>
      </c>
      <c r="P513" s="463">
        <v>11</v>
      </c>
      <c r="Q513" s="463">
        <v>12</v>
      </c>
      <c r="R513" s="463">
        <v>13</v>
      </c>
      <c r="S513" s="463">
        <v>14</v>
      </c>
      <c r="T513" s="463">
        <v>15</v>
      </c>
      <c r="U513" s="463">
        <v>16</v>
      </c>
      <c r="V513" s="463">
        <v>17</v>
      </c>
      <c r="W513" s="463">
        <v>18</v>
      </c>
      <c r="X513" s="463">
        <v>19</v>
      </c>
      <c r="Y513" s="463">
        <v>20</v>
      </c>
      <c r="Z513" s="463">
        <v>21</v>
      </c>
      <c r="AA513" s="463">
        <v>22</v>
      </c>
      <c r="AB513" s="463">
        <v>23</v>
      </c>
      <c r="AC513" s="463">
        <v>24</v>
      </c>
      <c r="AD513" s="463">
        <v>25</v>
      </c>
      <c r="AE513" s="463">
        <v>26</v>
      </c>
      <c r="AF513" s="463">
        <v>27</v>
      </c>
      <c r="AG513" s="463">
        <v>28</v>
      </c>
      <c r="AH513" s="463">
        <v>29</v>
      </c>
      <c r="AI513" s="463">
        <v>30</v>
      </c>
      <c r="AJ513" s="463">
        <v>31</v>
      </c>
      <c r="AK513" s="463">
        <v>32</v>
      </c>
      <c r="AL513" s="463">
        <v>33</v>
      </c>
      <c r="AM513" s="463">
        <v>34</v>
      </c>
      <c r="AN513" s="463">
        <v>35</v>
      </c>
      <c r="AO513" s="463">
        <v>36</v>
      </c>
      <c r="AP513" s="463">
        <v>37</v>
      </c>
      <c r="AQ513" s="463">
        <v>38</v>
      </c>
      <c r="AR513" s="463">
        <v>39</v>
      </c>
      <c r="AS513" s="463">
        <v>40</v>
      </c>
      <c r="AT513" s="463">
        <v>41</v>
      </c>
      <c r="AU513" s="463">
        <v>42</v>
      </c>
      <c r="AV513" s="463">
        <v>43</v>
      </c>
      <c r="AW513" s="463">
        <v>44</v>
      </c>
      <c r="AX513" s="463">
        <v>45</v>
      </c>
      <c r="AY513" s="463">
        <v>46</v>
      </c>
      <c r="AZ513" s="463">
        <v>47</v>
      </c>
      <c r="BA513" s="463">
        <v>48</v>
      </c>
      <c r="BB513" s="463">
        <v>49</v>
      </c>
      <c r="BC513" s="463">
        <v>50</v>
      </c>
      <c r="BD513" s="463">
        <v>51</v>
      </c>
      <c r="BE513" s="463">
        <v>52</v>
      </c>
      <c r="BF513" s="463">
        <v>53</v>
      </c>
      <c r="BG513" s="463">
        <v>54</v>
      </c>
      <c r="BH513" s="463">
        <v>55</v>
      </c>
      <c r="BI513" s="463">
        <v>56</v>
      </c>
      <c r="BJ513" s="463">
        <v>57</v>
      </c>
      <c r="BK513" s="463">
        <v>58</v>
      </c>
      <c r="BL513" s="463">
        <v>59</v>
      </c>
      <c r="BM513" s="463">
        <v>60</v>
      </c>
      <c r="BN513" s="463">
        <v>61</v>
      </c>
      <c r="BO513" s="463">
        <v>62</v>
      </c>
      <c r="BP513" s="463">
        <v>63</v>
      </c>
      <c r="BQ513" s="463">
        <v>64</v>
      </c>
      <c r="BR513" s="463">
        <v>65</v>
      </c>
      <c r="BS513" s="463">
        <v>66</v>
      </c>
      <c r="BT513" s="463">
        <v>67</v>
      </c>
      <c r="BU513" s="463">
        <v>68</v>
      </c>
      <c r="BV513" s="463">
        <v>69</v>
      </c>
      <c r="BW513" s="463">
        <v>70</v>
      </c>
      <c r="BX513" s="463">
        <v>71</v>
      </c>
      <c r="BY513" s="463">
        <v>72</v>
      </c>
      <c r="BZ513" s="463">
        <v>73</v>
      </c>
      <c r="CA513" s="463">
        <v>74</v>
      </c>
      <c r="CB513" s="463">
        <v>75</v>
      </c>
      <c r="CC513" s="463">
        <v>76</v>
      </c>
      <c r="CD513" s="463">
        <v>77</v>
      </c>
      <c r="CE513" s="463">
        <v>78</v>
      </c>
      <c r="CF513" s="463">
        <v>79</v>
      </c>
      <c r="CG513" s="463">
        <v>80</v>
      </c>
      <c r="CH513" s="463">
        <v>81</v>
      </c>
      <c r="CI513" s="463">
        <v>82</v>
      </c>
      <c r="CJ513" s="463">
        <v>83</v>
      </c>
      <c r="CK513" s="463">
        <v>84</v>
      </c>
      <c r="CL513" s="463">
        <v>85</v>
      </c>
      <c r="CM513" s="463">
        <v>86</v>
      </c>
      <c r="CN513" s="463">
        <v>87</v>
      </c>
      <c r="CO513" s="463">
        <v>88</v>
      </c>
      <c r="CP513" s="463">
        <v>89</v>
      </c>
      <c r="CQ513" s="463">
        <v>90</v>
      </c>
      <c r="CR513" s="463">
        <v>91</v>
      </c>
      <c r="CS513" s="463">
        <v>92</v>
      </c>
      <c r="CT513" s="463">
        <v>93</v>
      </c>
      <c r="CU513" s="463">
        <v>94</v>
      </c>
      <c r="CV513" s="463">
        <v>95</v>
      </c>
      <c r="CW513" s="463">
        <v>96</v>
      </c>
      <c r="CX513" s="463">
        <v>97</v>
      </c>
      <c r="CY513" s="463">
        <v>98</v>
      </c>
      <c r="CZ513" s="463">
        <v>99</v>
      </c>
      <c r="DA513" s="463">
        <v>100</v>
      </c>
      <c r="DB513" s="463">
        <v>101</v>
      </c>
      <c r="DC513" s="463">
        <v>102</v>
      </c>
      <c r="DD513" s="463">
        <v>103</v>
      </c>
      <c r="DE513" s="463">
        <v>104</v>
      </c>
      <c r="DF513" s="463">
        <v>105</v>
      </c>
    </row>
    <row r="514" spans="4:114" x14ac:dyDescent="0.2">
      <c r="E514" s="463" t="s">
        <v>230</v>
      </c>
      <c r="F514" s="463">
        <v>25</v>
      </c>
      <c r="G514" s="463">
        <v>34</v>
      </c>
      <c r="H514" s="463">
        <v>57</v>
      </c>
      <c r="I514" s="463">
        <v>86</v>
      </c>
      <c r="J514" s="463">
        <v>18</v>
      </c>
      <c r="K514" s="463">
        <v>10</v>
      </c>
      <c r="L514" s="463">
        <v>75</v>
      </c>
      <c r="M514" s="463">
        <v>97</v>
      </c>
      <c r="N514" s="463">
        <v>26</v>
      </c>
      <c r="O514" s="463">
        <v>12</v>
      </c>
      <c r="P514" s="463">
        <v>29</v>
      </c>
      <c r="Q514" s="463">
        <v>23</v>
      </c>
      <c r="R514" s="463">
        <v>37</v>
      </c>
      <c r="S514" s="463">
        <v>76</v>
      </c>
      <c r="T514" s="463">
        <v>16</v>
      </c>
      <c r="U514" s="463">
        <v>94</v>
      </c>
      <c r="V514" s="463">
        <v>89</v>
      </c>
      <c r="W514" s="463">
        <v>39</v>
      </c>
      <c r="X514" s="463">
        <v>61</v>
      </c>
      <c r="Y514" s="463">
        <v>41</v>
      </c>
      <c r="Z514" s="463">
        <v>90</v>
      </c>
      <c r="AA514" s="463">
        <v>15</v>
      </c>
      <c r="AB514" s="463">
        <v>80</v>
      </c>
      <c r="AC514" s="463">
        <v>48</v>
      </c>
      <c r="AD514" s="463">
        <v>83</v>
      </c>
      <c r="AE514" s="463">
        <v>100</v>
      </c>
      <c r="AF514" s="463">
        <v>68</v>
      </c>
      <c r="AG514" s="463">
        <v>42</v>
      </c>
      <c r="AH514" s="463">
        <v>63</v>
      </c>
      <c r="AI514" s="463">
        <v>72</v>
      </c>
      <c r="AJ514" s="463">
        <v>99</v>
      </c>
      <c r="AK514" s="463">
        <v>3</v>
      </c>
      <c r="AL514" s="463">
        <v>22</v>
      </c>
      <c r="AM514" s="463">
        <v>93</v>
      </c>
      <c r="AN514" s="463">
        <v>81</v>
      </c>
      <c r="AO514" s="463">
        <v>70</v>
      </c>
      <c r="AP514" s="463">
        <v>8</v>
      </c>
      <c r="AQ514" s="463">
        <v>2</v>
      </c>
      <c r="AR514" s="463">
        <v>102</v>
      </c>
      <c r="AS514" s="463">
        <v>56</v>
      </c>
      <c r="AT514" s="463">
        <v>20</v>
      </c>
      <c r="AU514" s="463">
        <v>95</v>
      </c>
      <c r="AV514" s="463">
        <v>55</v>
      </c>
      <c r="AW514" s="463">
        <v>66</v>
      </c>
      <c r="AX514" s="463">
        <v>96</v>
      </c>
      <c r="AY514" s="463">
        <v>69</v>
      </c>
      <c r="AZ514" s="463">
        <v>88</v>
      </c>
      <c r="BA514" s="463">
        <v>47</v>
      </c>
      <c r="BB514" s="463">
        <v>51</v>
      </c>
      <c r="BC514" s="463">
        <v>36</v>
      </c>
      <c r="BD514" s="463">
        <v>64</v>
      </c>
      <c r="BE514" s="463">
        <v>40</v>
      </c>
      <c r="BF514" s="463">
        <v>32</v>
      </c>
      <c r="BG514" s="463">
        <v>58</v>
      </c>
      <c r="BH514" s="463">
        <v>78</v>
      </c>
      <c r="BI514" s="463">
        <v>59</v>
      </c>
      <c r="BJ514" s="463">
        <v>33</v>
      </c>
      <c r="BK514" s="463">
        <v>54</v>
      </c>
      <c r="BL514" s="463">
        <v>77</v>
      </c>
      <c r="BM514" s="463">
        <v>103</v>
      </c>
      <c r="BN514" s="463">
        <v>19</v>
      </c>
      <c r="BO514" s="463">
        <v>73</v>
      </c>
      <c r="BP514" s="463">
        <v>14</v>
      </c>
      <c r="BQ514" s="463">
        <v>46</v>
      </c>
      <c r="BR514" s="463">
        <v>7</v>
      </c>
      <c r="BS514" s="463">
        <v>79</v>
      </c>
      <c r="BT514" s="463">
        <v>60</v>
      </c>
      <c r="BU514" s="463">
        <v>87</v>
      </c>
      <c r="BV514" s="463">
        <v>6</v>
      </c>
      <c r="BW514" s="463">
        <v>71</v>
      </c>
      <c r="BX514" s="463">
        <v>24</v>
      </c>
      <c r="BY514" s="463">
        <v>85</v>
      </c>
      <c r="BZ514" s="463">
        <v>27</v>
      </c>
      <c r="CA514" s="463">
        <v>31</v>
      </c>
      <c r="CB514" s="463">
        <v>91</v>
      </c>
      <c r="CC514" s="463">
        <v>104</v>
      </c>
      <c r="CD514" s="463">
        <v>28</v>
      </c>
      <c r="CE514" s="463">
        <v>49</v>
      </c>
      <c r="CF514" s="463">
        <v>21</v>
      </c>
      <c r="CG514" s="463">
        <v>13</v>
      </c>
      <c r="CH514" s="463">
        <v>35</v>
      </c>
      <c r="CI514" s="463">
        <v>84</v>
      </c>
      <c r="CJ514" s="463">
        <v>17</v>
      </c>
      <c r="CK514" s="463">
        <v>11</v>
      </c>
      <c r="CL514" s="463">
        <v>53</v>
      </c>
      <c r="CM514" s="463">
        <v>5</v>
      </c>
      <c r="CN514" s="463">
        <v>44</v>
      </c>
      <c r="CO514" s="463">
        <v>67</v>
      </c>
      <c r="CP514" s="463">
        <v>82</v>
      </c>
      <c r="CQ514" s="463">
        <v>62</v>
      </c>
      <c r="CR514" s="463">
        <v>4</v>
      </c>
      <c r="CS514" s="463">
        <v>9</v>
      </c>
      <c r="CT514" s="463">
        <v>65</v>
      </c>
      <c r="CU514" s="463">
        <v>52</v>
      </c>
      <c r="CV514" s="463">
        <v>38</v>
      </c>
      <c r="CW514" s="463">
        <v>45</v>
      </c>
      <c r="CX514" s="463">
        <v>50</v>
      </c>
      <c r="CY514" s="463">
        <v>92</v>
      </c>
      <c r="CZ514" s="463">
        <v>101</v>
      </c>
      <c r="DA514" s="463">
        <v>1</v>
      </c>
      <c r="DB514" s="463">
        <v>105</v>
      </c>
      <c r="DC514" s="463">
        <v>74</v>
      </c>
      <c r="DD514" s="463">
        <v>30</v>
      </c>
      <c r="DE514" s="463">
        <v>43</v>
      </c>
      <c r="DF514" s="463">
        <v>98</v>
      </c>
    </row>
    <row r="517" spans="4:114" x14ac:dyDescent="0.2">
      <c r="D517" s="307">
        <v>106</v>
      </c>
      <c r="E517" s="307" t="s">
        <v>248</v>
      </c>
    </row>
    <row r="518" spans="4:114" x14ac:dyDescent="0.2">
      <c r="E518" s="463" t="s">
        <v>196</v>
      </c>
      <c r="F518" s="463">
        <v>1</v>
      </c>
      <c r="G518" s="463">
        <v>2</v>
      </c>
      <c r="H518" s="463">
        <v>3</v>
      </c>
      <c r="I518" s="463">
        <v>4</v>
      </c>
      <c r="J518" s="463">
        <v>5</v>
      </c>
      <c r="K518" s="463">
        <v>6</v>
      </c>
      <c r="L518" s="463">
        <v>7</v>
      </c>
      <c r="M518" s="463">
        <v>8</v>
      </c>
      <c r="N518" s="463">
        <v>9</v>
      </c>
      <c r="O518" s="463">
        <v>10</v>
      </c>
      <c r="P518" s="463">
        <v>11</v>
      </c>
      <c r="Q518" s="463">
        <v>12</v>
      </c>
      <c r="R518" s="463">
        <v>13</v>
      </c>
      <c r="S518" s="463">
        <v>14</v>
      </c>
      <c r="T518" s="463">
        <v>15</v>
      </c>
      <c r="U518" s="463">
        <v>16</v>
      </c>
      <c r="V518" s="463">
        <v>17</v>
      </c>
      <c r="W518" s="463">
        <v>18</v>
      </c>
      <c r="X518" s="463">
        <v>19</v>
      </c>
      <c r="Y518" s="463">
        <v>20</v>
      </c>
      <c r="Z518" s="463">
        <v>21</v>
      </c>
      <c r="AA518" s="463">
        <v>22</v>
      </c>
      <c r="AB518" s="463">
        <v>23</v>
      </c>
      <c r="AC518" s="463">
        <v>24</v>
      </c>
      <c r="AD518" s="463">
        <v>25</v>
      </c>
      <c r="AE518" s="463">
        <v>26</v>
      </c>
      <c r="AF518" s="463">
        <v>27</v>
      </c>
      <c r="AG518" s="463">
        <v>28</v>
      </c>
      <c r="AH518" s="463">
        <v>29</v>
      </c>
      <c r="AI518" s="463">
        <v>30</v>
      </c>
      <c r="AJ518" s="463">
        <v>31</v>
      </c>
      <c r="AK518" s="463">
        <v>32</v>
      </c>
      <c r="AL518" s="463">
        <v>33</v>
      </c>
      <c r="AM518" s="463">
        <v>34</v>
      </c>
      <c r="AN518" s="463">
        <v>35</v>
      </c>
      <c r="AO518" s="463">
        <v>36</v>
      </c>
      <c r="AP518" s="463">
        <v>37</v>
      </c>
      <c r="AQ518" s="463">
        <v>38</v>
      </c>
      <c r="AR518" s="463">
        <v>39</v>
      </c>
      <c r="AS518" s="463">
        <v>40</v>
      </c>
      <c r="AT518" s="463">
        <v>41</v>
      </c>
      <c r="AU518" s="463">
        <v>42</v>
      </c>
      <c r="AV518" s="463">
        <v>43</v>
      </c>
      <c r="AW518" s="463">
        <v>44</v>
      </c>
      <c r="AX518" s="463">
        <v>45</v>
      </c>
      <c r="AY518" s="463">
        <v>46</v>
      </c>
      <c r="AZ518" s="463">
        <v>47</v>
      </c>
      <c r="BA518" s="463">
        <v>48</v>
      </c>
      <c r="BB518" s="463">
        <v>49</v>
      </c>
      <c r="BC518" s="463">
        <v>50</v>
      </c>
      <c r="BD518" s="463">
        <v>51</v>
      </c>
      <c r="BE518" s="463">
        <v>52</v>
      </c>
      <c r="BF518" s="463">
        <v>53</v>
      </c>
      <c r="BG518" s="463">
        <v>54</v>
      </c>
      <c r="BH518" s="463">
        <v>55</v>
      </c>
      <c r="BI518" s="463">
        <v>56</v>
      </c>
      <c r="BJ518" s="463">
        <v>57</v>
      </c>
      <c r="BK518" s="463">
        <v>58</v>
      </c>
      <c r="BL518" s="463">
        <v>59</v>
      </c>
      <c r="BM518" s="463">
        <v>60</v>
      </c>
      <c r="BN518" s="463">
        <v>61</v>
      </c>
      <c r="BO518" s="463">
        <v>62</v>
      </c>
      <c r="BP518" s="463">
        <v>63</v>
      </c>
      <c r="BQ518" s="463">
        <v>64</v>
      </c>
      <c r="BR518" s="463">
        <v>65</v>
      </c>
      <c r="BS518" s="463">
        <v>66</v>
      </c>
      <c r="BT518" s="463">
        <v>67</v>
      </c>
      <c r="BU518" s="463">
        <v>68</v>
      </c>
      <c r="BV518" s="463">
        <v>69</v>
      </c>
      <c r="BW518" s="463">
        <v>70</v>
      </c>
      <c r="BX518" s="463">
        <v>71</v>
      </c>
      <c r="BY518" s="463">
        <v>72</v>
      </c>
      <c r="BZ518" s="463">
        <v>73</v>
      </c>
      <c r="CA518" s="463">
        <v>74</v>
      </c>
      <c r="CB518" s="463">
        <v>75</v>
      </c>
      <c r="CC518" s="463">
        <v>76</v>
      </c>
      <c r="CD518" s="463">
        <v>77</v>
      </c>
      <c r="CE518" s="463">
        <v>78</v>
      </c>
      <c r="CF518" s="463">
        <v>79</v>
      </c>
      <c r="CG518" s="463">
        <v>80</v>
      </c>
      <c r="CH518" s="463">
        <v>81</v>
      </c>
      <c r="CI518" s="463">
        <v>82</v>
      </c>
      <c r="CJ518" s="463">
        <v>83</v>
      </c>
      <c r="CK518" s="463">
        <v>84</v>
      </c>
      <c r="CL518" s="463">
        <v>85</v>
      </c>
      <c r="CM518" s="463">
        <v>86</v>
      </c>
      <c r="CN518" s="463">
        <v>87</v>
      </c>
      <c r="CO518" s="463">
        <v>88</v>
      </c>
      <c r="CP518" s="463">
        <v>89</v>
      </c>
      <c r="CQ518" s="463">
        <v>90</v>
      </c>
      <c r="CR518" s="463">
        <v>91</v>
      </c>
      <c r="CS518" s="463">
        <v>92</v>
      </c>
      <c r="CT518" s="463">
        <v>93</v>
      </c>
      <c r="CU518" s="463">
        <v>94</v>
      </c>
      <c r="CW518" s="463">
        <v>95</v>
      </c>
      <c r="CX518" s="463">
        <v>96</v>
      </c>
      <c r="CY518" s="463">
        <v>97</v>
      </c>
      <c r="CZ518" s="463">
        <v>98</v>
      </c>
      <c r="DB518" s="463">
        <v>99</v>
      </c>
      <c r="DC518" s="463">
        <v>100</v>
      </c>
      <c r="DD518" s="463">
        <v>101</v>
      </c>
      <c r="DE518" s="463">
        <v>102</v>
      </c>
      <c r="DG518" s="463">
        <v>103</v>
      </c>
      <c r="DH518" s="463">
        <v>104</v>
      </c>
      <c r="DI518" s="463">
        <v>105</v>
      </c>
      <c r="DJ518" s="463">
        <v>106</v>
      </c>
    </row>
    <row r="519" spans="4:114" x14ac:dyDescent="0.2">
      <c r="E519" s="463" t="s">
        <v>230</v>
      </c>
      <c r="F519" s="463">
        <v>90</v>
      </c>
      <c r="G519" s="463">
        <v>55</v>
      </c>
      <c r="H519" s="463">
        <v>49</v>
      </c>
      <c r="I519" s="463">
        <v>1</v>
      </c>
      <c r="J519" s="463">
        <v>31</v>
      </c>
      <c r="K519" s="463">
        <v>94</v>
      </c>
      <c r="L519" s="463">
        <v>44</v>
      </c>
      <c r="M519" s="463">
        <v>37</v>
      </c>
      <c r="N519" s="463">
        <v>81</v>
      </c>
      <c r="O519" s="463">
        <v>97</v>
      </c>
      <c r="P519" s="463">
        <v>45</v>
      </c>
      <c r="Q519" s="463">
        <v>88</v>
      </c>
      <c r="R519" s="463">
        <v>7</v>
      </c>
      <c r="S519" s="463">
        <v>61</v>
      </c>
      <c r="T519" s="463">
        <v>52</v>
      </c>
      <c r="U519" s="463">
        <v>98</v>
      </c>
      <c r="V519" s="463">
        <v>68</v>
      </c>
      <c r="W519" s="463">
        <v>32</v>
      </c>
      <c r="X519" s="463">
        <v>101</v>
      </c>
      <c r="Y519" s="463">
        <v>86</v>
      </c>
      <c r="Z519" s="463">
        <v>102</v>
      </c>
      <c r="AA519" s="463">
        <v>43</v>
      </c>
      <c r="AB519" s="463">
        <v>27</v>
      </c>
      <c r="AC519" s="463">
        <v>51</v>
      </c>
      <c r="AD519" s="463">
        <v>72</v>
      </c>
      <c r="AE519" s="463">
        <v>79</v>
      </c>
      <c r="AF519" s="463">
        <v>24</v>
      </c>
      <c r="AG519" s="463">
        <v>47</v>
      </c>
      <c r="AH519" s="463">
        <v>105</v>
      </c>
      <c r="AI519" s="463">
        <v>67</v>
      </c>
      <c r="AJ519" s="463">
        <v>30</v>
      </c>
      <c r="AK519" s="463">
        <v>83</v>
      </c>
      <c r="AL519" s="463">
        <v>40</v>
      </c>
      <c r="AM519" s="463">
        <v>103</v>
      </c>
      <c r="AN519" s="463">
        <v>42</v>
      </c>
      <c r="AO519" s="463">
        <v>85</v>
      </c>
      <c r="AP519" s="463">
        <v>8</v>
      </c>
      <c r="AQ519" s="463">
        <v>87</v>
      </c>
      <c r="AR519" s="463">
        <v>73</v>
      </c>
      <c r="AS519" s="463">
        <v>16</v>
      </c>
      <c r="AT519" s="463">
        <v>89</v>
      </c>
      <c r="AU519" s="463">
        <v>35</v>
      </c>
      <c r="AV519" s="463">
        <v>22</v>
      </c>
      <c r="AW519" s="463">
        <v>18</v>
      </c>
      <c r="AX519" s="463">
        <v>46</v>
      </c>
      <c r="AY519" s="463">
        <v>39</v>
      </c>
      <c r="AZ519" s="463">
        <v>48</v>
      </c>
      <c r="BA519" s="463">
        <v>70</v>
      </c>
      <c r="BB519" s="463">
        <v>11</v>
      </c>
      <c r="BC519" s="463">
        <v>92</v>
      </c>
      <c r="BD519" s="463">
        <v>75</v>
      </c>
      <c r="BE519" s="463">
        <v>80</v>
      </c>
      <c r="BF519" s="463">
        <v>82</v>
      </c>
      <c r="BG519" s="463">
        <v>21</v>
      </c>
      <c r="BH519" s="463">
        <v>2</v>
      </c>
      <c r="BI519" s="463">
        <v>74</v>
      </c>
      <c r="BJ519" s="463">
        <v>53</v>
      </c>
      <c r="BK519" s="463">
        <v>104</v>
      </c>
      <c r="BL519" s="463">
        <v>63</v>
      </c>
      <c r="BM519" s="463">
        <v>96</v>
      </c>
      <c r="BN519" s="463">
        <v>29</v>
      </c>
      <c r="BO519" s="463">
        <v>3</v>
      </c>
      <c r="BP519" s="463">
        <v>59</v>
      </c>
      <c r="BQ519" s="463">
        <v>100</v>
      </c>
      <c r="BR519" s="463">
        <v>91</v>
      </c>
      <c r="BS519" s="463">
        <v>64</v>
      </c>
      <c r="BT519" s="463">
        <v>13</v>
      </c>
      <c r="BU519" s="463">
        <v>77</v>
      </c>
      <c r="BV519" s="463">
        <v>58</v>
      </c>
      <c r="BW519" s="463">
        <v>71</v>
      </c>
      <c r="BX519" s="463">
        <v>60</v>
      </c>
      <c r="BY519" s="463">
        <v>25</v>
      </c>
      <c r="BZ519" s="463">
        <v>4</v>
      </c>
      <c r="CA519" s="463">
        <v>36</v>
      </c>
      <c r="CB519" s="463">
        <v>6</v>
      </c>
      <c r="CC519" s="463">
        <v>15</v>
      </c>
      <c r="CD519" s="463">
        <v>78</v>
      </c>
      <c r="CE519" s="463">
        <v>5</v>
      </c>
      <c r="CF519" s="463">
        <v>56</v>
      </c>
      <c r="CG519" s="463">
        <v>38</v>
      </c>
      <c r="CH519" s="463">
        <v>65</v>
      </c>
      <c r="CI519" s="463">
        <v>93</v>
      </c>
      <c r="CJ519" s="463">
        <v>106</v>
      </c>
      <c r="CK519" s="463">
        <v>95</v>
      </c>
      <c r="CL519" s="463">
        <v>57</v>
      </c>
      <c r="CM519" s="463">
        <v>54</v>
      </c>
      <c r="CN519" s="463">
        <v>28</v>
      </c>
      <c r="CO519" s="463">
        <v>17</v>
      </c>
      <c r="CP519" s="463">
        <v>41</v>
      </c>
      <c r="CQ519" s="463">
        <v>99</v>
      </c>
      <c r="CR519" s="463">
        <v>10</v>
      </c>
      <c r="CS519" s="463">
        <v>50</v>
      </c>
      <c r="CT519" s="463">
        <v>12</v>
      </c>
      <c r="CU519" s="463">
        <v>66</v>
      </c>
      <c r="CW519" s="463">
        <v>34</v>
      </c>
      <c r="CX519" s="463">
        <v>23</v>
      </c>
      <c r="CY519" s="463">
        <v>20</v>
      </c>
      <c r="CZ519" s="463">
        <v>62</v>
      </c>
      <c r="DB519" s="463">
        <v>14</v>
      </c>
      <c r="DC519" s="463">
        <v>9</v>
      </c>
      <c r="DD519" s="463">
        <v>19</v>
      </c>
      <c r="DE519" s="463">
        <v>76</v>
      </c>
      <c r="DG519" s="463">
        <v>84</v>
      </c>
      <c r="DH519" s="463">
        <v>33</v>
      </c>
      <c r="DI519" s="463">
        <v>69</v>
      </c>
      <c r="DJ519" s="463">
        <v>26</v>
      </c>
    </row>
    <row r="522" spans="4:114" x14ac:dyDescent="0.2">
      <c r="D522" s="307">
        <v>107</v>
      </c>
      <c r="E522" s="307" t="s">
        <v>248</v>
      </c>
    </row>
    <row r="523" spans="4:114" x14ac:dyDescent="0.2">
      <c r="E523" s="463" t="s">
        <v>196</v>
      </c>
      <c r="F523" s="463">
        <v>1</v>
      </c>
      <c r="G523" s="463">
        <v>2</v>
      </c>
      <c r="H523" s="463">
        <v>3</v>
      </c>
      <c r="I523" s="463">
        <v>4</v>
      </c>
      <c r="J523" s="463">
        <v>5</v>
      </c>
      <c r="K523" s="463">
        <v>6</v>
      </c>
      <c r="L523" s="463">
        <v>7</v>
      </c>
      <c r="M523" s="463">
        <v>8</v>
      </c>
      <c r="N523" s="463">
        <v>9</v>
      </c>
      <c r="O523" s="463">
        <v>10</v>
      </c>
      <c r="P523" s="463">
        <v>11</v>
      </c>
      <c r="Q523" s="463">
        <v>12</v>
      </c>
      <c r="R523" s="463">
        <v>13</v>
      </c>
      <c r="S523" s="463">
        <v>14</v>
      </c>
      <c r="T523" s="463">
        <v>15</v>
      </c>
      <c r="U523" s="463">
        <v>16</v>
      </c>
      <c r="V523" s="463">
        <v>17</v>
      </c>
      <c r="W523" s="463">
        <v>18</v>
      </c>
      <c r="X523" s="463">
        <v>19</v>
      </c>
      <c r="Y523" s="463">
        <v>20</v>
      </c>
      <c r="Z523" s="463">
        <v>21</v>
      </c>
      <c r="AA523" s="463">
        <v>22</v>
      </c>
      <c r="AB523" s="463">
        <v>23</v>
      </c>
      <c r="AC523" s="463">
        <v>24</v>
      </c>
      <c r="AD523" s="463">
        <v>25</v>
      </c>
      <c r="AE523" s="463">
        <v>26</v>
      </c>
      <c r="AF523" s="463">
        <v>27</v>
      </c>
      <c r="AG523" s="463">
        <v>28</v>
      </c>
      <c r="AH523" s="463">
        <v>29</v>
      </c>
      <c r="AI523" s="463">
        <v>30</v>
      </c>
      <c r="AJ523" s="463">
        <v>31</v>
      </c>
      <c r="AK523" s="463">
        <v>32</v>
      </c>
      <c r="AL523" s="463">
        <v>33</v>
      </c>
      <c r="AM523" s="463">
        <v>34</v>
      </c>
      <c r="AN523" s="463">
        <v>35</v>
      </c>
      <c r="AO523" s="463">
        <v>36</v>
      </c>
      <c r="AP523" s="463">
        <v>37</v>
      </c>
      <c r="AQ523" s="463">
        <v>38</v>
      </c>
      <c r="AR523" s="463">
        <v>39</v>
      </c>
      <c r="AS523" s="463">
        <v>40</v>
      </c>
      <c r="AT523" s="463">
        <v>41</v>
      </c>
      <c r="AU523" s="463">
        <v>42</v>
      </c>
      <c r="AV523" s="463">
        <v>43</v>
      </c>
      <c r="AW523" s="463">
        <v>44</v>
      </c>
      <c r="AX523" s="463">
        <v>45</v>
      </c>
      <c r="AY523" s="463">
        <v>46</v>
      </c>
      <c r="AZ523" s="463">
        <v>47</v>
      </c>
      <c r="BA523" s="463">
        <v>48</v>
      </c>
      <c r="BB523" s="463">
        <v>49</v>
      </c>
      <c r="BC523" s="463">
        <v>50</v>
      </c>
      <c r="BD523" s="463">
        <v>51</v>
      </c>
      <c r="BE523" s="463">
        <v>52</v>
      </c>
      <c r="BF523" s="463">
        <v>53</v>
      </c>
      <c r="BG523" s="463">
        <v>54</v>
      </c>
      <c r="BH523" s="463">
        <v>55</v>
      </c>
      <c r="BI523" s="463">
        <v>56</v>
      </c>
      <c r="BJ523" s="463">
        <v>57</v>
      </c>
      <c r="BK523" s="463">
        <v>58</v>
      </c>
      <c r="BL523" s="463">
        <v>59</v>
      </c>
      <c r="BM523" s="463">
        <v>60</v>
      </c>
      <c r="BN523" s="463">
        <v>61</v>
      </c>
      <c r="BO523" s="463">
        <v>62</v>
      </c>
      <c r="BP523" s="463">
        <v>63</v>
      </c>
      <c r="BQ523" s="463">
        <v>64</v>
      </c>
      <c r="BR523" s="463">
        <v>65</v>
      </c>
      <c r="BS523" s="463">
        <v>66</v>
      </c>
      <c r="BT523" s="463">
        <v>67</v>
      </c>
      <c r="BU523" s="463">
        <v>68</v>
      </c>
      <c r="BV523" s="463">
        <v>69</v>
      </c>
      <c r="BW523" s="463">
        <v>70</v>
      </c>
      <c r="BX523" s="463">
        <v>71</v>
      </c>
      <c r="BY523" s="463">
        <v>72</v>
      </c>
      <c r="BZ523" s="463">
        <v>73</v>
      </c>
      <c r="CA523" s="463">
        <v>74</v>
      </c>
      <c r="CB523" s="463">
        <v>75</v>
      </c>
      <c r="CC523" s="463">
        <v>76</v>
      </c>
      <c r="CD523" s="463">
        <v>77</v>
      </c>
      <c r="CE523" s="463">
        <v>78</v>
      </c>
      <c r="CF523" s="463">
        <v>79</v>
      </c>
      <c r="CG523" s="463">
        <v>80</v>
      </c>
      <c r="CH523" s="463">
        <v>81</v>
      </c>
      <c r="CI523" s="463">
        <v>82</v>
      </c>
      <c r="CJ523" s="463">
        <v>83</v>
      </c>
      <c r="CK523" s="463">
        <v>84</v>
      </c>
      <c r="CL523" s="463">
        <v>85</v>
      </c>
      <c r="CM523" s="463">
        <v>86</v>
      </c>
      <c r="CN523" s="463">
        <v>87</v>
      </c>
      <c r="CO523" s="463">
        <v>88</v>
      </c>
      <c r="CP523" s="463">
        <v>89</v>
      </c>
      <c r="CQ523" s="463">
        <v>90</v>
      </c>
      <c r="CR523" s="463">
        <v>91</v>
      </c>
      <c r="CS523" s="463">
        <v>92</v>
      </c>
      <c r="CT523" s="463">
        <v>93</v>
      </c>
      <c r="CU523" s="463">
        <v>94</v>
      </c>
      <c r="CV523" s="463">
        <v>95</v>
      </c>
      <c r="CW523" s="463">
        <v>96</v>
      </c>
      <c r="CX523" s="463">
        <v>97</v>
      </c>
      <c r="CY523" s="463">
        <v>98</v>
      </c>
      <c r="CZ523" s="463">
        <v>99</v>
      </c>
      <c r="DB523" s="463">
        <v>100</v>
      </c>
      <c r="DC523" s="463">
        <v>101</v>
      </c>
      <c r="DD523" s="463">
        <v>102</v>
      </c>
      <c r="DE523" s="463">
        <v>103</v>
      </c>
      <c r="DG523" s="463">
        <v>104</v>
      </c>
      <c r="DH523" s="463">
        <v>105</v>
      </c>
      <c r="DI523" s="463">
        <v>106</v>
      </c>
      <c r="DJ523" s="463">
        <v>107</v>
      </c>
    </row>
    <row r="524" spans="4:114" x14ac:dyDescent="0.2">
      <c r="E524" s="463" t="s">
        <v>230</v>
      </c>
      <c r="F524" s="463">
        <v>94</v>
      </c>
      <c r="G524" s="463">
        <v>99</v>
      </c>
      <c r="H524" s="463">
        <v>24</v>
      </c>
      <c r="I524" s="463">
        <v>33</v>
      </c>
      <c r="J524" s="463">
        <v>46</v>
      </c>
      <c r="K524" s="463">
        <v>9</v>
      </c>
      <c r="L524" s="463">
        <v>3</v>
      </c>
      <c r="M524" s="463">
        <v>60</v>
      </c>
      <c r="N524" s="463">
        <v>26</v>
      </c>
      <c r="O524" s="463">
        <v>101</v>
      </c>
      <c r="P524" s="463">
        <v>107</v>
      </c>
      <c r="Q524" s="463">
        <v>28</v>
      </c>
      <c r="R524" s="463">
        <v>92</v>
      </c>
      <c r="S524" s="463">
        <v>17</v>
      </c>
      <c r="T524" s="463">
        <v>66</v>
      </c>
      <c r="U524" s="463">
        <v>103</v>
      </c>
      <c r="V524" s="463">
        <v>40</v>
      </c>
      <c r="W524" s="463">
        <v>54</v>
      </c>
      <c r="X524" s="463">
        <v>78</v>
      </c>
      <c r="Y524" s="463">
        <v>104</v>
      </c>
      <c r="Z524" s="463">
        <v>79</v>
      </c>
      <c r="AA524" s="463">
        <v>68</v>
      </c>
      <c r="AB524" s="463">
        <v>72</v>
      </c>
      <c r="AC524" s="463">
        <v>61</v>
      </c>
      <c r="AD524" s="463">
        <v>22</v>
      </c>
      <c r="AE524" s="463">
        <v>90</v>
      </c>
      <c r="AF524" s="463">
        <v>102</v>
      </c>
      <c r="AG524" s="463">
        <v>29</v>
      </c>
      <c r="AH524" s="463">
        <v>38</v>
      </c>
      <c r="AI524" s="463">
        <v>42</v>
      </c>
      <c r="AJ524" s="463">
        <v>14</v>
      </c>
      <c r="AK524" s="463">
        <v>93</v>
      </c>
      <c r="AL524" s="463">
        <v>64</v>
      </c>
      <c r="AM524" s="463">
        <v>16</v>
      </c>
      <c r="AN524" s="463">
        <v>51</v>
      </c>
      <c r="AO524" s="463">
        <v>34</v>
      </c>
      <c r="AP524" s="463">
        <v>98</v>
      </c>
      <c r="AQ524" s="463">
        <v>57</v>
      </c>
      <c r="AR524" s="463">
        <v>1</v>
      </c>
      <c r="AS524" s="463">
        <v>71</v>
      </c>
      <c r="AT524" s="463">
        <v>50</v>
      </c>
      <c r="AU524" s="463">
        <v>83</v>
      </c>
      <c r="AV524" s="463">
        <v>39</v>
      </c>
      <c r="AW524" s="463">
        <v>106</v>
      </c>
      <c r="AX524" s="463">
        <v>96</v>
      </c>
      <c r="AY524" s="463">
        <v>5</v>
      </c>
      <c r="AZ524" s="463">
        <v>75</v>
      </c>
      <c r="BA524" s="463">
        <v>62</v>
      </c>
      <c r="BB524" s="463">
        <v>43</v>
      </c>
      <c r="BC524" s="463">
        <v>91</v>
      </c>
      <c r="BD524" s="463">
        <v>49</v>
      </c>
      <c r="BE524" s="463">
        <v>80</v>
      </c>
      <c r="BF524" s="463">
        <v>67</v>
      </c>
      <c r="BG524" s="463">
        <v>82</v>
      </c>
      <c r="BH524" s="463">
        <v>6</v>
      </c>
      <c r="BI524" s="463">
        <v>84</v>
      </c>
      <c r="BJ524" s="463">
        <v>69</v>
      </c>
      <c r="BK524" s="463">
        <v>52</v>
      </c>
      <c r="BL524" s="463">
        <v>11</v>
      </c>
      <c r="BM524" s="463">
        <v>8</v>
      </c>
      <c r="BN524" s="463">
        <v>30</v>
      </c>
      <c r="BO524" s="463">
        <v>23</v>
      </c>
      <c r="BP524" s="463">
        <v>7</v>
      </c>
      <c r="BQ524" s="463">
        <v>31</v>
      </c>
      <c r="BR524" s="463">
        <v>97</v>
      </c>
      <c r="BS524" s="463">
        <v>15</v>
      </c>
      <c r="BT524" s="463">
        <v>53</v>
      </c>
      <c r="BU524" s="463">
        <v>25</v>
      </c>
      <c r="BV524" s="463">
        <v>105</v>
      </c>
      <c r="BW524" s="463">
        <v>100</v>
      </c>
      <c r="BX524" s="463">
        <v>59</v>
      </c>
      <c r="BY524" s="463">
        <v>48</v>
      </c>
      <c r="BZ524" s="463">
        <v>77</v>
      </c>
      <c r="CA524" s="463">
        <v>87</v>
      </c>
      <c r="CB524" s="463">
        <v>41</v>
      </c>
      <c r="CC524" s="463">
        <v>55</v>
      </c>
      <c r="CD524" s="463">
        <v>4</v>
      </c>
      <c r="CE524" s="463">
        <v>70</v>
      </c>
      <c r="CF524" s="463">
        <v>21</v>
      </c>
      <c r="CG524" s="463">
        <v>12</v>
      </c>
      <c r="CH524" s="463">
        <v>45</v>
      </c>
      <c r="CI524" s="463">
        <v>18</v>
      </c>
      <c r="CJ524" s="463">
        <v>47</v>
      </c>
      <c r="CK524" s="463">
        <v>56</v>
      </c>
      <c r="CL524" s="463">
        <v>76</v>
      </c>
      <c r="CM524" s="463">
        <v>85</v>
      </c>
      <c r="CN524" s="463">
        <v>58</v>
      </c>
      <c r="CO524" s="463">
        <v>37</v>
      </c>
      <c r="CP524" s="463">
        <v>27</v>
      </c>
      <c r="CQ524" s="463">
        <v>63</v>
      </c>
      <c r="CR524" s="463">
        <v>95</v>
      </c>
      <c r="CS524" s="463">
        <v>88</v>
      </c>
      <c r="CT524" s="463">
        <v>2</v>
      </c>
      <c r="CU524" s="463">
        <v>13</v>
      </c>
      <c r="CV524" s="463">
        <v>32</v>
      </c>
      <c r="CW524" s="463">
        <v>35</v>
      </c>
      <c r="CX524" s="463">
        <v>65</v>
      </c>
      <c r="CY524" s="463">
        <v>20</v>
      </c>
      <c r="CZ524" s="463">
        <v>86</v>
      </c>
      <c r="DB524" s="463">
        <v>19</v>
      </c>
      <c r="DC524" s="463">
        <v>73</v>
      </c>
      <c r="DD524" s="463">
        <v>89</v>
      </c>
      <c r="DE524" s="463">
        <v>81</v>
      </c>
      <c r="DG524" s="463">
        <v>74</v>
      </c>
      <c r="DH524" s="463">
        <v>10</v>
      </c>
      <c r="DI524" s="463">
        <v>44</v>
      </c>
      <c r="DJ524" s="463">
        <v>36</v>
      </c>
    </row>
    <row r="527" spans="4:114" x14ac:dyDescent="0.2">
      <c r="D527" s="307">
        <v>108</v>
      </c>
      <c r="E527" s="307" t="s">
        <v>248</v>
      </c>
    </row>
    <row r="528" spans="4:114" x14ac:dyDescent="0.2">
      <c r="E528" s="463" t="s">
        <v>196</v>
      </c>
      <c r="F528" s="463">
        <v>1</v>
      </c>
      <c r="G528" s="463">
        <v>2</v>
      </c>
      <c r="H528" s="463">
        <v>3</v>
      </c>
      <c r="I528" s="463">
        <v>4</v>
      </c>
      <c r="J528" s="463">
        <v>5</v>
      </c>
      <c r="K528" s="463">
        <v>6</v>
      </c>
      <c r="L528" s="463">
        <v>7</v>
      </c>
      <c r="M528" s="463">
        <v>8</v>
      </c>
      <c r="N528" s="463">
        <v>9</v>
      </c>
      <c r="O528" s="463">
        <v>10</v>
      </c>
      <c r="P528" s="463">
        <v>11</v>
      </c>
      <c r="Q528" s="463">
        <v>12</v>
      </c>
      <c r="R528" s="463">
        <v>13</v>
      </c>
      <c r="S528" s="463">
        <v>14</v>
      </c>
      <c r="T528" s="463">
        <v>15</v>
      </c>
      <c r="U528" s="463">
        <v>16</v>
      </c>
      <c r="V528" s="463">
        <v>17</v>
      </c>
      <c r="W528" s="463">
        <v>18</v>
      </c>
      <c r="X528" s="463">
        <v>19</v>
      </c>
      <c r="Y528" s="463">
        <v>20</v>
      </c>
      <c r="Z528" s="463">
        <v>21</v>
      </c>
      <c r="AA528" s="463">
        <v>22</v>
      </c>
      <c r="AB528" s="463">
        <v>23</v>
      </c>
      <c r="AC528" s="463">
        <v>24</v>
      </c>
      <c r="AD528" s="463">
        <v>25</v>
      </c>
      <c r="AE528" s="463">
        <v>26</v>
      </c>
      <c r="AF528" s="463">
        <v>27</v>
      </c>
      <c r="AG528" s="463">
        <v>28</v>
      </c>
      <c r="AH528" s="463">
        <v>29</v>
      </c>
      <c r="AI528" s="463">
        <v>30</v>
      </c>
      <c r="AJ528" s="463">
        <v>31</v>
      </c>
      <c r="AK528" s="463">
        <v>32</v>
      </c>
      <c r="AL528" s="463">
        <v>33</v>
      </c>
      <c r="AM528" s="463">
        <v>34</v>
      </c>
      <c r="AN528" s="463">
        <v>35</v>
      </c>
      <c r="AO528" s="463">
        <v>36</v>
      </c>
      <c r="AP528" s="463">
        <v>37</v>
      </c>
      <c r="AQ528" s="463">
        <v>38</v>
      </c>
      <c r="AR528" s="463">
        <v>39</v>
      </c>
      <c r="AS528" s="463">
        <v>40</v>
      </c>
      <c r="AT528" s="463">
        <v>41</v>
      </c>
      <c r="AU528" s="463">
        <v>42</v>
      </c>
      <c r="AV528" s="463">
        <v>43</v>
      </c>
      <c r="AW528" s="463">
        <v>44</v>
      </c>
      <c r="AX528" s="463">
        <v>45</v>
      </c>
      <c r="AY528" s="463">
        <v>46</v>
      </c>
      <c r="AZ528" s="463">
        <v>47</v>
      </c>
      <c r="BA528" s="463">
        <v>48</v>
      </c>
      <c r="BB528" s="463">
        <v>49</v>
      </c>
      <c r="BC528" s="463">
        <v>50</v>
      </c>
      <c r="BD528" s="463">
        <v>51</v>
      </c>
      <c r="BE528" s="463">
        <v>52</v>
      </c>
      <c r="BF528" s="463">
        <v>53</v>
      </c>
      <c r="BG528" s="463">
        <v>54</v>
      </c>
      <c r="BH528" s="463">
        <v>55</v>
      </c>
      <c r="BI528" s="463">
        <v>56</v>
      </c>
      <c r="BJ528" s="463">
        <v>57</v>
      </c>
      <c r="BK528" s="463">
        <v>58</v>
      </c>
      <c r="BL528" s="463">
        <v>59</v>
      </c>
      <c r="BM528" s="463">
        <v>60</v>
      </c>
      <c r="BN528" s="463">
        <v>61</v>
      </c>
      <c r="BO528" s="463">
        <v>62</v>
      </c>
      <c r="BP528" s="463">
        <v>63</v>
      </c>
      <c r="BQ528" s="463">
        <v>64</v>
      </c>
      <c r="BR528" s="463">
        <v>65</v>
      </c>
      <c r="BS528" s="463">
        <v>66</v>
      </c>
      <c r="BT528" s="463">
        <v>67</v>
      </c>
      <c r="BU528" s="463">
        <v>68</v>
      </c>
      <c r="BV528" s="463">
        <v>69</v>
      </c>
      <c r="BW528" s="463">
        <v>70</v>
      </c>
      <c r="BX528" s="463">
        <v>71</v>
      </c>
      <c r="BY528" s="463">
        <v>72</v>
      </c>
      <c r="BZ528" s="463">
        <v>73</v>
      </c>
      <c r="CA528" s="463">
        <v>74</v>
      </c>
      <c r="CB528" s="463">
        <v>75</v>
      </c>
      <c r="CC528" s="463">
        <v>76</v>
      </c>
      <c r="CD528" s="463">
        <v>77</v>
      </c>
      <c r="CE528" s="463">
        <v>78</v>
      </c>
      <c r="CF528" s="463">
        <v>79</v>
      </c>
      <c r="CG528" s="463">
        <v>80</v>
      </c>
      <c r="CH528" s="463">
        <v>81</v>
      </c>
      <c r="CI528" s="463">
        <v>82</v>
      </c>
      <c r="CJ528" s="463">
        <v>83</v>
      </c>
      <c r="CK528" s="463">
        <v>84</v>
      </c>
      <c r="CL528" s="463">
        <v>85</v>
      </c>
      <c r="CM528" s="463">
        <v>86</v>
      </c>
      <c r="CN528" s="463">
        <v>87</v>
      </c>
      <c r="CO528" s="463">
        <v>88</v>
      </c>
      <c r="CP528" s="463">
        <v>89</v>
      </c>
      <c r="CQ528" s="463">
        <v>90</v>
      </c>
      <c r="CR528" s="463">
        <v>91</v>
      </c>
      <c r="CS528" s="463">
        <v>92</v>
      </c>
      <c r="CT528" s="463">
        <v>93</v>
      </c>
      <c r="CU528" s="463">
        <v>94</v>
      </c>
      <c r="CV528" s="463">
        <v>95</v>
      </c>
      <c r="CW528" s="463">
        <v>96</v>
      </c>
      <c r="CX528" s="463">
        <v>97</v>
      </c>
      <c r="CY528" s="463">
        <v>98</v>
      </c>
      <c r="CZ528" s="463">
        <v>99</v>
      </c>
      <c r="DA528" s="463">
        <v>100</v>
      </c>
      <c r="DB528" s="463">
        <v>101</v>
      </c>
      <c r="DC528" s="463">
        <v>102</v>
      </c>
      <c r="DD528" s="463">
        <v>103</v>
      </c>
      <c r="DE528" s="463">
        <v>104</v>
      </c>
      <c r="DG528" s="463">
        <v>105</v>
      </c>
      <c r="DH528" s="463">
        <v>106</v>
      </c>
      <c r="DI528" s="463">
        <v>107</v>
      </c>
      <c r="DJ528" s="463">
        <v>108</v>
      </c>
    </row>
    <row r="529" spans="4:119" x14ac:dyDescent="0.2">
      <c r="E529" s="463" t="s">
        <v>230</v>
      </c>
      <c r="F529" s="463">
        <v>90</v>
      </c>
      <c r="G529" s="463">
        <v>20</v>
      </c>
      <c r="H529" s="463">
        <v>67</v>
      </c>
      <c r="I529" s="463">
        <v>31</v>
      </c>
      <c r="J529" s="463">
        <v>97</v>
      </c>
      <c r="K529" s="463">
        <v>94</v>
      </c>
      <c r="L529" s="463">
        <v>19</v>
      </c>
      <c r="M529" s="463">
        <v>10</v>
      </c>
      <c r="N529" s="463">
        <v>22</v>
      </c>
      <c r="O529" s="463">
        <v>76</v>
      </c>
      <c r="P529" s="463">
        <v>64</v>
      </c>
      <c r="Q529" s="463">
        <v>80</v>
      </c>
      <c r="R529" s="463">
        <v>102</v>
      </c>
      <c r="S529" s="463">
        <v>32</v>
      </c>
      <c r="T529" s="463">
        <v>26</v>
      </c>
      <c r="U529" s="463">
        <v>74</v>
      </c>
      <c r="V529" s="463">
        <v>25</v>
      </c>
      <c r="W529" s="463">
        <v>106</v>
      </c>
      <c r="X529" s="463">
        <v>61</v>
      </c>
      <c r="Y529" s="463">
        <v>82</v>
      </c>
      <c r="Z529" s="463">
        <v>85</v>
      </c>
      <c r="AA529" s="463">
        <v>70</v>
      </c>
      <c r="AB529" s="463">
        <v>27</v>
      </c>
      <c r="AC529" s="463">
        <v>101</v>
      </c>
      <c r="AD529" s="463">
        <v>17</v>
      </c>
      <c r="AE529" s="463">
        <v>40</v>
      </c>
      <c r="AF529" s="463">
        <v>4</v>
      </c>
      <c r="AG529" s="463">
        <v>24</v>
      </c>
      <c r="AH529" s="463">
        <v>66</v>
      </c>
      <c r="AI529" s="463">
        <v>8</v>
      </c>
      <c r="AJ529" s="463">
        <v>95</v>
      </c>
      <c r="AK529" s="463">
        <v>78</v>
      </c>
      <c r="AL529" s="463">
        <v>42</v>
      </c>
      <c r="AM529" s="463">
        <v>36</v>
      </c>
      <c r="AN529" s="463">
        <v>16</v>
      </c>
      <c r="AO529" s="463">
        <v>50</v>
      </c>
      <c r="AP529" s="463">
        <v>98</v>
      </c>
      <c r="AQ529" s="463">
        <v>92</v>
      </c>
      <c r="AR529" s="463">
        <v>12</v>
      </c>
      <c r="AS529" s="463">
        <v>6</v>
      </c>
      <c r="AT529" s="463">
        <v>108</v>
      </c>
      <c r="AU529" s="463">
        <v>48</v>
      </c>
      <c r="AV529" s="463">
        <v>44</v>
      </c>
      <c r="AW529" s="463">
        <v>86</v>
      </c>
      <c r="AX529" s="463">
        <v>2</v>
      </c>
      <c r="AY529" s="463">
        <v>39</v>
      </c>
      <c r="AZ529" s="463">
        <v>65</v>
      </c>
      <c r="BA529" s="463">
        <v>84</v>
      </c>
      <c r="BB529" s="463">
        <v>72</v>
      </c>
      <c r="BC529" s="463">
        <v>41</v>
      </c>
      <c r="BD529" s="463">
        <v>5</v>
      </c>
      <c r="BE529" s="463">
        <v>38</v>
      </c>
      <c r="BF529" s="463">
        <v>47</v>
      </c>
      <c r="BG529" s="463">
        <v>21</v>
      </c>
      <c r="BH529" s="463">
        <v>57</v>
      </c>
      <c r="BI529" s="463">
        <v>59</v>
      </c>
      <c r="BJ529" s="463">
        <v>83</v>
      </c>
      <c r="BK529" s="463">
        <v>69</v>
      </c>
      <c r="BL529" s="463">
        <v>103</v>
      </c>
      <c r="BM529" s="463">
        <v>3</v>
      </c>
      <c r="BN529" s="463">
        <v>29</v>
      </c>
      <c r="BO529" s="463">
        <v>63</v>
      </c>
      <c r="BP529" s="463">
        <v>45</v>
      </c>
      <c r="BQ529" s="463">
        <v>13</v>
      </c>
      <c r="BR529" s="463">
        <v>46</v>
      </c>
      <c r="BS529" s="463">
        <v>60</v>
      </c>
      <c r="BT529" s="463">
        <v>35</v>
      </c>
      <c r="BU529" s="463">
        <v>30</v>
      </c>
      <c r="BV529" s="463">
        <v>107</v>
      </c>
      <c r="BW529" s="463">
        <v>88</v>
      </c>
      <c r="BX529" s="463">
        <v>100</v>
      </c>
      <c r="BY529" s="463">
        <v>49</v>
      </c>
      <c r="BZ529" s="463">
        <v>75</v>
      </c>
      <c r="CA529" s="463">
        <v>93</v>
      </c>
      <c r="CB529" s="463">
        <v>11</v>
      </c>
      <c r="CC529" s="463">
        <v>104</v>
      </c>
      <c r="CD529" s="463">
        <v>53</v>
      </c>
      <c r="CE529" s="463">
        <v>7</v>
      </c>
      <c r="CF529" s="463">
        <v>87</v>
      </c>
      <c r="CG529" s="463">
        <v>56</v>
      </c>
      <c r="CH529" s="463">
        <v>99</v>
      </c>
      <c r="CI529" s="463">
        <v>68</v>
      </c>
      <c r="CJ529" s="463">
        <v>55</v>
      </c>
      <c r="CK529" s="463">
        <v>1</v>
      </c>
      <c r="CL529" s="463">
        <v>105</v>
      </c>
      <c r="CM529" s="463">
        <v>14</v>
      </c>
      <c r="CN529" s="463">
        <v>79</v>
      </c>
      <c r="CO529" s="463">
        <v>9</v>
      </c>
      <c r="CP529" s="463">
        <v>91</v>
      </c>
      <c r="CQ529" s="463">
        <v>73</v>
      </c>
      <c r="CR529" s="463">
        <v>89</v>
      </c>
      <c r="CS529" s="463">
        <v>58</v>
      </c>
      <c r="CT529" s="463">
        <v>37</v>
      </c>
      <c r="CU529" s="463">
        <v>43</v>
      </c>
      <c r="CV529" s="463">
        <v>51</v>
      </c>
      <c r="CW529" s="463">
        <v>15</v>
      </c>
      <c r="CX529" s="463">
        <v>18</v>
      </c>
      <c r="CY529" s="463">
        <v>77</v>
      </c>
      <c r="CZ529" s="463">
        <v>96</v>
      </c>
      <c r="DA529" s="463">
        <v>71</v>
      </c>
      <c r="DB529" s="463">
        <v>54</v>
      </c>
      <c r="DC529" s="463">
        <v>23</v>
      </c>
      <c r="DD529" s="463">
        <v>62</v>
      </c>
      <c r="DE529" s="463">
        <v>33</v>
      </c>
      <c r="DG529" s="463">
        <v>34</v>
      </c>
      <c r="DH529" s="463">
        <v>28</v>
      </c>
      <c r="DI529" s="463">
        <v>52</v>
      </c>
      <c r="DJ529" s="463">
        <v>81</v>
      </c>
    </row>
    <row r="532" spans="4:119" x14ac:dyDescent="0.2">
      <c r="D532" s="307">
        <v>109</v>
      </c>
      <c r="E532" s="307" t="s">
        <v>248</v>
      </c>
    </row>
    <row r="533" spans="4:119" x14ac:dyDescent="0.2">
      <c r="E533" s="463" t="s">
        <v>196</v>
      </c>
      <c r="F533" s="463">
        <v>1</v>
      </c>
      <c r="G533" s="463">
        <v>2</v>
      </c>
      <c r="H533" s="463">
        <v>3</v>
      </c>
      <c r="I533" s="463">
        <v>4</v>
      </c>
      <c r="J533" s="463">
        <v>5</v>
      </c>
      <c r="K533" s="463">
        <v>6</v>
      </c>
      <c r="L533" s="463">
        <v>7</v>
      </c>
      <c r="M533" s="463">
        <v>8</v>
      </c>
      <c r="N533" s="463">
        <v>9</v>
      </c>
      <c r="O533" s="463">
        <v>10</v>
      </c>
      <c r="P533" s="463">
        <v>11</v>
      </c>
      <c r="Q533" s="463">
        <v>12</v>
      </c>
      <c r="R533" s="463">
        <v>13</v>
      </c>
      <c r="S533" s="463">
        <v>14</v>
      </c>
      <c r="T533" s="463">
        <v>15</v>
      </c>
      <c r="U533" s="463">
        <v>16</v>
      </c>
      <c r="V533" s="463">
        <v>17</v>
      </c>
      <c r="W533" s="463">
        <v>18</v>
      </c>
      <c r="X533" s="463">
        <v>19</v>
      </c>
      <c r="Y533" s="463">
        <v>20</v>
      </c>
      <c r="Z533" s="463">
        <v>21</v>
      </c>
      <c r="AA533" s="463">
        <v>22</v>
      </c>
      <c r="AB533" s="463">
        <v>23</v>
      </c>
      <c r="AC533" s="463">
        <v>24</v>
      </c>
      <c r="AD533" s="463">
        <v>25</v>
      </c>
      <c r="AE533" s="463">
        <v>26</v>
      </c>
      <c r="AF533" s="463">
        <v>27</v>
      </c>
      <c r="AG533" s="463">
        <v>28</v>
      </c>
      <c r="AH533" s="463">
        <v>29</v>
      </c>
      <c r="AI533" s="463">
        <v>30</v>
      </c>
      <c r="AJ533" s="463">
        <v>31</v>
      </c>
      <c r="AK533" s="463">
        <v>32</v>
      </c>
      <c r="AL533" s="463">
        <v>33</v>
      </c>
      <c r="AM533" s="463">
        <v>34</v>
      </c>
      <c r="AN533" s="463">
        <v>35</v>
      </c>
      <c r="AO533" s="463">
        <v>36</v>
      </c>
      <c r="AP533" s="463">
        <v>37</v>
      </c>
      <c r="AQ533" s="463">
        <v>38</v>
      </c>
      <c r="AR533" s="463">
        <v>39</v>
      </c>
      <c r="AS533" s="463">
        <v>40</v>
      </c>
      <c r="AT533" s="463">
        <v>41</v>
      </c>
      <c r="AU533" s="463">
        <v>42</v>
      </c>
      <c r="AV533" s="463">
        <v>43</v>
      </c>
      <c r="AW533" s="463">
        <v>44</v>
      </c>
      <c r="AX533" s="463">
        <v>45</v>
      </c>
      <c r="AY533" s="463">
        <v>46</v>
      </c>
      <c r="AZ533" s="463">
        <v>47</v>
      </c>
      <c r="BA533" s="463">
        <v>48</v>
      </c>
      <c r="BB533" s="463">
        <v>49</v>
      </c>
      <c r="BC533" s="463">
        <v>50</v>
      </c>
      <c r="BD533" s="463">
        <v>51</v>
      </c>
      <c r="BE533" s="463">
        <v>52</v>
      </c>
      <c r="BF533" s="463">
        <v>53</v>
      </c>
      <c r="BG533" s="463">
        <v>54</v>
      </c>
      <c r="BH533" s="463">
        <v>55</v>
      </c>
      <c r="BI533" s="463">
        <v>56</v>
      </c>
      <c r="BJ533" s="463">
        <v>57</v>
      </c>
      <c r="BK533" s="463">
        <v>58</v>
      </c>
      <c r="BL533" s="463">
        <v>59</v>
      </c>
      <c r="BM533" s="463">
        <v>60</v>
      </c>
      <c r="BN533" s="463">
        <v>61</v>
      </c>
      <c r="BO533" s="463">
        <v>62</v>
      </c>
      <c r="BP533" s="463">
        <v>63</v>
      </c>
      <c r="BQ533" s="463">
        <v>64</v>
      </c>
      <c r="BR533" s="463">
        <v>65</v>
      </c>
      <c r="BS533" s="463">
        <v>66</v>
      </c>
      <c r="BT533" s="463">
        <v>67</v>
      </c>
      <c r="BU533" s="463">
        <v>68</v>
      </c>
      <c r="BV533" s="463">
        <v>69</v>
      </c>
      <c r="BW533" s="463">
        <v>70</v>
      </c>
      <c r="BX533" s="463">
        <v>71</v>
      </c>
      <c r="BY533" s="463">
        <v>72</v>
      </c>
      <c r="BZ533" s="463">
        <v>73</v>
      </c>
      <c r="CA533" s="463">
        <v>74</v>
      </c>
      <c r="CB533" s="463">
        <v>75</v>
      </c>
      <c r="CC533" s="463">
        <v>76</v>
      </c>
      <c r="CD533" s="463">
        <v>77</v>
      </c>
      <c r="CE533" s="463">
        <v>78</v>
      </c>
      <c r="CF533" s="463">
        <v>79</v>
      </c>
      <c r="CG533" s="463">
        <v>80</v>
      </c>
      <c r="CH533" s="463">
        <v>81</v>
      </c>
      <c r="CI533" s="463">
        <v>82</v>
      </c>
      <c r="CJ533" s="463">
        <v>83</v>
      </c>
      <c r="CK533" s="463">
        <v>84</v>
      </c>
      <c r="CL533" s="463">
        <v>85</v>
      </c>
      <c r="CM533" s="463">
        <v>86</v>
      </c>
      <c r="CN533" s="463">
        <v>87</v>
      </c>
      <c r="CO533" s="463">
        <v>88</v>
      </c>
      <c r="CP533" s="463">
        <v>89</v>
      </c>
      <c r="CQ533" s="463">
        <v>90</v>
      </c>
      <c r="CR533" s="463">
        <v>91</v>
      </c>
      <c r="CS533" s="463">
        <v>92</v>
      </c>
      <c r="CT533" s="463">
        <v>93</v>
      </c>
      <c r="CU533" s="463">
        <v>94</v>
      </c>
      <c r="CV533" s="463">
        <v>95</v>
      </c>
      <c r="CW533" s="463">
        <v>96</v>
      </c>
      <c r="CX533" s="463">
        <v>97</v>
      </c>
      <c r="CY533" s="463">
        <v>98</v>
      </c>
      <c r="CZ533" s="463">
        <v>99</v>
      </c>
      <c r="DA533" s="463">
        <v>100</v>
      </c>
      <c r="DB533" s="463">
        <v>101</v>
      </c>
      <c r="DC533" s="463">
        <v>102</v>
      </c>
      <c r="DD533" s="463">
        <v>103</v>
      </c>
      <c r="DE533" s="463">
        <v>104</v>
      </c>
      <c r="DF533" s="463">
        <v>105</v>
      </c>
      <c r="DG533" s="463">
        <v>106</v>
      </c>
      <c r="DH533" s="463">
        <v>107</v>
      </c>
      <c r="DI533" s="463">
        <v>108</v>
      </c>
      <c r="DJ533" s="463">
        <v>109</v>
      </c>
    </row>
    <row r="534" spans="4:119" x14ac:dyDescent="0.2">
      <c r="E534" s="463" t="s">
        <v>230</v>
      </c>
      <c r="F534" s="463">
        <v>100</v>
      </c>
      <c r="G534" s="463">
        <v>48</v>
      </c>
      <c r="H534" s="463">
        <v>74</v>
      </c>
      <c r="I534" s="463">
        <v>1</v>
      </c>
      <c r="J534" s="463">
        <v>41</v>
      </c>
      <c r="K534" s="463">
        <v>75</v>
      </c>
      <c r="L534" s="463">
        <v>38</v>
      </c>
      <c r="M534" s="463">
        <v>52</v>
      </c>
      <c r="N534" s="463">
        <v>11</v>
      </c>
      <c r="O534" s="463">
        <v>83</v>
      </c>
      <c r="P534" s="463">
        <v>84</v>
      </c>
      <c r="Q534" s="463">
        <v>80</v>
      </c>
      <c r="R534" s="463">
        <v>99</v>
      </c>
      <c r="S534" s="463">
        <v>73</v>
      </c>
      <c r="T534" s="463">
        <v>107</v>
      </c>
      <c r="U534" s="463">
        <v>14</v>
      </c>
      <c r="V534" s="463">
        <v>93</v>
      </c>
      <c r="W534" s="463">
        <v>47</v>
      </c>
      <c r="X534" s="463">
        <v>37</v>
      </c>
      <c r="Y534" s="463">
        <v>66</v>
      </c>
      <c r="Z534" s="463">
        <v>20</v>
      </c>
      <c r="AA534" s="463">
        <v>30</v>
      </c>
      <c r="AB534" s="463">
        <v>97</v>
      </c>
      <c r="AC534" s="463">
        <v>61</v>
      </c>
      <c r="AD534" s="463">
        <v>91</v>
      </c>
      <c r="AE534" s="463">
        <v>54</v>
      </c>
      <c r="AF534" s="463">
        <v>105</v>
      </c>
      <c r="AG534" s="463">
        <v>109</v>
      </c>
      <c r="AH534" s="463">
        <v>18</v>
      </c>
      <c r="AI534" s="463">
        <v>22</v>
      </c>
      <c r="AJ534" s="463">
        <v>70</v>
      </c>
      <c r="AK534" s="463">
        <v>45</v>
      </c>
      <c r="AL534" s="463">
        <v>95</v>
      </c>
      <c r="AM534" s="463">
        <v>106</v>
      </c>
      <c r="AN534" s="463">
        <v>16</v>
      </c>
      <c r="AO534" s="463">
        <v>85</v>
      </c>
      <c r="AP534" s="463">
        <v>28</v>
      </c>
      <c r="AQ534" s="463">
        <v>62</v>
      </c>
      <c r="AR534" s="463">
        <v>2</v>
      </c>
      <c r="AS534" s="463">
        <v>21</v>
      </c>
      <c r="AT534" s="463">
        <v>5</v>
      </c>
      <c r="AU534" s="463">
        <v>60</v>
      </c>
      <c r="AV534" s="463">
        <v>65</v>
      </c>
      <c r="AW534" s="463">
        <v>23</v>
      </c>
      <c r="AX534" s="463">
        <v>32</v>
      </c>
      <c r="AY534" s="463">
        <v>64</v>
      </c>
      <c r="AZ534" s="463">
        <v>9</v>
      </c>
      <c r="BA534" s="463">
        <v>67</v>
      </c>
      <c r="BB534" s="463">
        <v>88</v>
      </c>
      <c r="BC534" s="463">
        <v>78</v>
      </c>
      <c r="BD534" s="463">
        <v>90</v>
      </c>
      <c r="BE534" s="463">
        <v>24</v>
      </c>
      <c r="BF534" s="463">
        <v>42</v>
      </c>
      <c r="BG534" s="463">
        <v>36</v>
      </c>
      <c r="BH534" s="463">
        <v>82</v>
      </c>
      <c r="BI534" s="463">
        <v>89</v>
      </c>
      <c r="BJ534" s="463">
        <v>53</v>
      </c>
      <c r="BK534" s="463">
        <v>15</v>
      </c>
      <c r="BL534" s="463">
        <v>101</v>
      </c>
      <c r="BM534" s="463">
        <v>3</v>
      </c>
      <c r="BN534" s="463">
        <v>59</v>
      </c>
      <c r="BO534" s="463">
        <v>8</v>
      </c>
      <c r="BP534" s="463">
        <v>29</v>
      </c>
      <c r="BQ534" s="463">
        <v>86</v>
      </c>
      <c r="BR534" s="463">
        <v>46</v>
      </c>
      <c r="BS534" s="463">
        <v>19</v>
      </c>
      <c r="BT534" s="463">
        <v>104</v>
      </c>
      <c r="BU534" s="463">
        <v>10</v>
      </c>
      <c r="BV534" s="463">
        <v>72</v>
      </c>
      <c r="BW534" s="463">
        <v>96</v>
      </c>
      <c r="BX534" s="463">
        <v>25</v>
      </c>
      <c r="BY534" s="463">
        <v>43</v>
      </c>
      <c r="BZ534" s="463">
        <v>92</v>
      </c>
      <c r="CA534" s="463">
        <v>76</v>
      </c>
      <c r="CB534" s="463">
        <v>26</v>
      </c>
      <c r="CC534" s="463">
        <v>94</v>
      </c>
      <c r="CD534" s="463">
        <v>40</v>
      </c>
      <c r="CE534" s="463">
        <v>79</v>
      </c>
      <c r="CF534" s="463">
        <v>6</v>
      </c>
      <c r="CG534" s="463">
        <v>58</v>
      </c>
      <c r="CH534" s="463">
        <v>44</v>
      </c>
      <c r="CI534" s="463">
        <v>55</v>
      </c>
      <c r="CJ534" s="463">
        <v>49</v>
      </c>
      <c r="CK534" s="463">
        <v>71</v>
      </c>
      <c r="CL534" s="463">
        <v>77</v>
      </c>
      <c r="CM534" s="463">
        <v>35</v>
      </c>
      <c r="CN534" s="463">
        <v>108</v>
      </c>
      <c r="CO534" s="463">
        <v>17</v>
      </c>
      <c r="CP534" s="463">
        <v>56</v>
      </c>
      <c r="CQ534" s="463">
        <v>51</v>
      </c>
      <c r="CR534" s="463">
        <v>34</v>
      </c>
      <c r="CS534" s="463">
        <v>68</v>
      </c>
      <c r="CT534" s="463">
        <v>7</v>
      </c>
      <c r="CU534" s="463">
        <v>12</v>
      </c>
      <c r="CV534" s="463">
        <v>87</v>
      </c>
      <c r="CW534" s="463">
        <v>39</v>
      </c>
      <c r="CX534" s="463">
        <v>63</v>
      </c>
      <c r="CY534" s="463">
        <v>102</v>
      </c>
      <c r="CZ534" s="463">
        <v>13</v>
      </c>
      <c r="DA534" s="463">
        <v>81</v>
      </c>
      <c r="DB534" s="463">
        <v>50</v>
      </c>
      <c r="DC534" s="463">
        <v>98</v>
      </c>
      <c r="DD534" s="463">
        <v>69</v>
      </c>
      <c r="DE534" s="463">
        <v>31</v>
      </c>
      <c r="DF534" s="463">
        <v>27</v>
      </c>
      <c r="DG534" s="463">
        <v>4</v>
      </c>
      <c r="DH534" s="463">
        <v>33</v>
      </c>
      <c r="DI534" s="463">
        <v>57</v>
      </c>
      <c r="DJ534" s="463">
        <v>103</v>
      </c>
    </row>
    <row r="537" spans="4:119" x14ac:dyDescent="0.2">
      <c r="D537" s="307">
        <v>110</v>
      </c>
      <c r="E537" s="307" t="s">
        <v>248</v>
      </c>
    </row>
    <row r="538" spans="4:119" x14ac:dyDescent="0.2">
      <c r="E538" s="463" t="s">
        <v>196</v>
      </c>
      <c r="F538" s="463">
        <v>1</v>
      </c>
      <c r="G538" s="463">
        <v>2</v>
      </c>
      <c r="H538" s="463">
        <v>3</v>
      </c>
      <c r="I538" s="463">
        <v>4</v>
      </c>
      <c r="J538" s="463">
        <v>5</v>
      </c>
      <c r="K538" s="463">
        <v>6</v>
      </c>
      <c r="L538" s="463">
        <v>7</v>
      </c>
      <c r="M538" s="463">
        <v>8</v>
      </c>
      <c r="N538" s="463">
        <v>9</v>
      </c>
      <c r="O538" s="463">
        <v>10</v>
      </c>
      <c r="P538" s="463">
        <v>11</v>
      </c>
      <c r="Q538" s="463">
        <v>12</v>
      </c>
      <c r="R538" s="463">
        <v>13</v>
      </c>
      <c r="S538" s="463">
        <v>14</v>
      </c>
      <c r="T538" s="463">
        <v>15</v>
      </c>
      <c r="U538" s="463">
        <v>16</v>
      </c>
      <c r="V538" s="463">
        <v>17</v>
      </c>
      <c r="W538" s="463">
        <v>18</v>
      </c>
      <c r="X538" s="463">
        <v>19</v>
      </c>
      <c r="Y538" s="463">
        <v>20</v>
      </c>
      <c r="Z538" s="463">
        <v>21</v>
      </c>
      <c r="AA538" s="463">
        <v>22</v>
      </c>
      <c r="AB538" s="463">
        <v>23</v>
      </c>
      <c r="AC538" s="463">
        <v>24</v>
      </c>
      <c r="AD538" s="463">
        <v>25</v>
      </c>
      <c r="AE538" s="463">
        <v>26</v>
      </c>
      <c r="AF538" s="463">
        <v>27</v>
      </c>
      <c r="AG538" s="463">
        <v>28</v>
      </c>
      <c r="AH538" s="463">
        <v>29</v>
      </c>
      <c r="AI538" s="463">
        <v>30</v>
      </c>
      <c r="AJ538" s="463">
        <v>31</v>
      </c>
      <c r="AK538" s="463">
        <v>32</v>
      </c>
      <c r="AL538" s="463">
        <v>33</v>
      </c>
      <c r="AM538" s="463">
        <v>34</v>
      </c>
      <c r="AN538" s="463">
        <v>35</v>
      </c>
      <c r="AO538" s="463">
        <v>36</v>
      </c>
      <c r="AP538" s="463">
        <v>37</v>
      </c>
      <c r="AQ538" s="463">
        <v>38</v>
      </c>
      <c r="AR538" s="463">
        <v>39</v>
      </c>
      <c r="AS538" s="463">
        <v>40</v>
      </c>
      <c r="AT538" s="463">
        <v>41</v>
      </c>
      <c r="AU538" s="463">
        <v>42</v>
      </c>
      <c r="AV538" s="463">
        <v>43</v>
      </c>
      <c r="AW538" s="463">
        <v>44</v>
      </c>
      <c r="AX538" s="463">
        <v>45</v>
      </c>
      <c r="AY538" s="463">
        <v>46</v>
      </c>
      <c r="AZ538" s="463">
        <v>47</v>
      </c>
      <c r="BA538" s="463">
        <v>48</v>
      </c>
      <c r="BB538" s="463">
        <v>49</v>
      </c>
      <c r="BC538" s="463">
        <v>50</v>
      </c>
      <c r="BD538" s="463">
        <v>51</v>
      </c>
      <c r="BE538" s="463">
        <v>52</v>
      </c>
      <c r="BF538" s="463">
        <v>53</v>
      </c>
      <c r="BG538" s="463">
        <v>54</v>
      </c>
      <c r="BH538" s="463">
        <v>55</v>
      </c>
      <c r="BI538" s="463">
        <v>56</v>
      </c>
      <c r="BJ538" s="463">
        <v>57</v>
      </c>
      <c r="BK538" s="463">
        <v>58</v>
      </c>
      <c r="BL538" s="463">
        <v>59</v>
      </c>
      <c r="BM538" s="463">
        <v>60</v>
      </c>
      <c r="BN538" s="463">
        <v>61</v>
      </c>
      <c r="BO538" s="463">
        <v>62</v>
      </c>
      <c r="BP538" s="463">
        <v>63</v>
      </c>
      <c r="BQ538" s="463">
        <v>64</v>
      </c>
      <c r="BR538" s="463">
        <v>65</v>
      </c>
      <c r="BS538" s="463">
        <v>66</v>
      </c>
      <c r="BT538" s="463">
        <v>67</v>
      </c>
      <c r="BU538" s="463">
        <v>68</v>
      </c>
      <c r="BV538" s="463">
        <v>69</v>
      </c>
      <c r="BW538" s="463">
        <v>70</v>
      </c>
      <c r="BX538" s="463">
        <v>71</v>
      </c>
      <c r="BY538" s="463">
        <v>72</v>
      </c>
      <c r="BZ538" s="463">
        <v>73</v>
      </c>
      <c r="CA538" s="463">
        <v>74</v>
      </c>
      <c r="CB538" s="463">
        <v>75</v>
      </c>
      <c r="CC538" s="463">
        <v>76</v>
      </c>
      <c r="CD538" s="463">
        <v>77</v>
      </c>
      <c r="CE538" s="463">
        <v>78</v>
      </c>
      <c r="CF538" s="463">
        <v>79</v>
      </c>
      <c r="CG538" s="463">
        <v>80</v>
      </c>
      <c r="CH538" s="463">
        <v>81</v>
      </c>
      <c r="CI538" s="463">
        <v>82</v>
      </c>
      <c r="CJ538" s="463">
        <v>83</v>
      </c>
      <c r="CK538" s="463">
        <v>84</v>
      </c>
      <c r="CL538" s="463">
        <v>85</v>
      </c>
      <c r="CM538" s="463">
        <v>86</v>
      </c>
      <c r="CN538" s="463">
        <v>87</v>
      </c>
      <c r="CO538" s="463">
        <v>88</v>
      </c>
      <c r="CP538" s="463">
        <v>89</v>
      </c>
      <c r="CQ538" s="463">
        <v>90</v>
      </c>
      <c r="CR538" s="463">
        <v>91</v>
      </c>
      <c r="CS538" s="463">
        <v>92</v>
      </c>
      <c r="CT538" s="463">
        <v>93</v>
      </c>
      <c r="CU538" s="463">
        <v>94</v>
      </c>
      <c r="CV538" s="463">
        <v>95</v>
      </c>
      <c r="CW538" s="463">
        <v>96</v>
      </c>
      <c r="CX538" s="463">
        <v>97</v>
      </c>
      <c r="CY538" s="463">
        <v>98</v>
      </c>
      <c r="CZ538" s="463">
        <v>99</v>
      </c>
      <c r="DA538" s="463">
        <v>100</v>
      </c>
      <c r="DB538" s="463">
        <v>101</v>
      </c>
      <c r="DC538" s="463">
        <v>102</v>
      </c>
      <c r="DD538" s="463">
        <v>103</v>
      </c>
      <c r="DE538" s="463">
        <v>104</v>
      </c>
      <c r="DF538" s="463">
        <v>105</v>
      </c>
      <c r="DG538" s="463">
        <v>106</v>
      </c>
      <c r="DH538" s="463">
        <v>107</v>
      </c>
      <c r="DI538" s="463">
        <v>108</v>
      </c>
      <c r="DJ538" s="463">
        <v>109</v>
      </c>
      <c r="DK538" s="463">
        <v>110</v>
      </c>
    </row>
    <row r="539" spans="4:119" x14ac:dyDescent="0.2">
      <c r="E539" s="463" t="s">
        <v>230</v>
      </c>
      <c r="F539" s="463">
        <v>74</v>
      </c>
      <c r="G539" s="463">
        <v>54</v>
      </c>
      <c r="H539" s="463">
        <v>92</v>
      </c>
      <c r="I539" s="463">
        <v>67</v>
      </c>
      <c r="J539" s="463">
        <v>76</v>
      </c>
      <c r="K539" s="463">
        <v>29</v>
      </c>
      <c r="L539" s="463">
        <v>73</v>
      </c>
      <c r="M539" s="463">
        <v>2</v>
      </c>
      <c r="N539" s="463">
        <v>21</v>
      </c>
      <c r="O539" s="463">
        <v>52</v>
      </c>
      <c r="P539" s="463">
        <v>45</v>
      </c>
      <c r="Q539" s="463">
        <v>98</v>
      </c>
      <c r="R539" s="463">
        <v>94</v>
      </c>
      <c r="S539" s="463">
        <v>53</v>
      </c>
      <c r="T539" s="463">
        <v>71</v>
      </c>
      <c r="U539" s="463">
        <v>75</v>
      </c>
      <c r="V539" s="463">
        <v>100</v>
      </c>
      <c r="W539" s="463">
        <v>7</v>
      </c>
      <c r="X539" s="463">
        <v>31</v>
      </c>
      <c r="Y539" s="463">
        <v>93</v>
      </c>
      <c r="Z539" s="463">
        <v>55</v>
      </c>
      <c r="AA539" s="463">
        <v>103</v>
      </c>
      <c r="AB539" s="463">
        <v>82</v>
      </c>
      <c r="AC539" s="463">
        <v>18</v>
      </c>
      <c r="AD539" s="463">
        <v>42</v>
      </c>
      <c r="AE539" s="463">
        <v>25</v>
      </c>
      <c r="AF539" s="463">
        <v>108</v>
      </c>
      <c r="AG539" s="463">
        <v>64</v>
      </c>
      <c r="AH539" s="463">
        <v>6</v>
      </c>
      <c r="AI539" s="463">
        <v>66</v>
      </c>
      <c r="AJ539" s="463">
        <v>5</v>
      </c>
      <c r="AK539" s="463">
        <v>105</v>
      </c>
      <c r="AL539" s="463">
        <v>70</v>
      </c>
      <c r="AM539" s="463">
        <v>57</v>
      </c>
      <c r="AN539" s="463">
        <v>96</v>
      </c>
      <c r="AO539" s="463">
        <v>34</v>
      </c>
      <c r="AP539" s="463">
        <v>23</v>
      </c>
      <c r="AQ539" s="463">
        <v>79</v>
      </c>
      <c r="AR539" s="463">
        <v>36</v>
      </c>
      <c r="AS539" s="463">
        <v>16</v>
      </c>
      <c r="AT539" s="463">
        <v>65</v>
      </c>
      <c r="AU539" s="463">
        <v>50</v>
      </c>
      <c r="AV539" s="463">
        <v>59</v>
      </c>
      <c r="AW539" s="463">
        <v>107</v>
      </c>
      <c r="AX539" s="463">
        <v>78</v>
      </c>
      <c r="AY539" s="463">
        <v>35</v>
      </c>
      <c r="AZ539" s="463">
        <v>48</v>
      </c>
      <c r="BA539" s="463">
        <v>80</v>
      </c>
      <c r="BB539" s="463">
        <v>101</v>
      </c>
      <c r="BC539" s="463">
        <v>87</v>
      </c>
      <c r="BD539" s="463">
        <v>30</v>
      </c>
      <c r="BE539" s="463">
        <v>13</v>
      </c>
      <c r="BF539" s="463">
        <v>90</v>
      </c>
      <c r="BG539" s="463">
        <v>61</v>
      </c>
      <c r="BH539" s="463">
        <v>51</v>
      </c>
      <c r="BI539" s="463">
        <v>24</v>
      </c>
      <c r="BJ539" s="463">
        <v>10</v>
      </c>
      <c r="BK539" s="463">
        <v>97</v>
      </c>
      <c r="BL539" s="463">
        <v>77</v>
      </c>
      <c r="BM539" s="463">
        <v>81</v>
      </c>
      <c r="BN539" s="463">
        <v>95</v>
      </c>
      <c r="BO539" s="463">
        <v>68</v>
      </c>
      <c r="BP539" s="463">
        <v>85</v>
      </c>
      <c r="BQ539" s="463">
        <v>1</v>
      </c>
      <c r="BR539" s="463">
        <v>11</v>
      </c>
      <c r="BS539" s="463">
        <v>89</v>
      </c>
      <c r="BT539" s="463">
        <v>110</v>
      </c>
      <c r="BU539" s="463">
        <v>39</v>
      </c>
      <c r="BV539" s="463">
        <v>46</v>
      </c>
      <c r="BW539" s="463">
        <v>56</v>
      </c>
      <c r="BX539" s="463">
        <v>15</v>
      </c>
      <c r="BY539" s="463">
        <v>58</v>
      </c>
      <c r="BZ539" s="463">
        <v>9</v>
      </c>
      <c r="CA539" s="463">
        <v>102</v>
      </c>
      <c r="CB539" s="463">
        <v>72</v>
      </c>
      <c r="CC539" s="463">
        <v>19</v>
      </c>
      <c r="CD539" s="463">
        <v>38</v>
      </c>
      <c r="CE539" s="463">
        <v>4</v>
      </c>
      <c r="CF539" s="463">
        <v>28</v>
      </c>
      <c r="CG539" s="463">
        <v>91</v>
      </c>
      <c r="CH539" s="463">
        <v>14</v>
      </c>
      <c r="CI539" s="463">
        <v>88</v>
      </c>
      <c r="CJ539" s="463">
        <v>32</v>
      </c>
      <c r="CK539" s="463">
        <v>26</v>
      </c>
      <c r="CL539" s="463">
        <v>41</v>
      </c>
      <c r="CM539" s="463">
        <v>99</v>
      </c>
      <c r="CN539" s="463">
        <v>8</v>
      </c>
      <c r="CO539" s="463">
        <v>109</v>
      </c>
      <c r="CP539" s="463">
        <v>37</v>
      </c>
      <c r="CQ539" s="463">
        <v>83</v>
      </c>
      <c r="CR539" s="463">
        <v>40</v>
      </c>
      <c r="CS539" s="463">
        <v>3</v>
      </c>
      <c r="CT539" s="463">
        <v>20</v>
      </c>
      <c r="CU539" s="463">
        <v>106</v>
      </c>
      <c r="CV539" s="463">
        <v>43</v>
      </c>
      <c r="CW539" s="463">
        <v>69</v>
      </c>
      <c r="CX539" s="463">
        <v>33</v>
      </c>
      <c r="CY539" s="463">
        <v>12</v>
      </c>
      <c r="CZ539" s="463">
        <v>62</v>
      </c>
      <c r="DA539" s="463">
        <v>17</v>
      </c>
      <c r="DB539" s="463">
        <v>49</v>
      </c>
      <c r="DC539" s="463">
        <v>60</v>
      </c>
      <c r="DD539" s="463">
        <v>84</v>
      </c>
      <c r="DE539" s="463">
        <v>63</v>
      </c>
      <c r="DF539" s="463">
        <v>22</v>
      </c>
      <c r="DG539" s="463">
        <v>104</v>
      </c>
      <c r="DH539" s="463">
        <v>44</v>
      </c>
      <c r="DI539" s="463">
        <v>47</v>
      </c>
      <c r="DJ539" s="463">
        <v>27</v>
      </c>
      <c r="DK539" s="463">
        <v>86</v>
      </c>
    </row>
    <row r="542" spans="4:119" x14ac:dyDescent="0.2">
      <c r="D542" s="307">
        <v>111</v>
      </c>
      <c r="E542" s="307" t="s">
        <v>248</v>
      </c>
    </row>
    <row r="543" spans="4:119" x14ac:dyDescent="0.2">
      <c r="E543" s="463" t="s">
        <v>196</v>
      </c>
      <c r="F543" s="463">
        <v>1</v>
      </c>
      <c r="G543" s="463">
        <v>2</v>
      </c>
      <c r="H543" s="463">
        <v>3</v>
      </c>
      <c r="I543" s="463">
        <v>4</v>
      </c>
      <c r="J543" s="463">
        <v>5</v>
      </c>
      <c r="K543" s="463">
        <v>6</v>
      </c>
      <c r="L543" s="463">
        <v>7</v>
      </c>
      <c r="M543" s="463">
        <v>8</v>
      </c>
      <c r="N543" s="463">
        <v>9</v>
      </c>
      <c r="O543" s="463">
        <v>10</v>
      </c>
      <c r="P543" s="463">
        <v>11</v>
      </c>
      <c r="Q543" s="463">
        <v>12</v>
      </c>
      <c r="R543" s="463">
        <v>13</v>
      </c>
      <c r="S543" s="463">
        <v>14</v>
      </c>
      <c r="T543" s="463">
        <v>15</v>
      </c>
      <c r="U543" s="463">
        <v>16</v>
      </c>
      <c r="V543" s="463">
        <v>17</v>
      </c>
      <c r="W543" s="463">
        <v>18</v>
      </c>
      <c r="X543" s="463">
        <v>19</v>
      </c>
      <c r="Y543" s="463">
        <v>20</v>
      </c>
      <c r="Z543" s="463">
        <v>21</v>
      </c>
      <c r="AA543" s="463">
        <v>22</v>
      </c>
      <c r="AB543" s="463">
        <v>23</v>
      </c>
      <c r="AC543" s="463">
        <v>24</v>
      </c>
      <c r="AD543" s="463">
        <v>25</v>
      </c>
      <c r="AE543" s="463">
        <v>26</v>
      </c>
      <c r="AF543" s="463">
        <v>27</v>
      </c>
      <c r="AG543" s="463">
        <v>28</v>
      </c>
      <c r="AH543" s="463">
        <v>29</v>
      </c>
      <c r="AI543" s="463">
        <v>30</v>
      </c>
      <c r="AJ543" s="463">
        <v>31</v>
      </c>
      <c r="AK543" s="463">
        <v>32</v>
      </c>
      <c r="AL543" s="463">
        <v>33</v>
      </c>
      <c r="AM543" s="463">
        <v>34</v>
      </c>
      <c r="AN543" s="463">
        <v>35</v>
      </c>
      <c r="AO543" s="463">
        <v>36</v>
      </c>
      <c r="AP543" s="463">
        <v>37</v>
      </c>
      <c r="AQ543" s="463">
        <v>38</v>
      </c>
      <c r="AR543" s="463">
        <v>39</v>
      </c>
      <c r="AS543" s="463">
        <v>40</v>
      </c>
      <c r="AT543" s="463">
        <v>41</v>
      </c>
      <c r="AU543" s="463">
        <v>42</v>
      </c>
      <c r="AV543" s="463">
        <v>43</v>
      </c>
      <c r="AW543" s="463">
        <v>44</v>
      </c>
      <c r="AX543" s="463">
        <v>45</v>
      </c>
      <c r="AY543" s="463">
        <v>46</v>
      </c>
      <c r="AZ543" s="463">
        <v>47</v>
      </c>
      <c r="BA543" s="463">
        <v>48</v>
      </c>
      <c r="BB543" s="463">
        <v>49</v>
      </c>
      <c r="BC543" s="463">
        <v>50</v>
      </c>
      <c r="BD543" s="463">
        <v>51</v>
      </c>
      <c r="BE543" s="463">
        <v>52</v>
      </c>
      <c r="BF543" s="463">
        <v>53</v>
      </c>
      <c r="BG543" s="463">
        <v>54</v>
      </c>
      <c r="BH543" s="463">
        <v>55</v>
      </c>
      <c r="BI543" s="463">
        <v>56</v>
      </c>
      <c r="BJ543" s="463">
        <v>57</v>
      </c>
      <c r="BK543" s="463">
        <v>58</v>
      </c>
      <c r="BL543" s="463">
        <v>59</v>
      </c>
      <c r="BM543" s="463">
        <v>60</v>
      </c>
      <c r="BN543" s="463">
        <v>61</v>
      </c>
      <c r="BO543" s="463">
        <v>62</v>
      </c>
      <c r="BP543" s="463">
        <v>63</v>
      </c>
      <c r="BQ543" s="463">
        <v>64</v>
      </c>
      <c r="BR543" s="463">
        <v>65</v>
      </c>
      <c r="BS543" s="463">
        <v>66</v>
      </c>
      <c r="BT543" s="463">
        <v>67</v>
      </c>
      <c r="BU543" s="463">
        <v>68</v>
      </c>
      <c r="BV543" s="463">
        <v>69</v>
      </c>
      <c r="BW543" s="463">
        <v>70</v>
      </c>
      <c r="BX543" s="463">
        <v>71</v>
      </c>
      <c r="BY543" s="463">
        <v>72</v>
      </c>
      <c r="BZ543" s="463">
        <v>73</v>
      </c>
      <c r="CA543" s="463">
        <v>74</v>
      </c>
      <c r="CB543" s="463">
        <v>75</v>
      </c>
      <c r="CC543" s="463">
        <v>76</v>
      </c>
      <c r="CD543" s="463">
        <v>77</v>
      </c>
      <c r="CE543" s="463">
        <v>78</v>
      </c>
      <c r="CF543" s="463">
        <v>79</v>
      </c>
      <c r="CG543" s="463">
        <v>80</v>
      </c>
      <c r="CH543" s="463">
        <v>81</v>
      </c>
      <c r="CI543" s="463">
        <v>82</v>
      </c>
      <c r="CJ543" s="463">
        <v>83</v>
      </c>
      <c r="CK543" s="463">
        <v>84</v>
      </c>
      <c r="CL543" s="463">
        <v>85</v>
      </c>
      <c r="CM543" s="463">
        <v>86</v>
      </c>
      <c r="CN543" s="463">
        <v>87</v>
      </c>
      <c r="CO543" s="463">
        <v>88</v>
      </c>
      <c r="CP543" s="463">
        <v>89</v>
      </c>
      <c r="CQ543" s="463">
        <v>90</v>
      </c>
      <c r="CR543" s="463">
        <v>91</v>
      </c>
      <c r="CS543" s="463">
        <v>92</v>
      </c>
      <c r="CT543" s="463">
        <v>93</v>
      </c>
      <c r="CU543" s="463">
        <v>94</v>
      </c>
      <c r="CV543" s="463">
        <v>95</v>
      </c>
      <c r="CW543" s="463">
        <v>96</v>
      </c>
      <c r="CX543" s="463">
        <v>97</v>
      </c>
      <c r="CY543" s="463">
        <v>98</v>
      </c>
      <c r="CZ543" s="463">
        <v>99</v>
      </c>
      <c r="DB543" s="463">
        <v>100</v>
      </c>
      <c r="DC543" s="463">
        <v>101</v>
      </c>
      <c r="DD543" s="463">
        <v>102</v>
      </c>
      <c r="DE543" s="463">
        <v>103</v>
      </c>
      <c r="DG543" s="463">
        <v>104</v>
      </c>
      <c r="DH543" s="463">
        <v>105</v>
      </c>
      <c r="DI543" s="463">
        <v>106</v>
      </c>
      <c r="DJ543" s="463">
        <v>107</v>
      </c>
      <c r="DL543" s="463">
        <v>108</v>
      </c>
      <c r="DM543" s="463">
        <v>109</v>
      </c>
      <c r="DN543" s="463">
        <v>110</v>
      </c>
      <c r="DO543" s="463">
        <v>111</v>
      </c>
    </row>
    <row r="544" spans="4:119" x14ac:dyDescent="0.2">
      <c r="E544" s="463" t="s">
        <v>230</v>
      </c>
      <c r="F544" s="463">
        <v>90</v>
      </c>
      <c r="G544" s="463">
        <v>99</v>
      </c>
      <c r="H544" s="463">
        <v>101</v>
      </c>
      <c r="I544" s="463">
        <v>16</v>
      </c>
      <c r="J544" s="463">
        <v>104</v>
      </c>
      <c r="K544" s="463">
        <v>111</v>
      </c>
      <c r="L544" s="463">
        <v>50</v>
      </c>
      <c r="M544" s="463">
        <v>42</v>
      </c>
      <c r="N544" s="463">
        <v>31</v>
      </c>
      <c r="O544" s="463">
        <v>51</v>
      </c>
      <c r="P544" s="463">
        <v>65</v>
      </c>
      <c r="Q544" s="463">
        <v>13</v>
      </c>
      <c r="R544" s="463">
        <v>39</v>
      </c>
      <c r="S544" s="463">
        <v>91</v>
      </c>
      <c r="T544" s="463">
        <v>81</v>
      </c>
      <c r="U544" s="463">
        <v>25</v>
      </c>
      <c r="V544" s="463">
        <v>79</v>
      </c>
      <c r="W544" s="463">
        <v>62</v>
      </c>
      <c r="X544" s="463">
        <v>12</v>
      </c>
      <c r="Y544" s="463">
        <v>108</v>
      </c>
      <c r="Z544" s="463">
        <v>34</v>
      </c>
      <c r="AA544" s="463">
        <v>89</v>
      </c>
      <c r="AB544" s="463">
        <v>17</v>
      </c>
      <c r="AC544" s="463">
        <v>11</v>
      </c>
      <c r="AD544" s="463">
        <v>2</v>
      </c>
      <c r="AE544" s="463">
        <v>45</v>
      </c>
      <c r="AF544" s="463">
        <v>48</v>
      </c>
      <c r="AG544" s="463">
        <v>14</v>
      </c>
      <c r="AH544" s="463">
        <v>86</v>
      </c>
      <c r="AI544" s="463">
        <v>77</v>
      </c>
      <c r="AJ544" s="463">
        <v>60</v>
      </c>
      <c r="AK544" s="463">
        <v>69</v>
      </c>
      <c r="AL544" s="463">
        <v>80</v>
      </c>
      <c r="AM544" s="463">
        <v>21</v>
      </c>
      <c r="AN544" s="463">
        <v>41</v>
      </c>
      <c r="AO544" s="463">
        <v>103</v>
      </c>
      <c r="AP544" s="463">
        <v>54</v>
      </c>
      <c r="AQ544" s="463">
        <v>67</v>
      </c>
      <c r="AR544" s="463">
        <v>93</v>
      </c>
      <c r="AS544" s="463">
        <v>28</v>
      </c>
      <c r="AT544" s="463">
        <v>29</v>
      </c>
      <c r="AU544" s="463">
        <v>94</v>
      </c>
      <c r="AV544" s="463">
        <v>22</v>
      </c>
      <c r="AW544" s="463">
        <v>61</v>
      </c>
      <c r="AX544" s="463">
        <v>83</v>
      </c>
      <c r="AY544" s="463">
        <v>5</v>
      </c>
      <c r="AZ544" s="463">
        <v>98</v>
      </c>
      <c r="BA544" s="463">
        <v>109</v>
      </c>
      <c r="BB544" s="463">
        <v>71</v>
      </c>
      <c r="BC544" s="463">
        <v>100</v>
      </c>
      <c r="BD544" s="463">
        <v>75</v>
      </c>
      <c r="BE544" s="463">
        <v>88</v>
      </c>
      <c r="BF544" s="463">
        <v>4</v>
      </c>
      <c r="BG544" s="463">
        <v>68</v>
      </c>
      <c r="BH544" s="463">
        <v>8</v>
      </c>
      <c r="BI544" s="463">
        <v>95</v>
      </c>
      <c r="BJ544" s="463">
        <v>18</v>
      </c>
      <c r="BK544" s="463">
        <v>7</v>
      </c>
      <c r="BL544" s="463">
        <v>76</v>
      </c>
      <c r="BM544" s="463">
        <v>56</v>
      </c>
      <c r="BN544" s="463">
        <v>44</v>
      </c>
      <c r="BO544" s="463">
        <v>9</v>
      </c>
      <c r="BP544" s="463">
        <v>55</v>
      </c>
      <c r="BQ544" s="463">
        <v>1</v>
      </c>
      <c r="BR544" s="463">
        <v>97</v>
      </c>
      <c r="BS544" s="463">
        <v>107</v>
      </c>
      <c r="BT544" s="463">
        <v>53</v>
      </c>
      <c r="BU544" s="463">
        <v>37</v>
      </c>
      <c r="BV544" s="463">
        <v>46</v>
      </c>
      <c r="BW544" s="463">
        <v>72</v>
      </c>
      <c r="BX544" s="463">
        <v>24</v>
      </c>
      <c r="BY544" s="463">
        <v>70</v>
      </c>
      <c r="BZ544" s="463">
        <v>32</v>
      </c>
      <c r="CA544" s="463">
        <v>106</v>
      </c>
      <c r="CB544" s="463">
        <v>96</v>
      </c>
      <c r="CC544" s="463">
        <v>64</v>
      </c>
      <c r="CD544" s="463">
        <v>23</v>
      </c>
      <c r="CE544" s="463">
        <v>27</v>
      </c>
      <c r="CF544" s="463">
        <v>6</v>
      </c>
      <c r="CG544" s="463">
        <v>87</v>
      </c>
      <c r="CH544" s="463">
        <v>40</v>
      </c>
      <c r="CI544" s="463">
        <v>110</v>
      </c>
      <c r="CJ544" s="463">
        <v>57</v>
      </c>
      <c r="CK544" s="463">
        <v>102</v>
      </c>
      <c r="CL544" s="463">
        <v>92</v>
      </c>
      <c r="CM544" s="463">
        <v>35</v>
      </c>
      <c r="CN544" s="463">
        <v>78</v>
      </c>
      <c r="CO544" s="463">
        <v>105</v>
      </c>
      <c r="CP544" s="463">
        <v>66</v>
      </c>
      <c r="CQ544" s="463">
        <v>63</v>
      </c>
      <c r="CR544" s="463">
        <v>15</v>
      </c>
      <c r="CS544" s="463">
        <v>38</v>
      </c>
      <c r="CT544" s="463">
        <v>52</v>
      </c>
      <c r="CU544" s="463">
        <v>33</v>
      </c>
      <c r="CV544" s="463">
        <v>26</v>
      </c>
      <c r="CW544" s="463">
        <v>59</v>
      </c>
      <c r="CX544" s="463">
        <v>30</v>
      </c>
      <c r="CY544" s="463">
        <v>47</v>
      </c>
      <c r="CZ544" s="463">
        <v>82</v>
      </c>
      <c r="DB544" s="463">
        <v>84</v>
      </c>
      <c r="DC544" s="463">
        <v>3</v>
      </c>
      <c r="DD544" s="463">
        <v>10</v>
      </c>
      <c r="DE544" s="463">
        <v>36</v>
      </c>
      <c r="DG544" s="463">
        <v>19</v>
      </c>
      <c r="DH544" s="463">
        <v>85</v>
      </c>
      <c r="DI544" s="463">
        <v>74</v>
      </c>
      <c r="DJ544" s="463">
        <v>58</v>
      </c>
      <c r="DL544" s="463">
        <v>49</v>
      </c>
      <c r="DM544" s="463">
        <v>43</v>
      </c>
      <c r="DN544" s="463">
        <v>20</v>
      </c>
      <c r="DO544" s="463">
        <v>73</v>
      </c>
    </row>
    <row r="547" spans="4:119" x14ac:dyDescent="0.2">
      <c r="D547" s="307">
        <v>112</v>
      </c>
      <c r="E547" s="307" t="s">
        <v>248</v>
      </c>
    </row>
    <row r="548" spans="4:119" x14ac:dyDescent="0.2">
      <c r="E548" s="463" t="s">
        <v>196</v>
      </c>
      <c r="F548" s="463">
        <v>1</v>
      </c>
      <c r="G548" s="463">
        <v>2</v>
      </c>
      <c r="H548" s="463">
        <v>3</v>
      </c>
      <c r="I548" s="463">
        <v>4</v>
      </c>
      <c r="J548" s="463">
        <v>5</v>
      </c>
      <c r="K548" s="463">
        <v>6</v>
      </c>
      <c r="L548" s="463">
        <v>7</v>
      </c>
      <c r="M548" s="463">
        <v>8</v>
      </c>
      <c r="N548" s="463">
        <v>9</v>
      </c>
      <c r="O548" s="463">
        <v>10</v>
      </c>
      <c r="P548" s="463">
        <v>11</v>
      </c>
      <c r="Q548" s="463">
        <v>12</v>
      </c>
      <c r="R548" s="463">
        <v>13</v>
      </c>
      <c r="S548" s="463">
        <v>14</v>
      </c>
      <c r="T548" s="463">
        <v>15</v>
      </c>
      <c r="U548" s="463">
        <v>16</v>
      </c>
      <c r="V548" s="463">
        <v>17</v>
      </c>
      <c r="W548" s="463">
        <v>18</v>
      </c>
      <c r="X548" s="463">
        <v>19</v>
      </c>
      <c r="Y548" s="463">
        <v>20</v>
      </c>
      <c r="Z548" s="463">
        <v>21</v>
      </c>
      <c r="AA548" s="463">
        <v>22</v>
      </c>
      <c r="AB548" s="463">
        <v>23</v>
      </c>
      <c r="AC548" s="463">
        <v>24</v>
      </c>
      <c r="AD548" s="463">
        <v>25</v>
      </c>
      <c r="AE548" s="463">
        <v>26</v>
      </c>
      <c r="AF548" s="463">
        <v>27</v>
      </c>
      <c r="AG548" s="463">
        <v>28</v>
      </c>
      <c r="AH548" s="463">
        <v>29</v>
      </c>
      <c r="AI548" s="463">
        <v>30</v>
      </c>
      <c r="AJ548" s="463">
        <v>31</v>
      </c>
      <c r="AK548" s="463">
        <v>32</v>
      </c>
      <c r="AL548" s="463">
        <v>33</v>
      </c>
      <c r="AM548" s="463">
        <v>34</v>
      </c>
      <c r="AN548" s="463">
        <v>35</v>
      </c>
      <c r="AO548" s="463">
        <v>36</v>
      </c>
      <c r="AP548" s="463">
        <v>37</v>
      </c>
      <c r="AQ548" s="463">
        <v>38</v>
      </c>
      <c r="AR548" s="463">
        <v>39</v>
      </c>
      <c r="AS548" s="463">
        <v>40</v>
      </c>
      <c r="AT548" s="463">
        <v>41</v>
      </c>
      <c r="AU548" s="463">
        <v>42</v>
      </c>
      <c r="AV548" s="463">
        <v>43</v>
      </c>
      <c r="AW548" s="463">
        <v>44</v>
      </c>
      <c r="AX548" s="463">
        <v>45</v>
      </c>
      <c r="AY548" s="463">
        <v>46</v>
      </c>
      <c r="AZ548" s="463">
        <v>47</v>
      </c>
      <c r="BA548" s="463">
        <v>48</v>
      </c>
      <c r="BB548" s="463">
        <v>49</v>
      </c>
      <c r="BC548" s="463">
        <v>50</v>
      </c>
      <c r="BD548" s="463">
        <v>51</v>
      </c>
      <c r="BE548" s="463">
        <v>52</v>
      </c>
      <c r="BF548" s="463">
        <v>53</v>
      </c>
      <c r="BG548" s="463">
        <v>54</v>
      </c>
      <c r="BH548" s="463">
        <v>55</v>
      </c>
      <c r="BI548" s="463">
        <v>56</v>
      </c>
      <c r="BJ548" s="463">
        <v>57</v>
      </c>
      <c r="BK548" s="463">
        <v>58</v>
      </c>
      <c r="BL548" s="463">
        <v>59</v>
      </c>
      <c r="BM548" s="463">
        <v>60</v>
      </c>
      <c r="BN548" s="463">
        <v>61</v>
      </c>
      <c r="BO548" s="463">
        <v>62</v>
      </c>
      <c r="BP548" s="463">
        <v>63</v>
      </c>
      <c r="BQ548" s="463">
        <v>64</v>
      </c>
      <c r="BR548" s="463">
        <v>65</v>
      </c>
      <c r="BS548" s="463">
        <v>66</v>
      </c>
      <c r="BT548" s="463">
        <v>67</v>
      </c>
      <c r="BU548" s="463">
        <v>68</v>
      </c>
      <c r="BV548" s="463">
        <v>69</v>
      </c>
      <c r="BW548" s="463">
        <v>70</v>
      </c>
      <c r="BX548" s="463">
        <v>71</v>
      </c>
      <c r="BY548" s="463">
        <v>72</v>
      </c>
      <c r="BZ548" s="463">
        <v>73</v>
      </c>
      <c r="CA548" s="463">
        <v>74</v>
      </c>
      <c r="CB548" s="463">
        <v>75</v>
      </c>
      <c r="CC548" s="463">
        <v>76</v>
      </c>
      <c r="CD548" s="463">
        <v>77</v>
      </c>
      <c r="CE548" s="463">
        <v>78</v>
      </c>
      <c r="CF548" s="463">
        <v>79</v>
      </c>
      <c r="CG548" s="463">
        <v>80</v>
      </c>
      <c r="CH548" s="463">
        <v>81</v>
      </c>
      <c r="CI548" s="463">
        <v>82</v>
      </c>
      <c r="CJ548" s="463">
        <v>83</v>
      </c>
      <c r="CK548" s="463">
        <v>84</v>
      </c>
      <c r="CL548" s="463">
        <v>85</v>
      </c>
      <c r="CM548" s="463">
        <v>86</v>
      </c>
      <c r="CN548" s="463">
        <v>87</v>
      </c>
      <c r="CO548" s="463">
        <v>88</v>
      </c>
      <c r="CP548" s="463">
        <v>89</v>
      </c>
      <c r="CQ548" s="463">
        <v>90</v>
      </c>
      <c r="CR548" s="463">
        <v>91</v>
      </c>
      <c r="CS548" s="463">
        <v>92</v>
      </c>
      <c r="CT548" s="463">
        <v>93</v>
      </c>
      <c r="CU548" s="463">
        <v>94</v>
      </c>
      <c r="CV548" s="463">
        <v>95</v>
      </c>
      <c r="CW548" s="463">
        <v>96</v>
      </c>
      <c r="CX548" s="463">
        <v>97</v>
      </c>
      <c r="CY548" s="463">
        <v>98</v>
      </c>
      <c r="CZ548" s="463">
        <v>99</v>
      </c>
      <c r="DA548" s="463">
        <v>100</v>
      </c>
      <c r="DB548" s="463">
        <v>101</v>
      </c>
      <c r="DC548" s="463">
        <v>102</v>
      </c>
      <c r="DD548" s="463">
        <v>103</v>
      </c>
      <c r="DE548" s="463">
        <v>104</v>
      </c>
      <c r="DG548" s="463">
        <v>105</v>
      </c>
      <c r="DH548" s="463">
        <v>106</v>
      </c>
      <c r="DI548" s="463">
        <v>107</v>
      </c>
      <c r="DJ548" s="463">
        <v>108</v>
      </c>
      <c r="DL548" s="463">
        <v>109</v>
      </c>
      <c r="DM548" s="463">
        <v>110</v>
      </c>
      <c r="DN548" s="463">
        <v>111</v>
      </c>
      <c r="DO548" s="463">
        <v>112</v>
      </c>
    </row>
    <row r="549" spans="4:119" x14ac:dyDescent="0.2">
      <c r="E549" s="463" t="s">
        <v>230</v>
      </c>
      <c r="F549" s="463">
        <v>30</v>
      </c>
      <c r="G549" s="463">
        <v>88</v>
      </c>
      <c r="H549" s="463">
        <v>79</v>
      </c>
      <c r="I549" s="463">
        <v>16</v>
      </c>
      <c r="J549" s="463">
        <v>96</v>
      </c>
      <c r="K549" s="463">
        <v>39</v>
      </c>
      <c r="L549" s="463">
        <v>107</v>
      </c>
      <c r="M549" s="463">
        <v>82</v>
      </c>
      <c r="N549" s="463">
        <v>68</v>
      </c>
      <c r="O549" s="463">
        <v>18</v>
      </c>
      <c r="P549" s="463">
        <v>45</v>
      </c>
      <c r="Q549" s="463">
        <v>38</v>
      </c>
      <c r="R549" s="463">
        <v>32</v>
      </c>
      <c r="S549" s="463">
        <v>63</v>
      </c>
      <c r="T549" s="463">
        <v>56</v>
      </c>
      <c r="U549" s="463">
        <v>9</v>
      </c>
      <c r="V549" s="463">
        <v>83</v>
      </c>
      <c r="W549" s="463">
        <v>64</v>
      </c>
      <c r="X549" s="463">
        <v>33</v>
      </c>
      <c r="Y549" s="463">
        <v>51</v>
      </c>
      <c r="Z549" s="463">
        <v>90</v>
      </c>
      <c r="AA549" s="463">
        <v>34</v>
      </c>
      <c r="AB549" s="463">
        <v>102</v>
      </c>
      <c r="AC549" s="463">
        <v>78</v>
      </c>
      <c r="AD549" s="463">
        <v>46</v>
      </c>
      <c r="AE549" s="463">
        <v>60</v>
      </c>
      <c r="AF549" s="463">
        <v>48</v>
      </c>
      <c r="AG549" s="463">
        <v>87</v>
      </c>
      <c r="AH549" s="463">
        <v>43</v>
      </c>
      <c r="AI549" s="463">
        <v>36</v>
      </c>
      <c r="AJ549" s="463">
        <v>10</v>
      </c>
      <c r="AK549" s="463">
        <v>13</v>
      </c>
      <c r="AL549" s="463">
        <v>106</v>
      </c>
      <c r="AM549" s="463">
        <v>81</v>
      </c>
      <c r="AN549" s="463">
        <v>91</v>
      </c>
      <c r="AO549" s="463">
        <v>99</v>
      </c>
      <c r="AP549" s="463">
        <v>80</v>
      </c>
      <c r="AQ549" s="463">
        <v>92</v>
      </c>
      <c r="AR549" s="463">
        <v>31</v>
      </c>
      <c r="AS549" s="463">
        <v>37</v>
      </c>
      <c r="AT549" s="463">
        <v>49</v>
      </c>
      <c r="AU549" s="463">
        <v>73</v>
      </c>
      <c r="AV549" s="463">
        <v>29</v>
      </c>
      <c r="AW549" s="463">
        <v>17</v>
      </c>
      <c r="AX549" s="463">
        <v>61</v>
      </c>
      <c r="AY549" s="463">
        <v>25</v>
      </c>
      <c r="AZ549" s="463">
        <v>112</v>
      </c>
      <c r="BA549" s="463">
        <v>4</v>
      </c>
      <c r="BB549" s="463">
        <v>71</v>
      </c>
      <c r="BC549" s="463">
        <v>66</v>
      </c>
      <c r="BD549" s="463">
        <v>55</v>
      </c>
      <c r="BE549" s="463">
        <v>44</v>
      </c>
      <c r="BF549" s="463">
        <v>70</v>
      </c>
      <c r="BG549" s="463">
        <v>1</v>
      </c>
      <c r="BH549" s="463">
        <v>86</v>
      </c>
      <c r="BI549" s="463">
        <v>20</v>
      </c>
      <c r="BJ549" s="463">
        <v>93</v>
      </c>
      <c r="BK549" s="463">
        <v>69</v>
      </c>
      <c r="BL549" s="463">
        <v>12</v>
      </c>
      <c r="BM549" s="463">
        <v>77</v>
      </c>
      <c r="BN549" s="463">
        <v>75</v>
      </c>
      <c r="BO549" s="463">
        <v>103</v>
      </c>
      <c r="BP549" s="463">
        <v>5</v>
      </c>
      <c r="BQ549" s="463">
        <v>26</v>
      </c>
      <c r="BR549" s="463">
        <v>110</v>
      </c>
      <c r="BS549" s="463">
        <v>19</v>
      </c>
      <c r="BT549" s="463">
        <v>98</v>
      </c>
      <c r="BU549" s="463">
        <v>95</v>
      </c>
      <c r="BV549" s="463">
        <v>58</v>
      </c>
      <c r="BW549" s="463">
        <v>105</v>
      </c>
      <c r="BX549" s="463">
        <v>100</v>
      </c>
      <c r="BY549" s="463">
        <v>24</v>
      </c>
      <c r="BZ549" s="463">
        <v>7</v>
      </c>
      <c r="CA549" s="463">
        <v>109</v>
      </c>
      <c r="CB549" s="463">
        <v>101</v>
      </c>
      <c r="CC549" s="463">
        <v>40</v>
      </c>
      <c r="CD549" s="463">
        <v>108</v>
      </c>
      <c r="CE549" s="463">
        <v>72</v>
      </c>
      <c r="CF549" s="463">
        <v>3</v>
      </c>
      <c r="CG549" s="463">
        <v>11</v>
      </c>
      <c r="CH549" s="463">
        <v>74</v>
      </c>
      <c r="CI549" s="463">
        <v>8</v>
      </c>
      <c r="CJ549" s="463">
        <v>47</v>
      </c>
      <c r="CK549" s="463">
        <v>76</v>
      </c>
      <c r="CL549" s="463">
        <v>41</v>
      </c>
      <c r="CM549" s="463">
        <v>84</v>
      </c>
      <c r="CN549" s="463">
        <v>53</v>
      </c>
      <c r="CO549" s="463">
        <v>2</v>
      </c>
      <c r="CP549" s="463">
        <v>57</v>
      </c>
      <c r="CQ549" s="463">
        <v>21</v>
      </c>
      <c r="CR549" s="463">
        <v>104</v>
      </c>
      <c r="CS549" s="463">
        <v>35</v>
      </c>
      <c r="CT549" s="463">
        <v>54</v>
      </c>
      <c r="CU549" s="463">
        <v>6</v>
      </c>
      <c r="CV549" s="463">
        <v>28</v>
      </c>
      <c r="CW549" s="463">
        <v>14</v>
      </c>
      <c r="CX549" s="463">
        <v>85</v>
      </c>
      <c r="CY549" s="463">
        <v>94</v>
      </c>
      <c r="CZ549" s="463">
        <v>111</v>
      </c>
      <c r="DA549" s="463">
        <v>22</v>
      </c>
      <c r="DB549" s="463">
        <v>15</v>
      </c>
      <c r="DC549" s="463">
        <v>50</v>
      </c>
      <c r="DD549" s="463">
        <v>62</v>
      </c>
      <c r="DE549" s="463">
        <v>97</v>
      </c>
      <c r="DG549" s="463">
        <v>59</v>
      </c>
      <c r="DH549" s="463">
        <v>23</v>
      </c>
      <c r="DI549" s="463">
        <v>67</v>
      </c>
      <c r="DJ549" s="463">
        <v>52</v>
      </c>
      <c r="DL549" s="463">
        <v>89</v>
      </c>
      <c r="DM549" s="463">
        <v>65</v>
      </c>
      <c r="DN549" s="463">
        <v>42</v>
      </c>
      <c r="DO549" s="463">
        <v>27</v>
      </c>
    </row>
    <row r="552" spans="4:119" x14ac:dyDescent="0.2">
      <c r="D552" s="307">
        <v>113</v>
      </c>
      <c r="E552" s="307" t="s">
        <v>248</v>
      </c>
    </row>
    <row r="553" spans="4:119" x14ac:dyDescent="0.2">
      <c r="E553" s="463" t="s">
        <v>196</v>
      </c>
      <c r="F553" s="463">
        <v>1</v>
      </c>
      <c r="G553" s="463">
        <v>2</v>
      </c>
      <c r="H553" s="463">
        <v>3</v>
      </c>
      <c r="I553" s="463">
        <v>4</v>
      </c>
      <c r="J553" s="463">
        <v>5</v>
      </c>
      <c r="K553" s="463">
        <v>6</v>
      </c>
      <c r="L553" s="463">
        <v>7</v>
      </c>
      <c r="M553" s="463">
        <v>8</v>
      </c>
      <c r="N553" s="463">
        <v>9</v>
      </c>
      <c r="O553" s="463">
        <v>10</v>
      </c>
      <c r="P553" s="463">
        <v>11</v>
      </c>
      <c r="Q553" s="463">
        <v>12</v>
      </c>
      <c r="R553" s="463">
        <v>13</v>
      </c>
      <c r="S553" s="463">
        <v>14</v>
      </c>
      <c r="T553" s="463">
        <v>15</v>
      </c>
      <c r="U553" s="463">
        <v>16</v>
      </c>
      <c r="V553" s="463">
        <v>17</v>
      </c>
      <c r="W553" s="463">
        <v>18</v>
      </c>
      <c r="X553" s="463">
        <v>19</v>
      </c>
      <c r="Y553" s="463">
        <v>20</v>
      </c>
      <c r="Z553" s="463">
        <v>21</v>
      </c>
      <c r="AA553" s="463">
        <v>22</v>
      </c>
      <c r="AB553" s="463">
        <v>23</v>
      </c>
      <c r="AC553" s="463">
        <v>24</v>
      </c>
      <c r="AD553" s="463">
        <v>25</v>
      </c>
      <c r="AE553" s="463">
        <v>26</v>
      </c>
      <c r="AF553" s="463">
        <v>27</v>
      </c>
      <c r="AG553" s="463">
        <v>28</v>
      </c>
      <c r="AH553" s="463">
        <v>29</v>
      </c>
      <c r="AI553" s="463">
        <v>30</v>
      </c>
      <c r="AJ553" s="463">
        <v>31</v>
      </c>
      <c r="AK553" s="463">
        <v>32</v>
      </c>
      <c r="AL553" s="463">
        <v>33</v>
      </c>
      <c r="AM553" s="463">
        <v>34</v>
      </c>
      <c r="AN553" s="463">
        <v>35</v>
      </c>
      <c r="AO553" s="463">
        <v>36</v>
      </c>
      <c r="AP553" s="463">
        <v>37</v>
      </c>
      <c r="AQ553" s="463">
        <v>38</v>
      </c>
      <c r="AR553" s="463">
        <v>39</v>
      </c>
      <c r="AS553" s="463">
        <v>40</v>
      </c>
      <c r="AT553" s="463">
        <v>41</v>
      </c>
      <c r="AU553" s="463">
        <v>42</v>
      </c>
      <c r="AV553" s="463">
        <v>43</v>
      </c>
      <c r="AW553" s="463">
        <v>44</v>
      </c>
      <c r="AX553" s="463">
        <v>45</v>
      </c>
      <c r="AY553" s="463">
        <v>46</v>
      </c>
      <c r="AZ553" s="463">
        <v>47</v>
      </c>
      <c r="BA553" s="463">
        <v>48</v>
      </c>
      <c r="BB553" s="463">
        <v>49</v>
      </c>
      <c r="BC553" s="463">
        <v>50</v>
      </c>
      <c r="BD553" s="463">
        <v>51</v>
      </c>
      <c r="BE553" s="463">
        <v>52</v>
      </c>
      <c r="BF553" s="463">
        <v>53</v>
      </c>
      <c r="BG553" s="463">
        <v>54</v>
      </c>
      <c r="BH553" s="463">
        <v>55</v>
      </c>
      <c r="BI553" s="463">
        <v>56</v>
      </c>
      <c r="BJ553" s="463">
        <v>57</v>
      </c>
      <c r="BK553" s="463">
        <v>58</v>
      </c>
      <c r="BL553" s="463">
        <v>59</v>
      </c>
      <c r="BM553" s="463">
        <v>60</v>
      </c>
      <c r="BN553" s="463">
        <v>61</v>
      </c>
      <c r="BO553" s="463">
        <v>62</v>
      </c>
      <c r="BP553" s="463">
        <v>63</v>
      </c>
      <c r="BQ553" s="463">
        <v>64</v>
      </c>
      <c r="BR553" s="463">
        <v>65</v>
      </c>
      <c r="BS553" s="463">
        <v>66</v>
      </c>
      <c r="BT553" s="463">
        <v>67</v>
      </c>
      <c r="BU553" s="463">
        <v>68</v>
      </c>
      <c r="BV553" s="463">
        <v>69</v>
      </c>
      <c r="BW553" s="463">
        <v>70</v>
      </c>
      <c r="BX553" s="463">
        <v>71</v>
      </c>
      <c r="BY553" s="463">
        <v>72</v>
      </c>
      <c r="BZ553" s="463">
        <v>73</v>
      </c>
      <c r="CA553" s="463">
        <v>74</v>
      </c>
      <c r="CB553" s="463">
        <v>75</v>
      </c>
      <c r="CC553" s="463">
        <v>76</v>
      </c>
      <c r="CD553" s="463">
        <v>77</v>
      </c>
      <c r="CE553" s="463">
        <v>78</v>
      </c>
      <c r="CF553" s="463">
        <v>79</v>
      </c>
      <c r="CG553" s="463">
        <v>80</v>
      </c>
      <c r="CH553" s="463">
        <v>81</v>
      </c>
      <c r="CI553" s="463">
        <v>82</v>
      </c>
      <c r="CJ553" s="463">
        <v>83</v>
      </c>
      <c r="CK553" s="463">
        <v>84</v>
      </c>
      <c r="CL553" s="463">
        <v>85</v>
      </c>
      <c r="CM553" s="463">
        <v>86</v>
      </c>
      <c r="CN553" s="463">
        <v>87</v>
      </c>
      <c r="CO553" s="463">
        <v>88</v>
      </c>
      <c r="CP553" s="463">
        <v>89</v>
      </c>
      <c r="CQ553" s="463">
        <v>90</v>
      </c>
      <c r="CR553" s="463">
        <v>91</v>
      </c>
      <c r="CS553" s="463">
        <v>92</v>
      </c>
      <c r="CT553" s="463">
        <v>93</v>
      </c>
      <c r="CU553" s="463">
        <v>94</v>
      </c>
      <c r="CV553" s="463">
        <v>95</v>
      </c>
      <c r="CW553" s="463">
        <v>96</v>
      </c>
      <c r="CX553" s="463">
        <v>97</v>
      </c>
      <c r="CY553" s="463">
        <v>98</v>
      </c>
      <c r="CZ553" s="463">
        <v>99</v>
      </c>
      <c r="DA553" s="463">
        <v>100</v>
      </c>
      <c r="DB553" s="463">
        <v>101</v>
      </c>
      <c r="DC553" s="463">
        <v>102</v>
      </c>
      <c r="DD553" s="463">
        <v>103</v>
      </c>
      <c r="DE553" s="463">
        <v>104</v>
      </c>
      <c r="DF553" s="463">
        <v>105</v>
      </c>
      <c r="DG553" s="463">
        <v>106</v>
      </c>
      <c r="DH553" s="463">
        <v>107</v>
      </c>
      <c r="DI553" s="463">
        <v>108</v>
      </c>
      <c r="DJ553" s="463">
        <v>109</v>
      </c>
      <c r="DL553" s="463">
        <v>110</v>
      </c>
      <c r="DM553" s="463">
        <v>111</v>
      </c>
      <c r="DN553" s="463">
        <v>112</v>
      </c>
      <c r="DO553" s="463">
        <v>113</v>
      </c>
    </row>
    <row r="554" spans="4:119" x14ac:dyDescent="0.2">
      <c r="E554" s="463" t="s">
        <v>230</v>
      </c>
      <c r="F554" s="463">
        <v>79</v>
      </c>
      <c r="G554" s="463">
        <v>113</v>
      </c>
      <c r="H554" s="463">
        <v>62</v>
      </c>
      <c r="I554" s="463">
        <v>31</v>
      </c>
      <c r="J554" s="463">
        <v>96</v>
      </c>
      <c r="K554" s="463">
        <v>109</v>
      </c>
      <c r="L554" s="463">
        <v>5</v>
      </c>
      <c r="M554" s="463">
        <v>82</v>
      </c>
      <c r="N554" s="463">
        <v>66</v>
      </c>
      <c r="O554" s="463">
        <v>86</v>
      </c>
      <c r="P554" s="463">
        <v>10</v>
      </c>
      <c r="Q554" s="463">
        <v>33</v>
      </c>
      <c r="R554" s="463">
        <v>87</v>
      </c>
      <c r="S554" s="463">
        <v>81</v>
      </c>
      <c r="T554" s="463">
        <v>52</v>
      </c>
      <c r="U554" s="463">
        <v>15</v>
      </c>
      <c r="V554" s="463">
        <v>43</v>
      </c>
      <c r="W554" s="463">
        <v>75</v>
      </c>
      <c r="X554" s="463">
        <v>51</v>
      </c>
      <c r="Y554" s="463">
        <v>23</v>
      </c>
      <c r="Z554" s="463">
        <v>34</v>
      </c>
      <c r="AA554" s="463">
        <v>18</v>
      </c>
      <c r="AB554" s="463">
        <v>49</v>
      </c>
      <c r="AC554" s="463">
        <v>27</v>
      </c>
      <c r="AD554" s="463">
        <v>11</v>
      </c>
      <c r="AE554" s="463">
        <v>70</v>
      </c>
      <c r="AF554" s="463">
        <v>24</v>
      </c>
      <c r="AG554" s="463">
        <v>57</v>
      </c>
      <c r="AH554" s="463">
        <v>63</v>
      </c>
      <c r="AI554" s="463">
        <v>111</v>
      </c>
      <c r="AJ554" s="463">
        <v>4</v>
      </c>
      <c r="AK554" s="463">
        <v>104</v>
      </c>
      <c r="AL554" s="463">
        <v>77</v>
      </c>
      <c r="AM554" s="463">
        <v>112</v>
      </c>
      <c r="AN554" s="463">
        <v>21</v>
      </c>
      <c r="AO554" s="463">
        <v>9</v>
      </c>
      <c r="AP554" s="463">
        <v>28</v>
      </c>
      <c r="AQ554" s="463">
        <v>92</v>
      </c>
      <c r="AR554" s="463">
        <v>16</v>
      </c>
      <c r="AS554" s="463">
        <v>97</v>
      </c>
      <c r="AT554" s="463">
        <v>84</v>
      </c>
      <c r="AU554" s="463">
        <v>68</v>
      </c>
      <c r="AV554" s="463">
        <v>45</v>
      </c>
      <c r="AW554" s="463">
        <v>32</v>
      </c>
      <c r="AX554" s="463">
        <v>1</v>
      </c>
      <c r="AY554" s="463">
        <v>55</v>
      </c>
      <c r="AZ554" s="463">
        <v>40</v>
      </c>
      <c r="BA554" s="463">
        <v>72</v>
      </c>
      <c r="BB554" s="463">
        <v>101</v>
      </c>
      <c r="BC554" s="463">
        <v>108</v>
      </c>
      <c r="BD554" s="463">
        <v>39</v>
      </c>
      <c r="BE554" s="463">
        <v>44</v>
      </c>
      <c r="BF554" s="463">
        <v>102</v>
      </c>
      <c r="BG554" s="463">
        <v>3</v>
      </c>
      <c r="BH554" s="463">
        <v>78</v>
      </c>
      <c r="BI554" s="463">
        <v>105</v>
      </c>
      <c r="BJ554" s="463">
        <v>48</v>
      </c>
      <c r="BK554" s="463">
        <v>65</v>
      </c>
      <c r="BL554" s="463">
        <v>17</v>
      </c>
      <c r="BM554" s="463">
        <v>76</v>
      </c>
      <c r="BN554" s="463">
        <v>35</v>
      </c>
      <c r="BO554" s="463">
        <v>30</v>
      </c>
      <c r="BP554" s="463">
        <v>19</v>
      </c>
      <c r="BQ554" s="463">
        <v>13</v>
      </c>
      <c r="BR554" s="463">
        <v>106</v>
      </c>
      <c r="BS554" s="463">
        <v>69</v>
      </c>
      <c r="BT554" s="463">
        <v>94</v>
      </c>
      <c r="BU554" s="463">
        <v>37</v>
      </c>
      <c r="BV554" s="463">
        <v>8</v>
      </c>
      <c r="BW554" s="463">
        <v>41</v>
      </c>
      <c r="BX554" s="463">
        <v>99</v>
      </c>
      <c r="BY554" s="463">
        <v>64</v>
      </c>
      <c r="BZ554" s="463">
        <v>74</v>
      </c>
      <c r="CA554" s="463">
        <v>56</v>
      </c>
      <c r="CB554" s="463">
        <v>46</v>
      </c>
      <c r="CC554" s="463">
        <v>60</v>
      </c>
      <c r="CD554" s="463">
        <v>29</v>
      </c>
      <c r="CE554" s="463">
        <v>42</v>
      </c>
      <c r="CF554" s="463">
        <v>91</v>
      </c>
      <c r="CG554" s="463">
        <v>61</v>
      </c>
      <c r="CH554" s="463">
        <v>80</v>
      </c>
      <c r="CI554" s="463">
        <v>95</v>
      </c>
      <c r="CJ554" s="463">
        <v>54</v>
      </c>
      <c r="CK554" s="463">
        <v>26</v>
      </c>
      <c r="CL554" s="463">
        <v>38</v>
      </c>
      <c r="CM554" s="463">
        <v>89</v>
      </c>
      <c r="CN554" s="463">
        <v>58</v>
      </c>
      <c r="CO554" s="463">
        <v>20</v>
      </c>
      <c r="CP554" s="463">
        <v>98</v>
      </c>
      <c r="CQ554" s="463">
        <v>110</v>
      </c>
      <c r="CR554" s="463">
        <v>25</v>
      </c>
      <c r="CS554" s="463">
        <v>93</v>
      </c>
      <c r="CT554" s="463">
        <v>7</v>
      </c>
      <c r="CU554" s="463">
        <v>36</v>
      </c>
      <c r="CV554" s="463">
        <v>73</v>
      </c>
      <c r="CW554" s="463">
        <v>14</v>
      </c>
      <c r="CX554" s="463">
        <v>88</v>
      </c>
      <c r="CY554" s="463">
        <v>67</v>
      </c>
      <c r="CZ554" s="463">
        <v>22</v>
      </c>
      <c r="DA554" s="463">
        <v>71</v>
      </c>
      <c r="DB554" s="463">
        <v>100</v>
      </c>
      <c r="DC554" s="463">
        <v>53</v>
      </c>
      <c r="DD554" s="463">
        <v>2</v>
      </c>
      <c r="DE554" s="463">
        <v>107</v>
      </c>
      <c r="DF554" s="463">
        <v>83</v>
      </c>
      <c r="DG554" s="463">
        <v>59</v>
      </c>
      <c r="DH554" s="463">
        <v>103</v>
      </c>
      <c r="DI554" s="463">
        <v>50</v>
      </c>
      <c r="DJ554" s="463">
        <v>6</v>
      </c>
      <c r="DL554" s="463">
        <v>90</v>
      </c>
      <c r="DM554" s="463">
        <v>85</v>
      </c>
      <c r="DN554" s="463">
        <v>12</v>
      </c>
      <c r="DO554" s="463">
        <v>47</v>
      </c>
    </row>
    <row r="557" spans="4:119" x14ac:dyDescent="0.2">
      <c r="D557" s="307">
        <v>114</v>
      </c>
      <c r="E557" s="307" t="s">
        <v>248</v>
      </c>
    </row>
    <row r="558" spans="4:119" x14ac:dyDescent="0.2">
      <c r="E558" s="463" t="s">
        <v>196</v>
      </c>
      <c r="F558" s="463">
        <v>1</v>
      </c>
      <c r="G558" s="463">
        <v>2</v>
      </c>
      <c r="H558" s="463">
        <v>3</v>
      </c>
      <c r="I558" s="463">
        <v>4</v>
      </c>
      <c r="J558" s="463">
        <v>5</v>
      </c>
      <c r="K558" s="463">
        <v>6</v>
      </c>
      <c r="L558" s="463">
        <v>7</v>
      </c>
      <c r="M558" s="463">
        <v>8</v>
      </c>
      <c r="N558" s="463">
        <v>9</v>
      </c>
      <c r="O558" s="463">
        <v>10</v>
      </c>
      <c r="P558" s="463">
        <v>11</v>
      </c>
      <c r="Q558" s="463">
        <v>12</v>
      </c>
      <c r="R558" s="463">
        <v>13</v>
      </c>
      <c r="S558" s="463">
        <v>14</v>
      </c>
      <c r="T558" s="463">
        <v>15</v>
      </c>
      <c r="U558" s="463">
        <v>16</v>
      </c>
      <c r="V558" s="463">
        <v>17</v>
      </c>
      <c r="W558" s="463">
        <v>18</v>
      </c>
      <c r="X558" s="463">
        <v>19</v>
      </c>
      <c r="Y558" s="463">
        <v>20</v>
      </c>
      <c r="Z558" s="463">
        <v>21</v>
      </c>
      <c r="AA558" s="463">
        <v>22</v>
      </c>
      <c r="AB558" s="463">
        <v>23</v>
      </c>
      <c r="AC558" s="463">
        <v>24</v>
      </c>
      <c r="AD558" s="463">
        <v>25</v>
      </c>
      <c r="AE558" s="463">
        <v>26</v>
      </c>
      <c r="AF558" s="463">
        <v>27</v>
      </c>
      <c r="AG558" s="463">
        <v>28</v>
      </c>
      <c r="AH558" s="463">
        <v>29</v>
      </c>
      <c r="AI558" s="463">
        <v>30</v>
      </c>
      <c r="AJ558" s="463">
        <v>31</v>
      </c>
      <c r="AK558" s="463">
        <v>32</v>
      </c>
      <c r="AL558" s="463">
        <v>33</v>
      </c>
      <c r="AM558" s="463">
        <v>34</v>
      </c>
      <c r="AN558" s="463">
        <v>35</v>
      </c>
      <c r="AO558" s="463">
        <v>36</v>
      </c>
      <c r="AP558" s="463">
        <v>37</v>
      </c>
      <c r="AQ558" s="463">
        <v>38</v>
      </c>
      <c r="AR558" s="463">
        <v>39</v>
      </c>
      <c r="AS558" s="463">
        <v>40</v>
      </c>
      <c r="AT558" s="463">
        <v>41</v>
      </c>
      <c r="AU558" s="463">
        <v>42</v>
      </c>
      <c r="AV558" s="463">
        <v>43</v>
      </c>
      <c r="AW558" s="463">
        <v>44</v>
      </c>
      <c r="AX558" s="463">
        <v>45</v>
      </c>
      <c r="AY558" s="463">
        <v>46</v>
      </c>
      <c r="AZ558" s="463">
        <v>47</v>
      </c>
      <c r="BA558" s="463">
        <v>48</v>
      </c>
      <c r="BB558" s="463">
        <v>49</v>
      </c>
      <c r="BC558" s="463">
        <v>50</v>
      </c>
      <c r="BD558" s="463">
        <v>51</v>
      </c>
      <c r="BE558" s="463">
        <v>52</v>
      </c>
      <c r="BF558" s="463">
        <v>53</v>
      </c>
      <c r="BG558" s="463">
        <v>54</v>
      </c>
      <c r="BH558" s="463">
        <v>55</v>
      </c>
      <c r="BI558" s="463">
        <v>56</v>
      </c>
      <c r="BJ558" s="463">
        <v>57</v>
      </c>
      <c r="BK558" s="463">
        <v>58</v>
      </c>
      <c r="BL558" s="463">
        <v>59</v>
      </c>
      <c r="BM558" s="463">
        <v>60</v>
      </c>
      <c r="BN558" s="463">
        <v>61</v>
      </c>
      <c r="BO558" s="463">
        <v>62</v>
      </c>
      <c r="BP558" s="463">
        <v>63</v>
      </c>
      <c r="BQ558" s="463">
        <v>64</v>
      </c>
      <c r="BR558" s="463">
        <v>65</v>
      </c>
      <c r="BS558" s="463">
        <v>66</v>
      </c>
      <c r="BT558" s="463">
        <v>67</v>
      </c>
      <c r="BU558" s="463">
        <v>68</v>
      </c>
      <c r="BV558" s="463">
        <v>69</v>
      </c>
      <c r="BW558" s="463">
        <v>70</v>
      </c>
      <c r="BX558" s="463">
        <v>71</v>
      </c>
      <c r="BY558" s="463">
        <v>72</v>
      </c>
      <c r="BZ558" s="463">
        <v>73</v>
      </c>
      <c r="CA558" s="463">
        <v>74</v>
      </c>
      <c r="CB558" s="463">
        <v>75</v>
      </c>
      <c r="CC558" s="463">
        <v>76</v>
      </c>
      <c r="CD558" s="463">
        <v>77</v>
      </c>
      <c r="CE558" s="463">
        <v>78</v>
      </c>
      <c r="CF558" s="463">
        <v>79</v>
      </c>
      <c r="CG558" s="463">
        <v>80</v>
      </c>
      <c r="CH558" s="463">
        <v>81</v>
      </c>
      <c r="CI558" s="463">
        <v>82</v>
      </c>
      <c r="CJ558" s="463">
        <v>83</v>
      </c>
      <c r="CK558" s="463">
        <v>84</v>
      </c>
      <c r="CL558" s="463">
        <v>85</v>
      </c>
      <c r="CM558" s="463">
        <v>86</v>
      </c>
      <c r="CN558" s="463">
        <v>87</v>
      </c>
      <c r="CO558" s="463">
        <v>88</v>
      </c>
      <c r="CP558" s="463">
        <v>89</v>
      </c>
      <c r="CQ558" s="463">
        <v>90</v>
      </c>
      <c r="CR558" s="463">
        <v>91</v>
      </c>
      <c r="CS558" s="463">
        <v>92</v>
      </c>
      <c r="CT558" s="463">
        <v>93</v>
      </c>
      <c r="CU558" s="463">
        <v>94</v>
      </c>
      <c r="CV558" s="463">
        <v>95</v>
      </c>
      <c r="CW558" s="463">
        <v>96</v>
      </c>
      <c r="CX558" s="463">
        <v>97</v>
      </c>
      <c r="CY558" s="463">
        <v>98</v>
      </c>
      <c r="CZ558" s="463">
        <v>99</v>
      </c>
      <c r="DA558" s="463">
        <v>100</v>
      </c>
      <c r="DB558" s="463">
        <v>101</v>
      </c>
      <c r="DC558" s="463">
        <v>102</v>
      </c>
      <c r="DD558" s="463">
        <v>103</v>
      </c>
      <c r="DE558" s="463">
        <v>104</v>
      </c>
      <c r="DF558" s="463">
        <v>105</v>
      </c>
      <c r="DG558" s="463">
        <v>106</v>
      </c>
      <c r="DH558" s="463">
        <v>107</v>
      </c>
      <c r="DI558" s="463">
        <v>108</v>
      </c>
      <c r="DJ558" s="463">
        <v>109</v>
      </c>
      <c r="DK558" s="463">
        <v>110</v>
      </c>
      <c r="DL558" s="463">
        <v>111</v>
      </c>
      <c r="DM558" s="463">
        <v>112</v>
      </c>
      <c r="DN558" s="463">
        <v>113</v>
      </c>
      <c r="DO558" s="463">
        <v>114</v>
      </c>
    </row>
    <row r="559" spans="4:119" x14ac:dyDescent="0.2">
      <c r="E559" s="463" t="s">
        <v>230</v>
      </c>
      <c r="F559" s="463">
        <v>40</v>
      </c>
      <c r="G559" s="463">
        <v>70</v>
      </c>
      <c r="H559" s="463">
        <v>19</v>
      </c>
      <c r="I559" s="463">
        <v>46</v>
      </c>
      <c r="J559" s="463">
        <v>28</v>
      </c>
      <c r="K559" s="463">
        <v>75</v>
      </c>
      <c r="L559" s="463">
        <v>13</v>
      </c>
      <c r="M559" s="463">
        <v>47</v>
      </c>
      <c r="N559" s="463">
        <v>16</v>
      </c>
      <c r="O559" s="463">
        <v>82</v>
      </c>
      <c r="P559" s="463">
        <v>64</v>
      </c>
      <c r="Q559" s="463">
        <v>4</v>
      </c>
      <c r="R559" s="463">
        <v>29</v>
      </c>
      <c r="S559" s="463">
        <v>66</v>
      </c>
      <c r="T559" s="463">
        <v>36</v>
      </c>
      <c r="U559" s="463">
        <v>109</v>
      </c>
      <c r="V559" s="463">
        <v>5</v>
      </c>
      <c r="W559" s="463">
        <v>22</v>
      </c>
      <c r="X559" s="463">
        <v>96</v>
      </c>
      <c r="Y559" s="463">
        <v>51</v>
      </c>
      <c r="Z559" s="463">
        <v>90</v>
      </c>
      <c r="AA559" s="463">
        <v>53</v>
      </c>
      <c r="AB559" s="463">
        <v>49</v>
      </c>
      <c r="AC559" s="463">
        <v>91</v>
      </c>
      <c r="AD559" s="463">
        <v>98</v>
      </c>
      <c r="AE559" s="463">
        <v>20</v>
      </c>
      <c r="AF559" s="463">
        <v>110</v>
      </c>
      <c r="AG559" s="463">
        <v>60</v>
      </c>
      <c r="AH559" s="463">
        <v>77</v>
      </c>
      <c r="AI559" s="463">
        <v>101</v>
      </c>
      <c r="AJ559" s="463">
        <v>9</v>
      </c>
      <c r="AK559" s="463">
        <v>100</v>
      </c>
      <c r="AL559" s="463">
        <v>92</v>
      </c>
      <c r="AM559" s="463">
        <v>87</v>
      </c>
      <c r="AN559" s="463">
        <v>106</v>
      </c>
      <c r="AO559" s="463">
        <v>89</v>
      </c>
      <c r="AP559" s="463">
        <v>113</v>
      </c>
      <c r="AQ559" s="463">
        <v>27</v>
      </c>
      <c r="AR559" s="463">
        <v>57</v>
      </c>
      <c r="AS559" s="463">
        <v>33</v>
      </c>
      <c r="AT559" s="463">
        <v>105</v>
      </c>
      <c r="AU559" s="463">
        <v>84</v>
      </c>
      <c r="AV559" s="463">
        <v>37</v>
      </c>
      <c r="AW559" s="463">
        <v>61</v>
      </c>
      <c r="AX559" s="463">
        <v>7</v>
      </c>
      <c r="AY559" s="463">
        <v>114</v>
      </c>
      <c r="AZ559" s="463">
        <v>8</v>
      </c>
      <c r="BA559" s="463">
        <v>15</v>
      </c>
      <c r="BB559" s="463">
        <v>71</v>
      </c>
      <c r="BC559" s="463">
        <v>52</v>
      </c>
      <c r="BD559" s="463">
        <v>65</v>
      </c>
      <c r="BE559" s="463">
        <v>78</v>
      </c>
      <c r="BF559" s="463">
        <v>107</v>
      </c>
      <c r="BG559" s="463">
        <v>111</v>
      </c>
      <c r="BH559" s="463">
        <v>31</v>
      </c>
      <c r="BI559" s="463">
        <v>44</v>
      </c>
      <c r="BJ559" s="463">
        <v>39</v>
      </c>
      <c r="BK559" s="463">
        <v>10</v>
      </c>
      <c r="BL559" s="463">
        <v>102</v>
      </c>
      <c r="BM559" s="463">
        <v>108</v>
      </c>
      <c r="BN559" s="463">
        <v>45</v>
      </c>
      <c r="BO559" s="463">
        <v>3</v>
      </c>
      <c r="BP559" s="463">
        <v>72</v>
      </c>
      <c r="BQ559" s="463">
        <v>56</v>
      </c>
      <c r="BR559" s="463">
        <v>21</v>
      </c>
      <c r="BS559" s="463">
        <v>14</v>
      </c>
      <c r="BT559" s="463">
        <v>73</v>
      </c>
      <c r="BU559" s="463">
        <v>42</v>
      </c>
      <c r="BV559" s="463">
        <v>86</v>
      </c>
      <c r="BW559" s="463">
        <v>103</v>
      </c>
      <c r="BX559" s="463">
        <v>104</v>
      </c>
      <c r="BY559" s="463">
        <v>43</v>
      </c>
      <c r="BZ559" s="463">
        <v>112</v>
      </c>
      <c r="CA559" s="463">
        <v>88</v>
      </c>
      <c r="CB559" s="463">
        <v>63</v>
      </c>
      <c r="CC559" s="463">
        <v>99</v>
      </c>
      <c r="CD559" s="463">
        <v>85</v>
      </c>
      <c r="CE559" s="463">
        <v>95</v>
      </c>
      <c r="CF559" s="463">
        <v>26</v>
      </c>
      <c r="CG559" s="463">
        <v>32</v>
      </c>
      <c r="CH559" s="463">
        <v>25</v>
      </c>
      <c r="CI559" s="463">
        <v>80</v>
      </c>
      <c r="CJ559" s="463">
        <v>34</v>
      </c>
      <c r="CK559" s="463">
        <v>68</v>
      </c>
      <c r="CL559" s="463">
        <v>48</v>
      </c>
      <c r="CM559" s="463">
        <v>69</v>
      </c>
      <c r="CN559" s="463">
        <v>23</v>
      </c>
      <c r="CO559" s="463">
        <v>17</v>
      </c>
      <c r="CP559" s="463">
        <v>12</v>
      </c>
      <c r="CQ559" s="463">
        <v>1</v>
      </c>
      <c r="CR559" s="463">
        <v>24</v>
      </c>
      <c r="CS559" s="463">
        <v>79</v>
      </c>
      <c r="CT559" s="463">
        <v>2</v>
      </c>
      <c r="CU559" s="463">
        <v>6</v>
      </c>
      <c r="CV559" s="463">
        <v>11</v>
      </c>
      <c r="CW559" s="463">
        <v>55</v>
      </c>
      <c r="CX559" s="463">
        <v>18</v>
      </c>
      <c r="CY559" s="463">
        <v>50</v>
      </c>
      <c r="CZ559" s="463">
        <v>76</v>
      </c>
      <c r="DA559" s="463">
        <v>67</v>
      </c>
      <c r="DB559" s="463">
        <v>30</v>
      </c>
      <c r="DC559" s="463">
        <v>58</v>
      </c>
      <c r="DD559" s="463">
        <v>62</v>
      </c>
      <c r="DE559" s="463">
        <v>41</v>
      </c>
      <c r="DF559" s="463">
        <v>93</v>
      </c>
      <c r="DG559" s="463">
        <v>59</v>
      </c>
      <c r="DH559" s="463">
        <v>74</v>
      </c>
      <c r="DI559" s="463">
        <v>35</v>
      </c>
      <c r="DJ559" s="463">
        <v>97</v>
      </c>
      <c r="DK559" s="463">
        <v>83</v>
      </c>
      <c r="DL559" s="463">
        <v>54</v>
      </c>
      <c r="DM559" s="463">
        <v>38</v>
      </c>
      <c r="DN559" s="463">
        <v>94</v>
      </c>
      <c r="DO559" s="463">
        <v>81</v>
      </c>
    </row>
    <row r="562" spans="4:124" x14ac:dyDescent="0.2">
      <c r="D562" s="307">
        <v>115</v>
      </c>
      <c r="E562" s="307" t="s">
        <v>248</v>
      </c>
    </row>
    <row r="563" spans="4:124" x14ac:dyDescent="0.2">
      <c r="E563" s="463" t="s">
        <v>196</v>
      </c>
      <c r="F563" s="463">
        <v>1</v>
      </c>
      <c r="G563" s="463">
        <v>2</v>
      </c>
      <c r="H563" s="463">
        <v>3</v>
      </c>
      <c r="I563" s="463">
        <v>4</v>
      </c>
      <c r="J563" s="463">
        <v>5</v>
      </c>
      <c r="K563" s="463">
        <v>6</v>
      </c>
      <c r="L563" s="463">
        <v>7</v>
      </c>
      <c r="M563" s="463">
        <v>8</v>
      </c>
      <c r="N563" s="463">
        <v>9</v>
      </c>
      <c r="O563" s="463">
        <v>10</v>
      </c>
      <c r="P563" s="463">
        <v>11</v>
      </c>
      <c r="Q563" s="463">
        <v>12</v>
      </c>
      <c r="R563" s="463">
        <v>13</v>
      </c>
      <c r="S563" s="463">
        <v>14</v>
      </c>
      <c r="T563" s="463">
        <v>15</v>
      </c>
      <c r="U563" s="463">
        <v>16</v>
      </c>
      <c r="V563" s="463">
        <v>17</v>
      </c>
      <c r="W563" s="463">
        <v>18</v>
      </c>
      <c r="X563" s="463">
        <v>19</v>
      </c>
      <c r="Y563" s="463">
        <v>20</v>
      </c>
      <c r="Z563" s="463">
        <v>21</v>
      </c>
      <c r="AA563" s="463">
        <v>22</v>
      </c>
      <c r="AB563" s="463">
        <v>23</v>
      </c>
      <c r="AC563" s="463">
        <v>24</v>
      </c>
      <c r="AD563" s="463">
        <v>25</v>
      </c>
      <c r="AE563" s="463">
        <v>26</v>
      </c>
      <c r="AF563" s="463">
        <v>27</v>
      </c>
      <c r="AG563" s="463">
        <v>28</v>
      </c>
      <c r="AH563" s="463">
        <v>29</v>
      </c>
      <c r="AI563" s="463">
        <v>30</v>
      </c>
      <c r="AJ563" s="463">
        <v>31</v>
      </c>
      <c r="AK563" s="463">
        <v>32</v>
      </c>
      <c r="AL563" s="463">
        <v>33</v>
      </c>
      <c r="AM563" s="463">
        <v>34</v>
      </c>
      <c r="AN563" s="463">
        <v>35</v>
      </c>
      <c r="AO563" s="463">
        <v>36</v>
      </c>
      <c r="AP563" s="463">
        <v>37</v>
      </c>
      <c r="AQ563" s="463">
        <v>38</v>
      </c>
      <c r="AR563" s="463">
        <v>39</v>
      </c>
      <c r="AS563" s="463">
        <v>40</v>
      </c>
      <c r="AT563" s="463">
        <v>41</v>
      </c>
      <c r="AU563" s="463">
        <v>42</v>
      </c>
      <c r="AV563" s="463">
        <v>43</v>
      </c>
      <c r="AW563" s="463">
        <v>44</v>
      </c>
      <c r="AX563" s="463">
        <v>45</v>
      </c>
      <c r="AY563" s="463">
        <v>46</v>
      </c>
      <c r="AZ563" s="463">
        <v>47</v>
      </c>
      <c r="BA563" s="463">
        <v>48</v>
      </c>
      <c r="BB563" s="463">
        <v>49</v>
      </c>
      <c r="BC563" s="463">
        <v>50</v>
      </c>
      <c r="BD563" s="463">
        <v>51</v>
      </c>
      <c r="BE563" s="463">
        <v>52</v>
      </c>
      <c r="BF563" s="463">
        <v>53</v>
      </c>
      <c r="BG563" s="463">
        <v>54</v>
      </c>
      <c r="BH563" s="463">
        <v>55</v>
      </c>
      <c r="BI563" s="463">
        <v>56</v>
      </c>
      <c r="BJ563" s="463">
        <v>57</v>
      </c>
      <c r="BK563" s="463">
        <v>58</v>
      </c>
      <c r="BL563" s="463">
        <v>59</v>
      </c>
      <c r="BM563" s="463">
        <v>60</v>
      </c>
      <c r="BN563" s="463">
        <v>61</v>
      </c>
      <c r="BO563" s="463">
        <v>62</v>
      </c>
      <c r="BP563" s="463">
        <v>63</v>
      </c>
      <c r="BQ563" s="463">
        <v>64</v>
      </c>
      <c r="BR563" s="463">
        <v>65</v>
      </c>
      <c r="BS563" s="463">
        <v>66</v>
      </c>
      <c r="BT563" s="463">
        <v>67</v>
      </c>
      <c r="BU563" s="463">
        <v>68</v>
      </c>
      <c r="BV563" s="463">
        <v>69</v>
      </c>
      <c r="BW563" s="463">
        <v>70</v>
      </c>
      <c r="BX563" s="463">
        <v>71</v>
      </c>
      <c r="BY563" s="463">
        <v>72</v>
      </c>
      <c r="BZ563" s="463">
        <v>73</v>
      </c>
      <c r="CA563" s="463">
        <v>74</v>
      </c>
      <c r="CB563" s="463">
        <v>75</v>
      </c>
      <c r="CC563" s="463">
        <v>76</v>
      </c>
      <c r="CD563" s="463">
        <v>77</v>
      </c>
      <c r="CE563" s="463">
        <v>78</v>
      </c>
      <c r="CF563" s="463">
        <v>79</v>
      </c>
      <c r="CG563" s="463">
        <v>80</v>
      </c>
      <c r="CH563" s="463">
        <v>81</v>
      </c>
      <c r="CI563" s="463">
        <v>82</v>
      </c>
      <c r="CJ563" s="463">
        <v>83</v>
      </c>
      <c r="CK563" s="463">
        <v>84</v>
      </c>
      <c r="CL563" s="463">
        <v>85</v>
      </c>
      <c r="CM563" s="463">
        <v>86</v>
      </c>
      <c r="CN563" s="463">
        <v>87</v>
      </c>
      <c r="CO563" s="463">
        <v>88</v>
      </c>
      <c r="CP563" s="463">
        <v>89</v>
      </c>
      <c r="CQ563" s="463">
        <v>90</v>
      </c>
      <c r="CR563" s="463">
        <v>91</v>
      </c>
      <c r="CS563" s="463">
        <v>92</v>
      </c>
      <c r="CT563" s="463">
        <v>93</v>
      </c>
      <c r="CU563" s="463">
        <v>94</v>
      </c>
      <c r="CV563" s="463">
        <v>95</v>
      </c>
      <c r="CW563" s="463">
        <v>96</v>
      </c>
      <c r="CX563" s="463">
        <v>97</v>
      </c>
      <c r="CY563" s="463">
        <v>98</v>
      </c>
      <c r="CZ563" s="463">
        <v>99</v>
      </c>
      <c r="DA563" s="463">
        <v>100</v>
      </c>
      <c r="DB563" s="463">
        <v>101</v>
      </c>
      <c r="DC563" s="463">
        <v>102</v>
      </c>
      <c r="DD563" s="463">
        <v>103</v>
      </c>
      <c r="DE563" s="463">
        <v>104</v>
      </c>
      <c r="DF563" s="463">
        <v>105</v>
      </c>
      <c r="DG563" s="463">
        <v>106</v>
      </c>
      <c r="DH563" s="463">
        <v>107</v>
      </c>
      <c r="DI563" s="463">
        <v>108</v>
      </c>
      <c r="DJ563" s="463">
        <v>109</v>
      </c>
      <c r="DK563" s="463">
        <v>110</v>
      </c>
      <c r="DL563" s="463">
        <v>111</v>
      </c>
      <c r="DM563" s="463">
        <v>112</v>
      </c>
      <c r="DN563" s="463">
        <v>113</v>
      </c>
      <c r="DO563" s="463">
        <v>114</v>
      </c>
      <c r="DP563" s="463">
        <v>115</v>
      </c>
    </row>
    <row r="564" spans="4:124" x14ac:dyDescent="0.2">
      <c r="E564" s="463" t="s">
        <v>230</v>
      </c>
      <c r="F564" s="463">
        <v>90</v>
      </c>
      <c r="G564" s="463">
        <v>20</v>
      </c>
      <c r="H564" s="463">
        <v>65</v>
      </c>
      <c r="I564" s="463">
        <v>72</v>
      </c>
      <c r="J564" s="463">
        <v>27</v>
      </c>
      <c r="K564" s="463">
        <v>9</v>
      </c>
      <c r="L564" s="463">
        <v>38</v>
      </c>
      <c r="M564" s="463">
        <v>97</v>
      </c>
      <c r="N564" s="463">
        <v>66</v>
      </c>
      <c r="O564" s="463">
        <v>1</v>
      </c>
      <c r="P564" s="463">
        <v>39</v>
      </c>
      <c r="Q564" s="463">
        <v>113</v>
      </c>
      <c r="R564" s="463">
        <v>49</v>
      </c>
      <c r="S564" s="463">
        <v>43</v>
      </c>
      <c r="T564" s="463">
        <v>21</v>
      </c>
      <c r="U564" s="463">
        <v>99</v>
      </c>
      <c r="V564" s="463">
        <v>28</v>
      </c>
      <c r="W564" s="463">
        <v>42</v>
      </c>
      <c r="X564" s="463">
        <v>77</v>
      </c>
      <c r="Y564" s="463">
        <v>6</v>
      </c>
      <c r="Z564" s="463">
        <v>15</v>
      </c>
      <c r="AA564" s="463">
        <v>58</v>
      </c>
      <c r="AB564" s="463">
        <v>50</v>
      </c>
      <c r="AC564" s="463">
        <v>16</v>
      </c>
      <c r="AD564" s="463">
        <v>36</v>
      </c>
      <c r="AE564" s="463">
        <v>110</v>
      </c>
      <c r="AF564" s="463">
        <v>23</v>
      </c>
      <c r="AG564" s="463">
        <v>12</v>
      </c>
      <c r="AH564" s="463">
        <v>71</v>
      </c>
      <c r="AI564" s="463">
        <v>93</v>
      </c>
      <c r="AJ564" s="463">
        <v>35</v>
      </c>
      <c r="AK564" s="463">
        <v>68</v>
      </c>
      <c r="AL564" s="463">
        <v>89</v>
      </c>
      <c r="AM564" s="463">
        <v>102</v>
      </c>
      <c r="AN564" s="463">
        <v>82</v>
      </c>
      <c r="AO564" s="463">
        <v>105</v>
      </c>
      <c r="AP564" s="463">
        <v>108</v>
      </c>
      <c r="AQ564" s="463">
        <v>55</v>
      </c>
      <c r="AR564" s="463">
        <v>11</v>
      </c>
      <c r="AS564" s="463">
        <v>87</v>
      </c>
      <c r="AT564" s="463">
        <v>114</v>
      </c>
      <c r="AU564" s="463">
        <v>10</v>
      </c>
      <c r="AV564" s="463">
        <v>14</v>
      </c>
      <c r="AW564" s="463">
        <v>73</v>
      </c>
      <c r="AX564" s="463">
        <v>47</v>
      </c>
      <c r="AY564" s="463">
        <v>70</v>
      </c>
      <c r="AZ564" s="463">
        <v>53</v>
      </c>
      <c r="BA564" s="463">
        <v>74</v>
      </c>
      <c r="BB564" s="463">
        <v>96</v>
      </c>
      <c r="BC564" s="463">
        <v>112</v>
      </c>
      <c r="BD564" s="463">
        <v>34</v>
      </c>
      <c r="BE564" s="463">
        <v>24</v>
      </c>
      <c r="BF564" s="463">
        <v>30</v>
      </c>
      <c r="BG564" s="463">
        <v>101</v>
      </c>
      <c r="BH564" s="463">
        <v>48</v>
      </c>
      <c r="BI564" s="463">
        <v>115</v>
      </c>
      <c r="BJ564" s="463">
        <v>100</v>
      </c>
      <c r="BK564" s="463">
        <v>17</v>
      </c>
      <c r="BL564" s="463">
        <v>37</v>
      </c>
      <c r="BM564" s="463">
        <v>86</v>
      </c>
      <c r="BN564" s="463">
        <v>59</v>
      </c>
      <c r="BO564" s="463">
        <v>78</v>
      </c>
      <c r="BP564" s="463">
        <v>25</v>
      </c>
      <c r="BQ564" s="463">
        <v>81</v>
      </c>
      <c r="BR564" s="463">
        <v>26</v>
      </c>
      <c r="BS564" s="463">
        <v>45</v>
      </c>
      <c r="BT564" s="463">
        <v>80</v>
      </c>
      <c r="BU564" s="463">
        <v>52</v>
      </c>
      <c r="BV564" s="463">
        <v>61</v>
      </c>
      <c r="BW564" s="463">
        <v>83</v>
      </c>
      <c r="BX564" s="463">
        <v>69</v>
      </c>
      <c r="BY564" s="463">
        <v>85</v>
      </c>
      <c r="BZ564" s="463">
        <v>5</v>
      </c>
      <c r="CA564" s="463">
        <v>31</v>
      </c>
      <c r="CB564" s="463">
        <v>51</v>
      </c>
      <c r="CC564" s="463">
        <v>95</v>
      </c>
      <c r="CD564" s="463">
        <v>88</v>
      </c>
      <c r="CE564" s="463">
        <v>62</v>
      </c>
      <c r="CF564" s="463">
        <v>32</v>
      </c>
      <c r="CG564" s="463">
        <v>106</v>
      </c>
      <c r="CH564" s="463">
        <v>109</v>
      </c>
      <c r="CI564" s="463">
        <v>103</v>
      </c>
      <c r="CJ564" s="463">
        <v>64</v>
      </c>
      <c r="CK564" s="463">
        <v>3</v>
      </c>
      <c r="CL564" s="463">
        <v>46</v>
      </c>
      <c r="CM564" s="463">
        <v>94</v>
      </c>
      <c r="CN564" s="463">
        <v>40</v>
      </c>
      <c r="CO564" s="463">
        <v>75</v>
      </c>
      <c r="CP564" s="463">
        <v>33</v>
      </c>
      <c r="CQ564" s="463">
        <v>111</v>
      </c>
      <c r="CR564" s="463">
        <v>19</v>
      </c>
      <c r="CS564" s="463">
        <v>104</v>
      </c>
      <c r="CT564" s="463">
        <v>7</v>
      </c>
      <c r="CU564" s="463">
        <v>107</v>
      </c>
      <c r="CV564" s="463">
        <v>76</v>
      </c>
      <c r="CW564" s="463">
        <v>79</v>
      </c>
      <c r="CX564" s="463">
        <v>98</v>
      </c>
      <c r="CY564" s="463">
        <v>22</v>
      </c>
      <c r="CZ564" s="463">
        <v>91</v>
      </c>
      <c r="DA564" s="463">
        <v>57</v>
      </c>
      <c r="DB564" s="463">
        <v>84</v>
      </c>
      <c r="DC564" s="463">
        <v>60</v>
      </c>
      <c r="DD564" s="463">
        <v>92</v>
      </c>
      <c r="DE564" s="463">
        <v>8</v>
      </c>
      <c r="DF564" s="463">
        <v>41</v>
      </c>
      <c r="DG564" s="463">
        <v>54</v>
      </c>
      <c r="DH564" s="463">
        <v>18</v>
      </c>
      <c r="DI564" s="463">
        <v>2</v>
      </c>
      <c r="DJ564" s="463">
        <v>67</v>
      </c>
      <c r="DK564" s="463">
        <v>56</v>
      </c>
      <c r="DL564" s="463">
        <v>44</v>
      </c>
      <c r="DM564" s="463">
        <v>4</v>
      </c>
      <c r="DN564" s="463">
        <v>29</v>
      </c>
      <c r="DO564" s="463">
        <v>63</v>
      </c>
      <c r="DP564" s="463">
        <v>13</v>
      </c>
    </row>
    <row r="567" spans="4:124" x14ac:dyDescent="0.2">
      <c r="D567" s="307">
        <v>116</v>
      </c>
      <c r="E567" s="307" t="s">
        <v>248</v>
      </c>
    </row>
    <row r="568" spans="4:124" x14ac:dyDescent="0.2">
      <c r="E568" s="463" t="s">
        <v>196</v>
      </c>
      <c r="F568" s="463">
        <v>1</v>
      </c>
      <c r="G568" s="463">
        <v>2</v>
      </c>
      <c r="H568" s="463">
        <v>3</v>
      </c>
      <c r="I568" s="463">
        <v>4</v>
      </c>
      <c r="J568" s="463">
        <v>5</v>
      </c>
      <c r="K568" s="463">
        <v>6</v>
      </c>
      <c r="L568" s="463">
        <v>7</v>
      </c>
      <c r="M568" s="463">
        <v>8</v>
      </c>
      <c r="N568" s="463">
        <v>9</v>
      </c>
      <c r="O568" s="463">
        <v>10</v>
      </c>
      <c r="P568" s="463">
        <v>11</v>
      </c>
      <c r="Q568" s="463">
        <v>12</v>
      </c>
      <c r="R568" s="463">
        <v>13</v>
      </c>
      <c r="S568" s="463">
        <v>14</v>
      </c>
      <c r="T568" s="463">
        <v>15</v>
      </c>
      <c r="U568" s="463">
        <v>16</v>
      </c>
      <c r="V568" s="463">
        <v>17</v>
      </c>
      <c r="W568" s="463">
        <v>18</v>
      </c>
      <c r="X568" s="463">
        <v>19</v>
      </c>
      <c r="Y568" s="463">
        <v>20</v>
      </c>
      <c r="Z568" s="463">
        <v>21</v>
      </c>
      <c r="AA568" s="463">
        <v>22</v>
      </c>
      <c r="AB568" s="463">
        <v>23</v>
      </c>
      <c r="AC568" s="463">
        <v>24</v>
      </c>
      <c r="AD568" s="463">
        <v>25</v>
      </c>
      <c r="AE568" s="463">
        <v>26</v>
      </c>
      <c r="AF568" s="463">
        <v>27</v>
      </c>
      <c r="AG568" s="463">
        <v>28</v>
      </c>
      <c r="AH568" s="463">
        <v>29</v>
      </c>
      <c r="AI568" s="463">
        <v>30</v>
      </c>
      <c r="AJ568" s="463">
        <v>31</v>
      </c>
      <c r="AK568" s="463">
        <v>32</v>
      </c>
      <c r="AL568" s="463">
        <v>33</v>
      </c>
      <c r="AM568" s="463">
        <v>34</v>
      </c>
      <c r="AN568" s="463">
        <v>35</v>
      </c>
      <c r="AO568" s="463">
        <v>36</v>
      </c>
      <c r="AP568" s="463">
        <v>37</v>
      </c>
      <c r="AQ568" s="463">
        <v>38</v>
      </c>
      <c r="AR568" s="463">
        <v>39</v>
      </c>
      <c r="AS568" s="463">
        <v>40</v>
      </c>
      <c r="AT568" s="463">
        <v>41</v>
      </c>
      <c r="AU568" s="463">
        <v>42</v>
      </c>
      <c r="AV568" s="463">
        <v>43</v>
      </c>
      <c r="AW568" s="463">
        <v>44</v>
      </c>
      <c r="AX568" s="463">
        <v>45</v>
      </c>
      <c r="AY568" s="463">
        <v>46</v>
      </c>
      <c r="AZ568" s="463">
        <v>47</v>
      </c>
      <c r="BA568" s="463">
        <v>48</v>
      </c>
      <c r="BB568" s="463">
        <v>49</v>
      </c>
      <c r="BC568" s="463">
        <v>50</v>
      </c>
      <c r="BD568" s="463">
        <v>51</v>
      </c>
      <c r="BE568" s="463">
        <v>52</v>
      </c>
      <c r="BF568" s="463">
        <v>53</v>
      </c>
      <c r="BG568" s="463">
        <v>54</v>
      </c>
      <c r="BH568" s="463">
        <v>55</v>
      </c>
      <c r="BI568" s="463">
        <v>56</v>
      </c>
      <c r="BJ568" s="463">
        <v>57</v>
      </c>
      <c r="BK568" s="463">
        <v>58</v>
      </c>
      <c r="BL568" s="463">
        <v>59</v>
      </c>
      <c r="BM568" s="463">
        <v>60</v>
      </c>
      <c r="BN568" s="463">
        <v>61</v>
      </c>
      <c r="BO568" s="463">
        <v>62</v>
      </c>
      <c r="BP568" s="463">
        <v>63</v>
      </c>
      <c r="BQ568" s="463">
        <v>64</v>
      </c>
      <c r="BR568" s="463">
        <v>65</v>
      </c>
      <c r="BS568" s="463">
        <v>66</v>
      </c>
      <c r="BT568" s="463">
        <v>67</v>
      </c>
      <c r="BU568" s="463">
        <v>68</v>
      </c>
      <c r="BV568" s="463">
        <v>69</v>
      </c>
      <c r="BW568" s="463">
        <v>70</v>
      </c>
      <c r="BX568" s="463">
        <v>71</v>
      </c>
      <c r="BY568" s="463">
        <v>72</v>
      </c>
      <c r="BZ568" s="463">
        <v>73</v>
      </c>
      <c r="CA568" s="463">
        <v>74</v>
      </c>
      <c r="CB568" s="463">
        <v>75</v>
      </c>
      <c r="CC568" s="463">
        <v>76</v>
      </c>
      <c r="CD568" s="463">
        <v>77</v>
      </c>
      <c r="CE568" s="463">
        <v>78</v>
      </c>
      <c r="CF568" s="463">
        <v>79</v>
      </c>
      <c r="CG568" s="463">
        <v>80</v>
      </c>
      <c r="CH568" s="463">
        <v>81</v>
      </c>
      <c r="CI568" s="463">
        <v>82</v>
      </c>
      <c r="CJ568" s="463">
        <v>83</v>
      </c>
      <c r="CK568" s="463">
        <v>84</v>
      </c>
      <c r="CL568" s="463">
        <v>85</v>
      </c>
      <c r="CM568" s="463">
        <v>86</v>
      </c>
      <c r="CN568" s="463">
        <v>87</v>
      </c>
      <c r="CO568" s="463">
        <v>88</v>
      </c>
      <c r="CP568" s="463">
        <v>89</v>
      </c>
      <c r="CQ568" s="463">
        <v>90</v>
      </c>
      <c r="CR568" s="463">
        <v>91</v>
      </c>
      <c r="CS568" s="463">
        <v>92</v>
      </c>
      <c r="CT568" s="463">
        <v>93</v>
      </c>
      <c r="CU568" s="463">
        <v>94</v>
      </c>
      <c r="CV568" s="463">
        <v>95</v>
      </c>
      <c r="CW568" s="463">
        <v>96</v>
      </c>
      <c r="CX568" s="463">
        <v>97</v>
      </c>
      <c r="CY568" s="463">
        <v>98</v>
      </c>
      <c r="CZ568" s="463">
        <v>99</v>
      </c>
      <c r="DA568" s="463">
        <v>100</v>
      </c>
      <c r="DB568" s="463">
        <v>101</v>
      </c>
      <c r="DC568" s="463">
        <v>102</v>
      </c>
      <c r="DD568" s="463">
        <v>103</v>
      </c>
      <c r="DE568" s="463">
        <v>104</v>
      </c>
      <c r="DG568" s="463">
        <v>105</v>
      </c>
      <c r="DH568" s="463">
        <v>106</v>
      </c>
      <c r="DI568" s="463">
        <v>107</v>
      </c>
      <c r="DJ568" s="463">
        <v>108</v>
      </c>
      <c r="DL568" s="463">
        <v>109</v>
      </c>
      <c r="DM568" s="463">
        <v>110</v>
      </c>
      <c r="DN568" s="463">
        <v>111</v>
      </c>
      <c r="DO568" s="463">
        <v>112</v>
      </c>
      <c r="DQ568" s="463">
        <v>113</v>
      </c>
      <c r="DR568" s="463">
        <v>114</v>
      </c>
      <c r="DS568" s="463">
        <v>115</v>
      </c>
      <c r="DT568" s="463">
        <v>116</v>
      </c>
    </row>
    <row r="569" spans="4:124" x14ac:dyDescent="0.2">
      <c r="E569" s="463" t="s">
        <v>230</v>
      </c>
      <c r="F569" s="463">
        <v>15</v>
      </c>
      <c r="G569" s="463">
        <v>88</v>
      </c>
      <c r="H569" s="463">
        <v>10</v>
      </c>
      <c r="I569" s="463">
        <v>26</v>
      </c>
      <c r="J569" s="463">
        <v>111</v>
      </c>
      <c r="K569" s="463">
        <v>75</v>
      </c>
      <c r="L569" s="463">
        <v>39</v>
      </c>
      <c r="M569" s="463">
        <v>82</v>
      </c>
      <c r="N569" s="463">
        <v>106</v>
      </c>
      <c r="O569" s="463">
        <v>33</v>
      </c>
      <c r="P569" s="463">
        <v>85</v>
      </c>
      <c r="Q569" s="463">
        <v>115</v>
      </c>
      <c r="R569" s="463">
        <v>112</v>
      </c>
      <c r="S569" s="463">
        <v>18</v>
      </c>
      <c r="T569" s="463">
        <v>62</v>
      </c>
      <c r="U569" s="463">
        <v>49</v>
      </c>
      <c r="V569" s="463">
        <v>68</v>
      </c>
      <c r="W569" s="463">
        <v>102</v>
      </c>
      <c r="X569" s="463">
        <v>8</v>
      </c>
      <c r="Y569" s="463">
        <v>38</v>
      </c>
      <c r="Z569" s="463">
        <v>94</v>
      </c>
      <c r="AA569" s="463">
        <v>63</v>
      </c>
      <c r="AB569" s="463">
        <v>108</v>
      </c>
      <c r="AC569" s="463">
        <v>56</v>
      </c>
      <c r="AD569" s="463">
        <v>22</v>
      </c>
      <c r="AE569" s="463">
        <v>4</v>
      </c>
      <c r="AF569" s="463">
        <v>48</v>
      </c>
      <c r="AG569" s="463">
        <v>52</v>
      </c>
      <c r="AH569" s="463">
        <v>76</v>
      </c>
      <c r="AI569" s="463">
        <v>101</v>
      </c>
      <c r="AJ569" s="463">
        <v>70</v>
      </c>
      <c r="AK569" s="463">
        <v>103</v>
      </c>
      <c r="AL569" s="463">
        <v>27</v>
      </c>
      <c r="AM569" s="463">
        <v>41</v>
      </c>
      <c r="AN569" s="463">
        <v>107</v>
      </c>
      <c r="AO569" s="463">
        <v>25</v>
      </c>
      <c r="AP569" s="463">
        <v>53</v>
      </c>
      <c r="AQ569" s="463">
        <v>7</v>
      </c>
      <c r="AR569" s="463">
        <v>81</v>
      </c>
      <c r="AS569" s="463">
        <v>17</v>
      </c>
      <c r="AT569" s="463">
        <v>104</v>
      </c>
      <c r="AU569" s="463">
        <v>35</v>
      </c>
      <c r="AV569" s="463">
        <v>110</v>
      </c>
      <c r="AW569" s="463">
        <v>11</v>
      </c>
      <c r="AX569" s="463">
        <v>51</v>
      </c>
      <c r="AY569" s="463">
        <v>30</v>
      </c>
      <c r="AZ569" s="463">
        <v>64</v>
      </c>
      <c r="BA569" s="463">
        <v>72</v>
      </c>
      <c r="BB569" s="463">
        <v>1</v>
      </c>
      <c r="BC569" s="463">
        <v>86</v>
      </c>
      <c r="BD569" s="463">
        <v>24</v>
      </c>
      <c r="BE569" s="463">
        <v>95</v>
      </c>
      <c r="BF569" s="463">
        <v>37</v>
      </c>
      <c r="BG569" s="463">
        <v>77</v>
      </c>
      <c r="BH569" s="463">
        <v>46</v>
      </c>
      <c r="BI569" s="463">
        <v>44</v>
      </c>
      <c r="BJ569" s="463">
        <v>98</v>
      </c>
      <c r="BK569" s="463">
        <v>89</v>
      </c>
      <c r="BL569" s="463">
        <v>58</v>
      </c>
      <c r="BM569" s="463">
        <v>23</v>
      </c>
      <c r="BN569" s="463">
        <v>90</v>
      </c>
      <c r="BO569" s="463">
        <v>19</v>
      </c>
      <c r="BP569" s="463">
        <v>69</v>
      </c>
      <c r="BQ569" s="463">
        <v>61</v>
      </c>
      <c r="BR569" s="463">
        <v>28</v>
      </c>
      <c r="BS569" s="463">
        <v>55</v>
      </c>
      <c r="BT569" s="463">
        <v>73</v>
      </c>
      <c r="BU569" s="463">
        <v>57</v>
      </c>
      <c r="BV569" s="463">
        <v>16</v>
      </c>
      <c r="BW569" s="463">
        <v>43</v>
      </c>
      <c r="BX569" s="463">
        <v>60</v>
      </c>
      <c r="BY569" s="463">
        <v>9</v>
      </c>
      <c r="BZ569" s="463">
        <v>97</v>
      </c>
      <c r="CA569" s="463">
        <v>32</v>
      </c>
      <c r="CB569" s="463">
        <v>113</v>
      </c>
      <c r="CC569" s="463">
        <v>29</v>
      </c>
      <c r="CD569" s="463">
        <v>78</v>
      </c>
      <c r="CE569" s="463">
        <v>100</v>
      </c>
      <c r="CF569" s="463">
        <v>109</v>
      </c>
      <c r="CG569" s="463">
        <v>6</v>
      </c>
      <c r="CH569" s="463">
        <v>116</v>
      </c>
      <c r="CI569" s="463">
        <v>93</v>
      </c>
      <c r="CJ569" s="463">
        <v>2</v>
      </c>
      <c r="CK569" s="463">
        <v>31</v>
      </c>
      <c r="CL569" s="463">
        <v>105</v>
      </c>
      <c r="CM569" s="463">
        <v>59</v>
      </c>
      <c r="CN569" s="463">
        <v>99</v>
      </c>
      <c r="CO569" s="463">
        <v>114</v>
      </c>
      <c r="CP569" s="463">
        <v>13</v>
      </c>
      <c r="CQ569" s="463">
        <v>47</v>
      </c>
      <c r="CR569" s="463">
        <v>14</v>
      </c>
      <c r="CS569" s="463">
        <v>83</v>
      </c>
      <c r="CT569" s="463">
        <v>34</v>
      </c>
      <c r="CU569" s="463">
        <v>21</v>
      </c>
      <c r="CV569" s="463">
        <v>36</v>
      </c>
      <c r="CW569" s="463">
        <v>65</v>
      </c>
      <c r="CX569" s="463">
        <v>40</v>
      </c>
      <c r="CY569" s="463">
        <v>42</v>
      </c>
      <c r="CZ569" s="463">
        <v>87</v>
      </c>
      <c r="DA569" s="463">
        <v>91</v>
      </c>
      <c r="DB569" s="463">
        <v>79</v>
      </c>
      <c r="DC569" s="463">
        <v>20</v>
      </c>
      <c r="DD569" s="463">
        <v>74</v>
      </c>
      <c r="DE569" s="463">
        <v>66</v>
      </c>
      <c r="DG569" s="463">
        <v>84</v>
      </c>
      <c r="DH569" s="463">
        <v>54</v>
      </c>
      <c r="DI569" s="463">
        <v>67</v>
      </c>
      <c r="DJ569" s="463">
        <v>71</v>
      </c>
      <c r="DL569" s="463">
        <v>45</v>
      </c>
      <c r="DM569" s="463">
        <v>5</v>
      </c>
      <c r="DN569" s="463">
        <v>50</v>
      </c>
      <c r="DO569" s="463">
        <v>12</v>
      </c>
      <c r="DQ569" s="463">
        <v>80</v>
      </c>
      <c r="DR569" s="463">
        <v>3</v>
      </c>
      <c r="DS569" s="463">
        <v>92</v>
      </c>
      <c r="DT569" s="463">
        <v>96</v>
      </c>
    </row>
    <row r="572" spans="4:124" x14ac:dyDescent="0.2">
      <c r="D572" s="307">
        <v>117</v>
      </c>
      <c r="E572" s="307" t="s">
        <v>248</v>
      </c>
    </row>
    <row r="573" spans="4:124" x14ac:dyDescent="0.2">
      <c r="E573" s="463" t="s">
        <v>196</v>
      </c>
      <c r="F573" s="463">
        <v>1</v>
      </c>
      <c r="G573" s="463">
        <v>2</v>
      </c>
      <c r="H573" s="463">
        <v>3</v>
      </c>
      <c r="I573" s="463">
        <v>4</v>
      </c>
      <c r="J573" s="463">
        <v>5</v>
      </c>
      <c r="K573" s="463">
        <v>6</v>
      </c>
      <c r="L573" s="463">
        <v>7</v>
      </c>
      <c r="M573" s="463">
        <v>8</v>
      </c>
      <c r="N573" s="463">
        <v>9</v>
      </c>
      <c r="O573" s="463">
        <v>10</v>
      </c>
      <c r="P573" s="463">
        <v>11</v>
      </c>
      <c r="Q573" s="463">
        <v>12</v>
      </c>
      <c r="R573" s="463">
        <v>13</v>
      </c>
      <c r="S573" s="463">
        <v>14</v>
      </c>
      <c r="T573" s="463">
        <v>15</v>
      </c>
      <c r="U573" s="463">
        <v>16</v>
      </c>
      <c r="V573" s="463">
        <v>17</v>
      </c>
      <c r="W573" s="463">
        <v>18</v>
      </c>
      <c r="X573" s="463">
        <v>19</v>
      </c>
      <c r="Y573" s="463">
        <v>20</v>
      </c>
      <c r="Z573" s="463">
        <v>21</v>
      </c>
      <c r="AA573" s="463">
        <v>22</v>
      </c>
      <c r="AB573" s="463">
        <v>23</v>
      </c>
      <c r="AC573" s="463">
        <v>24</v>
      </c>
      <c r="AD573" s="463">
        <v>25</v>
      </c>
      <c r="AE573" s="463">
        <v>26</v>
      </c>
      <c r="AF573" s="463">
        <v>27</v>
      </c>
      <c r="AG573" s="463">
        <v>28</v>
      </c>
      <c r="AH573" s="463">
        <v>29</v>
      </c>
      <c r="AI573" s="463">
        <v>30</v>
      </c>
      <c r="AJ573" s="463">
        <v>31</v>
      </c>
      <c r="AK573" s="463">
        <v>32</v>
      </c>
      <c r="AL573" s="463">
        <v>33</v>
      </c>
      <c r="AM573" s="463">
        <v>34</v>
      </c>
      <c r="AN573" s="463">
        <v>35</v>
      </c>
      <c r="AO573" s="463">
        <v>36</v>
      </c>
      <c r="AP573" s="463">
        <v>37</v>
      </c>
      <c r="AQ573" s="463">
        <v>38</v>
      </c>
      <c r="AR573" s="463">
        <v>39</v>
      </c>
      <c r="AS573" s="463">
        <v>40</v>
      </c>
      <c r="AT573" s="463">
        <v>41</v>
      </c>
      <c r="AU573" s="463">
        <v>42</v>
      </c>
      <c r="AV573" s="463">
        <v>43</v>
      </c>
      <c r="AW573" s="463">
        <v>44</v>
      </c>
      <c r="AX573" s="463">
        <v>45</v>
      </c>
      <c r="AY573" s="463">
        <v>46</v>
      </c>
      <c r="AZ573" s="463">
        <v>47</v>
      </c>
      <c r="BA573" s="463">
        <v>48</v>
      </c>
      <c r="BB573" s="463">
        <v>49</v>
      </c>
      <c r="BC573" s="463">
        <v>50</v>
      </c>
      <c r="BD573" s="463">
        <v>51</v>
      </c>
      <c r="BE573" s="463">
        <v>52</v>
      </c>
      <c r="BF573" s="463">
        <v>53</v>
      </c>
      <c r="BG573" s="463">
        <v>54</v>
      </c>
      <c r="BH573" s="463">
        <v>55</v>
      </c>
      <c r="BI573" s="463">
        <v>56</v>
      </c>
      <c r="BJ573" s="463">
        <v>57</v>
      </c>
      <c r="BK573" s="463">
        <v>58</v>
      </c>
      <c r="BL573" s="463">
        <v>59</v>
      </c>
      <c r="BM573" s="463">
        <v>60</v>
      </c>
      <c r="BN573" s="463">
        <v>61</v>
      </c>
      <c r="BO573" s="463">
        <v>62</v>
      </c>
      <c r="BP573" s="463">
        <v>63</v>
      </c>
      <c r="BQ573" s="463">
        <v>64</v>
      </c>
      <c r="BR573" s="463">
        <v>65</v>
      </c>
      <c r="BS573" s="463">
        <v>66</v>
      </c>
      <c r="BT573" s="463">
        <v>67</v>
      </c>
      <c r="BU573" s="463">
        <v>68</v>
      </c>
      <c r="BV573" s="463">
        <v>69</v>
      </c>
      <c r="BW573" s="463">
        <v>70</v>
      </c>
      <c r="BX573" s="463">
        <v>71</v>
      </c>
      <c r="BY573" s="463">
        <v>72</v>
      </c>
      <c r="BZ573" s="463">
        <v>73</v>
      </c>
      <c r="CA573" s="463">
        <v>74</v>
      </c>
      <c r="CB573" s="463">
        <v>75</v>
      </c>
      <c r="CC573" s="463">
        <v>76</v>
      </c>
      <c r="CD573" s="463">
        <v>77</v>
      </c>
      <c r="CE573" s="463">
        <v>78</v>
      </c>
      <c r="CF573" s="463">
        <v>79</v>
      </c>
      <c r="CG573" s="463">
        <v>80</v>
      </c>
      <c r="CH573" s="463">
        <v>81</v>
      </c>
      <c r="CI573" s="463">
        <v>82</v>
      </c>
      <c r="CJ573" s="463">
        <v>83</v>
      </c>
      <c r="CK573" s="463">
        <v>84</v>
      </c>
      <c r="CL573" s="463">
        <v>85</v>
      </c>
      <c r="CM573" s="463">
        <v>86</v>
      </c>
      <c r="CN573" s="463">
        <v>87</v>
      </c>
      <c r="CO573" s="463">
        <v>88</v>
      </c>
      <c r="CP573" s="463">
        <v>89</v>
      </c>
      <c r="CQ573" s="463">
        <v>90</v>
      </c>
      <c r="CR573" s="463">
        <v>91</v>
      </c>
      <c r="CS573" s="463">
        <v>92</v>
      </c>
      <c r="CT573" s="463">
        <v>93</v>
      </c>
      <c r="CU573" s="463">
        <v>94</v>
      </c>
      <c r="CV573" s="463">
        <v>95</v>
      </c>
      <c r="CW573" s="463">
        <v>96</v>
      </c>
      <c r="CX573" s="463">
        <v>97</v>
      </c>
      <c r="CY573" s="463">
        <v>98</v>
      </c>
      <c r="CZ573" s="463">
        <v>99</v>
      </c>
      <c r="DA573" s="463">
        <v>100</v>
      </c>
      <c r="DB573" s="463">
        <v>101</v>
      </c>
      <c r="DC573" s="463">
        <v>102</v>
      </c>
      <c r="DD573" s="463">
        <v>103</v>
      </c>
      <c r="DE573" s="463">
        <v>104</v>
      </c>
      <c r="DF573" s="463">
        <v>105</v>
      </c>
      <c r="DG573" s="463">
        <v>106</v>
      </c>
      <c r="DH573" s="463">
        <v>107</v>
      </c>
      <c r="DI573" s="463">
        <v>108</v>
      </c>
      <c r="DJ573" s="463">
        <v>109</v>
      </c>
      <c r="DL573" s="463">
        <v>110</v>
      </c>
      <c r="DM573" s="463">
        <v>111</v>
      </c>
      <c r="DN573" s="463">
        <v>112</v>
      </c>
      <c r="DO573" s="463">
        <v>113</v>
      </c>
      <c r="DQ573" s="463">
        <v>114</v>
      </c>
      <c r="DR573" s="463">
        <v>115</v>
      </c>
      <c r="DS573" s="463">
        <v>116</v>
      </c>
      <c r="DT573" s="463">
        <v>117</v>
      </c>
    </row>
    <row r="574" spans="4:124" x14ac:dyDescent="0.2">
      <c r="E574" s="463" t="s">
        <v>230</v>
      </c>
      <c r="F574" s="463">
        <v>117</v>
      </c>
      <c r="G574" s="463">
        <v>70</v>
      </c>
      <c r="H574" s="463">
        <v>55</v>
      </c>
      <c r="I574" s="463">
        <v>81</v>
      </c>
      <c r="J574" s="463">
        <v>97</v>
      </c>
      <c r="K574" s="463">
        <v>5</v>
      </c>
      <c r="L574" s="463">
        <v>88</v>
      </c>
      <c r="M574" s="463">
        <v>67</v>
      </c>
      <c r="N574" s="463">
        <v>16</v>
      </c>
      <c r="O574" s="463">
        <v>32</v>
      </c>
      <c r="P574" s="463">
        <v>94</v>
      </c>
      <c r="Q574" s="463">
        <v>43</v>
      </c>
      <c r="R574" s="463">
        <v>39</v>
      </c>
      <c r="S574" s="463">
        <v>48</v>
      </c>
      <c r="T574" s="463">
        <v>110</v>
      </c>
      <c r="U574" s="463">
        <v>74</v>
      </c>
      <c r="V574" s="463">
        <v>78</v>
      </c>
      <c r="W574" s="463">
        <v>57</v>
      </c>
      <c r="X574" s="463">
        <v>103</v>
      </c>
      <c r="Y574" s="463">
        <v>86</v>
      </c>
      <c r="Z574" s="463">
        <v>99</v>
      </c>
      <c r="AA574" s="463">
        <v>93</v>
      </c>
      <c r="AB574" s="463">
        <v>52</v>
      </c>
      <c r="AC574" s="463">
        <v>3</v>
      </c>
      <c r="AD574" s="463">
        <v>66</v>
      </c>
      <c r="AE574" s="463">
        <v>90</v>
      </c>
      <c r="AF574" s="463">
        <v>68</v>
      </c>
      <c r="AG574" s="463">
        <v>59</v>
      </c>
      <c r="AH574" s="463">
        <v>41</v>
      </c>
      <c r="AI574" s="463">
        <v>46</v>
      </c>
      <c r="AJ574" s="463">
        <v>24</v>
      </c>
      <c r="AK574" s="463">
        <v>83</v>
      </c>
      <c r="AL574" s="463">
        <v>17</v>
      </c>
      <c r="AM574" s="463">
        <v>108</v>
      </c>
      <c r="AN574" s="463">
        <v>36</v>
      </c>
      <c r="AO574" s="463">
        <v>45</v>
      </c>
      <c r="AP574" s="463">
        <v>116</v>
      </c>
      <c r="AQ574" s="463">
        <v>105</v>
      </c>
      <c r="AR574" s="463">
        <v>13</v>
      </c>
      <c r="AS574" s="463">
        <v>71</v>
      </c>
      <c r="AT574" s="463">
        <v>65</v>
      </c>
      <c r="AU574" s="463">
        <v>29</v>
      </c>
      <c r="AV574" s="463">
        <v>69</v>
      </c>
      <c r="AW574" s="463">
        <v>22</v>
      </c>
      <c r="AX574" s="463">
        <v>6</v>
      </c>
      <c r="AY574" s="463">
        <v>84</v>
      </c>
      <c r="AZ574" s="463">
        <v>14</v>
      </c>
      <c r="BA574" s="463">
        <v>47</v>
      </c>
      <c r="BB574" s="463">
        <v>2</v>
      </c>
      <c r="BC574" s="463">
        <v>114</v>
      </c>
      <c r="BD574" s="463">
        <v>80</v>
      </c>
      <c r="BE574" s="463">
        <v>20</v>
      </c>
      <c r="BF574" s="463">
        <v>107</v>
      </c>
      <c r="BG574" s="463">
        <v>37</v>
      </c>
      <c r="BH574" s="463">
        <v>101</v>
      </c>
      <c r="BI574" s="463">
        <v>79</v>
      </c>
      <c r="BJ574" s="463">
        <v>25</v>
      </c>
      <c r="BK574" s="463">
        <v>62</v>
      </c>
      <c r="BL574" s="463">
        <v>31</v>
      </c>
      <c r="BM574" s="463">
        <v>7</v>
      </c>
      <c r="BN574" s="463">
        <v>113</v>
      </c>
      <c r="BO574" s="463">
        <v>8</v>
      </c>
      <c r="BP574" s="463">
        <v>87</v>
      </c>
      <c r="BQ574" s="463">
        <v>96</v>
      </c>
      <c r="BR574" s="463">
        <v>26</v>
      </c>
      <c r="BS574" s="463">
        <v>109</v>
      </c>
      <c r="BT574" s="463">
        <v>30</v>
      </c>
      <c r="BU574" s="463">
        <v>89</v>
      </c>
      <c r="BV574" s="463">
        <v>21</v>
      </c>
      <c r="BW574" s="463">
        <v>51</v>
      </c>
      <c r="BX574" s="463">
        <v>9</v>
      </c>
      <c r="BY574" s="463">
        <v>33</v>
      </c>
      <c r="BZ574" s="463">
        <v>92</v>
      </c>
      <c r="CA574" s="463">
        <v>12</v>
      </c>
      <c r="CB574" s="463">
        <v>112</v>
      </c>
      <c r="CC574" s="463">
        <v>104</v>
      </c>
      <c r="CD574" s="463">
        <v>53</v>
      </c>
      <c r="CE574" s="463">
        <v>75</v>
      </c>
      <c r="CF574" s="463">
        <v>18</v>
      </c>
      <c r="CG574" s="463">
        <v>63</v>
      </c>
      <c r="CH574" s="463">
        <v>54</v>
      </c>
      <c r="CI574" s="463">
        <v>34</v>
      </c>
      <c r="CJ574" s="463">
        <v>10</v>
      </c>
      <c r="CK574" s="463">
        <v>91</v>
      </c>
      <c r="CL574" s="463">
        <v>77</v>
      </c>
      <c r="CM574" s="463">
        <v>95</v>
      </c>
      <c r="CN574" s="463">
        <v>23</v>
      </c>
      <c r="CO574" s="463">
        <v>35</v>
      </c>
      <c r="CP574" s="463">
        <v>76</v>
      </c>
      <c r="CQ574" s="463">
        <v>115</v>
      </c>
      <c r="CR574" s="463">
        <v>4</v>
      </c>
      <c r="CS574" s="463">
        <v>28</v>
      </c>
      <c r="CT574" s="463">
        <v>44</v>
      </c>
      <c r="CU574" s="463">
        <v>11</v>
      </c>
      <c r="CV574" s="463">
        <v>106</v>
      </c>
      <c r="CW574" s="463">
        <v>64</v>
      </c>
      <c r="CX574" s="463">
        <v>73</v>
      </c>
      <c r="CY574" s="463">
        <v>111</v>
      </c>
      <c r="CZ574" s="463">
        <v>42</v>
      </c>
      <c r="DA574" s="463">
        <v>56</v>
      </c>
      <c r="DB574" s="463">
        <v>15</v>
      </c>
      <c r="DC574" s="463">
        <v>98</v>
      </c>
      <c r="DD574" s="463">
        <v>19</v>
      </c>
      <c r="DE574" s="463">
        <v>72</v>
      </c>
      <c r="DF574" s="463">
        <v>38</v>
      </c>
      <c r="DG574" s="463">
        <v>49</v>
      </c>
      <c r="DH574" s="463">
        <v>100</v>
      </c>
      <c r="DI574" s="463">
        <v>82</v>
      </c>
      <c r="DJ574" s="463">
        <v>102</v>
      </c>
      <c r="DL574" s="463">
        <v>40</v>
      </c>
      <c r="DM574" s="463">
        <v>85</v>
      </c>
      <c r="DN574" s="463">
        <v>60</v>
      </c>
      <c r="DO574" s="463">
        <v>61</v>
      </c>
      <c r="DQ574" s="463">
        <v>50</v>
      </c>
      <c r="DR574" s="463">
        <v>58</v>
      </c>
      <c r="DS574" s="463">
        <v>27</v>
      </c>
      <c r="DT574" s="463">
        <v>1</v>
      </c>
    </row>
    <row r="577" spans="4:125" x14ac:dyDescent="0.2">
      <c r="D577" s="307">
        <v>118</v>
      </c>
      <c r="E577" s="307" t="s">
        <v>248</v>
      </c>
    </row>
    <row r="578" spans="4:125" x14ac:dyDescent="0.2">
      <c r="E578" s="463" t="s">
        <v>196</v>
      </c>
      <c r="F578" s="463">
        <v>1</v>
      </c>
      <c r="G578" s="463">
        <v>2</v>
      </c>
      <c r="H578" s="463">
        <v>3</v>
      </c>
      <c r="I578" s="463">
        <v>4</v>
      </c>
      <c r="J578" s="463">
        <v>5</v>
      </c>
      <c r="K578" s="463">
        <v>6</v>
      </c>
      <c r="L578" s="463">
        <v>7</v>
      </c>
      <c r="M578" s="463">
        <v>8</v>
      </c>
      <c r="N578" s="463">
        <v>9</v>
      </c>
      <c r="O578" s="463">
        <v>10</v>
      </c>
      <c r="P578" s="463">
        <v>11</v>
      </c>
      <c r="Q578" s="463">
        <v>12</v>
      </c>
      <c r="R578" s="463">
        <v>13</v>
      </c>
      <c r="S578" s="463">
        <v>14</v>
      </c>
      <c r="T578" s="463">
        <v>15</v>
      </c>
      <c r="U578" s="463">
        <v>16</v>
      </c>
      <c r="V578" s="463">
        <v>17</v>
      </c>
      <c r="W578" s="463">
        <v>18</v>
      </c>
      <c r="X578" s="463">
        <v>19</v>
      </c>
      <c r="Y578" s="463">
        <v>20</v>
      </c>
      <c r="Z578" s="463">
        <v>21</v>
      </c>
      <c r="AA578" s="463">
        <v>22</v>
      </c>
      <c r="AB578" s="463">
        <v>23</v>
      </c>
      <c r="AC578" s="463">
        <v>24</v>
      </c>
      <c r="AD578" s="463">
        <v>25</v>
      </c>
      <c r="AE578" s="463">
        <v>26</v>
      </c>
      <c r="AF578" s="463">
        <v>27</v>
      </c>
      <c r="AG578" s="463">
        <v>28</v>
      </c>
      <c r="AH578" s="463">
        <v>29</v>
      </c>
      <c r="AI578" s="463">
        <v>30</v>
      </c>
      <c r="AJ578" s="463">
        <v>31</v>
      </c>
      <c r="AK578" s="463">
        <v>32</v>
      </c>
      <c r="AL578" s="463">
        <v>33</v>
      </c>
      <c r="AM578" s="463">
        <v>34</v>
      </c>
      <c r="AN578" s="463">
        <v>35</v>
      </c>
      <c r="AO578" s="463">
        <v>36</v>
      </c>
      <c r="AP578" s="463">
        <v>37</v>
      </c>
      <c r="AQ578" s="463">
        <v>38</v>
      </c>
      <c r="AR578" s="463">
        <v>39</v>
      </c>
      <c r="AS578" s="463">
        <v>40</v>
      </c>
      <c r="AT578" s="463">
        <v>41</v>
      </c>
      <c r="AU578" s="463">
        <v>42</v>
      </c>
      <c r="AV578" s="463">
        <v>43</v>
      </c>
      <c r="AW578" s="463">
        <v>44</v>
      </c>
      <c r="AX578" s="463">
        <v>45</v>
      </c>
      <c r="AY578" s="463">
        <v>46</v>
      </c>
      <c r="AZ578" s="463">
        <v>47</v>
      </c>
      <c r="BA578" s="463">
        <v>48</v>
      </c>
      <c r="BB578" s="463">
        <v>49</v>
      </c>
      <c r="BC578" s="463">
        <v>50</v>
      </c>
      <c r="BD578" s="463">
        <v>51</v>
      </c>
      <c r="BE578" s="463">
        <v>52</v>
      </c>
      <c r="BF578" s="463">
        <v>53</v>
      </c>
      <c r="BG578" s="463">
        <v>54</v>
      </c>
      <c r="BH578" s="463">
        <v>55</v>
      </c>
      <c r="BI578" s="463">
        <v>56</v>
      </c>
      <c r="BJ578" s="463">
        <v>57</v>
      </c>
      <c r="BK578" s="463">
        <v>58</v>
      </c>
      <c r="BL578" s="463">
        <v>59</v>
      </c>
      <c r="BM578" s="463">
        <v>60</v>
      </c>
      <c r="BN578" s="463">
        <v>61</v>
      </c>
      <c r="BO578" s="463">
        <v>62</v>
      </c>
      <c r="BP578" s="463">
        <v>63</v>
      </c>
      <c r="BQ578" s="463">
        <v>64</v>
      </c>
      <c r="BR578" s="463">
        <v>65</v>
      </c>
      <c r="BS578" s="463">
        <v>66</v>
      </c>
      <c r="BT578" s="463">
        <v>67</v>
      </c>
      <c r="BU578" s="463">
        <v>68</v>
      </c>
      <c r="BV578" s="463">
        <v>69</v>
      </c>
      <c r="BW578" s="463">
        <v>70</v>
      </c>
      <c r="BX578" s="463">
        <v>71</v>
      </c>
      <c r="BY578" s="463">
        <v>72</v>
      </c>
      <c r="BZ578" s="463">
        <v>73</v>
      </c>
      <c r="CA578" s="463">
        <v>74</v>
      </c>
      <c r="CB578" s="463">
        <v>75</v>
      </c>
      <c r="CC578" s="463">
        <v>76</v>
      </c>
      <c r="CD578" s="463">
        <v>77</v>
      </c>
      <c r="CE578" s="463">
        <v>78</v>
      </c>
      <c r="CF578" s="463">
        <v>79</v>
      </c>
      <c r="CG578" s="463">
        <v>80</v>
      </c>
      <c r="CH578" s="463">
        <v>81</v>
      </c>
      <c r="CI578" s="463">
        <v>82</v>
      </c>
      <c r="CJ578" s="463">
        <v>83</v>
      </c>
      <c r="CK578" s="463">
        <v>84</v>
      </c>
      <c r="CL578" s="463">
        <v>85</v>
      </c>
      <c r="CM578" s="463">
        <v>86</v>
      </c>
      <c r="CN578" s="463">
        <v>87</v>
      </c>
      <c r="CO578" s="463">
        <v>88</v>
      </c>
      <c r="CP578" s="463">
        <v>89</v>
      </c>
      <c r="CQ578" s="463">
        <v>90</v>
      </c>
      <c r="CR578" s="463">
        <v>91</v>
      </c>
      <c r="CS578" s="463">
        <v>92</v>
      </c>
      <c r="CT578" s="463">
        <v>93</v>
      </c>
      <c r="CU578" s="463">
        <v>94</v>
      </c>
      <c r="CV578" s="463">
        <v>95</v>
      </c>
      <c r="CW578" s="463">
        <v>96</v>
      </c>
      <c r="CX578" s="463">
        <v>97</v>
      </c>
      <c r="CY578" s="463">
        <v>98</v>
      </c>
      <c r="CZ578" s="463">
        <v>99</v>
      </c>
      <c r="DA578" s="463">
        <v>100</v>
      </c>
      <c r="DB578" s="463">
        <v>101</v>
      </c>
      <c r="DC578" s="463">
        <v>102</v>
      </c>
      <c r="DD578" s="463">
        <v>103</v>
      </c>
      <c r="DE578" s="463">
        <v>104</v>
      </c>
      <c r="DF578" s="463">
        <v>105</v>
      </c>
      <c r="DG578" s="463">
        <v>106</v>
      </c>
      <c r="DH578" s="463">
        <v>107</v>
      </c>
      <c r="DI578" s="463">
        <v>108</v>
      </c>
      <c r="DJ578" s="463">
        <v>109</v>
      </c>
      <c r="DK578" s="463">
        <v>110</v>
      </c>
      <c r="DL578" s="463">
        <v>111</v>
      </c>
      <c r="DM578" s="463">
        <v>112</v>
      </c>
      <c r="DN578" s="463">
        <v>113</v>
      </c>
      <c r="DO578" s="463">
        <v>114</v>
      </c>
      <c r="DQ578" s="463">
        <v>115</v>
      </c>
      <c r="DR578" s="463">
        <v>116</v>
      </c>
      <c r="DS578" s="463">
        <v>117</v>
      </c>
      <c r="DT578" s="463">
        <v>118</v>
      </c>
    </row>
    <row r="579" spans="4:125" x14ac:dyDescent="0.2">
      <c r="E579" s="463" t="s">
        <v>230</v>
      </c>
      <c r="F579" s="463">
        <v>19</v>
      </c>
      <c r="G579" s="463">
        <v>93</v>
      </c>
      <c r="H579" s="463">
        <v>29</v>
      </c>
      <c r="I579" s="463">
        <v>33</v>
      </c>
      <c r="J579" s="463">
        <v>86</v>
      </c>
      <c r="K579" s="463">
        <v>40</v>
      </c>
      <c r="L579" s="463">
        <v>63</v>
      </c>
      <c r="M579" s="463">
        <v>47</v>
      </c>
      <c r="N579" s="463">
        <v>76</v>
      </c>
      <c r="O579" s="463">
        <v>21</v>
      </c>
      <c r="P579" s="463">
        <v>24</v>
      </c>
      <c r="Q579" s="463">
        <v>75</v>
      </c>
      <c r="R579" s="463">
        <v>55</v>
      </c>
      <c r="S579" s="463">
        <v>103</v>
      </c>
      <c r="T579" s="463">
        <v>38</v>
      </c>
      <c r="U579" s="463">
        <v>30</v>
      </c>
      <c r="V579" s="463">
        <v>35</v>
      </c>
      <c r="W579" s="463">
        <v>77</v>
      </c>
      <c r="X579" s="463">
        <v>87</v>
      </c>
      <c r="Y579" s="463">
        <v>37</v>
      </c>
      <c r="Z579" s="463">
        <v>100</v>
      </c>
      <c r="AA579" s="463">
        <v>64</v>
      </c>
      <c r="AB579" s="463">
        <v>27</v>
      </c>
      <c r="AC579" s="463">
        <v>66</v>
      </c>
      <c r="AD579" s="463">
        <v>116</v>
      </c>
      <c r="AE579" s="463">
        <v>9</v>
      </c>
      <c r="AF579" s="463">
        <v>89</v>
      </c>
      <c r="AG579" s="463">
        <v>39</v>
      </c>
      <c r="AH579" s="463">
        <v>68</v>
      </c>
      <c r="AI579" s="463">
        <v>56</v>
      </c>
      <c r="AJ579" s="463">
        <v>84</v>
      </c>
      <c r="AK579" s="463">
        <v>18</v>
      </c>
      <c r="AL579" s="463">
        <v>4</v>
      </c>
      <c r="AM579" s="463">
        <v>98</v>
      </c>
      <c r="AN579" s="463">
        <v>8</v>
      </c>
      <c r="AO579" s="463">
        <v>60</v>
      </c>
      <c r="AP579" s="463">
        <v>108</v>
      </c>
      <c r="AQ579" s="463">
        <v>62</v>
      </c>
      <c r="AR579" s="463">
        <v>16</v>
      </c>
      <c r="AS579" s="463">
        <v>36</v>
      </c>
      <c r="AT579" s="463">
        <v>90</v>
      </c>
      <c r="AU579" s="463">
        <v>105</v>
      </c>
      <c r="AV579" s="463">
        <v>7</v>
      </c>
      <c r="AW579" s="463">
        <v>1</v>
      </c>
      <c r="AX579" s="463">
        <v>11</v>
      </c>
      <c r="AY579" s="463">
        <v>5</v>
      </c>
      <c r="AZ579" s="463">
        <v>113</v>
      </c>
      <c r="BA579" s="463">
        <v>67</v>
      </c>
      <c r="BB579" s="463">
        <v>96</v>
      </c>
      <c r="BC579" s="463">
        <v>115</v>
      </c>
      <c r="BD579" s="463">
        <v>118</v>
      </c>
      <c r="BE579" s="463">
        <v>20</v>
      </c>
      <c r="BF579" s="463">
        <v>79</v>
      </c>
      <c r="BG579" s="463">
        <v>106</v>
      </c>
      <c r="BH579" s="463">
        <v>57</v>
      </c>
      <c r="BI579" s="463">
        <v>14</v>
      </c>
      <c r="BJ579" s="463">
        <v>44</v>
      </c>
      <c r="BK579" s="463">
        <v>72</v>
      </c>
      <c r="BL579" s="463">
        <v>107</v>
      </c>
      <c r="BM579" s="463">
        <v>48</v>
      </c>
      <c r="BN579" s="463">
        <v>50</v>
      </c>
      <c r="BO579" s="463">
        <v>53</v>
      </c>
      <c r="BP579" s="463">
        <v>94</v>
      </c>
      <c r="BQ579" s="463">
        <v>6</v>
      </c>
      <c r="BR579" s="463">
        <v>101</v>
      </c>
      <c r="BS579" s="463">
        <v>95</v>
      </c>
      <c r="BT579" s="463">
        <v>58</v>
      </c>
      <c r="BU579" s="463">
        <v>22</v>
      </c>
      <c r="BV579" s="463">
        <v>82</v>
      </c>
      <c r="BW579" s="463">
        <v>32</v>
      </c>
      <c r="BX579" s="463">
        <v>104</v>
      </c>
      <c r="BY579" s="463">
        <v>10</v>
      </c>
      <c r="BZ579" s="463">
        <v>92</v>
      </c>
      <c r="CA579" s="463">
        <v>41</v>
      </c>
      <c r="CB579" s="463">
        <v>117</v>
      </c>
      <c r="CC579" s="463">
        <v>59</v>
      </c>
      <c r="CD579" s="463">
        <v>74</v>
      </c>
      <c r="CE579" s="463">
        <v>2</v>
      </c>
      <c r="CF579" s="463">
        <v>12</v>
      </c>
      <c r="CG579" s="463">
        <v>26</v>
      </c>
      <c r="CH579" s="463">
        <v>49</v>
      </c>
      <c r="CI579" s="463">
        <v>78</v>
      </c>
      <c r="CJ579" s="463">
        <v>52</v>
      </c>
      <c r="CK579" s="463">
        <v>31</v>
      </c>
      <c r="CL579" s="463">
        <v>111</v>
      </c>
      <c r="CM579" s="463">
        <v>45</v>
      </c>
      <c r="CN579" s="463">
        <v>83</v>
      </c>
      <c r="CO579" s="463">
        <v>114</v>
      </c>
      <c r="CP579" s="463">
        <v>88</v>
      </c>
      <c r="CQ579" s="463">
        <v>91</v>
      </c>
      <c r="CR579" s="463">
        <v>69</v>
      </c>
      <c r="CS579" s="463">
        <v>73</v>
      </c>
      <c r="CT579" s="463">
        <v>80</v>
      </c>
      <c r="CU579" s="463">
        <v>112</v>
      </c>
      <c r="CV579" s="463">
        <v>81</v>
      </c>
      <c r="CW579" s="463">
        <v>110</v>
      </c>
      <c r="CX579" s="463">
        <v>13</v>
      </c>
      <c r="CY579" s="463">
        <v>34</v>
      </c>
      <c r="CZ579" s="463">
        <v>43</v>
      </c>
      <c r="DA579" s="463">
        <v>23</v>
      </c>
      <c r="DB579" s="463">
        <v>25</v>
      </c>
      <c r="DC579" s="463">
        <v>109</v>
      </c>
      <c r="DD579" s="463">
        <v>42</v>
      </c>
      <c r="DE579" s="463">
        <v>71</v>
      </c>
      <c r="DF579" s="463">
        <v>46</v>
      </c>
      <c r="DG579" s="463">
        <v>54</v>
      </c>
      <c r="DH579" s="463">
        <v>65</v>
      </c>
      <c r="DI579" s="463">
        <v>97</v>
      </c>
      <c r="DJ579" s="463">
        <v>102</v>
      </c>
      <c r="DK579" s="463">
        <v>28</v>
      </c>
      <c r="DL579" s="463">
        <v>85</v>
      </c>
      <c r="DM579" s="463">
        <v>15</v>
      </c>
      <c r="DN579" s="463">
        <v>17</v>
      </c>
      <c r="DO579" s="463">
        <v>61</v>
      </c>
      <c r="DQ579" s="463">
        <v>99</v>
      </c>
      <c r="DR579" s="463">
        <v>3</v>
      </c>
      <c r="DS579" s="463">
        <v>70</v>
      </c>
      <c r="DT579" s="463">
        <v>51</v>
      </c>
    </row>
    <row r="582" spans="4:125" x14ac:dyDescent="0.2">
      <c r="D582" s="307">
        <v>119</v>
      </c>
      <c r="E582" s="307" t="s">
        <v>248</v>
      </c>
    </row>
    <row r="583" spans="4:125" x14ac:dyDescent="0.2">
      <c r="E583" s="463" t="s">
        <v>196</v>
      </c>
      <c r="F583" s="463">
        <v>1</v>
      </c>
      <c r="G583" s="463">
        <v>2</v>
      </c>
      <c r="H583" s="463">
        <v>3</v>
      </c>
      <c r="I583" s="463">
        <v>4</v>
      </c>
      <c r="J583" s="463">
        <v>5</v>
      </c>
      <c r="K583" s="463">
        <v>6</v>
      </c>
      <c r="L583" s="463">
        <v>7</v>
      </c>
      <c r="M583" s="463">
        <v>8</v>
      </c>
      <c r="N583" s="463">
        <v>9</v>
      </c>
      <c r="O583" s="463">
        <v>10</v>
      </c>
      <c r="P583" s="463">
        <v>11</v>
      </c>
      <c r="Q583" s="463">
        <v>12</v>
      </c>
      <c r="R583" s="463">
        <v>13</v>
      </c>
      <c r="S583" s="463">
        <v>14</v>
      </c>
      <c r="T583" s="463">
        <v>15</v>
      </c>
      <c r="U583" s="463">
        <v>16</v>
      </c>
      <c r="V583" s="463">
        <v>17</v>
      </c>
      <c r="W583" s="463">
        <v>18</v>
      </c>
      <c r="X583" s="463">
        <v>19</v>
      </c>
      <c r="Y583" s="463">
        <v>20</v>
      </c>
      <c r="Z583" s="463">
        <v>21</v>
      </c>
      <c r="AA583" s="463">
        <v>22</v>
      </c>
      <c r="AB583" s="463">
        <v>23</v>
      </c>
      <c r="AC583" s="463">
        <v>24</v>
      </c>
      <c r="AD583" s="463">
        <v>25</v>
      </c>
      <c r="AE583" s="463">
        <v>26</v>
      </c>
      <c r="AF583" s="463">
        <v>27</v>
      </c>
      <c r="AG583" s="463">
        <v>28</v>
      </c>
      <c r="AH583" s="463">
        <v>29</v>
      </c>
      <c r="AI583" s="463">
        <v>30</v>
      </c>
      <c r="AJ583" s="463">
        <v>31</v>
      </c>
      <c r="AK583" s="463">
        <v>32</v>
      </c>
      <c r="AL583" s="463">
        <v>33</v>
      </c>
      <c r="AM583" s="463">
        <v>34</v>
      </c>
      <c r="AN583" s="463">
        <v>35</v>
      </c>
      <c r="AO583" s="463">
        <v>36</v>
      </c>
      <c r="AP583" s="463">
        <v>37</v>
      </c>
      <c r="AQ583" s="463">
        <v>38</v>
      </c>
      <c r="AR583" s="463">
        <v>39</v>
      </c>
      <c r="AS583" s="463">
        <v>40</v>
      </c>
      <c r="AT583" s="463">
        <v>41</v>
      </c>
      <c r="AU583" s="463">
        <v>42</v>
      </c>
      <c r="AV583" s="463">
        <v>43</v>
      </c>
      <c r="AW583" s="463">
        <v>44</v>
      </c>
      <c r="AX583" s="463">
        <v>45</v>
      </c>
      <c r="AY583" s="463">
        <v>46</v>
      </c>
      <c r="AZ583" s="463">
        <v>47</v>
      </c>
      <c r="BA583" s="463">
        <v>48</v>
      </c>
      <c r="BB583" s="463">
        <v>49</v>
      </c>
      <c r="BC583" s="463">
        <v>50</v>
      </c>
      <c r="BD583" s="463">
        <v>51</v>
      </c>
      <c r="BE583" s="463">
        <v>52</v>
      </c>
      <c r="BF583" s="463">
        <v>53</v>
      </c>
      <c r="BG583" s="463">
        <v>54</v>
      </c>
      <c r="BH583" s="463">
        <v>55</v>
      </c>
      <c r="BI583" s="463">
        <v>56</v>
      </c>
      <c r="BJ583" s="463">
        <v>57</v>
      </c>
      <c r="BK583" s="463">
        <v>58</v>
      </c>
      <c r="BL583" s="463">
        <v>59</v>
      </c>
      <c r="BM583" s="463">
        <v>60</v>
      </c>
      <c r="BN583" s="463">
        <v>61</v>
      </c>
      <c r="BO583" s="463">
        <v>62</v>
      </c>
      <c r="BP583" s="463">
        <v>63</v>
      </c>
      <c r="BQ583" s="463">
        <v>64</v>
      </c>
      <c r="BR583" s="463">
        <v>65</v>
      </c>
      <c r="BS583" s="463">
        <v>66</v>
      </c>
      <c r="BT583" s="463">
        <v>67</v>
      </c>
      <c r="BU583" s="463">
        <v>68</v>
      </c>
      <c r="BV583" s="463">
        <v>69</v>
      </c>
      <c r="BW583" s="463">
        <v>70</v>
      </c>
      <c r="BX583" s="463">
        <v>71</v>
      </c>
      <c r="BY583" s="463">
        <v>72</v>
      </c>
      <c r="BZ583" s="463">
        <v>73</v>
      </c>
      <c r="CA583" s="463">
        <v>74</v>
      </c>
      <c r="CB583" s="463">
        <v>75</v>
      </c>
      <c r="CC583" s="463">
        <v>76</v>
      </c>
      <c r="CD583" s="463">
        <v>77</v>
      </c>
      <c r="CE583" s="463">
        <v>78</v>
      </c>
      <c r="CF583" s="463">
        <v>79</v>
      </c>
      <c r="CG583" s="463">
        <v>80</v>
      </c>
      <c r="CH583" s="463">
        <v>81</v>
      </c>
      <c r="CI583" s="463">
        <v>82</v>
      </c>
      <c r="CJ583" s="463">
        <v>83</v>
      </c>
      <c r="CK583" s="463">
        <v>84</v>
      </c>
      <c r="CL583" s="463">
        <v>85</v>
      </c>
      <c r="CM583" s="463">
        <v>86</v>
      </c>
      <c r="CN583" s="463">
        <v>87</v>
      </c>
      <c r="CO583" s="463">
        <v>88</v>
      </c>
      <c r="CP583" s="463">
        <v>89</v>
      </c>
      <c r="CQ583" s="463">
        <v>90</v>
      </c>
      <c r="CR583" s="463">
        <v>91</v>
      </c>
      <c r="CS583" s="463">
        <v>92</v>
      </c>
      <c r="CT583" s="463">
        <v>93</v>
      </c>
      <c r="CU583" s="463">
        <v>94</v>
      </c>
      <c r="CV583" s="463">
        <v>95</v>
      </c>
      <c r="CW583" s="463">
        <v>96</v>
      </c>
      <c r="CX583" s="463">
        <v>97</v>
      </c>
      <c r="CY583" s="463">
        <v>98</v>
      </c>
      <c r="CZ583" s="463">
        <v>99</v>
      </c>
      <c r="DA583" s="463">
        <v>100</v>
      </c>
      <c r="DB583" s="463">
        <v>101</v>
      </c>
      <c r="DC583" s="463">
        <v>102</v>
      </c>
      <c r="DD583" s="463">
        <v>103</v>
      </c>
      <c r="DE583" s="463">
        <v>104</v>
      </c>
      <c r="DF583" s="463">
        <v>105</v>
      </c>
      <c r="DG583" s="463">
        <v>106</v>
      </c>
      <c r="DH583" s="463">
        <v>107</v>
      </c>
      <c r="DI583" s="463">
        <v>108</v>
      </c>
      <c r="DJ583" s="463">
        <v>109</v>
      </c>
      <c r="DK583" s="463">
        <v>110</v>
      </c>
      <c r="DL583" s="463">
        <v>111</v>
      </c>
      <c r="DM583" s="463">
        <v>112</v>
      </c>
      <c r="DN583" s="463">
        <v>113</v>
      </c>
      <c r="DO583" s="463">
        <v>114</v>
      </c>
      <c r="DP583" s="463">
        <v>115</v>
      </c>
      <c r="DQ583" s="463">
        <v>116</v>
      </c>
      <c r="DR583" s="463">
        <v>117</v>
      </c>
      <c r="DS583" s="463">
        <v>118</v>
      </c>
      <c r="DT583" s="463">
        <v>119</v>
      </c>
    </row>
    <row r="584" spans="4:125" x14ac:dyDescent="0.2">
      <c r="E584" s="463" t="s">
        <v>230</v>
      </c>
      <c r="F584" s="463">
        <v>79</v>
      </c>
      <c r="G584" s="463">
        <v>33</v>
      </c>
      <c r="H584" s="463">
        <v>14</v>
      </c>
      <c r="I584" s="463">
        <v>73</v>
      </c>
      <c r="J584" s="463">
        <v>58</v>
      </c>
      <c r="K584" s="463">
        <v>100</v>
      </c>
      <c r="L584" s="463">
        <v>30</v>
      </c>
      <c r="M584" s="463">
        <v>94</v>
      </c>
      <c r="N584" s="463">
        <v>41</v>
      </c>
      <c r="O584" s="463">
        <v>17</v>
      </c>
      <c r="P584" s="463">
        <v>19</v>
      </c>
      <c r="Q584" s="463">
        <v>83</v>
      </c>
      <c r="R584" s="463">
        <v>87</v>
      </c>
      <c r="S584" s="463">
        <v>53</v>
      </c>
      <c r="T584" s="463">
        <v>103</v>
      </c>
      <c r="U584" s="463">
        <v>69</v>
      </c>
      <c r="V584" s="463">
        <v>113</v>
      </c>
      <c r="W584" s="463">
        <v>72</v>
      </c>
      <c r="X584" s="463">
        <v>13</v>
      </c>
      <c r="Y584" s="463">
        <v>77</v>
      </c>
      <c r="Z584" s="463">
        <v>5</v>
      </c>
      <c r="AA584" s="463">
        <v>50</v>
      </c>
      <c r="AB584" s="463">
        <v>84</v>
      </c>
      <c r="AC584" s="463">
        <v>111</v>
      </c>
      <c r="AD584" s="463">
        <v>106</v>
      </c>
      <c r="AE584" s="463">
        <v>104</v>
      </c>
      <c r="AF584" s="463">
        <v>108</v>
      </c>
      <c r="AG584" s="463">
        <v>97</v>
      </c>
      <c r="AH584" s="463">
        <v>93</v>
      </c>
      <c r="AI584" s="463">
        <v>21</v>
      </c>
      <c r="AJ584" s="463">
        <v>64</v>
      </c>
      <c r="AK584" s="463">
        <v>10</v>
      </c>
      <c r="AL584" s="463">
        <v>27</v>
      </c>
      <c r="AM584" s="463">
        <v>116</v>
      </c>
      <c r="AN584" s="463">
        <v>11</v>
      </c>
      <c r="AO584" s="463">
        <v>70</v>
      </c>
      <c r="AP584" s="463">
        <v>54</v>
      </c>
      <c r="AQ584" s="463">
        <v>42</v>
      </c>
      <c r="AR584" s="463">
        <v>71</v>
      </c>
      <c r="AS584" s="463">
        <v>102</v>
      </c>
      <c r="AT584" s="463">
        <v>24</v>
      </c>
      <c r="AU584" s="463">
        <v>38</v>
      </c>
      <c r="AV584" s="463">
        <v>47</v>
      </c>
      <c r="AW584" s="463">
        <v>101</v>
      </c>
      <c r="AX584" s="463">
        <v>96</v>
      </c>
      <c r="AY584" s="463">
        <v>99</v>
      </c>
      <c r="AZ584" s="463">
        <v>63</v>
      </c>
      <c r="BA584" s="463">
        <v>57</v>
      </c>
      <c r="BB584" s="463">
        <v>1</v>
      </c>
      <c r="BC584" s="463">
        <v>22</v>
      </c>
      <c r="BD584" s="463">
        <v>105</v>
      </c>
      <c r="BE584" s="463">
        <v>39</v>
      </c>
      <c r="BF584" s="463">
        <v>12</v>
      </c>
      <c r="BG584" s="463">
        <v>28</v>
      </c>
      <c r="BH584" s="463">
        <v>8</v>
      </c>
      <c r="BI584" s="463">
        <v>110</v>
      </c>
      <c r="BJ584" s="463">
        <v>3</v>
      </c>
      <c r="BK584" s="463">
        <v>82</v>
      </c>
      <c r="BL584" s="463">
        <v>36</v>
      </c>
      <c r="BM584" s="463">
        <v>62</v>
      </c>
      <c r="BN584" s="463">
        <v>89</v>
      </c>
      <c r="BO584" s="463">
        <v>115</v>
      </c>
      <c r="BP584" s="463">
        <v>7</v>
      </c>
      <c r="BQ584" s="463">
        <v>76</v>
      </c>
      <c r="BR584" s="463">
        <v>31</v>
      </c>
      <c r="BS584" s="463">
        <v>59</v>
      </c>
      <c r="BT584" s="463">
        <v>74</v>
      </c>
      <c r="BU584" s="463">
        <v>117</v>
      </c>
      <c r="BV584" s="463">
        <v>107</v>
      </c>
      <c r="BW584" s="463">
        <v>66</v>
      </c>
      <c r="BX584" s="463">
        <v>114</v>
      </c>
      <c r="BY584" s="463">
        <v>88</v>
      </c>
      <c r="BZ584" s="463">
        <v>4</v>
      </c>
      <c r="CA584" s="463">
        <v>43</v>
      </c>
      <c r="CB584" s="463">
        <v>52</v>
      </c>
      <c r="CC584" s="463">
        <v>95</v>
      </c>
      <c r="CD584" s="463">
        <v>20</v>
      </c>
      <c r="CE584" s="463">
        <v>49</v>
      </c>
      <c r="CF584" s="463">
        <v>86</v>
      </c>
      <c r="CG584" s="463">
        <v>37</v>
      </c>
      <c r="CH584" s="463">
        <v>65</v>
      </c>
      <c r="CI584" s="463">
        <v>18</v>
      </c>
      <c r="CJ584" s="463">
        <v>34</v>
      </c>
      <c r="CK584" s="463">
        <v>98</v>
      </c>
      <c r="CL584" s="463">
        <v>26</v>
      </c>
      <c r="CM584" s="463">
        <v>25</v>
      </c>
      <c r="CN584" s="463">
        <v>118</v>
      </c>
      <c r="CO584" s="463">
        <v>40</v>
      </c>
      <c r="CP584" s="463">
        <v>56</v>
      </c>
      <c r="CQ584" s="463">
        <v>16</v>
      </c>
      <c r="CR584" s="463">
        <v>90</v>
      </c>
      <c r="CS584" s="463">
        <v>85</v>
      </c>
      <c r="CT584" s="463">
        <v>2</v>
      </c>
      <c r="CU584" s="463">
        <v>61</v>
      </c>
      <c r="CV584" s="463">
        <v>67</v>
      </c>
      <c r="CW584" s="463">
        <v>45</v>
      </c>
      <c r="CX584" s="463">
        <v>35</v>
      </c>
      <c r="CY584" s="463">
        <v>109</v>
      </c>
      <c r="CZ584" s="463">
        <v>46</v>
      </c>
      <c r="DA584" s="463">
        <v>6</v>
      </c>
      <c r="DB584" s="463">
        <v>29</v>
      </c>
      <c r="DC584" s="463">
        <v>60</v>
      </c>
      <c r="DD584" s="463">
        <v>15</v>
      </c>
      <c r="DE584" s="463">
        <v>91</v>
      </c>
      <c r="DF584" s="463">
        <v>81</v>
      </c>
      <c r="DG584" s="463">
        <v>9</v>
      </c>
      <c r="DH584" s="463">
        <v>75</v>
      </c>
      <c r="DI584" s="463">
        <v>119</v>
      </c>
      <c r="DJ584" s="463">
        <v>51</v>
      </c>
      <c r="DK584" s="463">
        <v>92</v>
      </c>
      <c r="DL584" s="463">
        <v>44</v>
      </c>
      <c r="DM584" s="463">
        <v>48</v>
      </c>
      <c r="DN584" s="463">
        <v>112</v>
      </c>
      <c r="DO584" s="463">
        <v>68</v>
      </c>
      <c r="DP584" s="463">
        <v>78</v>
      </c>
      <c r="DQ584" s="463">
        <v>55</v>
      </c>
      <c r="DR584" s="463">
        <v>23</v>
      </c>
      <c r="DS584" s="463">
        <v>80</v>
      </c>
      <c r="DT584" s="463">
        <v>32</v>
      </c>
    </row>
    <row r="587" spans="4:125" x14ac:dyDescent="0.2">
      <c r="D587" s="307">
        <v>120</v>
      </c>
      <c r="E587" s="307" t="s">
        <v>248</v>
      </c>
    </row>
    <row r="588" spans="4:125" x14ac:dyDescent="0.2">
      <c r="E588" s="463" t="s">
        <v>196</v>
      </c>
      <c r="F588" s="463">
        <v>1</v>
      </c>
      <c r="G588" s="463">
        <v>2</v>
      </c>
      <c r="H588" s="463">
        <v>3</v>
      </c>
      <c r="I588" s="463">
        <v>4</v>
      </c>
      <c r="J588" s="463">
        <v>5</v>
      </c>
      <c r="K588" s="463">
        <v>6</v>
      </c>
      <c r="L588" s="463">
        <v>7</v>
      </c>
      <c r="M588" s="463">
        <v>8</v>
      </c>
      <c r="N588" s="463">
        <v>9</v>
      </c>
      <c r="O588" s="463">
        <v>10</v>
      </c>
      <c r="P588" s="463">
        <v>11</v>
      </c>
      <c r="Q588" s="463">
        <v>12</v>
      </c>
      <c r="R588" s="463">
        <v>13</v>
      </c>
      <c r="S588" s="463">
        <v>14</v>
      </c>
      <c r="T588" s="463">
        <v>15</v>
      </c>
      <c r="U588" s="463">
        <v>16</v>
      </c>
      <c r="V588" s="463">
        <v>17</v>
      </c>
      <c r="W588" s="463">
        <v>18</v>
      </c>
      <c r="X588" s="463">
        <v>19</v>
      </c>
      <c r="Y588" s="463">
        <v>20</v>
      </c>
      <c r="Z588" s="463">
        <v>21</v>
      </c>
      <c r="AA588" s="463">
        <v>22</v>
      </c>
      <c r="AB588" s="463">
        <v>23</v>
      </c>
      <c r="AC588" s="463">
        <v>24</v>
      </c>
      <c r="AD588" s="463">
        <v>25</v>
      </c>
      <c r="AE588" s="463">
        <v>26</v>
      </c>
      <c r="AF588" s="463">
        <v>27</v>
      </c>
      <c r="AG588" s="463">
        <v>28</v>
      </c>
      <c r="AH588" s="463">
        <v>29</v>
      </c>
      <c r="AI588" s="463">
        <v>30</v>
      </c>
      <c r="AJ588" s="463">
        <v>31</v>
      </c>
      <c r="AK588" s="463">
        <v>32</v>
      </c>
      <c r="AL588" s="463">
        <v>33</v>
      </c>
      <c r="AM588" s="463">
        <v>34</v>
      </c>
      <c r="AN588" s="463">
        <v>35</v>
      </c>
      <c r="AO588" s="463">
        <v>36</v>
      </c>
      <c r="AP588" s="463">
        <v>37</v>
      </c>
      <c r="AQ588" s="463">
        <v>38</v>
      </c>
      <c r="AR588" s="463">
        <v>39</v>
      </c>
      <c r="AS588" s="463">
        <v>40</v>
      </c>
      <c r="AT588" s="463">
        <v>41</v>
      </c>
      <c r="AU588" s="463">
        <v>42</v>
      </c>
      <c r="AV588" s="463">
        <v>43</v>
      </c>
      <c r="AW588" s="463">
        <v>44</v>
      </c>
      <c r="AX588" s="463">
        <v>45</v>
      </c>
      <c r="AY588" s="463">
        <v>46</v>
      </c>
      <c r="AZ588" s="463">
        <v>47</v>
      </c>
      <c r="BA588" s="463">
        <v>48</v>
      </c>
      <c r="BB588" s="463">
        <v>49</v>
      </c>
      <c r="BC588" s="463">
        <v>50</v>
      </c>
      <c r="BD588" s="463">
        <v>51</v>
      </c>
      <c r="BE588" s="463">
        <v>52</v>
      </c>
      <c r="BF588" s="463">
        <v>53</v>
      </c>
      <c r="BG588" s="463">
        <v>54</v>
      </c>
      <c r="BH588" s="463">
        <v>55</v>
      </c>
      <c r="BI588" s="463">
        <v>56</v>
      </c>
      <c r="BJ588" s="463">
        <v>57</v>
      </c>
      <c r="BK588" s="463">
        <v>58</v>
      </c>
      <c r="BL588" s="463">
        <v>59</v>
      </c>
      <c r="BM588" s="463">
        <v>60</v>
      </c>
      <c r="BN588" s="463">
        <v>61</v>
      </c>
      <c r="BO588" s="463">
        <v>62</v>
      </c>
      <c r="BP588" s="463">
        <v>63</v>
      </c>
      <c r="BQ588" s="463">
        <v>64</v>
      </c>
      <c r="BR588" s="463">
        <v>65</v>
      </c>
      <c r="BS588" s="463">
        <v>66</v>
      </c>
      <c r="BT588" s="463">
        <v>67</v>
      </c>
      <c r="BU588" s="463">
        <v>68</v>
      </c>
      <c r="BV588" s="463">
        <v>69</v>
      </c>
      <c r="BW588" s="463">
        <v>70</v>
      </c>
      <c r="BX588" s="463">
        <v>71</v>
      </c>
      <c r="BY588" s="463">
        <v>72</v>
      </c>
      <c r="BZ588" s="463">
        <v>73</v>
      </c>
      <c r="CA588" s="463">
        <v>74</v>
      </c>
      <c r="CB588" s="463">
        <v>75</v>
      </c>
      <c r="CC588" s="463">
        <v>76</v>
      </c>
      <c r="CD588" s="463">
        <v>77</v>
      </c>
      <c r="CE588" s="463">
        <v>78</v>
      </c>
      <c r="CF588" s="463">
        <v>79</v>
      </c>
      <c r="CG588" s="463">
        <v>80</v>
      </c>
      <c r="CH588" s="463">
        <v>81</v>
      </c>
      <c r="CI588" s="463">
        <v>82</v>
      </c>
      <c r="CJ588" s="463">
        <v>83</v>
      </c>
      <c r="CK588" s="463">
        <v>84</v>
      </c>
      <c r="CL588" s="463">
        <v>85</v>
      </c>
      <c r="CM588" s="463">
        <v>86</v>
      </c>
      <c r="CN588" s="463">
        <v>87</v>
      </c>
      <c r="CO588" s="463">
        <v>88</v>
      </c>
      <c r="CP588" s="463">
        <v>89</v>
      </c>
      <c r="CQ588" s="463">
        <v>90</v>
      </c>
      <c r="CR588" s="463">
        <v>91</v>
      </c>
      <c r="CS588" s="463">
        <v>92</v>
      </c>
      <c r="CT588" s="463">
        <v>93</v>
      </c>
      <c r="CU588" s="463">
        <v>94</v>
      </c>
      <c r="CV588" s="463">
        <v>95</v>
      </c>
      <c r="CW588" s="463">
        <v>96</v>
      </c>
      <c r="CX588" s="463">
        <v>97</v>
      </c>
      <c r="CY588" s="463">
        <v>98</v>
      </c>
      <c r="CZ588" s="463">
        <v>99</v>
      </c>
      <c r="DA588" s="463">
        <v>100</v>
      </c>
      <c r="DB588" s="463">
        <v>101</v>
      </c>
      <c r="DC588" s="463">
        <v>102</v>
      </c>
      <c r="DD588" s="463">
        <v>103</v>
      </c>
      <c r="DE588" s="463">
        <v>104</v>
      </c>
      <c r="DF588" s="463">
        <v>105</v>
      </c>
      <c r="DG588" s="463">
        <v>106</v>
      </c>
      <c r="DH588" s="463">
        <v>107</v>
      </c>
      <c r="DI588" s="463">
        <v>108</v>
      </c>
      <c r="DJ588" s="463">
        <v>109</v>
      </c>
      <c r="DK588" s="463">
        <v>110</v>
      </c>
      <c r="DL588" s="463">
        <v>111</v>
      </c>
      <c r="DM588" s="463">
        <v>112</v>
      </c>
      <c r="DN588" s="463">
        <v>113</v>
      </c>
      <c r="DO588" s="463">
        <v>114</v>
      </c>
      <c r="DP588" s="463">
        <v>115</v>
      </c>
      <c r="DQ588" s="463">
        <v>116</v>
      </c>
      <c r="DR588" s="463">
        <v>117</v>
      </c>
      <c r="DS588" s="463">
        <v>118</v>
      </c>
      <c r="DT588" s="463">
        <v>119</v>
      </c>
      <c r="DU588" s="463">
        <v>120</v>
      </c>
    </row>
    <row r="589" spans="4:125" x14ac:dyDescent="0.2">
      <c r="E589" s="463" t="s">
        <v>230</v>
      </c>
      <c r="F589" s="463">
        <v>4</v>
      </c>
      <c r="G589" s="463">
        <v>28</v>
      </c>
      <c r="H589" s="463">
        <v>90</v>
      </c>
      <c r="I589" s="463">
        <v>11</v>
      </c>
      <c r="J589" s="463">
        <v>101</v>
      </c>
      <c r="K589" s="463">
        <v>119</v>
      </c>
      <c r="L589" s="463">
        <v>25</v>
      </c>
      <c r="M589" s="463">
        <v>112</v>
      </c>
      <c r="N589" s="463">
        <v>86</v>
      </c>
      <c r="O589" s="463">
        <v>36</v>
      </c>
      <c r="P589" s="463">
        <v>45</v>
      </c>
      <c r="Q589" s="463">
        <v>109</v>
      </c>
      <c r="R589" s="463">
        <v>15</v>
      </c>
      <c r="S589" s="463">
        <v>73</v>
      </c>
      <c r="T589" s="463">
        <v>111</v>
      </c>
      <c r="U589" s="463">
        <v>30</v>
      </c>
      <c r="V589" s="463">
        <v>9</v>
      </c>
      <c r="W589" s="463">
        <v>102</v>
      </c>
      <c r="X589" s="463">
        <v>76</v>
      </c>
      <c r="Y589" s="463">
        <v>46</v>
      </c>
      <c r="Z589" s="463">
        <v>65</v>
      </c>
      <c r="AA589" s="463">
        <v>103</v>
      </c>
      <c r="AB589" s="463">
        <v>67</v>
      </c>
      <c r="AC589" s="463">
        <v>33</v>
      </c>
      <c r="AD589" s="463">
        <v>58</v>
      </c>
      <c r="AE589" s="463">
        <v>85</v>
      </c>
      <c r="AF589" s="463">
        <v>44</v>
      </c>
      <c r="AG589" s="463">
        <v>97</v>
      </c>
      <c r="AH589" s="463">
        <v>88</v>
      </c>
      <c r="AI589" s="463">
        <v>16</v>
      </c>
      <c r="AJ589" s="463">
        <v>100</v>
      </c>
      <c r="AK589" s="463">
        <v>48</v>
      </c>
      <c r="AL589" s="463">
        <v>92</v>
      </c>
      <c r="AM589" s="463">
        <v>68</v>
      </c>
      <c r="AN589" s="463">
        <v>27</v>
      </c>
      <c r="AO589" s="463">
        <v>10</v>
      </c>
      <c r="AP589" s="463">
        <v>114</v>
      </c>
      <c r="AQ589" s="463">
        <v>107</v>
      </c>
      <c r="AR589" s="463">
        <v>83</v>
      </c>
      <c r="AS589" s="463">
        <v>43</v>
      </c>
      <c r="AT589" s="463">
        <v>54</v>
      </c>
      <c r="AU589" s="463">
        <v>69</v>
      </c>
      <c r="AV589" s="463">
        <v>57</v>
      </c>
      <c r="AW589" s="463">
        <v>42</v>
      </c>
      <c r="AX589" s="463">
        <v>106</v>
      </c>
      <c r="AY589" s="463">
        <v>75</v>
      </c>
      <c r="AZ589" s="463">
        <v>20</v>
      </c>
      <c r="BA589" s="463">
        <v>87</v>
      </c>
      <c r="BB589" s="463">
        <v>2</v>
      </c>
      <c r="BC589" s="463">
        <v>56</v>
      </c>
      <c r="BD589" s="463">
        <v>80</v>
      </c>
      <c r="BE589" s="463">
        <v>105</v>
      </c>
      <c r="BF589" s="463">
        <v>82</v>
      </c>
      <c r="BG589" s="463">
        <v>41</v>
      </c>
      <c r="BH589" s="463">
        <v>61</v>
      </c>
      <c r="BI589" s="463">
        <v>34</v>
      </c>
      <c r="BJ589" s="463">
        <v>50</v>
      </c>
      <c r="BK589" s="463">
        <v>7</v>
      </c>
      <c r="BL589" s="463">
        <v>37</v>
      </c>
      <c r="BM589" s="463">
        <v>13</v>
      </c>
      <c r="BN589" s="463">
        <v>104</v>
      </c>
      <c r="BO589" s="463">
        <v>38</v>
      </c>
      <c r="BP589" s="463">
        <v>47</v>
      </c>
      <c r="BQ589" s="463">
        <v>116</v>
      </c>
      <c r="BR589" s="463">
        <v>93</v>
      </c>
      <c r="BS589" s="463">
        <v>89</v>
      </c>
      <c r="BT589" s="463">
        <v>64</v>
      </c>
      <c r="BU589" s="463">
        <v>84</v>
      </c>
      <c r="BV589" s="463">
        <v>113</v>
      </c>
      <c r="BW589" s="463">
        <v>96</v>
      </c>
      <c r="BX589" s="463">
        <v>40</v>
      </c>
      <c r="BY589" s="463">
        <v>23</v>
      </c>
      <c r="BZ589" s="463">
        <v>14</v>
      </c>
      <c r="CA589" s="463">
        <v>31</v>
      </c>
      <c r="CB589" s="463">
        <v>117</v>
      </c>
      <c r="CC589" s="463">
        <v>19</v>
      </c>
      <c r="CD589" s="463">
        <v>35</v>
      </c>
      <c r="CE589" s="463">
        <v>72</v>
      </c>
      <c r="CF589" s="463">
        <v>91</v>
      </c>
      <c r="CG589" s="463">
        <v>21</v>
      </c>
      <c r="CH589" s="463">
        <v>115</v>
      </c>
      <c r="CI589" s="463">
        <v>24</v>
      </c>
      <c r="CJ589" s="463">
        <v>99</v>
      </c>
      <c r="CK589" s="463">
        <v>26</v>
      </c>
      <c r="CL589" s="463">
        <v>51</v>
      </c>
      <c r="CM589" s="463">
        <v>95</v>
      </c>
      <c r="CN589" s="463">
        <v>5</v>
      </c>
      <c r="CO589" s="463">
        <v>62</v>
      </c>
      <c r="CP589" s="463">
        <v>32</v>
      </c>
      <c r="CQ589" s="463">
        <v>53</v>
      </c>
      <c r="CR589" s="463">
        <v>39</v>
      </c>
      <c r="CS589" s="463">
        <v>79</v>
      </c>
      <c r="CT589" s="463">
        <v>55</v>
      </c>
      <c r="CU589" s="463">
        <v>8</v>
      </c>
      <c r="CV589" s="463">
        <v>81</v>
      </c>
      <c r="CW589" s="463">
        <v>29</v>
      </c>
      <c r="CX589" s="463">
        <v>3</v>
      </c>
      <c r="CY589" s="463">
        <v>120</v>
      </c>
      <c r="CZ589" s="463">
        <v>66</v>
      </c>
      <c r="DA589" s="463">
        <v>108</v>
      </c>
      <c r="DB589" s="463">
        <v>94</v>
      </c>
      <c r="DC589" s="463">
        <v>78</v>
      </c>
      <c r="DD589" s="463">
        <v>17</v>
      </c>
      <c r="DE589" s="463">
        <v>1</v>
      </c>
      <c r="DF589" s="463">
        <v>52</v>
      </c>
      <c r="DG589" s="463">
        <v>110</v>
      </c>
      <c r="DH589" s="463">
        <v>70</v>
      </c>
      <c r="DI589" s="463">
        <v>60</v>
      </c>
      <c r="DJ589" s="463">
        <v>98</v>
      </c>
      <c r="DK589" s="463">
        <v>63</v>
      </c>
      <c r="DL589" s="463">
        <v>74</v>
      </c>
      <c r="DM589" s="463">
        <v>118</v>
      </c>
      <c r="DN589" s="463">
        <v>59</v>
      </c>
      <c r="DO589" s="463">
        <v>77</v>
      </c>
      <c r="DP589" s="463">
        <v>22</v>
      </c>
      <c r="DQ589" s="463">
        <v>49</v>
      </c>
      <c r="DR589" s="463">
        <v>18</v>
      </c>
      <c r="DS589" s="463">
        <v>12</v>
      </c>
      <c r="DT589" s="463">
        <v>6</v>
      </c>
      <c r="DU589" s="463">
        <v>71</v>
      </c>
    </row>
  </sheetData>
  <sheetProtection sheet="1" objects="1" scenarios="1"/>
  <hyperlinks>
    <hyperlink ref="AB12" r:id="rId1" xr:uid="{00000000-0004-0000-0C00-000000000000}"/>
    <hyperlink ref="AB46" r:id="rId2" xr:uid="{00000000-0004-0000-0C00-000001000000}"/>
    <hyperlink ref="AB47" r:id="rId3" xr:uid="{00000000-0004-0000-0C00-000002000000}"/>
  </hyperlinks>
  <pageMargins left="0.7" right="0.7" top="0.75" bottom="0.75"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0"/>
  <sheetViews>
    <sheetView zoomScaleNormal="100" workbookViewId="0">
      <selection activeCell="A2" sqref="A2"/>
    </sheetView>
  </sheetViews>
  <sheetFormatPr defaultColWidth="8.85546875" defaultRowHeight="12.75" x14ac:dyDescent="0.2"/>
  <cols>
    <col min="1" max="5" width="10.140625" style="36" customWidth="1"/>
    <col min="6" max="1024" width="8.85546875" style="36"/>
  </cols>
  <sheetData>
    <row r="1" spans="1:5" ht="25.5" x14ac:dyDescent="0.35">
      <c r="A1" s="454" t="s">
        <v>281</v>
      </c>
    </row>
    <row r="4" spans="1:5" x14ac:dyDescent="0.2">
      <c r="A4" s="486" t="s">
        <v>282</v>
      </c>
      <c r="B4" s="201"/>
      <c r="D4" s="486" t="s">
        <v>283</v>
      </c>
      <c r="E4" s="201"/>
    </row>
    <row r="5" spans="1:5" x14ac:dyDescent="0.2">
      <c r="A5" s="487" t="s">
        <v>284</v>
      </c>
      <c r="B5" s="488" t="s">
        <v>181</v>
      </c>
      <c r="D5" s="487" t="s">
        <v>284</v>
      </c>
      <c r="E5" s="488" t="s">
        <v>181</v>
      </c>
    </row>
    <row r="6" spans="1:5" x14ac:dyDescent="0.2">
      <c r="A6" s="489">
        <v>1</v>
      </c>
      <c r="B6" s="490">
        <v>60</v>
      </c>
      <c r="D6" s="489">
        <v>1</v>
      </c>
      <c r="E6" s="490">
        <v>60</v>
      </c>
    </row>
    <row r="7" spans="1:5" x14ac:dyDescent="0.2">
      <c r="A7" s="238">
        <v>2</v>
      </c>
      <c r="B7" s="275">
        <v>48</v>
      </c>
      <c r="D7" s="238">
        <v>2</v>
      </c>
      <c r="E7" s="275">
        <v>48</v>
      </c>
    </row>
    <row r="8" spans="1:5" x14ac:dyDescent="0.2">
      <c r="A8" s="238">
        <v>3</v>
      </c>
      <c r="B8" s="275">
        <v>36</v>
      </c>
      <c r="D8" s="238">
        <v>3</v>
      </c>
      <c r="E8" s="275">
        <v>24</v>
      </c>
    </row>
    <row r="9" spans="1:5" x14ac:dyDescent="0.2">
      <c r="A9" s="238">
        <v>4</v>
      </c>
      <c r="B9" s="275">
        <v>24</v>
      </c>
      <c r="D9" s="491">
        <v>4</v>
      </c>
      <c r="E9" s="492">
        <v>12</v>
      </c>
    </row>
    <row r="10" spans="1:5" x14ac:dyDescent="0.2">
      <c r="A10" s="491">
        <v>5</v>
      </c>
      <c r="B10" s="492">
        <v>12</v>
      </c>
    </row>
  </sheetData>
  <sheetProtection sheet="1" objects="1" scenarios="1"/>
  <pageMargins left="0.74791666666666701" right="0.74791666666666701" top="0.98402777777777795" bottom="0.9840277777777779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738</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VEKN Report</vt:lpstr>
      <vt:lpstr>Override</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floppyzedolfin</dc:creator>
  <dc:description/>
  <cp:lastModifiedBy>Petrus Makkonen</cp:lastModifiedBy>
  <cp:revision>2</cp:revision>
  <dcterms:created xsi:type="dcterms:W3CDTF">2011-08-21T16:08:08Z</dcterms:created>
  <dcterms:modified xsi:type="dcterms:W3CDTF">2024-09-11T09:00:41Z</dcterms:modified>
  <dc:language>de-DE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e7bee25-d6e3-4d00-afc6-39a69f9bc8b5_Application">
    <vt:lpwstr>Microsoft Azure Information Protection</vt:lpwstr>
  </property>
  <property fmtid="{D5CDD505-2E9C-101B-9397-08002B2CF9AE}" pid="7" name="MSIP_Label_3e7bee25-d6e3-4d00-afc6-39a69f9bc8b5_Enabled">
    <vt:lpwstr>True</vt:lpwstr>
  </property>
  <property fmtid="{D5CDD505-2E9C-101B-9397-08002B2CF9AE}" pid="8" name="MSIP_Label_3e7bee25-d6e3-4d00-afc6-39a69f9bc8b5_Extended_MSFT_Method">
    <vt:lpwstr>Automatic</vt:lpwstr>
  </property>
  <property fmtid="{D5CDD505-2E9C-101B-9397-08002B2CF9AE}" pid="9" name="MSIP_Label_3e7bee25-d6e3-4d00-afc6-39a69f9bc8b5_Name">
    <vt:lpwstr>Public</vt:lpwstr>
  </property>
  <property fmtid="{D5CDD505-2E9C-101B-9397-08002B2CF9AE}" pid="10" name="MSIP_Label_3e7bee25-d6e3-4d00-afc6-39a69f9bc8b5_Owner">
    <vt:lpwstr>vripoll@talentsoft.com</vt:lpwstr>
  </property>
  <property fmtid="{D5CDD505-2E9C-101B-9397-08002B2CF9AE}" pid="11" name="MSIP_Label_3e7bee25-d6e3-4d00-afc6-39a69f9bc8b5_SetDate">
    <vt:lpwstr>2019-06-19T08:36:26.6370683Z</vt:lpwstr>
  </property>
  <property fmtid="{D5CDD505-2E9C-101B-9397-08002B2CF9AE}" pid="12" name="MSIP_Label_3e7bee25-d6e3-4d00-afc6-39a69f9bc8b5_SiteId">
    <vt:lpwstr>461a774b-c94c-4ea0-b027-311a135d9234</vt:lpwstr>
  </property>
  <property fmtid="{D5CDD505-2E9C-101B-9397-08002B2CF9AE}" pid="13" name="ScaleCrop">
    <vt:bool>false</vt:bool>
  </property>
  <property fmtid="{D5CDD505-2E9C-101B-9397-08002B2CF9AE}" pid="14" name="Sensitivity">
    <vt:lpwstr>Public</vt:lpwstr>
  </property>
  <property fmtid="{D5CDD505-2E9C-101B-9397-08002B2CF9AE}" pid="15" name="ShareDoc">
    <vt:bool>false</vt:bool>
  </property>
</Properties>
</file>